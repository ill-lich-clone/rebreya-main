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бщий" sheetId="1" r:id="rId5"/>
    <sheet state="visible" name="Оружейные группы" sheetId="2" r:id="rId6"/>
    <sheet state="visible" name="Оружие V0.36" sheetId="3" r:id="rId7"/>
    <sheet state="visible" name="Огнестрел V0.36" sheetId="4" r:id="rId8"/>
    <sheet state="visible" name="Боеприпасы" sheetId="5" r:id="rId9"/>
    <sheet state="visible" name="Улучшения и обвесы V0.2" sheetId="6" r:id="rId10"/>
    <sheet state="visible" name="Доспехи V0.1" sheetId="7" r:id="rId11"/>
    <sheet state="visible" name="Взрывчатка V0.0" sheetId="8" r:id="rId12"/>
    <sheet state="visible" name="Немагическое снаряжение V0.1" sheetId="9" r:id="rId13"/>
    <sheet state="visible" name="Импланты V0.1" sheetId="10" r:id="rId14"/>
    <sheet state="visible" name="Усовершенствования V0.21" sheetId="11" r:id="rId15"/>
    <sheet state="visible" name="Энциклопедия материалов" sheetId="12" r:id="rId16"/>
    <sheet state="visible" name="Энциклопедия чудовищ V0" sheetId="13" r:id="rId17"/>
    <sheet state="visible" name="Скорость создания предметов" sheetId="14" r:id="rId18"/>
    <sheet state="visible" name="Магические предметы V0" sheetId="15" r:id="rId19"/>
    <sheet state="visible" name="Заклинания V0" sheetId="16" r:id="rId20"/>
    <sheet state="hidden" name="_SYS" sheetId="17" r:id="rId21"/>
    <sheet state="visible" name="Транспорт V0.1" sheetId="18" r:id="rId22"/>
    <sheet state="hidden" name="Особые боеприпасы" sheetId="19" r:id="rId23"/>
    <sheet state="hidden" name="тех. лист Средний урон оружия" sheetId="20" r:id="rId24"/>
    <sheet state="hidden" name="тех. лист Разброс" sheetId="21" r:id="rId25"/>
    <sheet state="hidden" name=" СТАРОЕ Боеприпасы и огнестрел" sheetId="22" r:id="rId26"/>
  </sheets>
  <definedNames>
    <definedName hidden="1" localSheetId="9" name="_xlnm._FilterDatabase">'Импланты V0.1'!$A$1:$G$1000</definedName>
    <definedName hidden="1" localSheetId="10" name="_xlnm._FilterDatabase">'Усовершенствования V0.21'!$A$1:$G$32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Верховой боец</t>
      </text>
    </comment>
    <comment authorId="0" ref="B2">
      <text>
        <t xml:space="preserve">Мастер клинков</t>
      </text>
    </comment>
    <comment authorId="0" ref="F2">
      <text>
        <t xml:space="preserve">Мастер древкового оружия [PHB+]</t>
      </text>
    </comment>
    <comment authorId="0" ref="I2">
      <text>
        <t xml:space="preserve">Прицельный выстрел
Множественный выстрел [Lich]</t>
      </text>
    </comment>
    <comment authorId="0" ref="J2">
      <text>
        <t xml:space="preserve">Прицельный выстрел
Эксперт в арбалетах [PHB]</t>
      </text>
    </comment>
    <comment authorId="0" ref="A15">
      <text>
        <t xml:space="preserve">Мастер большого оружия</t>
      </text>
    </comment>
    <comment authorId="0" ref="H15">
      <text>
        <t xml:space="preserve">Быстрый выпад</t>
      </text>
    </comment>
    <comment authorId="0" ref="I15">
      <text>
        <t xml:space="preserve">Оборонительный дуэлянт
Быстрый выпад</t>
      </text>
    </comment>
    <comment authorId="0" ref="L15">
      <text>
        <t xml:space="preserve">Меткий стрелок</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Урон, который наносит оружие при попадании атакой</t>
      </text>
    </comment>
    <comment authorId="0" ref="C1">
      <text>
        <t xml:space="preserve">Тип урона, который существо получит</t>
      </text>
    </comment>
    <comment authorId="0" ref="D1">
      <text>
        <t xml:space="preserve">Рыночная цена оружия в монетах</t>
      </text>
    </comment>
    <comment authorId="0" ref="F1">
      <text>
        <t xml:space="preserve">Вес оружия в фунтах</t>
      </text>
    </comment>
    <comment authorId="0" ref="H2">
      <text>
        <t xml:space="preserve">Двуручное. Это оружие нужно держать двумя руками, когда вы атакуете им. (Только во время атаки)
Универсальное. Это оружие можно использовать как одной, так и двумя руками. Урон, указанный в скобках после этого свойства, означает свойства при совершении рукопашной атаки двумя руками.
</t>
      </text>
    </comment>
    <comment authorId="0" ref="I2">
      <text>
        <t xml:space="preserve">Смена хвата. Оружие с этим свойством можно использовать по разному и зависимости от хвата изменяются некоторые его особенности, в основном это тип и кость урона, изменённые свойства указаны в скобках после этого свойства, если хватов больше одного, то они указаны подряд. Кроме этого хват также может и лишить оружие некоторых дополнительных свойств, они также будут отмечены в скобках. Наконец, изменить хват вы можете в свой ход один раз без траты действий либо за бонусное действие</t>
      </text>
    </comment>
    <comment authorId="0" ref="J2">
      <text>
        <t xml:space="preserve">Лёгкое. Лёгкое оружие маленькое и удобное, и идеально подходит для сражения двумя оружиями. Один раз в свой ход, когда вы совершаете действие атака, то после атаки оружием со свойством Лёгкое вы можете совершить дополнительную атаку другим лёгким оружием в другой руке.
Тяжёлое. Существа Маленького размера и менее совершают броски атаки тяжёлым оружием с помехой. Из-за размера и веса Маленькие существа не могут использовать такое оружие эффективно.</t>
      </text>
    </comment>
    <comment authorId="0" ref="K2">
      <text>
        <t xml:space="preserve">Наскок (1,2,3) [Lich]. Один раз в ход, если вы перед атакой таким оружием переместитесь по прямой хотя бы на 10 фт в сторону противника, то при попадании нанесёте дополнительный 1к2 урона за значение наскока.</t>
      </text>
    </comment>
    <comment authorId="0" ref="L2">
      <text>
        <t xml:space="preserve">Фехтовальное. При совершении атаки фехтовальным оружием вы сами выбираете, какой модификатор использовать при совершении бросков атаки и урона — модификатор Силы или Ловкости. Для обоих бросков должен использоваться один и тот же модификатор.
</t>
      </text>
    </comment>
    <comment authorId="0" ref="M2">
      <text>
        <t xml:space="preserve">Досягаемость 5/10/15. Это оружие добавляет указанное количество футов к расстоянию, на котором вы можете совершать этим оружием атаки, а также провоцированные атаки.</t>
      </text>
    </comment>
    <comment authorId="0" ref="N2">
      <text>
        <t xml:space="preserve">Расширенный критический удар (РКУ). Используя оружие с таким свойством Ваши атаки наносят критические повреждения при результате на значение указанное после свойства меньше, чем обычно.(Например, используя свойство расширенный критический удар 1, если у вас нет умения “расширенные критические попадания”, то вы будете совершать его на 19-20, а с ним на 18-20). Обычно, это свойство кумулятивное и если у вас есть свойство РКУ 1 из двух источников, то вы считаете его как РКУ 2
</t>
      </text>
    </comment>
    <comment authorId="0" ref="O2">
      <text>
        <t xml:space="preserve">Множитель критического удара (МКУ). Атакую оружием c этим свойством вы можете бросать количество дополнительных костей оружия урона равный значению МКУ, когда определяете дополнительный урон от критического попадания. Обычно, это свойство кумулятивное и если у вас есть свойство МКУ 1 из двух источников, то вы считаете его как МКУ 2
</t>
      </text>
    </comment>
    <comment authorId="0" ref="P2">
      <text>
        <t xml:space="preserve">Оружие с таким свойство становится более опасным по мере того, как вы создаете импульс. Один раз в ход, после совершения атаки, вы получаете бонус к урону равный половине вашего модификатора силы, округлённого вверх на свою следующую атаку, совершённую этим оружием до конца вашего текущего хода.</t>
      </text>
    </comment>
    <comment authorId="0" ref="Q2">
      <text>
        <t xml:space="preserve">Размах [Lich]. Это оружие делает широкие размашистые или вращающиеся атаки, что позволяет легче атаковать нескольких врагов. Один раз в ход, после совершения атаки, вы получаете бонус к атаке +2 на свою следующую атаку по отличному от цели первой атаки существу, совершённую этим оружием до конца вашего текущего хода.</t>
      </text>
    </comment>
    <comment authorId="0" ref="R2">
      <text>
        <t xml:space="preserve">Обратный замах [Lich]. С этим оружием, вы можете использовать инерцию атаки которой промахнулись, чтобы нанести следующую. Один раз в ход, после промаха атакой этим оружием, вы получаете бонус +2 на свою следующую атаку, совершённую этим оружием до конца вашего текущего хода.</t>
      </text>
    </comment>
    <comment authorId="0" ref="S2">
      <text>
        <t xml:space="preserve">Мешающее. Оружие со свойством "мешающее" предназначено, чтобы им раскачивали, отбрасывали от себя или взмахивали, чтобы контролировать пространство на поле битвы. Вы можете бонусным действием либо одной из доступных атак начать крутить оружие в пределах досягаемости оружия. Вся ваша досягаемость становится труднопроходимой местностью, пока вы не атакуете им (Провоцированные атаки не прекращают вращение), сдвинетесь с места или не перестанете намеренно крутить им (Никаких действий не требуется).</t>
      </text>
    </comment>
    <comment authorId="0" ref="T2">
      <text>
        <t xml:space="preserve">Используя оружие с таким свойством, вы можете уверенно атаковать существ вокруг себя. Один раз в ход, когда вы совершаете атаку оружием, то можете решить, что атакуете круговой атакой. Совершите бросок атаки и сравните результата с КД всех существ в пределах досягаемости оружия, при попадании такой атакой вы наносите лишь половину от обычного урона и можете применить дополнительные эффекты такие как «Скрытая атака» плута лишь к одному поражённому существу.</t>
      </text>
    </comment>
    <comment authorId="0" ref="U2">
      <text>
        <t xml:space="preserve">Метательное. Если у оружия есть свойство «метательное», вы можете совершать им дальнобойные атаки, метая его. Если это рукопашное оружие, вы используете для бросков атаки и урона тот же модификатор характеристики, что и при совершении рукопашной атаки этим оружием. Например, если вы метаете ручной топор, вы используете Силу, а если метаете кинжал, то можете использовать либо Силу, либо Ловкость, так как у кинжала есть свойство «фехтовальное».
</t>
      </text>
    </comment>
    <comment authorId="0" ref="V2">
      <text>
        <t xml:space="preserve">Боеприпас. Вы можете использовать оружие со свойством «боеприпас» для совершения дальнобойной атаки только если у вас есть боеприпасы для стрельбы. Каждый раз, когда вы совершаете атаку с помощью этого оружия, вы тратите один боеприпас. Вынимается боеприпас из колчана или другого контейнера частью атаки. Для зарядки одноручного оружия требуется одна свободная рука. В конце сражения вы восстанавливаете половину использованных боеприпасов, потратив минуту на поиски на поле боя.
	Если вы используете оружие со свойством «боеприпас» для совершения рукопашной атаки, вы считаете его импровизированным оружием. Праща при этом должна быть заряжена.
</t>
      </text>
    </comment>
    <comment authorId="0" ref="W2">
      <text>
        <t xml:space="preserve">Дистанция. (Дис.) У оружия, с помощью которого могут совершаться дальнобойные атаки, указан диапазон в скобках после свойства «боеприпас» или «метательное». Диапазон состоит из двух чисел. Первое — это нормальная дистанция в футах, а второе указывает максимальную дистанцию оружия. При совершении атаки по цели, находящейся на расстоянии, превышающем нормальную дистанцию, бросок атаки совершается с помехой. Цель, находящуюся на расстоянии, превышающем максимальную дистанцию, атаковать нельзя.</t>
      </text>
    </comment>
    <comment authorId="0" ref="X2">
      <text>
        <t xml:space="preserve">Минимальная сила (Значение) [Lich]. Это оружие не так-то легко использовать. Даже имея владения, вы сможете прибавить к атаке бонус мастерства, только если ваша Сила равна или превосходит требования оружия.
Всё тяжёлое оружие имеет минимальную Силу 13.
</t>
      </text>
    </comment>
    <comment authorId="0" ref="Y2">
      <text>
        <t xml:space="preserve">Смертельное (Ваш уровень). Значение свойства оружия равно вашему уровню. Если у существа в результате вашей атаки оружием с таким свойством осталось количество хитов, равное значению свойства или ниже, хиты этого существа становятся равны нулю. Если вы совершали атаку нелетально, то это свойство не сработает.
Обычно, это свойство кумулятивное и для любых других источников имеет значение. Например, если у вас 5-й уровень и какой-то эффект предоставил вам свойство Смертельное 3, то вы складываете его со свойством оружия Смертельное 5 (5-й уровень), получая Смертельное 8.</t>
      </text>
    </comment>
    <comment authorId="0" ref="Z2">
      <text>
        <t xml:space="preserve">Перезарядка. Из-за долгой перезарядки этого оружия вы можете выстрелить из него только один боеприпас одним действием, бонусным действием или реакцией, вне зависимости от количества положенных атак.
Особое. Оружие со свойством «особое» используется по специальным правилам, указанным в описании этого оружия (смотрите ниже «Особое оружие»).
Прицеливание. В свой ход, когда вы совершаете действие Атака используя оружие с этим свойством, вы можете отказаться от одной из атак в рамках действия атака и получить преимущество на следующую атаку этим оружием до конца вашего следующего хода.
Силовой удар. Атаки оружием с таким свойством игнорируют дополнительное кд от щита
Толкающее. Когда вы попадаете по цели атакой оружием с таким свойством, то частью атаки можете попробовать толкнуть(Толчок) существо. Вы можете использовать это свойство не чаще, чем раз в минуту.
Опрокидывающие. Когда вы попадаете по цели атакой оружием с таким свойством, то частью атаки можете попробовать толкнуть(Опрокидывание) существо. Вы можете использовать это свойство не чаще, чем раз в минуту.
Верховой бой. Ваши атаки оружием с этим свойством наносят дополнительно 2 урона, если цель вашей атаки размером меньше вашего скакуна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Урон, который наносит оружие при попадании атакой</t>
      </text>
    </comment>
    <comment authorId="0" ref="D1">
      <text>
        <t xml:space="preserve">Тип урона, который существо получит</t>
      </text>
    </comment>
    <comment authorId="0" ref="E1">
      <text>
        <t xml:space="preserve">Рыночная цена нового оружия в золотых монетах</t>
      </text>
    </comment>
    <comment authorId="0" ref="G1">
      <text>
        <t xml:space="preserve">Вес оружия без обвесов и улучшений в фунтах</t>
      </text>
    </comment>
    <comment authorId="0" ref="I1">
      <text>
        <t xml:space="preserve">Свойства оружия это детали его конструкции, что отличают его от аналогов</t>
      </text>
    </comment>
    <comment authorId="0" ref="I2">
      <text>
        <t xml:space="preserve">Дальность это расстояние на котором можно поразить противника. 
Первое число - нормальная дальность, второе максимальное. Если существо находится за пределами нормальность дальности, то атаки по нему совершаются с помехой</t>
      </text>
    </comment>
    <comment authorId="0" ref="J2">
      <text>
        <t xml:space="preserve">Количество рук, которые необходимы для совершения атаки таким оружием</t>
      </text>
    </comment>
    <comment authorId="0" ref="K2">
      <text>
        <t xml:space="preserve">Оружие с таким свойством может заклинить. Если при броске к20 во время атаки Вам выпадает число равное или меньшее показателю осечки, ваше оружие клинит сразу после атаки. Вы не можете совершать атаку этим оружием пока Действием не очистите затворную раму. При этом показатель осечки этого оружия возрастает на 1, пока не достигнет 10. 
	Чтобы вернуть показатель осечки к изначальном состоянию вам необходимо преуспеть в проверке Ловкости или Интеллекта (Инструменты жестянщика) Сл 10 + текущий показатель осечки. Эта проверка совершается в течении одной минуты.</t>
      </text>
    </comment>
    <comment authorId="0" ref="L2">
      <text>
        <t xml:space="preserve">Данный столбец указывает на то, какие боеприпасы использует оружие</t>
      </text>
    </comment>
    <comment authorId="0" ref="M2">
      <text>
        <t xml:space="preserve">Если у боеприпаса есть особые свойства, то они будут перечислены здесь
Разброс. Это огнестрельное оружие наносит сразу два типа урона: обычный урон цели за атаку и уроном окружающим существам от разброса. При совершении атаки таким оружием, проверяйте свой бросок атаки также на попадание по всем существам в радиусе 5 футов от первоначальной цели. При попадании по ним вы наносите им урон разбросом (указан в скобках). Вы не добавляете модификатор характеристики к урону от разброса, если он положительный.
Взрывное. Это огнестрельное оружие использует как боеприпасы “ракетные выстрелы” и при попадании в существо детонирует. Область поражения рассчитывается по количеству кубов оружия умноженных на 5 фт (Например оригинальная РПУ имеет урон 5д8 и её область поражения будет иметь радиус 25 фт, а самодельная РПУ всего 2д8 и её область поражения имеет радиус только 10 фт). Все существа, что попали в область поражения должны совершить спассбросок ловкости, получая при провале полный урон оружия и половину при успехе. Если атака попадает прямо цель, то она совершает этот спассбросок с помехой. Помимо этого если размер цели больше среднего, то за каждый последующий размер (огромный, громадный) цель получает одну дополнительную кость урона (Это увеличение урона не увеличивает зону поражения)
</t>
      </text>
    </comment>
    <comment authorId="0" ref="N2">
      <text>
        <t xml:space="preserve">Тип стрельбы отвечает за то сколько боеприпасов вы выстреливаете за одну атаку
Автоматическое. Автоматическое огнестрельное оружие способно при совершении атаки вести огонь пока вы не отпустите курок или не закончатся боеприпасы. Вы можете использовать действие таким оружием, чтобы покрыть 45-футовый конус перед собой автоматическим огнем, заставляя всех существ в этой области совершить спасбросок Ловкости. При провале эти существа получают урон автоматическим огнем (указан в скобках) и лишь половину его при успехе. Это действие ведет к полной разрядке оружия и чтобы его совершить у вас должно быть больше половины боеприпасов в магазине.
Кроме того, автоматическое оружие тратит шесть боеприпасов за каждую простую атаку или весь боезапас если его максимальное значение меньше шести.
       Сл спасброска = 8 + бонус атаки этим оружием
Полуавтоматическое. Это огнестрельное оружие способно за одно нажатие на курок выстреливать сразу несколько снарядов подряд. Вы можете использовать действие таким оружием, чтобы покрыть 25-ти футовый конус перед собой полуавтоматическим огнем заставляя всех существ в этой области совершить спасбросок Ловкости. При провале эти существа получают урон полуавтоматическим огнем (указан в скобках) и лишь половину его при успехе. Это действие тратит количество боеприпасов равное количеству выбранных существ.
Кроме того, полуавтоматическое оружие тратит три боеприпаса за каждую простую атаку.
      Сл спасброска = 8 + бонус атаки этим оружием
</t>
      </text>
    </comment>
    <comment authorId="0" ref="O2">
      <text>
        <t xml:space="preserve">Перезарядка (значение). Вы можете совершить количество атак этим оружием, которое равно значению перезарядки. Оружие с этим свойством не имеет магазина и каждый боеприпас нужно вставлять отдельно, вместе с пороховым зарядом (Пороховой заряд идёт вместе с боеприпасом).
Полная перезарядка такого оружия совершается Действием, либо Вы можете Бонусным действием зарядить до двух боеприпасов.
	Долгая перезарядка (значение). Работает также как и перезарядка, но без возможности перезарядить оружие бонусным действием.</t>
      </text>
    </comment>
    <comment authorId="0" ref="R2">
      <text>
        <t xml:space="preserve">В первый раунд сражения, один раз в ход вы можете добавить значение внезапности как дополнительный урон, когда попадаете атакой.</t>
      </text>
    </comment>
    <comment authorId="0" ref="A29">
      <text>
        <t xml:space="preserve">Вместо атаки огнемёт выпускает струю пламени, что поражает противников в 15-футов конусе перед нападающим либо в линии длинной 25 футов и шириной 5 футов. Если существо попадает в эту область, то оно должно совершить спасбросок ловкости, получая урон Огнемёта при провале и половину в случае успеха. 
Сложность спасброска = 8 + бонус мастерства + модификатор Силы
Имеет уникальное свойство «Перегрев», который при накоплении максимального числа зарядов увеличивает урон оружия на 1д6, но наносит такой же урон огнём владельцу. Заряды перегрева можно получить, совершая атаку, а остывает оружие через минуту после использования за каждый заряд.
Использует уникальные боеприпасы - топливные баки, которые стоят по 12 зм за штуку и весят каждый 5 фнт. </t>
      </text>
    </comment>
    <comment authorId="0" ref="A30">
      <text>
        <t xml:space="preserve">Когда вы совершаете бросок атаки из двуствольного дробовика, вы можете сделать сразу два броска по одному существу. Вторая атака совершается с помехой, и вы не добавляете модификатор характеристики к урону от этой атаки, если он положительный.
</t>
      </text>
    </comment>
    <comment authorId="0" ref="A31">
      <text>
        <t xml:space="preserve">При совершении атаки из этого оружия вы можете выстрелить усиленным снарядом. Снаряд летит по прямой по направлении к цели на протяжении дистанции равной половине максимальной дальности. Все существа, попавшие в эту линию шириной 5 футов, должны пройти спасбросок Ловкости со Сл 8 + ваш бонус мастерства + ваш модификатор Ловкости, или получит 1d12 дробящего урона и упадет ничком. При успехе существо получает лишь половину урона и остается на ногах.
</t>
      </text>
    </comment>
    <comment authorId="0" ref="A35">
      <text>
        <t xml:space="preserve">Имеет уникальное свойство пулемёт, что позволяет совершить неограниченное количество атак в ход, но после первой каждая последующая будет накладывать накопительный штраф на атаку, который равен -2. При этом штраф можно уменьшить до -1, если потратить действие на то, чтобы закрепить пулемёт на одном месте. 
	Помимо этого вы добавляете лишь половину модификатора характеристики для бросков атаки и урона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Стёганый доспех состоит из прошитых слоёв ткани и ватина.</t>
      </text>
    </comment>
    <comment authorId="0" ref="A5">
      <text>
        <t xml:space="preserve">Нагрудник и плечи этого доспеха изготовлены из кожи, вываренной в масле. Остальные части доспеха сделаны из более мягких и гибких материалов.</t>
      </text>
    </comment>
    <comment authorId="0" ref="A6">
      <text>
        <t xml:space="preserve">Изготовленный из крепкой, но гибкой кожи проклёпанный доспех усилен тесно расположенными шипами или заклёпками.</t>
      </text>
    </comment>
    <comment authorId="0" ref="A7">
      <text>
        <t xml:space="preserve">Доспех настоящих шеф-поваров, что сражаются на передовой! Она совмещает в себе функции обоих профессий и справляется с этим очень неплохо.</t>
      </text>
    </comment>
    <comment authorId="0" ref="A9">
      <text>
        <t xml:space="preserve">Этот грубый доспех состоит из толстых мехов и шкур. Обычно их носят племена варваров, злые гуманоиды и прочие народы, у которых нет инструментов и материалов для создания более качественных доспехов.</t>
      </text>
    </comment>
    <comment authorId="0" ref="A10">
      <text>
        <t xml:space="preserve">Сделанная из переплетённых металлических колец кольчужная рубаха носится между слоями одежды или кожи. Этот доспех предоставляет умеренную защиту торса и заглушает звон колец внешним покрытием.</t>
      </text>
    </comment>
    <comment authorId="0" ref="A11">
      <text>
        <t xml:space="preserve">Этот доспех состоит из кожаной куртки и поножей (а также, возможно, отдельной юбки), покрытых перекрывающимися кусочками металла, похожими на рыбью чешую. В комплект входят рукавицы.</t>
      </text>
    </comment>
    <comment authorId="0" ref="A12">
      <text>
        <t xml:space="preserve">Этот доспех состоит из подогнанного металлического панциря, носимого с подкладкой из кожи. Несмотря на то, что руки и ноги остаются практически без защиты, этот доспех хорошо защищает жизненно важные органы, оставляя владельцу относительную подвижность.</t>
      </text>
    </comment>
    <comment authorId="0" ref="A13">
      <text>
        <t xml:space="preserve">Полулаты состоят из сформированных металлических пластин, покрывающих большую часть тела владельца. В них не входит защита для ног кроме простых поножей, закреплённых кожаными ремнями.</t>
      </text>
    </comment>
    <comment authorId="0" ref="A14">
      <text>
        <t xml:space="preserve">Неправильно надетый доспех, частично одетый доспех, доспех собранный на скорую руку, повреждённый доспех — эти все варианты можно использовать для такой категории как импровизированный доспех. Сломанный доспех считается импровизированным доспехом.</t>
      </text>
    </comment>
    <comment authorId="0" ref="A16">
      <text>
        <t xml:space="preserve">Это кожаный доспех с нашитыми на него толстыми кольцами. Эти кольца усиливают доспех от ударов мечей и топоров. Колечный доспех хуже кольчуги, и обычно его носят только те, кто не могут позволить себе доспех получше.</t>
      </text>
    </comment>
    <comment authorId="0" ref="A17">
      <text>
        <t xml:space="preserve">Изготовленная из переплетающихся металлических колец кольчуга включает также слой стёганой ткани, надеваемой под низ, дабы предотвратить натирание и смягчать удары. В комплект входят рукавицы.</t>
      </text>
    </comment>
    <comment authorId="0" ref="A18">
      <text>
        <t xml:space="preserve">Этот доспех состоит из узких вертикальных металлических пластин, приклёпанных к кожаной подложке, носимой поверх слоя ватина. Соединения защищаются кольчужным полотном.</t>
      </text>
    </comment>
    <comment authorId="0" ref="A19">
      <text>
        <t xml:space="preserve">Латы состоят из сформированных металлических пластин, покрывающих всё тело. В комплект лат входят рукавицы, тяжёлые кожаные сапоги, шлем с забралом, и толстый слой ватина. Ремешки и пряжки распределяют вес по всему телу.</t>
      </text>
    </comment>
    <comment authorId="0" ref="A20">
      <text>
        <t xml:space="preserve">Никогда не спрашивайте у приключенца откуда он его достал.</t>
      </text>
    </comment>
    <comment authorId="0" ref="A23">
      <text>
        <t xml:space="preserve">Маленький щит не больше одного фута в диаметре, что совсем немного помогает в обороне, но и активно участвует в атаке</t>
      </text>
    </comment>
    <comment authorId="0" ref="A26">
      <text>
        <t xml:space="preserve">Обычно изготавливаются из полотен кожи, прошедшей особую химическую обработку. Изначально они применялись заводскими рабочими для защиты от случайных травм, но быстро стали использоваться разными бандитами повсеместно за их способность остановить даже удар кинжала</t>
      </text>
    </comment>
    <comment authorId="0" ref="A27">
      <text>
        <t xml:space="preserve">Обычно изготавливаются из полотен кожи, прошедшей особую химическую обработку. Изначально они применялись заводскими рабочими для защиты от случайных травм, но быстро стали использоваться разными бандитами повсеместно за их способность остановить даже удар кинжала</t>
      </text>
    </comment>
    <comment authorId="0" ref="A28">
      <text>
        <t xml:space="preserve">Сшивается из специальных тканей с вкраплением металлических нитей и сверх крепких волокон. Благодаря своей эластичности и относительно небольшой толщины она может носиться скрыто под другой одеждой.</t>
      </text>
    </comment>
    <comment authorId="0" ref="A29">
      <text>
        <t xml:space="preserve">Этот базовый бронежилет напоминает облегченную кирасу и состоит из баллистически укрепленного цельного металлического листа.</t>
      </text>
    </comment>
    <comment authorId="0" ref="A30">
      <text>
        <t xml:space="preserve">На первый взгляд похож на обычный тяжелый плащ, но у него в подкладку вшиты бронепластины, обеспечивающие носящему минимальную баллистическую защиту.</t>
      </text>
    </comment>
    <comment authorId="0" ref="A32">
      <text>
        <t xml:space="preserve">В отличии от своего более легкого собрата, этот бронежилет состоит сразу из нескольких укрепленных металлических листов, хотя всё ещё напоминает стандартную кирасу.</t>
      </text>
    </comment>
    <comment authorId="0" ref="A33">
      <text>
        <t xml:space="preserve">Этот полный комплект боевой брони используется в основном боевыми отрядами специального назначения и состоит из нательной металлической брони и лёгкого закрытого шлема.</t>
      </text>
    </comment>
    <comment authorId="0" ref="A34">
      <text>
        <t xml:space="preserve">Комплект брони, что жертвует подвижностью ради защиты. Состоит из множества нахлёстнутых друг на друга пластин, что сшиты вместе металлическими нитями вместе с закрытым шлемом. Использует его в основном подвижные войска спец. подразделений.</t>
      </text>
    </comment>
    <comment authorId="0" ref="A36">
      <text>
        <t xml:space="preserve">Этот комплект брони отдаленно напоминающий облегченные рыцарские латы, используется в основном военной пехотой.</t>
      </text>
    </comment>
    <comment authorId="0" ref="A37">
      <text>
        <t xml:space="preserve">Как ясно из названия, является усиленной версией лёгкой служебной броней с дополнительной защитой конечностей и укрепленным тактическим шлемом.</t>
      </text>
    </comment>
    <comment authorId="0" ref="A38">
      <text>
        <t xml:space="preserve">Броня, превращающая её носителя в настоящего Джаггернаута, способного пережить взрыв гранаты. Тяжелая, громоздкая, крайне сковывающая движение, но необычайно прочная и надежная.</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1">
      <text>
        <t xml:space="preserve">Вы также можете привязывать такие предметы как спальники и верёвки снаружи рюкзака.</t>
      </text>
    </comment>
    <comment authorId="0" ref="J170">
      <text>
        <t xml:space="preserve">Кости Тортла</t>
      </text>
    </comment>
    <comment authorId="0" ref="F234">
      <text>
        <t xml:space="preserve">К весу оружия</t>
      </text>
    </comment>
    <comment authorId="0" ref="F237">
      <text>
        <t xml:space="preserve">К весу оружия</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21">
      <text>
        <t xml:space="preserve">10 квадратных метров</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Потребление топлива указано при расчёте на 1 милю. Эту дистанцию транспорт может пройти как за несколько часов так и за несколько дней.
Корм для скакуна указан за день, независимо от того какое расстояние проходит существо.</t>
      </text>
    </comment>
    <comment authorId="0" ref="S1">
      <text>
        <t xml:space="preserve">Грузоподъемность локомотивов указана в двух числах: собственная и вес, который он может тянуть по рельсам</t>
      </text>
    </comment>
  </commentList>
</comments>
</file>

<file path=xl/sharedStrings.xml><?xml version="1.0" encoding="utf-8"?>
<sst xmlns="http://schemas.openxmlformats.org/spreadsheetml/2006/main" count="17693" uniqueCount="4636">
  <si>
    <t>Введение</t>
  </si>
  <si>
    <t>Эта таблица используется для описания почти всех таблиц для сеттинга Ребрея: Тень прогресса. Отдельный лист описывает отдельную механику за редкими исключениями. Ниже описано за что отвечает каждый лист и где найти это место в Заметках</t>
  </si>
  <si>
    <t>Оружие</t>
  </si>
  <si>
    <t>Общее описание свойств простого и воинского оружия</t>
  </si>
  <si>
    <t>Ссылка на лист</t>
  </si>
  <si>
    <t>Место в заметках</t>
  </si>
  <si>
    <t>Огнестрел</t>
  </si>
  <si>
    <t>Общее описание свойств огнестрального оружия</t>
  </si>
  <si>
    <t>Оружейные группы</t>
  </si>
  <si>
    <t>Лист с информацией о оружейных групах и смежных свойствах</t>
  </si>
  <si>
    <t>Боеприпасы</t>
  </si>
  <si>
    <t>Описание боеприпасов для огнестрального оружия</t>
  </si>
  <si>
    <t>Улучшения и обвесы</t>
  </si>
  <si>
    <t>Перечисление обсвесов и модификаций для огнестрельного оружия</t>
  </si>
  <si>
    <t>Доспехи</t>
  </si>
  <si>
    <t>Общий список старых и современных доспехов</t>
  </si>
  <si>
    <t>Импланты</t>
  </si>
  <si>
    <t>Перечисление доступных имплантов</t>
  </si>
  <si>
    <t>Взрывчатка</t>
  </si>
  <si>
    <t>Общее описание свойств взрывчатки</t>
  </si>
  <si>
    <t>Немагиче</t>
  </si>
  <si>
    <t>Усовершенствование</t>
  </si>
  <si>
    <t>Общее описание материалов для усовершенствование снаряжения — улучшения его качеств кроме магических</t>
  </si>
  <si>
    <t>Усовершенст</t>
  </si>
  <si>
    <t>Энциклопедия монстров</t>
  </si>
  <si>
    <t>Здесь описаны все монстры, охота за которых может принести пользу для авантюристов</t>
  </si>
  <si>
    <t>—</t>
  </si>
  <si>
    <t>Энциклопедия материалов</t>
  </si>
  <si>
    <t>Здесь описаны именно части монстров, которые хранят в себе монстры</t>
  </si>
  <si>
    <t>Скорость создания предметов</t>
  </si>
  <si>
    <t>Здесь описано сколько можно вложить в день, если вы можете вкладывать больше 5 зм в день</t>
  </si>
  <si>
    <t>Скакуны и Транспорт</t>
  </si>
  <si>
    <t>Описывает транспорт, которые можно преобрести на просторах Тейванкаля</t>
  </si>
  <si>
    <t>Магические предметы</t>
  </si>
  <si>
    <t>Описаывает доступность магических предметов</t>
  </si>
  <si>
    <t>Свитки заклинаний</t>
  </si>
  <si>
    <t>Используют отдельную таблицу</t>
  </si>
  <si>
    <t>Ссылка на таблицу</t>
  </si>
  <si>
    <t>Оружейные группы для воинского и простого оружия</t>
  </si>
  <si>
    <t>Верховой бой</t>
  </si>
  <si>
    <t>Мечи</t>
  </si>
  <si>
    <t>Топоры</t>
  </si>
  <si>
    <t>Молоты</t>
  </si>
  <si>
    <t>Разбойничье</t>
  </si>
  <si>
    <t>Древковое</t>
  </si>
  <si>
    <t>Цепное</t>
  </si>
  <si>
    <t>Грубое</t>
  </si>
  <si>
    <t>Луки</t>
  </si>
  <si>
    <t>Арбалеты</t>
  </si>
  <si>
    <t>Особое</t>
  </si>
  <si>
    <t>Палаш</t>
  </si>
  <si>
    <t>Двуручный меч</t>
  </si>
  <si>
    <t>Ручной топор</t>
  </si>
  <si>
    <t>Лёгкий молот</t>
  </si>
  <si>
    <t>Кинжал</t>
  </si>
  <si>
    <t>Копье</t>
  </si>
  <si>
    <t>Цеп</t>
  </si>
  <si>
    <t>Булава</t>
  </si>
  <si>
    <t>Короткий лук</t>
  </si>
  <si>
    <t>Арбалет, легкий</t>
  </si>
  <si>
    <t>Сеть</t>
  </si>
  <si>
    <t>Молот всадника</t>
  </si>
  <si>
    <t>Длинный меч</t>
  </si>
  <si>
    <t>Секира</t>
  </si>
  <si>
    <t>Боевой молот</t>
  </si>
  <si>
    <t>Серп</t>
  </si>
  <si>
    <t>Боевой посох</t>
  </si>
  <si>
    <t>Цепной серп</t>
  </si>
  <si>
    <t>Дубинка</t>
  </si>
  <si>
    <t>Длинный лук</t>
  </si>
  <si>
    <t>Арбалет, ручной</t>
  </si>
  <si>
    <t>Коса</t>
  </si>
  <si>
    <t>Кавалерийская пика</t>
  </si>
  <si>
    <t>Короткий меч</t>
  </si>
  <si>
    <t>Двухсторонний топор</t>
  </si>
  <si>
    <t>Молот</t>
  </si>
  <si>
    <t>Праща</t>
  </si>
  <si>
    <t>Алебарда</t>
  </si>
  <si>
    <t>Кинжал на цепи</t>
  </si>
  <si>
    <t>Палица</t>
  </si>
  <si>
    <t>Лук всадника</t>
  </si>
  <si>
    <t>Арбалет, тяжелый</t>
  </si>
  <si>
    <t>Кастет</t>
  </si>
  <si>
    <t>Рапира</t>
  </si>
  <si>
    <t>Костяной топор</t>
  </si>
  <si>
    <t>Дротик</t>
  </si>
  <si>
    <t>Глефа</t>
  </si>
  <si>
    <t>Длинная булава</t>
  </si>
  <si>
    <t>Боевая кирка</t>
  </si>
  <si>
    <t>Композитный лук</t>
  </si>
  <si>
    <t>Многозарядный арбалет</t>
  </si>
  <si>
    <t>Цепь</t>
  </si>
  <si>
    <t>Кнут</t>
  </si>
  <si>
    <t>Скимитар</t>
  </si>
  <si>
    <t>Боевой топор</t>
  </si>
  <si>
    <t>Двухсторонний молот</t>
  </si>
  <si>
    <t>Моргенштерн</t>
  </si>
  <si>
    <t>Боевая коса</t>
  </si>
  <si>
    <t>Шамшир</t>
  </si>
  <si>
    <t>Духовая трубка</t>
  </si>
  <si>
    <t>Пика</t>
  </si>
  <si>
    <t>Металлическая перчатка</t>
  </si>
  <si>
    <t>Сабля</t>
  </si>
  <si>
    <t>Трезубец</t>
  </si>
  <si>
    <t>Катана</t>
  </si>
  <si>
    <t>Эсток</t>
  </si>
  <si>
    <t>Меч палача</t>
  </si>
  <si>
    <t>Тяжёлое</t>
  </si>
  <si>
    <t>Лёгкое</t>
  </si>
  <si>
    <t>Размах</t>
  </si>
  <si>
    <t>Обратный замах</t>
  </si>
  <si>
    <t>Круговая атака</t>
  </si>
  <si>
    <t>Силовое</t>
  </si>
  <si>
    <t>Досягаемость</t>
  </si>
  <si>
    <t>Универсальное</t>
  </si>
  <si>
    <t>Фехтовальное</t>
  </si>
  <si>
    <t>Силовой удар</t>
  </si>
  <si>
    <t>РКУ/МКУ</t>
  </si>
  <si>
    <t>Дальнобойное</t>
  </si>
  <si>
    <t>Смертельное</t>
  </si>
  <si>
    <t>Оружейные группы для огнестрела</t>
  </si>
  <si>
    <t>Пистолетные</t>
  </si>
  <si>
    <t>Винтовочное</t>
  </si>
  <si>
    <t>Дробовики</t>
  </si>
  <si>
    <t>Специальное</t>
  </si>
  <si>
    <t>Кремниевый пистолет</t>
  </si>
  <si>
    <t>Мушкет</t>
  </si>
  <si>
    <t>Драгун</t>
  </si>
  <si>
    <t>Ручница</t>
  </si>
  <si>
    <t>Дерринджер</t>
  </si>
  <si>
    <t>Аркебуза</t>
  </si>
  <si>
    <t>Мушкетон</t>
  </si>
  <si>
    <t>Огнемёт</t>
  </si>
  <si>
    <t>Многоствольный кремниевый пистолет</t>
  </si>
  <si>
    <t>Колесцовый пистолет</t>
  </si>
  <si>
    <t>Обрез</t>
  </si>
  <si>
    <t>Переносная пушка</t>
  </si>
  <si>
    <t>Пистолет</t>
  </si>
  <si>
    <t>Винтовка</t>
  </si>
  <si>
    <t>Дробовик</t>
  </si>
  <si>
    <t>Тесла винтовка</t>
  </si>
  <si>
    <t>Тяжелый пистолет</t>
  </si>
  <si>
    <t>Карабин</t>
  </si>
  <si>
    <t>Двухствольный дробовик</t>
  </si>
  <si>
    <t>Гаусс винтовка</t>
  </si>
  <si>
    <t>Автоматический пистолет</t>
  </si>
  <si>
    <t>Тяжелая винтовка</t>
  </si>
  <si>
    <t>Огнестрельный клинок</t>
  </si>
  <si>
    <t>Револьвер</t>
  </si>
  <si>
    <t>Автоматическая винтовка</t>
  </si>
  <si>
    <t>Стрелковое копье</t>
  </si>
  <si>
    <t>Полуавтоматическая винтовка</t>
  </si>
  <si>
    <t>Гармата</t>
  </si>
  <si>
    <t>Миниакула</t>
  </si>
  <si>
    <t>Самодельное РПУ</t>
  </si>
  <si>
    <t>Ручной гранатомёт</t>
  </si>
  <si>
    <t>Прорубание сквозь врагов</t>
  </si>
  <si>
    <t>Атака второго после первого</t>
  </si>
  <si>
    <t>Обезоруживание и атака по натуральному оружию</t>
  </si>
  <si>
    <t>Атака оглушающая</t>
  </si>
  <si>
    <t>Прошивающий удар</t>
  </si>
  <si>
    <t>Уменьшение следующего урона противника</t>
  </si>
  <si>
    <t>Контратака</t>
  </si>
  <si>
    <t>Ослепляющий удар</t>
  </si>
  <si>
    <t>Удар по ногам</t>
  </si>
  <si>
    <t xml:space="preserve">Удар что уменьшит КД противника </t>
  </si>
  <si>
    <t>Разрезание на уменьшение скорости</t>
  </si>
  <si>
    <t>Название</t>
  </si>
  <si>
    <t>Урон</t>
  </si>
  <si>
    <t>Тип урона</t>
  </si>
  <si>
    <t>Цена</t>
  </si>
  <si>
    <t>Ранг</t>
  </si>
  <si>
    <t>Вес</t>
  </si>
  <si>
    <t>Оружейная группа</t>
  </si>
  <si>
    <t>Свойства</t>
  </si>
  <si>
    <t>Количество рук</t>
  </si>
  <si>
    <t>Смена хвата</t>
  </si>
  <si>
    <t>Тип по весу</t>
  </si>
  <si>
    <t>Наскок</t>
  </si>
  <si>
    <t>Расширенный критический удар</t>
  </si>
  <si>
    <t>Множитель критического удара</t>
  </si>
  <si>
    <t>Мешающее</t>
  </si>
  <si>
    <t>Метательное</t>
  </si>
  <si>
    <t>Боеприпас</t>
  </si>
  <si>
    <t>Дистанция. (Дис.)</t>
  </si>
  <si>
    <t>Минимальная сила</t>
  </si>
  <si>
    <t>Дополнительные свойства</t>
  </si>
  <si>
    <t>Простое рукопашное оружие</t>
  </si>
  <si>
    <t>1d6</t>
  </si>
  <si>
    <t>Дробящий</t>
  </si>
  <si>
    <t>2 см</t>
  </si>
  <si>
    <t>4 фнт</t>
  </si>
  <si>
    <t>Универсальное (1d8)</t>
  </si>
  <si>
    <t>Наскок 1к2</t>
  </si>
  <si>
    <t>5 зм</t>
  </si>
  <si>
    <t>Одноручное</t>
  </si>
  <si>
    <t>МКУ 1</t>
  </si>
  <si>
    <t>1d4</t>
  </si>
  <si>
    <t>1 см</t>
  </si>
  <si>
    <t>2 фнт</t>
  </si>
  <si>
    <t xml:space="preserve">1d4 </t>
  </si>
  <si>
    <t>Колющий</t>
  </si>
  <si>
    <t>2 зм</t>
  </si>
  <si>
    <t>1 фнт</t>
  </si>
  <si>
    <t>МКУ 2</t>
  </si>
  <si>
    <t>Дис. 20/60</t>
  </si>
  <si>
    <t>1 зм</t>
  </si>
  <si>
    <t>3 фнт</t>
  </si>
  <si>
    <t>Дис 20/60</t>
  </si>
  <si>
    <t>Наскок 2к2</t>
  </si>
  <si>
    <t>1d8</t>
  </si>
  <si>
    <t>10 фнт</t>
  </si>
  <si>
    <t>Двуручное</t>
  </si>
  <si>
    <t>Смена хвата - См доп. свойства</t>
  </si>
  <si>
    <t>Смена хвата: (1d6 Колющий, лишается толкающее), Толкающее</t>
  </si>
  <si>
    <t>Рубящий</t>
  </si>
  <si>
    <t>3 см</t>
  </si>
  <si>
    <t>Досягаемость 5</t>
  </si>
  <si>
    <t>Смена хвата: (1d6 Рубящий, лишается Досягаемость 5)</t>
  </si>
  <si>
    <t>1d2</t>
  </si>
  <si>
    <t>0,1 фнт</t>
  </si>
  <si>
    <t>Нельзя обезоружить. Скрытное ношение</t>
  </si>
  <si>
    <t>РКУ 1</t>
  </si>
  <si>
    <t>Простое дальнобойное оружие</t>
  </si>
  <si>
    <t>25 зм</t>
  </si>
  <si>
    <t>5 фнт</t>
  </si>
  <si>
    <t>дис. 80/320</t>
  </si>
  <si>
    <t>Перезарядка, прицеливание</t>
  </si>
  <si>
    <t>5 мм</t>
  </si>
  <si>
    <t>1/4 фнт</t>
  </si>
  <si>
    <t>дис. 20/60</t>
  </si>
  <si>
    <t>Незнач.</t>
  </si>
  <si>
    <t>дис. 30/120</t>
  </si>
  <si>
    <t>Воинское рукопашное оружие</t>
  </si>
  <si>
    <t>1d10</t>
  </si>
  <si>
    <t>20 зм</t>
  </si>
  <si>
    <t>6 фнт</t>
  </si>
  <si>
    <t>Смена хвата (1d8 колющий, Толкающее, Наскок 1к2)</t>
  </si>
  <si>
    <t>Универсальное (1d10)</t>
  </si>
  <si>
    <t>Смена хвата (Рубящий 1d8, лишается Досягаемость 5, Круговая атака)</t>
  </si>
  <si>
    <t>2d6</t>
  </si>
  <si>
    <t>50 зм</t>
  </si>
  <si>
    <t>1d12</t>
  </si>
  <si>
    <t>10 зм</t>
  </si>
  <si>
    <t>Наскок 3к2</t>
  </si>
  <si>
    <t>Особое: (Вы совершаете с помехой атаки длинным копьём по существам, находящимся в пределах 5 футов от вас. Кроме того, если вы не находитесь верхом, длинное копьё используется двумя руками), Толкающее, Верховой бой</t>
  </si>
  <si>
    <t>15 зм</t>
  </si>
  <si>
    <t>Смена хвата ( 1d6 колющий, универсальное 1d8)</t>
  </si>
  <si>
    <t>Досягаемость 10</t>
  </si>
  <si>
    <t>Смена хвата (Мешающее, досягаемость 5), опрокидывающие</t>
  </si>
  <si>
    <t>Смена хвата (1d6 рубящий, Лишается МКУ)</t>
  </si>
  <si>
    <t xml:space="preserve">2d6 </t>
  </si>
  <si>
    <t xml:space="preserve">Силовой удар, Толкающее                  </t>
  </si>
  <si>
    <t>18 фнт</t>
  </si>
  <si>
    <t>Смена хвата (1d8 Колющий, наскок 3)</t>
  </si>
  <si>
    <t>60 зм</t>
  </si>
  <si>
    <t>Смена хвата (1d4 колющий урон, РКУ 1), Толкающее</t>
  </si>
  <si>
    <t>30 зм</t>
  </si>
  <si>
    <t>7 фнт</t>
  </si>
  <si>
    <t>12 зм</t>
  </si>
  <si>
    <t>Особое: (Цепи нужно свободное пространство. Если в пределах вашей досягаемости находится больше одного существа, то вы получаете штраф к броскам атаки цепью -2)</t>
  </si>
  <si>
    <t>2d8kh1</t>
  </si>
  <si>
    <t>2.5 фнт</t>
  </si>
  <si>
    <t>Универсальное (2d4)</t>
  </si>
  <si>
    <t>Толкающее</t>
  </si>
  <si>
    <t>Смена хвата (1d10 Рубящий, лишается Досягаемость 5)</t>
  </si>
  <si>
    <t>Двусторонний топор</t>
  </si>
  <si>
    <t>100 зм</t>
  </si>
  <si>
    <t>21 фнт</t>
  </si>
  <si>
    <t>Двусторонний молот</t>
  </si>
  <si>
    <t>110 зм</t>
  </si>
  <si>
    <t>23 фнт</t>
  </si>
  <si>
    <t>2d6kh1</t>
  </si>
  <si>
    <t>Дис 30</t>
  </si>
  <si>
    <t>Особое: (После атаки таким кинжалом, вам нужно Бонусным действием либо одной из доступных атак притянуть кинжал к себе)</t>
  </si>
  <si>
    <t>70 зм</t>
  </si>
  <si>
    <t>1к3</t>
  </si>
  <si>
    <t>Нельзя обезоружить</t>
  </si>
  <si>
    <t>1к6</t>
  </si>
  <si>
    <t>Насок 2к2</t>
  </si>
  <si>
    <t>1к8</t>
  </si>
  <si>
    <t>Воинское дальнобойное оружие</t>
  </si>
  <si>
    <t>75 зм</t>
  </si>
  <si>
    <t>Дис 30/120</t>
  </si>
  <si>
    <t>Дис 100/400</t>
  </si>
  <si>
    <t>Дис 120/480</t>
  </si>
  <si>
    <t>Стрельба навесом</t>
  </si>
  <si>
    <t>РКУ 2</t>
  </si>
  <si>
    <t>Дис 25/100</t>
  </si>
  <si>
    <t>Дис 5/20</t>
  </si>
  <si>
    <t>Особое. Существа Большого и меньше размеров, по которым попала атака сетью, становятся опутанными, пока не высвободятся. Сеть не оказывает эффекта на бесформенных существ и тех, чей размер Огромный или ещё больше. Существо может действием совершить проверку Силы Сл 10, чтобы высвободиться самому или освободить другое существо, находящееся в пределах его досягаемости. Причинение сети 5 единиц рубящего урона (КД 10) тоже освобождает существо, не причиняя ему вреда, оканчивая эффект и уничтожая сеть.</t>
  </si>
  <si>
    <t>Дис 80/320</t>
  </si>
  <si>
    <t>Верховой бой, Стрельба навесом</t>
  </si>
  <si>
    <t>300 зм</t>
  </si>
  <si>
    <t>Дис 200/800</t>
  </si>
  <si>
    <t>250 зм</t>
  </si>
  <si>
    <t>25 фнт</t>
  </si>
  <si>
    <t>Особое (Этот арбалет использует правила огнестрела со Сменой магазина и имеет 12 болтов)</t>
  </si>
  <si>
    <t>Год изобретения (распространения)</t>
  </si>
  <si>
    <t>Цена (ЗМ)</t>
  </si>
  <si>
    <t>Дальность</t>
  </si>
  <si>
    <t>Руки</t>
  </si>
  <si>
    <t>Осечка</t>
  </si>
  <si>
    <t>Свойство боеприпасов</t>
  </si>
  <si>
    <t>Тип стрельбы</t>
  </si>
  <si>
    <t>Перезарядка</t>
  </si>
  <si>
    <t>Различие конструкции</t>
  </si>
  <si>
    <t>Внезапность</t>
  </si>
  <si>
    <t>Примитивное</t>
  </si>
  <si>
    <t>Короткоствольное</t>
  </si>
  <si>
    <t>Кремневый пистолет</t>
  </si>
  <si>
    <t>Пистолетное</t>
  </si>
  <si>
    <t>30/90</t>
  </si>
  <si>
    <t>Мушкетные</t>
  </si>
  <si>
    <t>Одиночные</t>
  </si>
  <si>
    <t>Перезарядка 1</t>
  </si>
  <si>
    <t>20/60</t>
  </si>
  <si>
    <t>Перезарядка 2</t>
  </si>
  <si>
    <t>15/45</t>
  </si>
  <si>
    <t>Картечный</t>
  </si>
  <si>
    <t>Разброс (1d4)</t>
  </si>
  <si>
    <t>Многоствольный кремневый пистолет</t>
  </si>
  <si>
    <t>800 зм</t>
  </si>
  <si>
    <t>40/120</t>
  </si>
  <si>
    <t>Перезарядка 6</t>
  </si>
  <si>
    <t>Длинноствольное</t>
  </si>
  <si>
    <t>2d8</t>
  </si>
  <si>
    <t>500 зм</t>
  </si>
  <si>
    <t>90/210</t>
  </si>
  <si>
    <t>Громоздкое</t>
  </si>
  <si>
    <t>Лежачий огонь</t>
  </si>
  <si>
    <t>6d4</t>
  </si>
  <si>
    <t>200 зм</t>
  </si>
  <si>
    <t>13 фнт</t>
  </si>
  <si>
    <t>Тяжелое</t>
  </si>
  <si>
    <t>600 зм</t>
  </si>
  <si>
    <t>Картечные</t>
  </si>
  <si>
    <t>Разброс (1d6)</t>
  </si>
  <si>
    <t>Долгая перезарядка 1</t>
  </si>
  <si>
    <t>400 зм</t>
  </si>
  <si>
    <t>Стандартное</t>
  </si>
  <si>
    <t>1000 зм</t>
  </si>
  <si>
    <t>40/160</t>
  </si>
  <si>
    <t>Смена магазина 6</t>
  </si>
  <si>
    <t>1150 зм</t>
  </si>
  <si>
    <t>30/120</t>
  </si>
  <si>
    <t>Смена магазина 8</t>
  </si>
  <si>
    <t>1200 зм</t>
  </si>
  <si>
    <t>15/60</t>
  </si>
  <si>
    <t>Безмагазиное 4</t>
  </si>
  <si>
    <t>3d4</t>
  </si>
  <si>
    <t>2100 зм</t>
  </si>
  <si>
    <t>Автоматический (6d4)</t>
  </si>
  <si>
    <t>Смена магазина 18</t>
  </si>
  <si>
    <t>1700 зм</t>
  </si>
  <si>
    <t>50/200</t>
  </si>
  <si>
    <t>20/80</t>
  </si>
  <si>
    <t>Ракетные</t>
  </si>
  <si>
    <t>Безмагазиное 1</t>
  </si>
  <si>
    <t>Ручница использует ракетные боеприпасы, урон и цена которых зависит от типа боеприпаса</t>
  </si>
  <si>
    <t>1500 зм</t>
  </si>
  <si>
    <t>100/400</t>
  </si>
  <si>
    <t>Винтовочный</t>
  </si>
  <si>
    <t>Затворное, Лежачий огонь</t>
  </si>
  <si>
    <t>1350 зм</t>
  </si>
  <si>
    <t>2000 зм</t>
  </si>
  <si>
    <t>Безмагазиное 6</t>
  </si>
  <si>
    <t>3d8</t>
  </si>
  <si>
    <t>2900 зм</t>
  </si>
  <si>
    <t>200/800</t>
  </si>
  <si>
    <t>Долгая смена магазина 4</t>
  </si>
  <si>
    <t>Тяжелое, Лежачий огонь</t>
  </si>
  <si>
    <t>3500 зм</t>
  </si>
  <si>
    <t>8 фнт</t>
  </si>
  <si>
    <t>120/480</t>
  </si>
  <si>
    <t>Автоматический (4d8)</t>
  </si>
  <si>
    <t>Смена магазина 24</t>
  </si>
  <si>
    <t>80/320</t>
  </si>
  <si>
    <t>Полуавтоматический (2d12)</t>
  </si>
  <si>
    <t>3d6</t>
  </si>
  <si>
    <t>Огнём</t>
  </si>
  <si>
    <t>2500 зм</t>
  </si>
  <si>
    <t>45 фнт</t>
  </si>
  <si>
    <t>Топливный бак</t>
  </si>
  <si>
    <t>Особый</t>
  </si>
  <si>
    <t>Долгая смена магазина 6</t>
  </si>
  <si>
    <t>Перегрев (6), Особое</t>
  </si>
  <si>
    <t>2400 зм</t>
  </si>
  <si>
    <t>11 фнт</t>
  </si>
  <si>
    <t>Разброс (1d8)</t>
  </si>
  <si>
    <t>Безмагазиное 2</t>
  </si>
  <si>
    <t>2d12</t>
  </si>
  <si>
    <t>6500 зм</t>
  </si>
  <si>
    <t>30 фнт</t>
  </si>
  <si>
    <t>Ядра</t>
  </si>
  <si>
    <t>Длительная перезарядка</t>
  </si>
  <si>
    <t>Электричеством</t>
  </si>
  <si>
    <t>Батарея</t>
  </si>
  <si>
    <t>Долгая смена магазина 10</t>
  </si>
  <si>
    <t>3d12</t>
  </si>
  <si>
    <t>8000 зм</t>
  </si>
  <si>
    <t>300/1200</t>
  </si>
  <si>
    <t>Стальной болт + батарея</t>
  </si>
  <si>
    <t>Затворное</t>
  </si>
  <si>
    <t>5500 зм</t>
  </si>
  <si>
    <t>20 фнт</t>
  </si>
  <si>
    <t>60/240</t>
  </si>
  <si>
    <t>Одиночные/особый</t>
  </si>
  <si>
    <t>Безмагазиное 7</t>
  </si>
  <si>
    <t>10000 зм</t>
  </si>
  <si>
    <t>35 фнт</t>
  </si>
  <si>
    <t>Долгая смена магазина 90</t>
  </si>
  <si>
    <t>Пулемёт</t>
  </si>
  <si>
    <t>2d10</t>
  </si>
  <si>
    <t>50 фнт</t>
  </si>
  <si>
    <t>Ракетный</t>
  </si>
  <si>
    <t>Взрывное</t>
  </si>
  <si>
    <t>Одиночный</t>
  </si>
  <si>
    <t>14 фнт</t>
  </si>
  <si>
    <t>Уравнитель</t>
  </si>
  <si>
    <t>6d6</t>
  </si>
  <si>
    <t>20/20</t>
  </si>
  <si>
    <t>Безмагазинное 2</t>
  </si>
  <si>
    <t>Особое (вместо совершения атаки выстреливает дробью в виде линии шириной 5 футов в пределах дистанции. Сл спасброска расчитывается как для автоматического огня)</t>
  </si>
  <si>
    <t>Продвинутое</t>
  </si>
  <si>
    <t>Антиматериальный револьвер</t>
  </si>
  <si>
    <t>5d6</t>
  </si>
  <si>
    <t>Чистая сила</t>
  </si>
  <si>
    <t>80000 зм</t>
  </si>
  <si>
    <t>Заряды антиматерии</t>
  </si>
  <si>
    <t>Смена магазина 4</t>
  </si>
  <si>
    <t>4d6</t>
  </si>
  <si>
    <t>Антиматериальная винтовка</t>
  </si>
  <si>
    <t>6d12</t>
  </si>
  <si>
    <t>200000 зм</t>
  </si>
  <si>
    <t>70 фнт</t>
  </si>
  <si>
    <t>400/1600</t>
  </si>
  <si>
    <t>Долгая смена магазина 5</t>
  </si>
  <si>
    <t>МКУ 3</t>
  </si>
  <si>
    <t>Лазерная винтовка</t>
  </si>
  <si>
    <t>120000 зм</t>
  </si>
  <si>
    <t>40 фнт</t>
  </si>
  <si>
    <t>Тепловая батарея</t>
  </si>
  <si>
    <t>Долгая смена магазина 20</t>
  </si>
  <si>
    <t>Особое(Каждый следующий выстрел по одному и тому же существу в течение минуты наносит на 1к4 урона больше)</t>
  </si>
  <si>
    <t>Гаусс пулемёт</t>
  </si>
  <si>
    <t>300000 зм</t>
  </si>
  <si>
    <t>160 фнт</t>
  </si>
  <si>
    <t>200/1000</t>
  </si>
  <si>
    <t>Распространенные виды боеприпасов</t>
  </si>
  <si>
    <t>Особые боеприпасы</t>
  </si>
  <si>
    <t xml:space="preserve">Цена </t>
  </si>
  <si>
    <t xml:space="preserve">Используется </t>
  </si>
  <si>
    <t>Заменяет</t>
  </si>
  <si>
    <t>Осечка при крафте</t>
  </si>
  <si>
    <r>
      <rPr>
        <rFont val="Open Sans"/>
        <color theme="1"/>
      </rPr>
      <t xml:space="preserve">Мушкетный патрон (20) </t>
    </r>
    <r>
      <rPr>
        <rFont val="Open Sans"/>
        <b/>
        <color theme="1"/>
      </rPr>
      <t>Колющий урон</t>
    </r>
  </si>
  <si>
    <t>20 ЗМ</t>
  </si>
  <si>
    <t>Мушкеты, кремнивые пистолеты, многоствольные кремнивые пистолеты, аркебузы, колесцовые оружия</t>
  </si>
  <si>
    <t>Бронебойный (10)</t>
  </si>
  <si>
    <t>500 ЗМ</t>
  </si>
  <si>
    <t>Мушкетный и Винтовочные</t>
  </si>
  <si>
    <t xml:space="preserve"> 1 фнт</t>
  </si>
  <si>
    <t>Игнорируют 2 БУ и БС у доспеха цели</t>
  </si>
  <si>
    <r>
      <rPr>
        <rFont val="Open Sans"/>
        <color theme="1"/>
      </rPr>
      <t xml:space="preserve">Винтовочный патрон (10) </t>
    </r>
    <r>
      <rPr>
        <rFont val="Open Sans"/>
        <b/>
        <color theme="1"/>
      </rPr>
      <t>Колющий урон</t>
    </r>
  </si>
  <si>
    <t>60 ЗМ</t>
  </si>
  <si>
    <t>Винтовки, карабины</t>
  </si>
  <si>
    <t>Оболоченная (10)</t>
  </si>
  <si>
    <t>200 ЗМ</t>
  </si>
  <si>
    <t xml:space="preserve">При стрельбе такой вы игнориуете половину укрытия </t>
  </si>
  <si>
    <r>
      <rPr>
        <rFont val="Open Sans"/>
        <color theme="1"/>
      </rPr>
      <t xml:space="preserve">Картечный патрон (20) </t>
    </r>
    <r>
      <rPr>
        <rFont val="Open Sans"/>
        <b/>
        <color theme="1"/>
      </rPr>
      <t>дробящий урон</t>
    </r>
  </si>
  <si>
    <t>Дробовики, мушкетроны</t>
  </si>
  <si>
    <t>Экспансивный (5)</t>
  </si>
  <si>
    <t>1000 ЗМ</t>
  </si>
  <si>
    <t>При попадании вызывает кровотечение, которое можно вылечить лишь перевязав его действием. Существо в начале своего хода получает 1к4 чистого рубящего урона. Кроме этого если атака с использованием такой пули совершает критическое попадание, то цель до конца своего следующего хода может совершить только одну атаку независимо от положеного числа и её скорость уменьшается до 5 футов. Нежить и элементали обладают иммунитетом к данным боеприпасам.</t>
  </si>
  <si>
    <r>
      <rPr>
        <rFont val="Open Sans"/>
        <color theme="1"/>
      </rPr>
      <t xml:space="preserve">Пулевой патрон* (10) </t>
    </r>
    <r>
      <rPr>
        <rFont val="Open Sans"/>
        <b/>
        <color theme="1"/>
      </rPr>
      <t>Колющий урон</t>
    </r>
  </si>
  <si>
    <t>50 ЗМ</t>
  </si>
  <si>
    <t>Нелетальные (20)</t>
  </si>
  <si>
    <t>80 ЗМ</t>
  </si>
  <si>
    <t>При выстреле таким патроном цель не умирает, а падает без сознания от болевого шока, если атака уменьшает хиты цели до 0.</t>
  </si>
  <si>
    <r>
      <rPr>
        <rFont val="Open Sans"/>
        <color theme="1"/>
      </rPr>
      <t xml:space="preserve">Топливный бак (1)                    </t>
    </r>
    <r>
      <rPr>
        <rFont val="Open Sans"/>
        <b/>
        <color theme="1"/>
      </rPr>
      <t>урон огнём</t>
    </r>
  </si>
  <si>
    <t>12 ЗМ</t>
  </si>
  <si>
    <t>Огнемёты</t>
  </si>
  <si>
    <t>Серебрянные (20)</t>
  </si>
  <si>
    <t>Все</t>
  </si>
  <si>
    <t>Иммитирует серебрянное оружие</t>
  </si>
  <si>
    <r>
      <rPr>
        <rFont val="Open Sans"/>
        <color theme="1"/>
      </rPr>
      <t xml:space="preserve">Ракетный выстрел (3)                      </t>
    </r>
    <r>
      <rPr>
        <rFont val="Open Sans"/>
        <b/>
        <color theme="1"/>
      </rPr>
      <t>урон огнём</t>
    </r>
  </si>
  <si>
    <t>75 ЗМ</t>
  </si>
  <si>
    <t>Гранатомёты и ракетные пусковые установки</t>
  </si>
  <si>
    <t>9 фнт</t>
  </si>
  <si>
    <r>
      <rPr>
        <rFont val="Open Sans"/>
        <color theme="1"/>
      </rPr>
      <t xml:space="preserve">Пистолетный патрон (20)               </t>
    </r>
    <r>
      <rPr>
        <rFont val="Open Sans"/>
        <b/>
        <color theme="1"/>
      </rPr>
      <t>Колющий урон</t>
    </r>
  </si>
  <si>
    <t>40 ЗМ</t>
  </si>
  <si>
    <t>пистолеты</t>
  </si>
  <si>
    <t>Батарея (4)</t>
  </si>
  <si>
    <t>Гаусс винтовка. Одной батареи достаточно для совершения 4-х выстрелов</t>
  </si>
  <si>
    <t>Стальной болт (1)</t>
  </si>
  <si>
    <t>Гаусс винтовка, Гаусс пулемёт</t>
  </si>
  <si>
    <t>Заряд антиматерии(20)</t>
  </si>
  <si>
    <t>400 000 зм</t>
  </si>
  <si>
    <t>Антиматериальное оружие(Из сферы аннигиляции)</t>
  </si>
  <si>
    <t>15 фнт</t>
  </si>
  <si>
    <t>Тепловая батарея(20)</t>
  </si>
  <si>
    <t>15 000 зм</t>
  </si>
  <si>
    <t>Лазерное оружие(Из посоха огня)</t>
  </si>
  <si>
    <t>*Пулевой патрон также лишает оружия свойство разброс и удваивет дальность стрельбы.</t>
  </si>
  <si>
    <t>Боеприпасы для ручного гранатомёта и ручницы</t>
  </si>
  <si>
    <t>Эффект</t>
  </si>
  <si>
    <t>Для ручницы все кости урона на одну категорию меньше</t>
  </si>
  <si>
    <t>Стандартный (10)</t>
  </si>
  <si>
    <t>2d6 колющий, 1d6 разброс</t>
  </si>
  <si>
    <t>Ударный (10)</t>
  </si>
  <si>
    <t>1d6 колющий, 1d6 огонь, цель отбрасывается на 10 футов от вас по прямой линии.</t>
  </si>
  <si>
    <t>Сбивающий (5)</t>
  </si>
  <si>
    <t>1d6 колющий, 1d6 огонь, цель размером не более большого сбиваеться с ног</t>
  </si>
  <si>
    <t>6.5 фнт</t>
  </si>
  <si>
    <t>Дымчатый (5)</t>
  </si>
  <si>
    <t>1d6 огонь, 1d6 колющий, при попадании, выберите клетку в пространстве сущетсва в которой раскрываться туманное облако с ребром 10 фт. Облако - сильно заслоненная местность. Оно существует 1 минуту, или пока его не рассеет ветер (со скоростью как минимум 10 миль в час).</t>
  </si>
  <si>
    <t>Дымовой (3)</t>
  </si>
  <si>
    <t>не наносит урона, при попадании, выберите клетку в пространстве сущетсва в которой раскрываться туманное облако с ребром 30 фт. Облако - сильно заслоненная местность. Оно существует 1 минуту, или пока его не рассеет ветер (со скоростью как минимум 10 миль в час).</t>
  </si>
  <si>
    <t>3.9 фнт</t>
  </si>
  <si>
    <t>Поджигающий (10)</t>
  </si>
  <si>
    <t>2d6 огонь, разброс (затихающий огонь 6, 2)</t>
  </si>
  <si>
    <t>Пулевая граната (10)</t>
  </si>
  <si>
    <t>2d8 дробящий</t>
  </si>
  <si>
    <t>Освещяющий (10)</t>
  </si>
  <si>
    <t>Нет урона, в месте атаки падает боеприпас, что создаёт область яркого света 20 фт и столько же тусклого</t>
  </si>
  <si>
    <t>Взрывной (10)</t>
  </si>
  <si>
    <t>350 зм</t>
  </si>
  <si>
    <t>3d6 огонь, взрывной</t>
  </si>
  <si>
    <t>Места установки обвесов</t>
  </si>
  <si>
    <t>Короткоствол</t>
  </si>
  <si>
    <t>Длиноствол</t>
  </si>
  <si>
    <t>Места</t>
  </si>
  <si>
    <t>Бонус +1 лазерка</t>
  </si>
  <si>
    <t>Сошки +2 / Тактическая рукоятка +1</t>
  </si>
  <si>
    <t>Верх, Низ, Ствол</t>
  </si>
  <si>
    <t>Пистолетная рукоять +1</t>
  </si>
  <si>
    <t>Лазерка +1</t>
  </si>
  <si>
    <t>Верх, Низ (2), Сторона (2), Ствол</t>
  </si>
  <si>
    <t>Улучшенная пистолетная рукоять +1</t>
  </si>
  <si>
    <t>Приклад +1</t>
  </si>
  <si>
    <t>Оружейные обвесы</t>
  </si>
  <si>
    <t>Цена (зм)</t>
  </si>
  <si>
    <t>Место</t>
  </si>
  <si>
    <t>Коллиматорный прицел</t>
  </si>
  <si>
    <t>Верх</t>
  </si>
  <si>
    <t>В свой ход вы можете прицелиться. Вы можете прицелиться только если передвинулись не более, чем на 10 фт. После прицеливания ваша скорость становиться равна 0. До конца текущего хода вы получаете возможность игнорировать укрытия на половину для атак из этого оружия</t>
  </si>
  <si>
    <t>Оптический прицел</t>
  </si>
  <si>
    <t>700 зм</t>
  </si>
  <si>
    <t>В свой ход, если вы не использовали перемещение, вы можете прицелиться. До конца текущего хода, ваши атаки из этого оружия игноирируют укрытие на половину и дальность ваших атак становиться в два раза больше</t>
  </si>
  <si>
    <t>Лазерный целеуказатель</t>
  </si>
  <si>
    <t>Сторона или низ</t>
  </si>
  <si>
    <t>Вы получаете бонус +1 к атаке если видите цель атаки. Вы не получаете этот бонус если вы атакуете без бонуса мастерства</t>
  </si>
  <si>
    <t>Тактическая рукоятка</t>
  </si>
  <si>
    <t>Низ + ствол</t>
  </si>
  <si>
    <t>Вы получаете бонус +1 на все проверки против разоружения и на броски атак. Может быть установлено только на длинноствольное оружие.</t>
  </si>
  <si>
    <t>Сошки</t>
  </si>
  <si>
    <t>Вы получаете бонус +2 к броскам, если вы атакуете пока Лежите ничком. Кроме этого ваше оружие получает свойство Лежачий огонь. Может быть установленно только на длинноствольное оружие.</t>
  </si>
  <si>
    <t>Штык</t>
  </si>
  <si>
    <t>Добавляет оружие ближнего боя к стволу огнестрельного оружия, вы можете совершать атаки штыком будто это копьё, но без свойства метательное</t>
  </si>
  <si>
    <t>Подствольный гранатомет</t>
  </si>
  <si>
    <t>Вы устанавливаете гранатомёт, который вмещает до 6 Гранат. каждая гранат заряжается Действием. Вы можете стрелять этими гранатами не на указанную в Гранате дистанцию, а на 90 фт. Вам не нужно доставать гранату Взаимодействием с предметом, чтобы вести огонь таким образом</t>
  </si>
  <si>
    <t>Фонарик</t>
  </si>
  <si>
    <t>Сторона, низ</t>
  </si>
  <si>
    <t>Добавляет к огнестрельному оружию фонарик. Бонусным действие вы можете Использовать предмет, чтобы включить или выключить его . Он излучает свет в 60-футовом конусе: 30 футов яркого света и 30 тусклого</t>
  </si>
  <si>
    <t>Глушитель</t>
  </si>
  <si>
    <t>2,5 фнт</t>
  </si>
  <si>
    <t>Ствол</t>
  </si>
  <si>
    <t>Если вы совершаете атаку и вы Скрыты от существа в пределах 30 футов, то оно должно совершить проверку Мудрости (Воссприятие), если может вас слышать. Сложность этой проверки равна 10 + половина вашего броска атаки. Вы раскрываете своё положение только если существо преуспело в этой проверке. Глушитель работает только на атаки, использующие мушкетные, пистолетные и винтовочные патроны</t>
  </si>
  <si>
    <t>Улучшенный глушитель</t>
  </si>
  <si>
    <t>1300 зм</t>
  </si>
  <si>
    <t>Действует аналогично глушителю, но радиус, в котором существа могут услышать ваш выстрел становится равным 10 футов.</t>
  </si>
  <si>
    <t>Разгонщик снарядов</t>
  </si>
  <si>
    <t>6000 зм</t>
  </si>
  <si>
    <t>Разгоняет пули до невообразимой скорости. Атаки из такого оружия игнорируют сопротивление немагическому оружию и считают иммунитет к немагическому оружию сопротивлением, но только для материальных противников. Вы не сможете игнорировать таким оружим иммунитеты призрака или элементаля</t>
  </si>
  <si>
    <t>Уплотнитель снарядов</t>
  </si>
  <si>
    <t>7000 зм</t>
  </si>
  <si>
    <t>Работает также как разгонщик снарядов, но с увеличинной площадью поражения. Этот модуль работает и на нематериальных противников</t>
  </si>
  <si>
    <t>Подводный клапан</t>
  </si>
  <si>
    <t>Сторона</t>
  </si>
  <si>
    <t>Если вы используете этот обвес, то можете использовать огнестрел под водой. Но в таком случае дальность стрельбы становиться в два раза меньше</t>
  </si>
  <si>
    <t>Модернизированные части</t>
  </si>
  <si>
    <t>Применимо к</t>
  </si>
  <si>
    <t>Приклад</t>
  </si>
  <si>
    <t>3000 зм</t>
  </si>
  <si>
    <t>Длиноствольное оружие</t>
  </si>
  <si>
    <t>Вы получаете бонус +1 к атакам. Это преимущество не работает если вы лежите ничком</t>
  </si>
  <si>
    <t>Пистолетная рукоять</t>
  </si>
  <si>
    <t>Короткоствольное оружие</t>
  </si>
  <si>
    <t>Добавляет +1 к всем броскам атаки.</t>
  </si>
  <si>
    <t>Улучшенная пистолетная рукоять</t>
  </si>
  <si>
    <t>Короткоствольному оружие, на котором установленная пистолетная рукоять</t>
  </si>
  <si>
    <t>Добавляет ещё +1 к всем броскам атаки (Всего +2). Когда вы используете эту модификацию, то она не входит в количество итоговых модификация, которое вы можете установить на оружие</t>
  </si>
  <si>
    <t>Утяжелённый ствол</t>
  </si>
  <si>
    <t>4000 зм</t>
  </si>
  <si>
    <t xml:space="preserve"> 2 фнт</t>
  </si>
  <si>
    <t>Увеличивает нормальную дистанцию стрельбы на 20 футов и максимальную дистанцию на 30 футов. Не может быть установлено вместе с облеченным стволом.</t>
  </si>
  <si>
    <t>Облегчённый ствол</t>
  </si>
  <si>
    <t>-1 фнт</t>
  </si>
  <si>
    <t>Увеличивает нормальную дистанцию стрельбы на 10 футов и максимальную дистанцию на 20 футов. Не может быть установлено вместе с утяжеленным стволом.</t>
  </si>
  <si>
    <t>Слабая свердловка</t>
  </si>
  <si>
    <t>Вы добавляете модификатор характеристик к урону разбросом. Не может быть установлено вместе с сильной сверловкой.</t>
  </si>
  <si>
    <t>Сильная свердловка</t>
  </si>
  <si>
    <t>Радиус, в котором наносится урон разбросом, увеличивается до 10 футов. Не может быть установлено вместе с слабой сверловкой.</t>
  </si>
  <si>
    <t>Обрезка ствола</t>
  </si>
  <si>
    <t>-3 фнт</t>
  </si>
  <si>
    <t>Убирает свойство двуручное у дробовика и изменяет его категорию до короткоствольной. Также уменьшает кость урона на 1 категорию. (d12  становится d10, d10 становится d8 и т.д). Также уменьшает нормальную и максимальную дистанцию стрельбы на 10 футов.</t>
  </si>
  <si>
    <t>Нарезка ствола</t>
  </si>
  <si>
    <t>Мушкеты, кремнивые пистолеты, аркебузы, колесцовые оружия</t>
  </si>
  <si>
    <t>Увеличивает нормальную дистанцию стрельбы на 30 футов и максимальную на 10. Также это оружие теперь использует винтовочные
патроны.</t>
  </si>
  <si>
    <t>Облегчённый корпус</t>
  </si>
  <si>
    <t>5000 зм</t>
  </si>
  <si>
    <t>Всё огнестрельное оружие</t>
  </si>
  <si>
    <t>Уменьшает вес оружия вдвое.</t>
  </si>
  <si>
    <t>Расширенная обойма</t>
  </si>
  <si>
    <t>Любому оружие, что имеет "Смену магазина" или "Долгую смену магазина"</t>
  </si>
  <si>
    <t>Вы теперь используете большую обойму. Ваше значение "Смены магазина" или "Долгой смены магазина" увеличивается на 50%, например, если вы используете Автоматический пистолет у которого Смена магазина 18, то теперь она будет 27. Примечени: Автоматический огонь потребляет количество боеприпасов равное значению оригинальногой перезарядки</t>
  </si>
  <si>
    <t>Гиганская обойма</t>
  </si>
  <si>
    <t>Вы теперь используете большую обойму. Ваше значение "Смены магазина" или "Долгой смены магазина" увеличивается на 100%, например, если вы используете Автоматический пистолет у которого Смена магазина 18, то теперь она будет 36. Примечени: Автоматический огонь потребляет количество боеприпасов равное значению оригинальногой перезарядки</t>
  </si>
  <si>
    <t>Вес (фнт)</t>
  </si>
  <si>
    <t>Класс доспеха (КД)</t>
  </si>
  <si>
    <t>Сила</t>
  </si>
  <si>
    <t>Скрытность</t>
  </si>
  <si>
    <t>Лёгкие доспехи</t>
  </si>
  <si>
    <t>Стёганый доспех</t>
  </si>
  <si>
    <t>11 + модификатор ЛОВ</t>
  </si>
  <si>
    <t>Помеха</t>
  </si>
  <si>
    <t>Кожаный доспех</t>
  </si>
  <si>
    <t>Проклёпанный кожаный доспех</t>
  </si>
  <si>
    <t>12 + модификатор ЛОВ</t>
  </si>
  <si>
    <t>Боевая броня шеф-повара</t>
  </si>
  <si>
    <t>Находясь в этом доспехе вы совершаете с преимуществом спасброски Телосложения против эффекта экстремальной жары и можете без проблем поднимать раскалённые предметы.</t>
  </si>
  <si>
    <t>Средний доспех</t>
  </si>
  <si>
    <t>Шкурный доспех</t>
  </si>
  <si>
    <t>12 + модификатор ЛОВ (макс. 2)</t>
  </si>
  <si>
    <t>Кольчужная рубаха</t>
  </si>
  <si>
    <t>13 + модификатор ЛОВ (макс. 2)</t>
  </si>
  <si>
    <t>Чешуйчатый доспех</t>
  </si>
  <si>
    <t>14 + модификатор ЛОВ (макс. 2)</t>
  </si>
  <si>
    <t>Кираса</t>
  </si>
  <si>
    <t>Полулаты</t>
  </si>
  <si>
    <t>15 + модификатор ЛОВ (макс. 2)</t>
  </si>
  <si>
    <t>Импровизированный доспех</t>
  </si>
  <si>
    <t>11 + модификатор ЛОВ (макс 2)</t>
  </si>
  <si>
    <t>Тяжелый доспех</t>
  </si>
  <si>
    <t>Колечный доспех</t>
  </si>
  <si>
    <t>Кольчуга</t>
  </si>
  <si>
    <t>Наборный доспех</t>
  </si>
  <si>
    <t>Латы</t>
  </si>
  <si>
    <t>Панцирь тортла</t>
  </si>
  <si>
    <t>Щиты</t>
  </si>
  <si>
    <t>Щит</t>
  </si>
  <si>
    <t>Баклер</t>
  </si>
  <si>
    <t>Используя такой щит вы можете использовать вторую руку для совершения атак двумя руками, но в таком случае ваша первая атака будет совершена со штрафом -2, а последующие со штрафом -4.</t>
  </si>
  <si>
    <t>Башенный щит</t>
  </si>
  <si>
    <t>В свой ход вы можете бонусным действием либо одной из доступных атак выставить щит в одну сторону (Для игры на сетке это одна сторона клетки. Щит сработает, если линия атаки проходит через сторону клетки и смежные с ней). Против атак из этой стороны вы или любое существо за вами получаете дополнительно +2 кд. Щит продолжает быть выставленным до начала вашего следующего хода или пока вы не  сдвинетесь с места, смотря что произойдёт ранее.
Если вы используете башенный щит двумя руками, то бонус к кд увеличивается до +3.</t>
  </si>
  <si>
    <t>Соверменные легкие доспехи</t>
  </si>
  <si>
    <t>Тяжелый плащ</t>
  </si>
  <si>
    <t>Кожаная куртка</t>
  </si>
  <si>
    <t>Защитная рубашка</t>
  </si>
  <si>
    <t>11 + модификатор ЛОВ (БУ 3)</t>
  </si>
  <si>
    <t>Листовой жилет</t>
  </si>
  <si>
    <t>12 + модификатор ЛОВ (БУ 2)</t>
  </si>
  <si>
    <t>Укрепленный плащ</t>
  </si>
  <si>
    <t>Современные средние доспехи</t>
  </si>
  <si>
    <t>Многослойный бронежилет</t>
  </si>
  <si>
    <t>13 + модификатор ЛОВ (макс. 2) (БУ 3)</t>
  </si>
  <si>
    <t>Лёгкая служебная броня</t>
  </si>
  <si>
    <t>14 + модификатор ЛОВ (макс. 2) (БУ 3)</t>
  </si>
  <si>
    <t>Тактическая броня</t>
  </si>
  <si>
    <t>15 + модификатор ЛОВ (макс. 2) (БУ 4)</t>
  </si>
  <si>
    <t>Современные тяжёлые доспехи</t>
  </si>
  <si>
    <t>Пехотная штурмовая броня</t>
  </si>
  <si>
    <t>16 (БС 5)</t>
  </si>
  <si>
    <t>Тяжелая служебная броня</t>
  </si>
  <si>
    <t>17 (БС 5)</t>
  </si>
  <si>
    <t>Сверхтяжелая штурмовая броня</t>
  </si>
  <si>
    <t>18 (БС 6)</t>
  </si>
  <si>
    <t>Современные щиты</t>
  </si>
  <si>
    <t>Укрепленный щит</t>
  </si>
  <si>
    <t>Баллистический щит</t>
  </si>
  <si>
    <t>Свойства оружия</t>
  </si>
  <si>
    <t>Сл взрывчатки</t>
  </si>
  <si>
    <t>Радиус взрыва</t>
  </si>
  <si>
    <t>Время задержки</t>
  </si>
  <si>
    <t>Механизм срабатывания</t>
  </si>
  <si>
    <t>Обезвреживание</t>
  </si>
  <si>
    <t>Дистанция</t>
  </si>
  <si>
    <t>Малая Осколочная граната</t>
  </si>
  <si>
    <t>1к4+1к4</t>
  </si>
  <si>
    <t>Колющий и Огонь</t>
  </si>
  <si>
    <t>Ручная</t>
  </si>
  <si>
    <t>10 футов</t>
  </si>
  <si>
    <t>Стандарт</t>
  </si>
  <si>
    <t>60 футов</t>
  </si>
  <si>
    <t>Дымовая шашка</t>
  </si>
  <si>
    <t>40 зм</t>
  </si>
  <si>
    <t>30 футов</t>
  </si>
  <si>
    <t>Особое: Взрываясь выпускает облако непроглядного дыма. Область внутри радиуса взрыва становится сильнозаслонённой до конца вашего следующего хода</t>
  </si>
  <si>
    <t>Осколочная гранат</t>
  </si>
  <si>
    <t>2к6+2к6</t>
  </si>
  <si>
    <t>150 зм</t>
  </si>
  <si>
    <t>Светошумовая граната</t>
  </si>
  <si>
    <t>1 раунд</t>
  </si>
  <si>
    <t>Особое: Сущетсво в радиусе взрыва должно совершить спасбросок Телосложения, при провале существо становится становясь Ослеплённым и Оглохшим до конца своего следующего хода, а при успехе лишь оглохшим. Если спасбросок провален на 5 и более, то длительность эффекта увеличиваетя до 1 минуты и существо в конце хода может повторять спасбросок, заканчивая эффект при успехе.</t>
  </si>
  <si>
    <t>Противопехотная мина</t>
  </si>
  <si>
    <t>3к6+3к6</t>
  </si>
  <si>
    <t>1,5 фнт</t>
  </si>
  <si>
    <t>Установочная</t>
  </si>
  <si>
    <t>0 футов</t>
  </si>
  <si>
    <t>Контактный</t>
  </si>
  <si>
    <t>5 футов</t>
  </si>
  <si>
    <t>Особое: Мина срабатывает только после того как существо покидает простанство в которой была установлена мина либо если его атакуют</t>
  </si>
  <si>
    <t>Отталкивающая граната</t>
  </si>
  <si>
    <t>Особое: При взрыве все существа большого и менее размера в области поражения должны преуспеть в спасброске Силы иначе будут отброшены на 10 футов от центра взрыва гранаты</t>
  </si>
  <si>
    <t>Цепная граната</t>
  </si>
  <si>
    <t>3к6</t>
  </si>
  <si>
    <t>Электричество</t>
  </si>
  <si>
    <t>Не наносит урон в радиусе взрыва. Вместо этого молния случайным образом поражает случайную цель после чего эффект повторяется количетсов раз равное БМ атакующего. Существо не может дважды получить урон от этой гранаты за одно применение.</t>
  </si>
  <si>
    <t>Граната «Бумеранг»</t>
  </si>
  <si>
    <t>Особое: Кроме обычного использования эту гранату можно бросить бумерангом. В таком случае она в начале следующего хода возврашается на место откуда её бросили и взрывается там. при таком взрыве граната наносит на 2к6 урона огнём больше.</t>
  </si>
  <si>
    <t>Тактическая осколочная граната</t>
  </si>
  <si>
    <t>90 футов</t>
  </si>
  <si>
    <t>Великая осколочная граната</t>
  </si>
  <si>
    <t>5к6+5к6</t>
  </si>
  <si>
    <t>15 футов</t>
  </si>
  <si>
    <t>120 футов</t>
  </si>
  <si>
    <t>Противотанковоя мина</t>
  </si>
  <si>
    <t>6к6+6к6</t>
  </si>
  <si>
    <t>Дымовая завеса</t>
  </si>
  <si>
    <t>Мгновенная</t>
  </si>
  <si>
    <t>Особое: до конца вашего следующего хода область внутри радиуса взрыва и все квадраты между линией атаки и область броска становяться сильнозаслонённость до конца вашего следующего хода</t>
  </si>
  <si>
    <t>Мина «Адский шепот»</t>
  </si>
  <si>
    <t>7к8</t>
  </si>
  <si>
    <t>Исчадия совершают с помехой спасброски от этой взрывчатки</t>
  </si>
  <si>
    <t>Тип снаряжения</t>
  </si>
  <si>
    <t>Подтип (магазин)</t>
  </si>
  <si>
    <t>Объем</t>
  </si>
  <si>
    <t>Вместимость</t>
  </si>
  <si>
    <t>Описание</t>
  </si>
  <si>
    <t>Преобладающий материал (источник)</t>
  </si>
  <si>
    <t>Связанный инструмент</t>
  </si>
  <si>
    <t>Value</t>
  </si>
  <si>
    <t>Абак</t>
  </si>
  <si>
    <t>Снаряжение</t>
  </si>
  <si>
    <t>Книжная и писчая лавка</t>
  </si>
  <si>
    <t>2 фнт.</t>
  </si>
  <si>
    <t>счётное устройство с костяшками, позволяющее быстро производить арифметические расчёты, вести учёт ресурсов, денег или времени.</t>
  </si>
  <si>
    <t>Дерево</t>
  </si>
  <si>
    <t>Деревянщика</t>
  </si>
  <si>
    <t>Алхимический огонь (фляга)</t>
  </si>
  <si>
    <t>Алхимико-аптекарская лавка</t>
  </si>
  <si>
    <t>1 фнт.</t>
  </si>
  <si>
    <t>легко воспламеняющаяся алхимическая смесь, загорающаяся при контакте с воздухом и прилипающая к поверхностям.</t>
  </si>
  <si>
    <t>Алхимические реагенты</t>
  </si>
  <si>
    <t>Алхимические</t>
  </si>
  <si>
    <t>Блок и лебёдка</t>
  </si>
  <si>
    <t>Скобяная лавка</t>
  </si>
  <si>
    <t>5 фнт.</t>
  </si>
  <si>
    <t>система шкивов и крюков, позволяющая поднимать или перемещать тяжёлые объекты с меньшими физическими усилиями.
Вы можете поднять с помощью блока и лебёдки в четыре раза больше веса, чем обычно</t>
  </si>
  <si>
    <t>Железо</t>
  </si>
  <si>
    <t>Кузнеца</t>
  </si>
  <si>
    <t>Арбалетные болты (20)</t>
  </si>
  <si>
    <t>Оружейная лавка</t>
  </si>
  <si>
    <t>1,5 фнт.</t>
  </si>
  <si>
    <t>комплект стандартных болтов, совместимых с ручными и тяжёлыми арбалетами.</t>
  </si>
  <si>
    <t>Иглы для трубки (50)</t>
  </si>
  <si>
    <t>тонкие метательные иглы, предназначенные для использования с духовой трубкой.</t>
  </si>
  <si>
    <t>Снаряды для пращи (20)</t>
  </si>
  <si>
    <t>4 мм</t>
  </si>
  <si>
    <t>округлые камни или свинцовые пули для пращи.</t>
  </si>
  <si>
    <t>Камень</t>
  </si>
  <si>
    <t>Стрелы (20)</t>
  </si>
  <si>
    <t>стандартные стрелы для коротких и длинных луков.</t>
  </si>
  <si>
    <t>Бочка</t>
  </si>
  <si>
    <t>Столярная и бондарная</t>
  </si>
  <si>
    <t>70 фнт.</t>
  </si>
  <si>
    <t>40 галлонов (150 лит.), 4 кубических фута</t>
  </si>
  <si>
    <t>крупная деревянная ёмкость для хранения и транспортировки жидкостей или сыпучих материалов.</t>
  </si>
  <si>
    <t>Бумага (один лист)</t>
  </si>
  <si>
    <t>тонкий лист для письма, черчения или заметок.</t>
  </si>
  <si>
    <t>Бумага</t>
  </si>
  <si>
    <t>Каллиграфа</t>
  </si>
  <si>
    <t>Бурдюк</t>
  </si>
  <si>
    <t>Кожевенная мастерская</t>
  </si>
  <si>
    <t>5 фунтов</t>
  </si>
  <si>
    <t>4 пинты (2 лит.)</t>
  </si>
  <si>
    <t>Кожаная ёмкость для переноски воды или других жидкостей. Запаса воды в бурдюке достаточно для 1/2 дня. Указан вес полного бурдюка, пустой весит 2 фнт</t>
  </si>
  <si>
    <t>Кожа</t>
  </si>
  <si>
    <t>Кожедела</t>
  </si>
  <si>
    <t>Бутылка, стеклянная</t>
  </si>
  <si>
    <t>Стекольная и оптическая мастерская</t>
  </si>
  <si>
    <t>1,5 пинты (0,75 лит.)</t>
  </si>
  <si>
    <t>хрупкая стеклянная тара для хранения жидкостей.</t>
  </si>
  <si>
    <t>Стекло</t>
  </si>
  <si>
    <t>Исследователя</t>
  </si>
  <si>
    <t>Ведро</t>
  </si>
  <si>
    <t>3 галлона (11 лит.), 0,5 кубических футов</t>
  </si>
  <si>
    <t>простая ёмкость для переноски воды, песка или других материалов.</t>
  </si>
  <si>
    <t>Жестянщика</t>
  </si>
  <si>
    <t>Верёвка пеньковая (50 футов)</t>
  </si>
  <si>
    <t>Походная лавка</t>
  </si>
  <si>
    <t xml:space="preserve">1 зм </t>
  </si>
  <si>
    <t>10 фнт.</t>
  </si>
  <si>
    <t>прочная верёвка для лазания, связывания и тактических задач.</t>
  </si>
  <si>
    <t>Лён</t>
  </si>
  <si>
    <t>Верёвка, шёлковая (50 футов)</t>
  </si>
  <si>
    <t>лёгкая и очень прочная верёвка, устойчивая к износу.</t>
  </si>
  <si>
    <t>Шёлк</t>
  </si>
  <si>
    <t>Весы, торговые</t>
  </si>
  <si>
    <t>3 фнт.</t>
  </si>
  <si>
    <t>точные весы для взвешивания товаров и определения их стоимости.</t>
  </si>
  <si>
    <t>Воск</t>
  </si>
  <si>
    <t>5 см</t>
  </si>
  <si>
    <t>мягкий материал для создания свечей, запечатывания писем, форм и мелкого ремонта.</t>
  </si>
  <si>
    <t>Горшок, железный</t>
  </si>
  <si>
    <t>1 галлон (3,75 лит.)</t>
  </si>
  <si>
    <t>металлическая посуда для приготовления пищи на огне.</t>
  </si>
  <si>
    <t>Духи (флакон)</t>
  </si>
  <si>
    <t>ароматическая жидкость, используемая для маскировки запахов или придания приятного аромата.</t>
  </si>
  <si>
    <t>Спирт</t>
  </si>
  <si>
    <t>Замок</t>
  </si>
  <si>
    <t>механическое запирающее устройство, открываемое ключом, который идёт в комплекте.</t>
  </si>
  <si>
    <t>Воровские</t>
  </si>
  <si>
    <t>Зелье лечения 1-го уровня</t>
  </si>
  <si>
    <t>Зелье</t>
  </si>
  <si>
    <t>½ фнт.</t>
  </si>
  <si>
    <t>Алхимический расходник, восстанавливающий 1d4+1 хита</t>
  </si>
  <si>
    <t>Зеркало, стальное</t>
  </si>
  <si>
    <t>отполированная металлическая пластина, отражающая свет и изображения.</t>
  </si>
  <si>
    <t>Сталь</t>
  </si>
  <si>
    <t>Калтропы (20 штук в сумке)</t>
  </si>
  <si>
    <r>
      <rPr>
        <rFont val="Open Sans"/>
        <color theme="1"/>
        <sz val="10.0"/>
      </rPr>
      <t xml:space="preserve">металлические шипы, рассыпаемые по земле для замедления передвижения.
Действем вы можете рассыпать калтропы в 10-футовом квадрате в смежном с вами пространстве. Существо входящее в эту область должно совершить спасбросок Ловкости Сл 15. </t>
    </r>
    <r>
      <rPr>
        <rFont val="Open Sans"/>
        <b/>
        <color theme="1"/>
        <sz val="10.0"/>
      </rPr>
      <t>Провал:</t>
    </r>
    <r>
      <rPr>
        <rFont val="Open Sans"/>
        <color theme="1"/>
        <sz val="10.0"/>
      </rPr>
      <t xml:space="preserve"> 1 колющего урона. Если существо получило этот урон, то оно становиться Сдержанным 10 пока не восстановит хотя бы 1 хит. Существо может добровольно перемещаться по этому простанству как по труднопроходимой местности. В таком случае существо не обязано совершать спасбросок.</t>
    </r>
  </si>
  <si>
    <t>Кандалы</t>
  </si>
  <si>
    <t>6 фнт.</t>
  </si>
  <si>
    <t xml:space="preserve">Оковы для ограничения движений существа. Пока оковы на ногах цели её скорость может быть более 5 футов. Если оковы на руках, то цель не может использовать руки, а также выполнять соматический компонент заклинаний. </t>
  </si>
  <si>
    <t>Кирка, горняцкая</t>
  </si>
  <si>
    <t>Инструмент для добычи камня, руды и разрушения твёрдых поверхностей. Вы можете добыть 5-футовый куб породы за 8 часов активной работы</t>
  </si>
  <si>
    <t>Кислота (флакон)</t>
  </si>
  <si>
    <r>
      <rPr>
        <rFont val="Open Sans"/>
        <color theme="1"/>
        <sz val="10.0"/>
      </rPr>
      <t xml:space="preserve">Вы можете действием выплеснуть содержимое этого сосуда на существо находящееся в пределах вашей досягаемости или метнуть сосуд на расстояние вплоть до 20 футов, чтобы он разбился от удара. Цель должна совершить спасбросок Ловкости Сл вашего класса. </t>
    </r>
    <r>
      <rPr>
        <rFont val="Open Sans"/>
        <b/>
        <color theme="1"/>
        <sz val="10.0"/>
      </rPr>
      <t xml:space="preserve">Провал: </t>
    </r>
    <r>
      <rPr>
        <rFont val="Open Sans"/>
        <color theme="1"/>
        <sz val="10.0"/>
      </rPr>
      <t>цель получает 2d6 урона кислотой.</t>
    </r>
  </si>
  <si>
    <t>Книга</t>
  </si>
  <si>
    <t>переплетённый сборник записей, заметок или текстов.</t>
  </si>
  <si>
    <t>Книга заклинаний</t>
  </si>
  <si>
    <t>личный гримуар заклинателя для хранения и подготовки заклинаний.</t>
  </si>
  <si>
    <t>Колокольчик</t>
  </si>
  <si>
    <t>небольшой металлический колокол, издающий звон при движении. Такой звук слышен на расстоянии вплоть до 30 футов.</t>
  </si>
  <si>
    <t>Медь</t>
  </si>
  <si>
    <t>Колчан</t>
  </si>
  <si>
    <t>Чехол для удобного хранения и переноски стрел.</t>
  </si>
  <si>
    <t>Кольцо-печатка</t>
  </si>
  <si>
    <t>Ювелирно-часовая мастерская</t>
  </si>
  <si>
    <t>Украшение с гравировкой, используемое для идентификации или запечатывания.</t>
  </si>
  <si>
    <t>Ювелира</t>
  </si>
  <si>
    <t>Комплект для лазания</t>
  </si>
  <si>
    <t>12 фнт.</t>
  </si>
  <si>
    <t>В набор для лазания входят шлямбуры, накладные подошвы, перчатки и страховочная привязь. Вы можете Бонусным действием закрепиться на высоте, используя набор для лазания. В таком случае вы не упадёте более чем на 25 футов от того места, где закрепились, но и не сможете подняться выше 25 футов пока не открепитесь Бонусным действием.</t>
  </si>
  <si>
    <t>Комплект для рыбалки</t>
  </si>
  <si>
    <t>4 фнт.</t>
  </si>
  <si>
    <t>В этот комплект входит удилище, шёлковая леска, пробковый поплавок, стальные крючки, свинцовые грузила, приманки и мелкоячеистая сеть.</t>
  </si>
  <si>
    <t>Комплект целителя</t>
  </si>
  <si>
    <t>Это кожаный кошель с бинтами, мазями и шинами. Набор годиться для 10 использований. Вы можете действием Использование предмета потратиьь одно использование набора для стабилизации умирающего существа в пределах вашей досягаемости.</t>
  </si>
  <si>
    <t>Ткань</t>
  </si>
  <si>
    <t>Контейнер для арбалетных болтов</t>
  </si>
  <si>
    <t>Жёсткий футляр для защиты и переноски болтов.</t>
  </si>
  <si>
    <t>Контейнер для карт и свитков</t>
  </si>
  <si>
    <t>Водонепроницаемый тубус для хранения документов.</t>
  </si>
  <si>
    <t>Корзина</t>
  </si>
  <si>
    <t>4 см</t>
  </si>
  <si>
    <t>2 кубических фута/40 фунтов (20 кг.)</t>
  </si>
  <si>
    <t>Плетёная тара для переноски предметов и припасов.</t>
  </si>
  <si>
    <t>Кошель</t>
  </si>
  <si>
    <t>0,2 кубических фута/6 фунтов (3 кг.)</t>
  </si>
  <si>
    <t>Небольшой мешочек для хранения монет и мелких ценностей.</t>
  </si>
  <si>
    <t>Крюк-кошка</t>
  </si>
  <si>
    <t>Многозубый крюк, используемый для зацепа за поверхности при лазании.</t>
  </si>
  <si>
    <t>Кувшин или графин</t>
  </si>
  <si>
    <t>2 мм</t>
  </si>
  <si>
    <t>Ёмкость для хранения и переливания жидкостей.</t>
  </si>
  <si>
    <t>Лампа</t>
  </si>
  <si>
    <t>Масляный источник устойчивого света. Лампа испускает яркий свет в пределах 15 футов и тусклый свет в пределах ещё 30 футов. Зажённая лампа горит 6 часов от одной фляги масла ( 1 пинта).</t>
  </si>
  <si>
    <t>Лестница (10 футов)</t>
  </si>
  <si>
    <t>25 фнт.</t>
  </si>
  <si>
    <t>Переносная лестница для подъёма на высоту.</t>
  </si>
  <si>
    <t>Ломик</t>
  </si>
  <si>
    <t>Металлический рычаг для взлома и демонтажа. Используя лом вы можете совершать проверки Силы с бонусом +2, где помог бы рычаг.</t>
  </si>
  <si>
    <t>Лопата</t>
  </si>
  <si>
    <t>Инструмент для копания земли и рыхлых материалов.  Вы можете добыть 5-футовый куб породы за 4 часа активной работы</t>
  </si>
  <si>
    <t>Волшебная палочка (фокусировка)</t>
  </si>
  <si>
    <t>Художественный салон</t>
  </si>
  <si>
    <t>Предмет, используемый как магическая фокусировка.</t>
  </si>
  <si>
    <t>Жезл (фокусировка)</t>
  </si>
  <si>
    <t>Кристалл (фокусировка)</t>
  </si>
  <si>
    <t>Посох (фокусировка)</t>
  </si>
  <si>
    <t>Сфера (фокусировка)</t>
  </si>
  <si>
    <t>Кристалл</t>
  </si>
  <si>
    <t>Масло (фляга)</t>
  </si>
  <si>
    <t>Обычно масло продаётся в глинянных флягах по 1 пинте.</t>
  </si>
  <si>
    <t>Масло</t>
  </si>
  <si>
    <t>Мел (1 кусочек)</t>
  </si>
  <si>
    <t>1 мм</t>
  </si>
  <si>
    <t>Мягкий материал для нанесения заметных меток на твёрдые поверхности.</t>
  </si>
  <si>
    <t>Известь</t>
  </si>
  <si>
    <t>Камнелома</t>
  </si>
  <si>
    <t>Металлические шарики (1 000 шт. в сумке)</t>
  </si>
  <si>
    <r>
      <rPr>
        <rFont val="Open Sans"/>
        <color theme="1"/>
        <sz val="10.0"/>
      </rPr>
      <t xml:space="preserve">Металлические шарики, рассыпаемые по земле для замедления передвижения.
Действем вы можете рассыпать шарики в 10-футовом квадрате в смежном с вами пространстве. Существо входящее в эту область должно совершить спасбросок Ловкости Сл 10. </t>
    </r>
    <r>
      <rPr>
        <rFont val="Open Sans"/>
        <b/>
        <color theme="1"/>
        <sz val="10.0"/>
      </rPr>
      <t>Провал:</t>
    </r>
    <r>
      <rPr>
        <rFont val="Open Sans"/>
        <color theme="1"/>
        <sz val="10.0"/>
      </rPr>
      <t xml:space="preserve"> Цель падает ничком. Существо может добровольно перемещаться по этому простанству как по труднопроходимой местности. В таком случае существо не обязано совершать спасбросок.</t>
    </r>
  </si>
  <si>
    <t>Мешок</t>
  </si>
  <si>
    <t>1 кубический фут/30 фунтов (15 кг.)</t>
  </si>
  <si>
    <t>Простейшая тканевая тара для переноски и хранения предметов.</t>
  </si>
  <si>
    <t>Гримёра</t>
  </si>
  <si>
    <t>Мешочек с компонентами</t>
  </si>
  <si>
    <t>Сборник мелких материальных компонентов, необходимых для накладывания заклинаний, которые требуют материальный компонент без стоимости.</t>
  </si>
  <si>
    <t>Молот, кузнечный</t>
  </si>
  <si>
    <t>Тяжёлый инструмент для ковки, формовки и обработки металла.</t>
  </si>
  <si>
    <t>Молоток</t>
  </si>
  <si>
    <t>Универсальный инструмент для забивания, разбивания и мелких работ.</t>
  </si>
  <si>
    <t>Средство для очистки тела, одежды и предметов от грязи и запахов.</t>
  </si>
  <si>
    <t>Одежда, дорожная</t>
  </si>
  <si>
    <t>Портняжная лавка</t>
  </si>
  <si>
    <t>Практичная и прочная одежда, предназначенная для длительных путешествий.</t>
  </si>
  <si>
    <t>Одежда, костюм</t>
  </si>
  <si>
    <t>Опрятный комплект одежды, подходящий для официальных и общественных мероприятий.</t>
  </si>
  <si>
    <t>Одежда, обычная</t>
  </si>
  <si>
    <t>Повседневная одежда без особых отличительных черт.</t>
  </si>
  <si>
    <t>Одежда, отличная</t>
  </si>
  <si>
    <t>Качественно изготовленная и дорогая одежда, подчёркивающая статус владельца.</t>
  </si>
  <si>
    <t>Одеяло</t>
  </si>
  <si>
    <t>Плотное покрывало, защищающее от холода и сырости.</t>
  </si>
  <si>
    <t>Охотничий капкан</t>
  </si>
  <si>
    <t>Механическое устройство для ловли зверей, срабатывающее при нажатии.</t>
  </si>
  <si>
    <t>Палатка, двухместная</t>
  </si>
  <si>
    <t>20 фнт.</t>
  </si>
  <si>
    <t>Складное укрытие, рассчитанное на двух  средних или менее существ.</t>
  </si>
  <si>
    <t>Пергамент (один лист)</t>
  </si>
  <si>
    <t>Обработанный лист кожи, используемый для письма и черчения.</t>
  </si>
  <si>
    <t>Пергамент</t>
  </si>
  <si>
    <t>Песочные часы</t>
  </si>
  <si>
    <t>Устройство для отсчёта фиксированного промежутка времени.</t>
  </si>
  <si>
    <t>Писчее перо</t>
  </si>
  <si>
    <t>Инструмент для письма чернилами.</t>
  </si>
  <si>
    <t xml:space="preserve"> Дерево</t>
  </si>
  <si>
    <t>Подзорная труба</t>
  </si>
  <si>
    <t>1 000 зм</t>
  </si>
  <si>
    <t>Оптический прибор для наблюдения за удалёнными объектами. Увеличивает обзор на 1 гекс.</t>
  </si>
  <si>
    <t>Рационы (1 день)</t>
  </si>
  <si>
    <t>Продуктовая лавка</t>
  </si>
  <si>
    <t>Запас пищи, достаточный для одного дня питания. Вес еды 1 фнт</t>
  </si>
  <si>
    <t>Мясо</t>
  </si>
  <si>
    <t>Повара</t>
  </si>
  <si>
    <t>Рюкзак</t>
  </si>
  <si>
    <t>Носимая сумка для удобной переноски снаряжения.</t>
  </si>
  <si>
    <t>Ряса</t>
  </si>
  <si>
    <t>Просторная церемониальная одежда, часто используемая жрецами.</t>
  </si>
  <si>
    <t>Свеча</t>
  </si>
  <si>
    <t>Небольшой источник света с ограниченным временем горения.</t>
  </si>
  <si>
    <t>Святая вода (фляга)</t>
  </si>
  <si>
    <t>Освящённая жидкость, применяемая в религиозных и защитных ритуалах.</t>
  </si>
  <si>
    <t>Амулет (священный символ)</t>
  </si>
  <si>
    <t>Носимый священный знак, представляющий веру владельца.</t>
  </si>
  <si>
    <t>Серебро</t>
  </si>
  <si>
    <t>Реликварий (священный символ)</t>
  </si>
  <si>
    <t>Контейнер с реликвией, используемый как священный символ.</t>
  </si>
  <si>
    <t>Эмблема (священный символ)</t>
  </si>
  <si>
    <t>Символ веры, изображённый на щите, одежде или ином предмете.</t>
  </si>
  <si>
    <t>Сигнальный свисток</t>
  </si>
  <si>
    <t>Устройство, издающее резкий звук для подачи сигналов. Звук свистка слышно на расстоянии вплоть до 500 футов</t>
  </si>
  <si>
    <t>Спальник</t>
  </si>
  <si>
    <t>7 фнт.</t>
  </si>
  <si>
    <t>Компактное спальное снаряжение для отдыха в полевых условиях.</t>
  </si>
  <si>
    <t>Столовый набор</t>
  </si>
  <si>
    <t>Комплект приборов и посуды для приёма пищи.</t>
  </si>
  <si>
    <t>Сундук</t>
  </si>
  <si>
    <t>12 кубических футов/300 фунтов (150 кг.)</t>
  </si>
  <si>
    <t>Жёсткий контейнер для хранения и перевозки предметов.</t>
  </si>
  <si>
    <t>Таран, портативный</t>
  </si>
  <si>
    <t>4 зм</t>
  </si>
  <si>
    <t>35 фнт.</t>
  </si>
  <si>
    <t>Переносное устройство для проламывания дверей и перегородок.</t>
  </si>
  <si>
    <t>Точильный камень</t>
  </si>
  <si>
    <t>Инструмент для заточки и обслуживания режущих кромок.</t>
  </si>
  <si>
    <t>Трутница</t>
  </si>
  <si>
    <t>Набор для разведения огня с помощью искры и трута.</t>
  </si>
  <si>
    <t>Увеличительное стекло</t>
  </si>
  <si>
    <t>Линза для детального осмотра мелких объектов.</t>
  </si>
  <si>
    <t>Факел</t>
  </si>
  <si>
    <t>Факел горит 1 час, испуская яркий свет в пределах 20 футов и тусклый свет в пределах ещё 20 футов. Факел горит 1 час.</t>
  </si>
  <si>
    <t>Флакон</t>
  </si>
  <si>
    <t>4 унции (100 грамм)</t>
  </si>
  <si>
    <t>Небольшая ёмкость для хранения жидкостей.</t>
  </si>
  <si>
    <t>Фляга или большая кружка</t>
  </si>
  <si>
    <t>1 пинта (0,5 лит.)</t>
  </si>
  <si>
    <t>Сосуд для переноски и употребления жидкостей.</t>
  </si>
  <si>
    <t>Веточка омелы (фокусировка друидов)</t>
  </si>
  <si>
    <t>Природный объект, используемый друидами как магическая фокусировка.</t>
  </si>
  <si>
    <t>Деревянный посох (фокусировка друидов)</t>
  </si>
  <si>
    <t>Тисовая палочка (фокусировка друидов)</t>
  </si>
  <si>
    <t>Тотем  (фокусировка друидов)</t>
  </si>
  <si>
    <t>Фонарь, закрытый</t>
  </si>
  <si>
    <t>Защищённый источник света, устойчивый к ветру и дождю. Фонарь испускает яркий свет в пределах 30 футов и тусклый свет в пределах ещё 30 футов. Зажённый фонарь горит 6 часов от одной фляги масла ( 1 пинта). Вы можете Бонусным действием закрепить фонарь на поясе, не занимая руку.</t>
  </si>
  <si>
    <t>Фонарь, направленный</t>
  </si>
  <si>
    <t>Направленный фонарь функционирует как закрытый фонарь, но концентрировать луч света в одном направлении 60-футовым конусом яркого света и ещё столько же тусклого</t>
  </si>
  <si>
    <t>Цепь (10 футов)</t>
  </si>
  <si>
    <t>Прочная металлическая цепь для связывания или фиксации объектов.</t>
  </si>
  <si>
    <t>Чернила (бутылочка 30 грамм)</t>
  </si>
  <si>
    <t>Письменные чернила для пера и каллиграфии.</t>
  </si>
  <si>
    <t>Чернила</t>
  </si>
  <si>
    <t>Шест (10 футов)</t>
  </si>
  <si>
    <t>Длинный деревянный или металлический шест для проверки глубины, ловушек и опоры.</t>
  </si>
  <si>
    <t>Шипы, железные (10)</t>
  </si>
  <si>
    <t>Металлические штыри для фиксации, блокирования или укрепления позиций.</t>
  </si>
  <si>
    <t>Шлямбур</t>
  </si>
  <si>
    <t>¼ фнт.</t>
  </si>
  <si>
    <t>Металлический анкер для надёжного крепления верёвок в камне.</t>
  </si>
  <si>
    <t>Длинный, прямой деревянный посох, часто усиленный металлическими обручами или наконечниками с обоих концов. Обычно около 6 футов в длину, боевой посох удобен для использования для широких размашистых ударов.</t>
  </si>
  <si>
    <t>Тяжелое оружие с коротким, прочным древком и массивной металлической головкой на одном конце. Головка может быть украшена шипами, выступами или острыми гранями, что делает удары более разрушительными</t>
  </si>
  <si>
    <t>Простое оружие, представляющее собой короткую деревянную палку, усиленную металлическими полосами или шипами. Дубинка часто используется для болючих ударов по голове или телу противника.</t>
  </si>
  <si>
    <t>Короткий нож с острым лезвием, обычно с двусторонней заточкой. Кинжал компактен, часто скрывается в одежде, и подходит для быстрых, точных ударов в ближнем бою.</t>
  </si>
  <si>
    <t>Древковое оружие средней дистанции с острым наконечником из металла или острого камня.</t>
  </si>
  <si>
    <t>Компактный молоток с коротким древком и металлической головкой. Лёгкий молот удобен для точных и быстрых ударов.</t>
  </si>
  <si>
    <t>Тяжелое двуручное оружие с массивной головкой из металла или дерева. Головка может быть украшена шипами или ребрами, что усиливает разрушающий эффект при ударе.</t>
  </si>
  <si>
    <t>Длинное изогнутое лезвие, прикрепленное к длинной деревянной рукояти. Обычно используется в сельском хозяйстве, но в бою коса наносит широкие, рубящие удары, способные разрезать нескольких противников сразу.</t>
  </si>
  <si>
    <t>Металлический аксессуар, надеваемый на пальцы, усиливающий удары кулаком. Кастет удобен для ближнего боя и немного увеличивает силу удара.</t>
  </si>
  <si>
    <t>Небольшой топор с короткой рукоятью и острым лезвием. Ручной топор компактен, удобен за счёт своего небольшого веса.</t>
  </si>
  <si>
    <t>Короткое изогнутое лезвие с деревянной рукоятью. Как и коса, серп традиционно используется в сельском хозяйстве, но в бою он подходит для резких, рубящих ударов.</t>
  </si>
  <si>
    <t>Компактный и удобный арбалет представляющий из себя небольшой лук с механизмом возведений. За счёт своего веса позволяет эффективно использовать его даже небольшими существами.</t>
  </si>
  <si>
    <t>0,25 фнт</t>
  </si>
  <si>
    <t>Деревянное метательное оружие с длинным и тонким телом вплоть до одного фута и острым наконечником.</t>
  </si>
  <si>
    <t>Лук с изогнутыми концами, обеспечивающий быструю перезарядку и достаточную силу выстрела на короткие и средние дистанции.</t>
  </si>
  <si>
    <t>Ремень с чашей для удержания камня или металлического шарика. Броски снарядов совершаются после раскручивания снаряда внутри чаши.</t>
  </si>
  <si>
    <t>Длинное древковое оружие, сочетающее в себе лезвие секиры, шип и копьеобразный наконечник. Любимое оружие наёмником.</t>
  </si>
  <si>
    <t>Оружие с коротким древком и односторонним заостренным лезвием, напоминающим кирку. Клевец, как её ещё называют предназначен для пробивания доспехов и нанесения мощных колющих ударов.</t>
  </si>
  <si>
    <t>Серьёзное оружие с коротким древком и тяжелой металлической головкой. Молот предназначен для мощных ударов, способных разрушать броню.</t>
  </si>
  <si>
    <t>Длинное древковое оружие с широким изогнутым лезвием на одном конце. Глефа идеально подходит для нанесения рубящих ударов на расстоянии и контроля большого пространства вокруг бойца.</t>
  </si>
  <si>
    <t>Массивный меч с длинным клинком, требующий использования обеих рук. Король сражений и главный атрибут богатых рыцарей. Служит больше напоминанием статуса чем практичным использованием.</t>
  </si>
  <si>
    <t>Длинное древковое оружие, используемое всадниками. 10-футовое основание и закрытая конструкция является следствием использования подобного орудия всадниками.</t>
  </si>
  <si>
    <t>Клинковое оружие средней длины с прямым двусторонним лезвием. Длинный меч универсален и это является как его плюсом так и минусом.</t>
  </si>
  <si>
    <t>Длинный гибкий ремень или веревка с ручкой, используемый для нанесения ударов на большом расстоянии. Кнут часто использует для выбивания оружия или контроля движения противника с помощью своих личных качеств</t>
  </si>
  <si>
    <t>Клинковое оружие с коротким лезвием, удобное для ближнего боя. Короткий меч компактен и легок, частый гость всех сражений.</t>
  </si>
  <si>
    <t>Тяжелый двуручный молот с массивной металлической головкой. Используется для нанесения сокрушительных ударов. Не все способны удержать такой в руках.</t>
  </si>
  <si>
    <t>Булава с шипованной головкой, которая может быть дополнена цепом, глубокие раны оставляемые таким оружием наводят ужасные мысли на врагов.</t>
  </si>
  <si>
    <t>Длинное древковое оружие с острым металлическим наконечником. Пика используется для колющих ударов на большом расстоянии, идеально подходит для удержания врагов на дистанции.</t>
  </si>
  <si>
    <t>Узкий и длинный меч с тонким клинком, предназначенный для быстрых и точных колющих ударов. Рапира часто используется для фехтования и дуэлей, где важны скорость и точность.</t>
  </si>
  <si>
    <t>Оружие с длинным древком и массивным лезвием, предназначенное для рубящих ударов. Мощное и ужастное способное разрубить человека надвное при должной силе.</t>
  </si>
  <si>
    <t>Короткий меч с изогнутым лезвием, идеально подходящий для рубящих ударов. Скимитар широко используется в пустынных и степных регионах, благодаря своей легкости и маневренности.</t>
  </si>
  <si>
    <t>Металлическое оружие с тремя заостренными шипами, прикрепленными к древку.</t>
  </si>
  <si>
    <t>Оружие, состоящее из ручки и цепи с тяжелым грузом или шипованной головкой на конце. Цеп предназначен для нанесения мощных ударов по защитным конструкциям и броне.</t>
  </si>
  <si>
    <t>Длинная металлическая цепь с утяжеленным концом или шипами, используемая для захвата, удержания или нанесения ударов на расстоянии. Цепь удобна для контроля над противником и удержания его на дистанции.</t>
  </si>
  <si>
    <t>Прямой и длинный меч с широкой гардой, предназначенный для рубящих ударов. Палаш часто используется кавалерией и пехотой для мощных атак и защиты.</t>
  </si>
  <si>
    <t>Изогнутый однолезвийный меч, предназначенный для рубящих и режущих ударов. Сабля легка и удобна в использовании, что делает её идеальным оружием для кавалерии.</t>
  </si>
  <si>
    <t>Длинный меч родом из Нириана с изогнутым лезвием и односторонней заточкой. Катана предназначена для быстрых, мощных рубящих ударов и обладает высокой точностью.</t>
  </si>
  <si>
    <t>Узкий меч с длинным прямым клинком, предназначенный исключительно для колющих ударов. Эсток часто используется для пробивания доспехов и уязвимых мест в броне.</t>
  </si>
  <si>
    <t>Оружие с длинным древком и массивным изогнутым лезвием. Боевая коса предназначена для широких рубящих ударов, способных поражать нескольких противников одновременно и в отличии от «Меньшего брата» является полностью рассчитанной для сражений.</t>
  </si>
  <si>
    <t>Тяжелый топор с двумя лезвиями, прикрепленными к древку. Этот топор наносит мощные рубящие удары на большой расстоянии.</t>
  </si>
  <si>
    <t>Топор с лезвием, изготовленным из кости крупного существа, укрепленным деревянной рукоятью</t>
  </si>
  <si>
    <t>Кость</t>
  </si>
  <si>
    <t>Художественные</t>
  </si>
  <si>
    <t>Одноручное оружие с коротким древком и утяжеленной головкой, предназначенное для использования в сражениях на лошади.</t>
  </si>
  <si>
    <t>Тяжелое двуручное оружие с двумя молотковыми головками на противоположных концах древка. Двухсторонний молот идеально подходит для разрушительных ударов.</t>
  </si>
  <si>
    <t>Метательное оружие, представляющее собой кинжал, прикрепленный к длинной цепи. После совершения атаки с некоторыми усилиями атакующий может вернуть кинжал в руку.</t>
  </si>
  <si>
    <t>Массивное оружие с длинным древком и тяжелой шипованной головкой.</t>
  </si>
  <si>
    <t>Оружие, представляющее собой серп, прикрепленный к длинной цепи. Цепной серп используется для нанесения резких рубящих ударов на расстоянии и захвата противника.</t>
  </si>
  <si>
    <t>Невероятно острый меч типовой длинный меч с особым хватом, который используют палачи для казни.</t>
  </si>
  <si>
    <t>Привычная часть латных доспехов, усиленная шипами и пластинами для более тяжёлых ударов.</t>
  </si>
  <si>
    <t>Сильно изогнутый клинок, который годиться только для рубящих ударов. Популярен у воинов пустынь, сражающихся верхом.</t>
  </si>
  <si>
    <t>Компактный арбалет, который можно держать и стрелять одной рукой. Ручной арбалет идеально подходит для скрытных атак и боя на короткой дистанции.</t>
  </si>
  <si>
    <t>Массивный арбалет с мощным луком и длинным стволом. Тяжелый арбалет требует существенных усилий для выстрела, но результат того стоит.</t>
  </si>
  <si>
    <t>Большой лук с длинным древком и мощной натяжкой. Длинный лук предназначен для стрельбы на большие расстояния с высокой точностью и силой удара.</t>
  </si>
  <si>
    <t>Узкая трубка, используемая для выдувания небольших снарядов, таких как стрелы или дротики.</t>
  </si>
  <si>
    <t>Оружие в виде плетеной сети, используемой для захвата и удержания противника. Сеть удобна для обездвиживания врага и лишения его возможности к движению или атаке.</t>
  </si>
  <si>
    <t>Компактный лук с высокой натяжкой, используемый на скаку. Лук всадника идеален для мобильных атак и ведения боя на средних дистанциях.</t>
  </si>
  <si>
    <t>Лук, изготовленный из нескольких материалов, таких как дерево, рог и кость. Композитный лук обладает высокой силой натяжки и с помощью внешних механизмов позволяет стрелять на большие расстояния с высокой точностью.</t>
  </si>
  <si>
    <t>Арбалет с механизмом для быстрой перезарядки и несколькими стрелами, заряженными одновременно. Многозарядный арбалет позволяет вести огонь с высокой скоростью, нанося несколько выстрелов подряд.</t>
  </si>
  <si>
    <t>Доспех</t>
  </si>
  <si>
    <t>Мастерская доспехов</t>
  </si>
  <si>
    <t>8 фнт.</t>
  </si>
  <si>
    <t>Стёганый доспех состоит из прошитых слоёв ткани и ватина.</t>
  </si>
  <si>
    <t>Нагрудник и плечи этого доспеха изготовлены из кожи, вываренной в масле. Остальные части доспеха сделаны из более мягких и гибких материалов.</t>
  </si>
  <si>
    <t>45 зм</t>
  </si>
  <si>
    <t>13 фнт.</t>
  </si>
  <si>
    <t>Изготовленный из крепкой, но гибкой кожи проклёпанный доспех усилен тесно расположенными шипами или заклёпками.</t>
  </si>
  <si>
    <t>Доспех настоящих шеф-поваров, что сражаются на передовой! Она совмещает в себе функции обоих профессий и справляется с этим очень неплохо. Кроме всего прочего находясь в этом доспехе вы совершаете с преимуществом спасброски Телосложения против эффекта экстремальной жары и можете без проблем поднимать раскалённые предметы.</t>
  </si>
  <si>
    <t>Этот грубый доспех состоит из толстых мехов и шкур. Обычно их носят племена варваров, злые гуманоиды и прочие народы, у которых нет инструментов и материалов для создания более качественных доспехов.</t>
  </si>
  <si>
    <t>Сделанная из переплетённых металлических колец кольчужная рубаха носится между слоями одежды или кожи. Этот доспех предоставляет умеренную защиту торса и заглушает звон колец внешним покрытием.</t>
  </si>
  <si>
    <t>45 фнт.</t>
  </si>
  <si>
    <t>Этот доспех состоит из кожаной куртки и поножей (а также, возможно, отдельной юбки), покрытых перекрывающимися кусочками металла, похожими на рыбью чешую. В комплект входят рукавицы.</t>
  </si>
  <si>
    <t>Этот доспех состоит из подогнанного металлического панциря, носимого с подкладкой из кожи. Несмотря на то, что руки и ноги остаются практически без защиты, этот доспех хорошо защищает жизненно важные органы, оставляя владельцу относительную подвижность.</t>
  </si>
  <si>
    <t>750 зм</t>
  </si>
  <si>
    <t>40 фнт.</t>
  </si>
  <si>
    <t>Полулаты состоят из сформированных металлических пластин, покрывающих большую часть тела владельца. В них не входит защита для ног кроме простых поножей, закреплённых кожаными ремнями.</t>
  </si>
  <si>
    <t>0 зм</t>
  </si>
  <si>
    <t>Неправильно надетый доспех, частично одетый доспех, доспех собранный на скорую руку, повреждённый доспех — эти все варианты можно использовать для такой категории как импровизированный доспех. Сломанный доспех считается импровизированным доспехом.</t>
  </si>
  <si>
    <t>Это кожаный доспех с нашитыми на него толстыми кольцами. Эти кольца усиливают доспех от ударов мечей и топоров. Колечный доспех хуже кольчуги, и обычно его носят только те, кто не могут позволить себе доспех получше.</t>
  </si>
  <si>
    <t>55 фнт.</t>
  </si>
  <si>
    <t>Изготовленная из переплетающихся металлических колец кольчуга включает также слой стёганой ткани, надеваемой под низ, дабы предотвратить натирание и смягчать удары. В комплект входят рукавицы.</t>
  </si>
  <si>
    <t>60 фнт.</t>
  </si>
  <si>
    <t>Этот доспех состоит из узких вертикальных металлических пластин, приклёпанных к кожаной подложке, носимой поверх слоя ватина. Соединения защищаются кольчужным полотном.</t>
  </si>
  <si>
    <t>65 фнт.</t>
  </si>
  <si>
    <t>Латы состоят из сформированных металлических пластин, покрывающих всё тело. В комплект лат входят рукавицы, тяжёлые кожаные сапоги, шлем с забралом, и толстый слой ватина. Ремешки и пряжки распределяют вес по всему телу.</t>
  </si>
  <si>
    <t>150 фнт.</t>
  </si>
  <si>
    <t>Никогда не спрашивайте у приключенца откуда он его достал.</t>
  </si>
  <si>
    <t>Классический щит, который прикрепляется к руке и способствует сбалансированной защите.</t>
  </si>
  <si>
    <t>8 зм</t>
  </si>
  <si>
    <t xml:space="preserve"> Маленький щит не больше одного фута в диаметре, что совсем немного помогает в обороне, но и активно участвует в атаке. Используя такой щит вы можете использовать вторую руку для совершения атак двумя руками, но в таком случае ваша первая атака будет совершена со штрафом -2, а последующие со штрафом -4.</t>
  </si>
  <si>
    <t>Гигантский ростовой щит, который почти полностью закрывает тело носителя. В свой ход вы можете бонусным действием либо одной из доступных атак выставить щит в одну сторону (Для игры на сетке это одна сторона клетки. Щит сработает, если линия атаки проходит через сторону клетки и смежные с ней). Против атак из этой стороны вы или любое существо за вами получаете дополнительно +2 кд. Щит продолжает быть выставленным до начала вашего следующего хода или пока вы не  сдвинетесь с места, смотря что произойдёт ранее.
Если вы используете башенный щит двумя руками, то бонус к кд увеличивается до +3.</t>
  </si>
  <si>
    <t>Обычно изготавливаются из полотен кожи, прошедшей особую химическую обработку. Изначально они применялись заводскими рабочими для защиты от случайных травм, но быстро стали использоваться разными бандитами повсеместно за их способность остановить даже удар кинжала.</t>
  </si>
  <si>
    <t>Сшивается из специальных тканей с вкраплением металлических нитей и сверх крепких волокон. Благодаря своей эластичности и относительно небольшой толщины она может носиться скрыто под другой одеждой.</t>
  </si>
  <si>
    <t>Этот базовый бронежилет напоминает облегченную кирасу и состоит из баллистически укрепленного цельного металлического листа.</t>
  </si>
  <si>
    <t xml:space="preserve"> На первый взгляд похож на обычный тяжелый плащ, но у него в подкладку вшиты бронепластины, обеспечивающие носящему минимальную баллистическую защиту.</t>
  </si>
  <si>
    <t>В отличии от своего более легкого собрата, этот бронежилет состоит сразу из нескольких укрепленных металлических листов, хотя всё ещё напоминает стандартную кирасу.</t>
  </si>
  <si>
    <t>Этот полный комплект боевой брони используется в основном боевыми отрядами специального назначения и состоит из нательной металлической брони и лёгкого закрытого шлема.</t>
  </si>
  <si>
    <t>Комплект брони, что жертвует подвижностью ради защиты. Состоит из множества нахлёстнутых друг на друга пластин, что сшиты вместе металлическими нитями вместе с закрытым шлемом. Использует его в основном подвижные войска спец. подразделений.</t>
  </si>
  <si>
    <t>15 фнт.</t>
  </si>
  <si>
    <t>Этот комплект брони отдаленно напоминающий облегченные рыцарские латы, используется в основном военной пехотой.</t>
  </si>
  <si>
    <t>Как ясно из названия, является усиленной версией лёгкой служебной броней с дополнительной защитой конечностей и укрепленным тактическим шлемом.</t>
  </si>
  <si>
    <t>Броня, превращающая её носителя в настоящего Джаггернаута, способного пережить взрыв гранаты. Тяжелая, громоздкая, крайне сковывающая движение, но необычайно прочная и надежная.</t>
  </si>
  <si>
    <t>Классический щит с добавлением современных сплавов.</t>
  </si>
  <si>
    <t>Новая прямоугольная конструкция, несколько слоёв, сшитые пластины керамики и дополнительная ткань невероятно эффективно останавливают пули.</t>
  </si>
  <si>
    <t>Огнестрельное оружие</t>
  </si>
  <si>
    <t>Стрелковая мастерская</t>
  </si>
  <si>
    <t>Пистолет с одиночным стволом и кремниевым замком для воспламенения пороха. Имеет массивный металлический корпус с деревянной рукоятью и простую конструкцию замка с ударным кремнем.</t>
  </si>
  <si>
    <t>Маленький, компактный однозарядный пистолет с коротким стволом и элегантной деревянной рукоятью. Имеет гладкий металлический корпус и миниатюрный спусковой механизм. Удобен для скрытого ношения.</t>
  </si>
  <si>
    <t>Крупный, массивный пистолет с тяжелым стволом и деревянным прикладом. Часто украшен металлическими обручами и латунными деталями. Создан для стрельбы на скаку и из-за выстрела дробью часто называется первым дробовиком.</t>
  </si>
  <si>
    <t>Компактное оружие с несколькими короткими стволами, расположенными в одном корпусе. У пистолета есть кремневый замок, который поджигает порох при нажатии на спусковой механизм. Выглядит необычно из-за множества стволов.</t>
  </si>
  <si>
    <t>Тяжелая ружье-образная конструкция с длинным гладким стволом и деревянным прикладом. Часто оснащён кремниевым или фитильным замком и имеет массивный металлический механизм для перезарядки.</t>
  </si>
  <si>
    <t>Древнее ружье с коротким, но массивным стволом. Имеет тяжёлый деревянный корпус с крепкими металлическими частями и фитильный или кремниевый механизм. Выглядит как более старомодная версия мушкета.</t>
  </si>
  <si>
    <t xml:space="preserve"> Укороченный мушкет с расширенным дулом и массивным прикладом. Ствол широк и выглядит устрашающе, а приклад прочен, чтобы выдерживать мощную отдачу исходящую от выстрела напором дроби.</t>
  </si>
  <si>
    <t>Несмотря на название колесцовый пистолет это настоящиа винтовка. Небольшой приклад и длинный ствол помогают в работе колесцовому замку.</t>
  </si>
  <si>
    <t>Классическое оружие с одним стволом средней длины и удобной рукоятью. Имеет металлический корпус и спусковой механизм, компактный и удобный в использовании.</t>
  </si>
  <si>
    <t>Пистолет с более толстым и длинным стволом, мощным корпусом и усиленной рукояткой. Выглядит массивней, чем обычные пистолеты, из-за большого калибра.</t>
  </si>
  <si>
    <t>Короткий дробовик с обрезанными стволами и укороченной деревянной рукоятью. Его дула широкие, что делает внешний вид устрашающим, несмотря на компактные размеры.</t>
  </si>
  <si>
    <t>Пистолет с удлиненным стволом и механизмом, позволяющим стрелять очередями. Имеет металлический корпус и магазин, помещающийся в рукоять. Выглядит куда более технически.</t>
  </si>
  <si>
    <t>Пистолет с вращающимся барабаном для нескольких патронов. Металлический корпус и длинный ствол создают классический образ, а барабан выделяется как ключевая деталь.</t>
  </si>
  <si>
    <t>Тяжелое и громоздкое оружие, напоминающее маленькую пушку. Деревянный приклад и массивный металлический ствол делают его внешне устрашающим, а механизм выглядит простым, но мощным.</t>
  </si>
  <si>
    <t>Оружие с нарезным стволом и длинным корпусом. Оснащено деревянным прикладом и часто — оптическим прицелом для более точной стрельбы.</t>
  </si>
  <si>
    <t>Легкая и короткая версия винтовки с укороченным стволом и компактным прикладом. Идеален для использования в движении, имеет прочный металлический корпус.</t>
  </si>
  <si>
    <t>Оружие с широким стволом, созданное для стрельбы дробью. Длинный деревянный приклад и мощный металлический ствол создают внушительный вид.</t>
  </si>
  <si>
    <t>Винтовка с длинным и толстым стволом, предназначенная для выстрелов на дальние дистанции. Внешне массивна и тяжелее стандартных винтовок, часто имеет оптику.</t>
  </si>
  <si>
    <t>Оружие с длинным стволом и магазином, способное стрелять очередями. Имеет металлический корпус и различные прицелы или аксессуары для улучшения огня.</t>
  </si>
  <si>
    <t>Винтовка с удлиненным стволом и встроенным магазином. Корпус сочетает металлические и деревянные элементы, стреляет одиночными выстрелами.</t>
  </si>
  <si>
    <t>Длинное трубчатое оружие с баком для горючей смеси на спине стрелка. Оружие имеет характерный вид из-за трубки, из которой вырывается пламя.</t>
  </si>
  <si>
    <t>Оружие с двумя параллельными стволами и массивным прикладом. Выглядит устрашающе благодаря мощному дулам и прочной конструкции.</t>
  </si>
  <si>
    <t>Массивное огнестрельное оружие с крупным калибром, которое требует устойчивой позиции. Выглядит как уменьшенная версия артиллерийского орудия.</t>
  </si>
  <si>
    <t>Оружие с металлическими катушками и излучателем электрических разрядов. Внешне футуристическое и технологичное, с трубками и проводами, передающими энергию.</t>
  </si>
  <si>
    <t>Оружие с длинным стволом и катушками, использующими электро-зажигательные импульсы для выстрела.</t>
  </si>
  <si>
    <t xml:space="preserve">Массивная пушка с семью стволами, стреляющими крупными снарядами. </t>
  </si>
  <si>
    <t>Компактное с первого взгляда оружие является первым прообразом пулемёта. Голова акулы из которой торчит ствол служат обязательно чертой подобного пулемёта.</t>
  </si>
  <si>
    <t>Грубое и массивное оружие, сделанное из подручных материалов. Выглядит неуклюже, с элементами, прикрепленными вручную, но смертоносно эффективно.</t>
  </si>
  <si>
    <t>Оружие с коротким стволом и барабаном или трубкой для запуска гранат и иных взрывных боеприпасов.</t>
  </si>
  <si>
    <t>Громадный, невероятно тяжёлый дробовик, который эффективен лишь на коротких дистанциях, но даже один выстрел из такого способен раздавить человека.</t>
  </si>
  <si>
    <t>Обвес</t>
  </si>
  <si>
    <t>Прицельное устройство, ускоряющее наведение оружия на цель на ближних и средних дистанциях.</t>
  </si>
  <si>
    <t>Прицел с увеличением, предназначенный для точного огня на дальние дистанции.</t>
  </si>
  <si>
    <t>Устройство, проецирующее световую точку на цель для быстрого прицеливания.</t>
  </si>
  <si>
    <t>Дополнительная рукоять, улучшающая контроль оружия при стрельбе.</t>
  </si>
  <si>
    <t>Складные опоры, стабилизирующие оружие при стрельбе из упора.</t>
  </si>
  <si>
    <t>Клинковое оружие, крепящееся к стволу для ближнего боя.</t>
  </si>
  <si>
    <t>Дополнительный модуль для стрельбы гранатами, устанавливаемый под стволом оружия.</t>
  </si>
  <si>
    <t>Компактный источник направленного света, крепящийся к стволу</t>
  </si>
  <si>
    <t>Устройство, снижающее громкость и заметность выстрела.</t>
  </si>
  <si>
    <t>Усиленная версия глушителя с более высокой эффективностью подавления звука.</t>
  </si>
  <si>
    <t>Модификация, увеличивающая начальную скорость выпущенного снаряда, позволяющая эффективно уничтожать противников, которых не берут обычные пули</t>
  </si>
  <si>
    <t>Усовершенствованная версия разгонщика снарядов, которая работает на нематериальных противников.</t>
  </si>
  <si>
    <t>Механизм, позволяющий оружию функционировать при стрельбе под водой.</t>
  </si>
  <si>
    <t>Опорная часть оружия, повышающая устойчивость и контроль при стрельбе.</t>
  </si>
  <si>
    <t>Основная рукоять для удержания оружия одной рукой.</t>
  </si>
  <si>
    <t>Эргономичная рукоять, снижающая усталость и повышающая точность контроля.</t>
  </si>
  <si>
    <t>Ствол с увеличенной массой, уменьшающий отдачу и повышающий стабильность стрельбы.</t>
  </si>
  <si>
    <t>Ствол с уменьшенной массой, повышающий мобильность оружия.</t>
  </si>
  <si>
    <t>Небольшая внутренняя обработка ствола, незначительно влияющая на характеристики стрельбы.</t>
  </si>
  <si>
    <t>лубокая внутренняя обработка ствола, заметно изменяющая баллистику снаряда.</t>
  </si>
  <si>
    <t>Укороченный ствол, повышающий компактность оружия ценой дальности и точности.</t>
  </si>
  <si>
    <t>Обработка канала ствола для придания снаряду вращения и повышения точности.</t>
  </si>
  <si>
    <t>Корпус оружия с уменьшенным весом для повышения манёвренности.</t>
  </si>
  <si>
    <t>Магазин увеличенной вместимости по сравнению со стандартным.</t>
  </si>
  <si>
    <t>Магазин очень большой вместимости, существенно увеличивающий боезапас без перезарядки.</t>
  </si>
  <si>
    <t>Скакуны и транспорт</t>
  </si>
  <si>
    <t>Аналогичные обычной версии доспех для скакуна</t>
  </si>
  <si>
    <t>Военное седло</t>
  </si>
  <si>
    <t>Конюшня и упряжь</t>
  </si>
  <si>
    <t>Усиленное седло, предназначенное для боя верхом.</t>
  </si>
  <si>
    <t>Грузовое седло</t>
  </si>
  <si>
    <t>Седло, рассчитанное на перевозку тяжёлых грузов.</t>
  </si>
  <si>
    <t>Ездовое седло</t>
  </si>
  <si>
    <t>Стандартное седло для повседневной верховой езды.</t>
  </si>
  <si>
    <t>Экзотическое седло</t>
  </si>
  <si>
    <t>Специальное седло для необычных или нестандартных скакунов.</t>
  </si>
  <si>
    <t>Телега</t>
  </si>
  <si>
    <t>Транспортная мастерская</t>
  </si>
  <si>
    <t>200 фнт</t>
  </si>
  <si>
    <t>Колёсное транспортное средство для перевозки грузов или пассажиров.</t>
  </si>
  <si>
    <t>Упряжь и уздечка</t>
  </si>
  <si>
    <t>Комплект снаряжения для управления и запряжки скакуна.</t>
  </si>
  <si>
    <t>Фургон</t>
  </si>
  <si>
    <t>35 зм</t>
  </si>
  <si>
    <t>400 фнт</t>
  </si>
  <si>
    <t>Крытая повозка для перевозки грузов и людей.</t>
  </si>
  <si>
    <t>Топор</t>
  </si>
  <si>
    <t>Инструмент для рубки деревьев и грубой обработке древисины.  Вы можете  срубить одно дерево за 2 часа активной работы</t>
  </si>
  <si>
    <t>Инструменты воровские 0-й ранг</t>
  </si>
  <si>
    <t>Инструменты</t>
  </si>
  <si>
    <t>Инструменты Алхимические 0-й ранг</t>
  </si>
  <si>
    <t>Инструменты Кузнеца 0-й ранг</t>
  </si>
  <si>
    <t>Инструменты Каллиграфа 0-й ранг</t>
  </si>
  <si>
    <t>Инструменты Поддельщика 0-й ранг</t>
  </si>
  <si>
    <t>Инструменты Гримёра  0-й ранг</t>
  </si>
  <si>
    <t>Инструменты Художественные 0-й ранг</t>
  </si>
  <si>
    <t>Инструменты Исследователя 0-й ранг</t>
  </si>
  <si>
    <t>Инструменты Жестянщика 0-й ранг</t>
  </si>
  <si>
    <t>Инструменты Камнелома  0-й ранг</t>
  </si>
  <si>
    <t>Инструменты Кожедела  0-й ранг</t>
  </si>
  <si>
    <t>Инструменты Пивовара 0-й ранг</t>
  </si>
  <si>
    <t>Инструменты Деревянщика 0-й ранг</t>
  </si>
  <si>
    <t>Инструменты Повара  0-й ранг</t>
  </si>
  <si>
    <t>Инструменты Ювелира 0-й ранг</t>
  </si>
  <si>
    <t>Набросок углём</t>
  </si>
  <si>
    <t>быстрый рисунок на бумаге, используемый как эскиз, памятный образ или дешёвая уличная работа.</t>
  </si>
  <si>
    <t>Гравюра</t>
  </si>
  <si>
    <t>отпечатанное изображение на плотной бумаге, пригодное для украшения комнаты или продажи в лавке.</t>
  </si>
  <si>
    <t>Акварельный пейзаж</t>
  </si>
  <si>
    <t>небольшая живописная работа с изображением природы, улиц или городских видов.</t>
  </si>
  <si>
    <t>Картина в простой раме</t>
  </si>
  <si>
    <t>декоративное полотно в деревянной раме, подходящее для дома, кабинета или трактира.</t>
  </si>
  <si>
    <t>Картина в резной раме</t>
  </si>
  <si>
    <t>живописная работа в богато украшенной раме, рассчитанная на демонстрацию достатка владельца.</t>
  </si>
  <si>
    <t>Портрет в овальной раме</t>
  </si>
  <si>
    <t>заказной или готовый портрет, предназначенный для демонстрации статуса, памяти или семейной связи.</t>
  </si>
  <si>
    <t>Парадный портрет</t>
  </si>
  <si>
    <t>крупный официальный портрет в дорогой раме, подчёркивающий статус изображённого.</t>
  </si>
  <si>
    <t>Семейный диптих</t>
  </si>
  <si>
    <t>пара связанных картин, обычно изображающих супругов, предков или владельца и наследника.</t>
  </si>
  <si>
    <t>Триптих алтарный</t>
  </si>
  <si>
    <t>трёхстворчатая художественная композиция для часовни, храма или богатого дома.</t>
  </si>
  <si>
    <t>Икона на деревянной доске</t>
  </si>
  <si>
    <t>расписанное религиозное изображение для домашнего алтаря, часовни или церемониального зала.</t>
  </si>
  <si>
    <t>Миниатюрный портрет в медальоне</t>
  </si>
  <si>
    <t>0,5 фнт.</t>
  </si>
  <si>
    <t>крошечный портрет под стеклом, который носят на шее или хранят как личную память.</t>
  </si>
  <si>
    <t>Золото</t>
  </si>
  <si>
    <t>Гобелен малый</t>
  </si>
  <si>
    <t>тканое настенное полотно с узором, гербом или сценой охоты.</t>
  </si>
  <si>
    <t>Гобелен большой</t>
  </si>
  <si>
    <t>80 зм</t>
  </si>
  <si>
    <t>крупное тканое полотно, закрывающее стену и служащее признаком достатка.</t>
  </si>
  <si>
    <t>Вышитое панно</t>
  </si>
  <si>
    <t>декоративная тканевая работа с вышитым сюжетом, орнаментом или гербом.</t>
  </si>
  <si>
    <t>Декоративный ковёр</t>
  </si>
  <si>
    <t>богато украшенное тканое покрытие для пола или стены.</t>
  </si>
  <si>
    <t>Керамическая ваза расписная</t>
  </si>
  <si>
    <t>декоративная ваза с росписью, подходящая для цветов, благовоний или просто украшения.</t>
  </si>
  <si>
    <t>Глина</t>
  </si>
  <si>
    <t>Фарфоровая ваза</t>
  </si>
  <si>
    <t>изящная тонкостенная ваза, ценимая за материал, форму и тонкую роспись.</t>
  </si>
  <si>
    <t>Фарфоровая статуэтка</t>
  </si>
  <si>
    <t>хрупкая миниатюрная фигурка для полки, витрины или будуара.</t>
  </si>
  <si>
    <t>Каменная статуэтка</t>
  </si>
  <si>
    <t>небольшая резная фигура из мягкого камня для дома, храма или рабочего кабинета.</t>
  </si>
  <si>
    <t>Бронзовая статуэтка</t>
  </si>
  <si>
    <t>литая металлическая фигурка, изображающая героя, зверя, святого или покровителя дома.</t>
  </si>
  <si>
    <t>Серебряная статуэтка</t>
  </si>
  <si>
    <t>дорогая миниатюрная скульптура для витрины, кабинета или коллекции.</t>
  </si>
  <si>
    <t>Мраморный бюст</t>
  </si>
  <si>
    <t>120 зм</t>
  </si>
  <si>
    <t>резное изображение головы и плеч видного человека, предка или покровителя.</t>
  </si>
  <si>
    <t>Бронзовый бюст</t>
  </si>
  <si>
    <t>30 фнт.</t>
  </si>
  <si>
    <t>литой бюст для кабинета, зала приёмов или мемориального помещения.</t>
  </si>
  <si>
    <t>Малая мраморная статуя</t>
  </si>
  <si>
    <t>80 фнт.</t>
  </si>
  <si>
    <t>небольшая отдельно стоящая статуя для особняка, сада или храма.</t>
  </si>
  <si>
    <t>Малая бронзовая статуя</t>
  </si>
  <si>
    <t>90 фнт.</t>
  </si>
  <si>
    <t>отлитая декоративная статуя, рассчитанная на размещение в зале, во дворе или у входа.</t>
  </si>
  <si>
    <t>Садовая статуя</t>
  </si>
  <si>
    <t>120 фнт.</t>
  </si>
  <si>
    <t>крупная декоративная фигура для парка, сада, площади или богатого двора.</t>
  </si>
  <si>
    <t>Полноразмерная мраморная статуя</t>
  </si>
  <si>
    <t>400 фнт.</t>
  </si>
  <si>
    <t>высокая детализированная статуя, доступная только храмам, гильдиям и очень богатым семьям.</t>
  </si>
  <si>
    <t>Резная деревянная маска</t>
  </si>
  <si>
    <t>декоративная или ритуальная маска, покрытая лаком, краской или тонкой резьбой.</t>
  </si>
  <si>
    <t>Маска карнавальная лакированная</t>
  </si>
  <si>
    <t>яркая праздничная маска для бала, выступления или городской процессии.</t>
  </si>
  <si>
    <t>Марионетка расписная</t>
  </si>
  <si>
    <t>деревянная кукла на нитях, используемая как игрушка, украшение или сценический реквизит.</t>
  </si>
  <si>
    <t>Кукла фарфоровая</t>
  </si>
  <si>
    <t>изящная кукла в хорошем платье, служащая игрушкой, сувениром или элементом интерьера.</t>
  </si>
  <si>
    <t>Музыкальная шкатулка</t>
  </si>
  <si>
    <t>механическая коробочка, проигрывающая короткую мелодию после завода.</t>
  </si>
  <si>
    <t>Музыкальная шкатулка с фигурками</t>
  </si>
  <si>
    <t>сложная шкатулка с движущимися фигурками, зеркалом или танцующей парой внутри.</t>
  </si>
  <si>
    <t>Настенные часы</t>
  </si>
  <si>
    <t>механические часы для дома, лавки или мастерской, заключённые в декоративный корпус.</t>
  </si>
  <si>
    <t>Настольные часы</t>
  </si>
  <si>
    <t>небольшие часы для письменного стола, каминной полки или приёмной.</t>
  </si>
  <si>
    <t>Карманные часы латунные</t>
  </si>
  <si>
    <t>недорогие переносные часы на цепочке или шнуре, пригодные для повседневного использования.</t>
  </si>
  <si>
    <t>Карманные часы серебряные</t>
  </si>
  <si>
    <t>точные карманные часы в богато отделанном серебряном корпусе.</t>
  </si>
  <si>
    <t>Карманные часы золотые</t>
  </si>
  <si>
    <t>роскошные часы для состоятельного владельца, чиновника, промышленника или коллекционера.</t>
  </si>
  <si>
    <t>Карманные часы мастера</t>
  </si>
  <si>
    <t>высокоточные карманные часы с дорогой отделкой и сложным механизмом.</t>
  </si>
  <si>
    <t>Камея</t>
  </si>
  <si>
    <t>резной медальон из камня или раковины с профильным изображением лица, герба или символа.</t>
  </si>
  <si>
    <t>Брошь с эмалью</t>
  </si>
  <si>
    <t>декоративная брошь с цветной эмалью для плаща, жилета или шляпы.</t>
  </si>
  <si>
    <t>Запонки серебряные</t>
  </si>
  <si>
    <t>пара металлических застёжек для манжет, подчёркивающая аккуратность и достаток владельца.</t>
  </si>
  <si>
    <t>Булавка для галстука золотая</t>
  </si>
  <si>
    <t>золотая декоративная булавка для фиксации галстука, шарфа или шейного платка.</t>
  </si>
  <si>
    <t>Ожерелье из речного жемчуга</t>
  </si>
  <si>
    <t>украшение из подобранных жемчужин, популярное среди знати и обеспеченных горожан.</t>
  </si>
  <si>
    <t>Серебряный кубок чеканный</t>
  </si>
  <si>
    <t>дорогой сосуд для вина или церемоний, украшенный рельефом и чеканкой.</t>
  </si>
  <si>
    <t>Золотой кубок чеканный</t>
  </si>
  <si>
    <t>роскошный сосуд для приёмов, храмов или коллекций, подчёркивающий высокий статус владельца.</t>
  </si>
  <si>
    <t>Письменный прибор инкрустированный</t>
  </si>
  <si>
    <t>дорогой набор с чернильницей, подставкой под перо и декоративной отделкой для кабинета.</t>
  </si>
  <si>
    <t>Шкатулка для украшений резная</t>
  </si>
  <si>
    <t>небольшая декоративная шкатулка для хранения драгоценностей, писем и памятных мелочей.</t>
  </si>
  <si>
    <t>Зеркало в серебряной раме</t>
  </si>
  <si>
    <t>полированное зеркало в дорогой раме, уместное в будуаре, гостиной или гримёрной.</t>
  </si>
  <si>
    <t>Рельефная настенная панель</t>
  </si>
  <si>
    <t>90 зм</t>
  </si>
  <si>
    <t>декоративная панель с вырезанным или отлитым сюжетом для стены зала, кабинета или храма.</t>
  </si>
  <si>
    <t>Настольный глобус декоративный</t>
  </si>
  <si>
    <t>малый декоративный глобус для кабинета, библиотеки или учебной комнаты.</t>
  </si>
  <si>
    <t>Резная табакерка</t>
  </si>
  <si>
    <t>18 зм</t>
  </si>
  <si>
    <t>небольшая украшенная коробочка для нюхательного табака или мелких памятных вещей.</t>
  </si>
  <si>
    <t>Витражная панель малая</t>
  </si>
  <si>
    <t>55 зм</t>
  </si>
  <si>
    <t>цветная стеклянная вставка для окна, ниши или внутренней перегородки.</t>
  </si>
  <si>
    <t>Шёлковый вечерний костюм</t>
  </si>
  <si>
    <t>1 200 зм</t>
  </si>
  <si>
    <t>дорогой вечерний комплект из тонкой ткани, предназначенный для светских приёмов, театров и частных собраний.</t>
  </si>
  <si>
    <t>Церемониальное платье дворянки</t>
  </si>
  <si>
    <t>1 400 зм</t>
  </si>
  <si>
    <t>изысканное платье для балов, помолвок, визитов ко двору и других строго формальных мероприятий.</t>
  </si>
  <si>
    <t>Парадный мундир с золотым шитьём</t>
  </si>
  <si>
    <t>1 800 зм</t>
  </si>
  <si>
    <t>официальный мундир с декоративной вышивкой, используемый для смотров, награждений и парадов.</t>
  </si>
  <si>
    <t>Кожаный плащ мастера</t>
  </si>
  <si>
    <t>тяжёлый и дорогой плащ из выделанной кожи, рассчитанный на статусного путешественника или владельца мастерской.</t>
  </si>
  <si>
    <t>Мантия учёного совета</t>
  </si>
  <si>
    <t>1 600 зм</t>
  </si>
  <si>
    <t>представительская мантия для членов академий, коллегий и образованных обществ.</t>
  </si>
  <si>
    <t>Шерсть</t>
  </si>
  <si>
    <t>Парадный сюртук промышленника</t>
  </si>
  <si>
    <t>2 200 зм</t>
  </si>
  <si>
    <t>богатый официальный сюртук, подчёркивающий достаток, вкус и влияние владельца.</t>
  </si>
  <si>
    <t>Бальный костюм с серебряной отделкой</t>
  </si>
  <si>
    <t>2 800 зм</t>
  </si>
  <si>
    <t>дорогой комплект для танцевальных вечеров и высшего света, украшенный сложной отделкой.</t>
  </si>
  <si>
    <t>Траурный комплект высшего света</t>
  </si>
  <si>
    <t>2 400 зм</t>
  </si>
  <si>
    <t>строгое, дорогое и тщательно подобранное облачение для официального траура и церемоний памяти.</t>
  </si>
  <si>
    <t>Театральный костюм примадонны</t>
  </si>
  <si>
    <t>3 200 зм</t>
  </si>
  <si>
    <t>сценический наряд, рассчитанный на ближний обзор, яркий свет и демонстрацию статуса исполнителя.</t>
  </si>
  <si>
    <t>Посольская мантия</t>
  </si>
  <si>
    <t>3 500 зм</t>
  </si>
  <si>
    <t>официальная мантия дипломата или полномочного представителя, созданная для публичных церемоний.</t>
  </si>
  <si>
    <t>Ритуальное облачение архиерея</t>
  </si>
  <si>
    <t>4 500 зм</t>
  </si>
  <si>
    <t>богатое церемониальное облачение для высоких религиозных служб, шествий и торжественных литургий.</t>
  </si>
  <si>
    <t>Судейское церемониальное облачение</t>
  </si>
  <si>
    <t>5 000 зм</t>
  </si>
  <si>
    <t>тяжёлое и дорогое облачение для старшего судьи, магистрата или главы трибунала.</t>
  </si>
  <si>
    <t>Коронационный плащ наместника</t>
  </si>
  <si>
    <t>6 000 зм</t>
  </si>
  <si>
    <t>9 фнт.</t>
  </si>
  <si>
    <t>плащ для вступления в должность, рассчитанный на демонстрацию власти и законного титула.</t>
  </si>
  <si>
    <t>Оперный костюм с ручной росписью</t>
  </si>
  <si>
    <t>5 500 зм</t>
  </si>
  <si>
    <t>дорогой сценический костюм с индивидуальной росписью и точной декоративной отделкой.</t>
  </si>
  <si>
    <t>Парадный комплект имперского офицера</t>
  </si>
  <si>
    <t>7 500 зм</t>
  </si>
  <si>
    <t>форменный комплект старшего офицера, предназначенный для визитов, парадов и официальных церемоний.</t>
  </si>
  <si>
    <t>Мантия ректора академии</t>
  </si>
  <si>
    <t>6 500 зм</t>
  </si>
  <si>
    <t>дорогое академическое облачение для главы колледжа, университета или магической школы.</t>
  </si>
  <si>
    <t>Церемониальный свадебный наряд аристократа</t>
  </si>
  <si>
    <t>8 000 зм</t>
  </si>
  <si>
    <t>праздничный комплект одежды, созданный для брачной церемонии благородного дома.</t>
  </si>
  <si>
    <t>Мантия канцлера</t>
  </si>
  <si>
    <t>12 000 зм</t>
  </si>
  <si>
    <t>знаковая одежда высшего должностного лица, подчёркивающая полномочия, ранг и государственный вес.</t>
  </si>
  <si>
    <t>Сценический гардероб звезды оперы</t>
  </si>
  <si>
    <t>дорогой набор сценической одежды для ведущего исполнителя крупного театра или оперы.</t>
  </si>
  <si>
    <t>Королевское свадебное платье</t>
  </si>
  <si>
    <t>18 000 зм</t>
  </si>
  <si>
    <t>роскошное и уникальное платье, предназначенное для династического брака и публичной церемонии.</t>
  </si>
  <si>
    <t>Парадный плащ победителя</t>
  </si>
  <si>
    <t>14 000 зм</t>
  </si>
  <si>
    <t>торжественный плащ для прославленного военачальника, героя или награждённого чемпиона.</t>
  </si>
  <si>
    <t>Наследная мантия дома</t>
  </si>
  <si>
    <t>22 000 зм</t>
  </si>
  <si>
    <t>родовая мантия, передаваемая вместе с титулом, именем или правом наследования.</t>
  </si>
  <si>
    <t>Полный гардероб посла</t>
  </si>
  <si>
    <t>28 000 зм</t>
  </si>
  <si>
    <t>18 фнт.</t>
  </si>
  <si>
    <t>набор официальной одежды для длительной дипломатической миссии, аудиенций и приёмов.</t>
  </si>
  <si>
    <t>Коронационный наряд монарха</t>
  </si>
  <si>
    <t>45 000 зм</t>
  </si>
  <si>
    <t>уникальный церемониальный комплект для возведения на престол, рассчитанный на публичное величие.</t>
  </si>
  <si>
    <t>Церемониальный комплект первосвященника</t>
  </si>
  <si>
    <t>70 000 зм</t>
  </si>
  <si>
    <t>14 фнт.</t>
  </si>
  <si>
    <t>уникальное облачение религиозного главы, созданное для крупнейших обрядов и государственных служб.</t>
  </si>
  <si>
    <t>Регалии престолонаследника</t>
  </si>
  <si>
    <t>60 000 зм</t>
  </si>
  <si>
    <t>полный набор церемониальных знаков наследника престола, предназначенный для официальных выходов и признания статуса.</t>
  </si>
  <si>
    <t>Серебряный бюст в натуральную величину</t>
  </si>
  <si>
    <t>1 500 зм</t>
  </si>
  <si>
    <t>тщательно выполненный бюст состоятельного заказчика, предка или покровителя дома.</t>
  </si>
  <si>
    <t>Каменный бюст в парадной нише</t>
  </si>
  <si>
    <t>декоративный бюст для приёмного зала, храма, склепа или галереи предков.</t>
  </si>
  <si>
    <t>Большая картина в позолоченной раме</t>
  </si>
  <si>
    <t>дорогое крупное полотно для украшения кабинета, салона, особняка или зала заседаний.</t>
  </si>
  <si>
    <t>Генеалогический гобелен</t>
  </si>
  <si>
    <t>тканое полотно с родословной, гербами, сценами основания дома или важнейшими браками.</t>
  </si>
  <si>
    <t>Астрономические напольные часы</t>
  </si>
  <si>
    <t>2 500 зм</t>
  </si>
  <si>
    <t>сложные высокие часы с декоративным циферблатом и дополнительными астрономическими указателями.</t>
  </si>
  <si>
    <t>Мозаичная икона</t>
  </si>
  <si>
    <t>религиозное изображение, собранное из множества цветных фрагментов и рассчитанное на длительное хранение.</t>
  </si>
  <si>
    <t>Витражная панель большая</t>
  </si>
  <si>
    <t>3 000 зм</t>
  </si>
  <si>
    <t>крупная художественная вставка для окна, ниши или внутренней перегородки богатого здания.</t>
  </si>
  <si>
    <t>Консольные часы с боем</t>
  </si>
  <si>
    <t>сложные интерьерные часы, отбивающие время и служащие предметом статуса.</t>
  </si>
  <si>
    <t>Золотая статуэтка покровителя дома</t>
  </si>
  <si>
    <t>дорогая статуэтка, изображающая святого, предка, зверя-символ или иного покровителя рода.</t>
  </si>
  <si>
    <t>Триптих о династии</t>
  </si>
  <si>
    <t>16 фнт.</t>
  </si>
  <si>
    <t>трёхчастная художественная композиция, прославляющая историю, власть и происхождение семьи.</t>
  </si>
  <si>
    <t>Гобелен триумфа</t>
  </si>
  <si>
    <t>22 фнт.</t>
  </si>
  <si>
    <t>богатый настенный гобелен с изображением битвы, коронации, охоты или великой победы.</t>
  </si>
  <si>
    <t>Реликварный ковчег работы мастера</t>
  </si>
  <si>
    <t>7 000 зм</t>
  </si>
  <si>
    <t>богато украшенный ковчег для хранения священных останков, реликвий или династических ценностей.</t>
  </si>
  <si>
    <t>Серебряная диадема церемониальная</t>
  </si>
  <si>
    <t>дорогая церемониальная диадема для официальных выходов, торжеств и представления статуса.</t>
  </si>
  <si>
    <t>Каменный фонтанный ансамбль</t>
  </si>
  <si>
    <t>600 фнт.</t>
  </si>
  <si>
    <t>крупная декоративная композиция для сада, дворцового двора, крытого атриума или сквера.</t>
  </si>
  <si>
    <t>Золотой кубок династии</t>
  </si>
  <si>
    <t>парадный кубок рода, используемый для коронаций, клятв, юбилеев и других исключительных событий.</t>
  </si>
  <si>
    <t>Монументальное полотно о победе</t>
  </si>
  <si>
    <t>огромная картина, созданная для прославления военной кампании, восстания или основания государства.</t>
  </si>
  <si>
    <t>Платиновые карманные часы двора</t>
  </si>
  <si>
    <t>крайне дорогие часы тонкой работы, уместные лишь у придворных, магнатов и наследников старых фамилий.</t>
  </si>
  <si>
    <t>Платина</t>
  </si>
  <si>
    <t>Стеклянная люстра для дворцового зала</t>
  </si>
  <si>
    <t>большая художественная люстра, рассчитанная на центральный зал особняка, театра или дворца.</t>
  </si>
  <si>
    <t>Золотой бюст правителя</t>
  </si>
  <si>
    <t>роскошный бюст монарха, губернатора или основателя династии для тронного зала или мавзолея.</t>
  </si>
  <si>
    <t>Городской памятный барельеф</t>
  </si>
  <si>
    <t>30 000 зм</t>
  </si>
  <si>
    <t>1 200 фнт.</t>
  </si>
  <si>
    <t>масштабный рельеф для городской стены, арки, мемориала или фасада общественного здания.</t>
  </si>
  <si>
    <t>Цикл дворцовых витражей</t>
  </si>
  <si>
    <t>40 000 зм</t>
  </si>
  <si>
    <t>300 фнт.</t>
  </si>
  <si>
    <t>серия больших витражных композиций, объединённых общей темой, родовой историей или религиозным сюжетом.</t>
  </si>
  <si>
    <t>Мозаичный тронный экран</t>
  </si>
  <si>
    <t>50 000 зм</t>
  </si>
  <si>
    <t>большая декоративная перегородка за троном, алтарём или кафедрой, полностью покрытая сложной мозаикой.</t>
  </si>
  <si>
    <t>Платиновая корона дома</t>
  </si>
  <si>
    <t>75 000 зм</t>
  </si>
  <si>
    <t>редчайшая церемониальная корона старого дома, существующая как символ наследия, власти и богатства.</t>
  </si>
  <si>
    <t>Монументальная статуя святого-покровителя</t>
  </si>
  <si>
    <t>100 000 зм</t>
  </si>
  <si>
    <t>3 000 фнт.</t>
  </si>
  <si>
    <t>огромная заказная статуя для собора, городской площади или родового комплекса, рассчитанная на века.</t>
  </si>
  <si>
    <t>Железная оболочка</t>
  </si>
  <si>
    <t>Имплант</t>
  </si>
  <si>
    <t>Клиника аугментаций</t>
  </si>
  <si>
    <t>базовая металлическая замена для тяжело повреждённого тела, грубая, тяжёлая и рассчитанная на выживание, а не на удобство.</t>
  </si>
  <si>
    <t>Стальная оболочка</t>
  </si>
  <si>
    <t>более надёжная и долговечная искусственная оболочка для глубокой телесной реконструкции.</t>
  </si>
  <si>
    <t>Мифриловая оболочка</t>
  </si>
  <si>
    <t>дорогая облегчённая оболочка, сочетающая высокую прочность, гибкость и сложную тонкую подгонку под носителя.</t>
  </si>
  <si>
    <t>Мифрил</t>
  </si>
  <si>
    <t>Адамантовая оболочка</t>
  </si>
  <si>
    <t>тяжёлая элитная оболочка, собранная из почти неразрушимых элементов и рассчитанная на предельные нагрузки.</t>
  </si>
  <si>
    <t>Адамантин</t>
  </si>
  <si>
    <t>Усиленная оболочка</t>
  </si>
  <si>
    <t>15000 зм</t>
  </si>
  <si>
    <t>крайне дорогая полная перестройка тела, заменяющая самые уязвимые узлы на усиленные искусственные аналоги.</t>
  </si>
  <si>
    <t>Настроенные сервоприводы</t>
  </si>
  <si>
    <t>точно откалиброванные приводы и тяги, повышающие плавность, скорость и тонкость движений.</t>
  </si>
  <si>
    <t>Сокрушительные конечности</t>
  </si>
  <si>
    <t>усиленные искусственные конечности, рассчитанные на грубую силу, прорыв и тяжёлую физическую работу.</t>
  </si>
  <si>
    <t>Помощь в построении траектории</t>
  </si>
  <si>
    <t>встроенный узел расчёта движения, помогающий владельцу точнее оценивать угол, упреждение и направление выстрела.</t>
  </si>
  <si>
    <t>Дополнительная конечность</t>
  </si>
  <si>
    <t>второстепенная вспомогательная рука для инструментов, мелких предметов и повседневных манипуляций.</t>
  </si>
  <si>
    <t>Конденсатор магии</t>
  </si>
  <si>
    <t>встраиваемый резервуар для накопления и удержания магической энергии, применяемый заклинателями и техномантами.</t>
  </si>
  <si>
    <t>Осколок маны</t>
  </si>
  <si>
    <t>Импульсные ноги</t>
  </si>
  <si>
    <t>пара усиленных ног с резким стартовым импульсом, предназначенных для стремительных рывков и быстрых разгонов.</t>
  </si>
  <si>
    <t>Модуль чувства жизни</t>
  </si>
  <si>
    <t>тонкий сенсорный узел, улавливающий присутствие живых существ и аномально активных тел поблизости.</t>
  </si>
  <si>
    <t>Ультразвуковые датчики</t>
  </si>
  <si>
    <t>встроенные слуховые резонаторы, позволяющие ориентироваться по отражённым вибрациям и звуковым импульсам.</t>
  </si>
  <si>
    <t>Модуль парения</t>
  </si>
  <si>
    <t>лёгкий стабилизирующий узел, удерживающий тело в более ровном и устойчивом положении в воздухе.</t>
  </si>
  <si>
    <t>Телепатический модуль</t>
  </si>
  <si>
    <t>псевдомагический передатчик для беззвучного мысленного контакта на короткой дистанции.</t>
  </si>
  <si>
    <t>Сильные ноги</t>
  </si>
  <si>
    <t>простая усиленная пара ног, рассчитанная на уверенную походку, быстрый шаг и длительное движение.</t>
  </si>
  <si>
    <t>Механизм перезарядки оружия</t>
  </si>
  <si>
    <t>встроенный рукавный механизм подачи боеприпасов для стрелков, охотников и бойцов с огнестрелом.</t>
  </si>
  <si>
    <t>Великое хранилище энергии</t>
  </si>
  <si>
    <t>объёмный энергетический резервуар, собирающий и удерживающий избыток тока или сходных силовых импульсов.</t>
  </si>
  <si>
    <t>Синтезатор яда</t>
  </si>
  <si>
    <t>опасный встроенный химический аппарат, производящий и накапливающий токсичные смеси прямо в теле носителя.</t>
  </si>
  <si>
    <t>Железный голем</t>
  </si>
  <si>
    <t>Кости Тролля</t>
  </si>
  <si>
    <t>грубый органический имплант из переработанного чудовищного материала, известный живучестью и стойкостью.</t>
  </si>
  <si>
    <t>Тролль</t>
  </si>
  <si>
    <t>Пыль призрака</t>
  </si>
  <si>
    <t>125 зм</t>
  </si>
  <si>
    <t>тонкая сверхъестественная примесь, вживляемая или вплавляемая в тело ради контакта с мёртвой материей.</t>
  </si>
  <si>
    <t>Коготь чудовища</t>
  </si>
  <si>
    <t>боевой органический имплант, заменяющий кисть или пальцы на хищный режущий вырост.</t>
  </si>
  <si>
    <t>Сердце чудовища</t>
  </si>
  <si>
    <t>пересаженный или переработанный внутренний орган чудовищного происхождения, укрепляющий тело носителя.</t>
  </si>
  <si>
    <t>Язык чудовища</t>
  </si>
  <si>
    <t>редкий языковой имплант из чудовищной ткани, меняющий речь, артикуляцию и странно перестраивающий голос.</t>
  </si>
  <si>
    <t>Щупальце чудовища</t>
  </si>
  <si>
    <t>гибкий живой придаток, вживлённый вместо конечности или рядом с ней для необычного хвата и досягаемости.</t>
  </si>
  <si>
    <t>Ледяной клык</t>
  </si>
  <si>
    <t>зубной или челюстной имплант из холодной чудовищной ткани, источающий морозную сырость.</t>
  </si>
  <si>
    <t>Эктоплазма</t>
  </si>
  <si>
    <t>полуживая призрачная субстанция, вплавленная в конечность или узел тела ради нестабильной фазовой пластики.</t>
  </si>
  <si>
    <t>Ядовитый шип</t>
  </si>
  <si>
    <t>острый органический вырост с токсичной полостью, обычно ставящийся в кисть, предплечье или хвостовой узел.</t>
  </si>
  <si>
    <t>Эссенция света</t>
  </si>
  <si>
    <t>светоносная внутренняя вставка, заставляющая тело испускать мягкое или резкое сияние.</t>
  </si>
  <si>
    <t>Деревянная рука</t>
  </si>
  <si>
    <t>простая дешёвая замена утраченной руки, пригодная для грубой повседневной жизни и базового труда.</t>
  </si>
  <si>
    <t>Деревянная нога</t>
  </si>
  <si>
    <t>примитивный деревянный протез для ходьбы, обычно используемый бедняками, моряками и ветеранами.</t>
  </si>
  <si>
    <t>Стеклянный глаз</t>
  </si>
  <si>
    <t>искусственный глаз из шлифованного стекла, главным образом сохраняющий внешний вид лица.</t>
  </si>
  <si>
    <t>Металлическая челюсть</t>
  </si>
  <si>
    <t>простая металлическая замена нижней челюсти, популярная среди бойцов, рабочих и тех, кто пережил тяжёлую травму.</t>
  </si>
  <si>
    <t>Спинной протез</t>
  </si>
  <si>
    <t>внутренний каркас для поддержки позвоночника и таза после тяжёлых переломов или разрушения костей.</t>
  </si>
  <si>
    <t>Модуль имитации речи</t>
  </si>
  <si>
    <t>встроенный речевой узел для тех, кто утратил язык, голосовые ткани или нормальную артикуляцию.</t>
  </si>
  <si>
    <t>Пиратский крюк</t>
  </si>
  <si>
    <t>простая замена кисти в виде прочного крюка для работы, лазания и грубого удержания предметов.</t>
  </si>
  <si>
    <t>Металлическая рука</t>
  </si>
  <si>
    <t>функциональный искусственный протез руки, рассчитанный на обычную повседневную нагрузку.</t>
  </si>
  <si>
    <t>Металлическая нога</t>
  </si>
  <si>
    <t>прочный металлический протез ноги для уверенной ходьбы и умеренной физической работы.</t>
  </si>
  <si>
    <t>Искусственный глаз</t>
  </si>
  <si>
    <t>дорогой глазной протез, внешне почти неотличимый от настоящего и выполненный с тонкой подгонкой.</t>
  </si>
  <si>
    <t>Эстетический протез</t>
  </si>
  <si>
    <t>декоративный телесный элемент для красоты, статуса, моды или эксцентричного образа.</t>
  </si>
  <si>
    <t>Кожа кракена</t>
  </si>
  <si>
    <t>редчайший древний телесный покров из чудовищной ткани, известный упругостью, плотностью и опасной проводимостью.</t>
  </si>
  <si>
    <t>Кракен</t>
  </si>
  <si>
    <t>Сердце левиафна</t>
  </si>
  <si>
    <t>12500 зм</t>
  </si>
  <si>
    <t>крайне редкий внутренний имплант из материала левиафана, меняющий ритм тела и восприятие живого мира.</t>
  </si>
  <si>
    <t>Кристальный левиафан</t>
  </si>
  <si>
    <t>Лёгкое чудовища</t>
  </si>
  <si>
    <t>пересаженный дыхательный узел из чудовищной ткани, рассчитанный на тяжёлую среду и долгую задержку дыхания.</t>
  </si>
  <si>
    <t>Регенерирующая плоть</t>
  </si>
  <si>
    <t>живой восстанавливающийся фрагмент ткани, пришиваемый к телу для медленного обратного наращивания плоти.</t>
  </si>
  <si>
    <t>Живая вода</t>
  </si>
  <si>
    <t>1800 зм</t>
  </si>
  <si>
    <t>священная или алхимически одушевлённая жидкость, вводимая в тело как редкий внутренний жизненный агент.</t>
  </si>
  <si>
    <t>Монолитное тело</t>
  </si>
  <si>
    <t>усиленный каркас и плотная связка внутренних пластин, делающая тело более цельным и устойчивым к нагрузке.</t>
  </si>
  <si>
    <t>Откалиброванные сервоприводы</t>
  </si>
  <si>
    <t>более совершенная версия приводов с точной балансировкой и предсказуемой реакцией суставов.</t>
  </si>
  <si>
    <t>Навесная броня</t>
  </si>
  <si>
    <t>набор внешних бронепластин, крепящихся прямо к протезу, каркасу или искусственному телу.</t>
  </si>
  <si>
    <t>Встроенный станок</t>
  </si>
  <si>
    <t>встраиваемый ремесленный узел, превращающий тело носителя в специализированную рабочую платформу.</t>
  </si>
  <si>
    <t>Модуль ночного зрения</t>
  </si>
  <si>
    <t>оптическая или маготехническая вставка, улучшающая зрение в темноте и сумерках.</t>
  </si>
  <si>
    <t>Импульсные двигатели</t>
  </si>
  <si>
    <t>встроенные ускорительные узлы для прыжков, резких толчков и смягчения падений.</t>
  </si>
  <si>
    <t>Модуль с препаратами</t>
  </si>
  <si>
    <t>внутренний отсек для хранения и автоматической подачи зелий, инъекций или иных химических составов.</t>
  </si>
  <si>
    <t>Серебрение оружия</t>
  </si>
  <si>
    <t>Мастерская усовершенствований</t>
  </si>
  <si>
    <t>дорогая серебряная отделка клинка, наконечника или боевой кромки для охоты на нечисть и тварей ночи.</t>
  </si>
  <si>
    <t>Адамантиновое покрытие</t>
  </si>
  <si>
    <t>Мастерская улучшений</t>
  </si>
  <si>
    <t>слой редкого сверхпрочного металла, наносимый на оружие или боеприпас ради разрушительной пробивной силы.</t>
  </si>
  <si>
    <t>Эльфийская сталь</t>
  </si>
  <si>
    <t>тонко обработанная лёгкая сталь, ценимая за баланс, чистоту кромки и изящество работы.</t>
  </si>
  <si>
    <t>Кристаллы забытых Титанов</t>
  </si>
  <si>
    <t>редкие древние кристаллические вставки для оружия, хранящие тяжёлое и чуждое эхо старых эпох.</t>
  </si>
  <si>
    <t>Кристалы забытых титанов</t>
  </si>
  <si>
    <t>Кости мантикоры</t>
  </si>
  <si>
    <t>375 зм</t>
  </si>
  <si>
    <t>комплект костяных деталей и накладок чудовищного происхождения для жёсткого боевого усиления оружия.</t>
  </si>
  <si>
    <t>Осколки метеоритных звёзд</t>
  </si>
  <si>
    <t>1250 зм</t>
  </si>
  <si>
    <t>метеоритные вкрапления, ввариваемые или вбиваемые в оружие ради редкой небесной прочности.</t>
  </si>
  <si>
    <t>Искажающая сталь</t>
  </si>
  <si>
    <t>необычный металл с нестабильной внутренней структурой, популярный среди охотников на аномальных существ.</t>
  </si>
  <si>
    <t>Дьявольское железо</t>
  </si>
  <si>
    <t>тёмный жаропрочный металл с тревожной репутацией, используемый для специфического боевого снаряжения.</t>
  </si>
  <si>
    <t>Ночная сталь</t>
  </si>
  <si>
    <t>редкая затемнённая сталь для скрытных бойцов, дуэлянтов и тех, кто ценит внезапность.</t>
  </si>
  <si>
    <t>Радужный металл</t>
  </si>
  <si>
    <t>декоративный переливающийся сплав, особенно любимый дуэлянтами, модниками и богачами.</t>
  </si>
  <si>
    <t>Коричневая сталь</t>
  </si>
  <si>
    <t>особый сплав, известный среди военных мастерских как материал для грубого и эффективного оружия.</t>
  </si>
  <si>
    <t>Адамантиновая отделка доспеха</t>
  </si>
  <si>
    <t>дорогое усиление доспеха вставками или накладками из адамантина.</t>
  </si>
  <si>
    <t>Мифриловая переделка доспеха</t>
  </si>
  <si>
    <t>облегчённая перестройка доспеха на мифрильной основе для более удобной и тихой носки.</t>
  </si>
  <si>
    <t>Лунный металл</t>
  </si>
  <si>
    <t>редкий светлый металл для тихой, гибкой и дорогой верхней одежды боевого класса.</t>
  </si>
  <si>
    <t>Шерсть гриффона</t>
  </si>
  <si>
    <t>ценный чудовищный материал для накидок, подбоев и походной одежды улучшенного качества.</t>
  </si>
  <si>
    <t>Корень драконьего дерева</t>
  </si>
  <si>
    <t>875 зм</t>
  </si>
  <si>
    <t>плотный и необычайно живучий древесный материал для тяжёлой укреплённой одежды и доспешных деталей.</t>
  </si>
  <si>
    <t>Хребет чудовища</t>
  </si>
  <si>
    <t>грубый костяной материал для врезки в броню, щиты и тяжёлые защитные элементы.</t>
  </si>
  <si>
    <t>Зачарование поглощения</t>
  </si>
  <si>
    <t>простая защитная пропитка или руническая вставка, помогающая гасить часть входящего воздействия.</t>
  </si>
  <si>
    <t>Чернила чудовища</t>
  </si>
  <si>
    <t>Осколок тени</t>
  </si>
  <si>
    <t>малый теневой фрагмент для врезки в амулеты, трости, маски и иные необычные предметы.</t>
  </si>
  <si>
    <t>Осколок черепа чудовища</t>
  </si>
  <si>
    <t>мрачный костяной фрагмент для вшивания в одежду, маски и устрашающие аксессуары.</t>
  </si>
  <si>
    <t>натуральная чудовищная накладка для кастетов, боевых перчаток и схожего оружия ближнего боя.</t>
  </si>
  <si>
    <t>Шкура чудовища</t>
  </si>
  <si>
    <t>плотный обработанный чудовищный покров для верхней одежды, щитов и тяжёлых плащей.</t>
  </si>
  <si>
    <t>Жало чудовища</t>
  </si>
  <si>
    <t>токсичный боевой элемент, встраиваемый в оружие как редкое и опасное усиление.</t>
  </si>
  <si>
    <t>Желчный покров</t>
  </si>
  <si>
    <t>едкая органическая пропитка для неметаллического оружия, применяемая в чёрных мастерских и среди охотников.</t>
  </si>
  <si>
    <t>Желчь чудовища</t>
  </si>
  <si>
    <t>Хитиновое покрытие</t>
  </si>
  <si>
    <t>лёгкая пластинчатая нашивка из чудовищного хитина для одежды и доспешных элементов.</t>
  </si>
  <si>
    <t>Хитин чудовища</t>
  </si>
  <si>
    <t>Фрагмент панциря чудовища</t>
  </si>
  <si>
    <t>твёрдый чудовищный щитовой сегмент для укрепления щитов и тяжёлой брони.</t>
  </si>
  <si>
    <t>Сухожилие чудовища</t>
  </si>
  <si>
    <t>упругое органическое волокно для тетив, натяжных систем и дальнобойного оружия.</t>
  </si>
  <si>
    <t>Зачарование прыжков</t>
  </si>
  <si>
    <t>лёгкая магическая вшивка для сапог, поножей и одежды путешественников.</t>
  </si>
  <si>
    <t>Эссенция воздуха</t>
  </si>
  <si>
    <t>Рог чудовища</t>
  </si>
  <si>
    <t>роговой боевой наконечник или шип, устанавливаемый на оружие ради более жёсткой пробивной геометрии.</t>
  </si>
  <si>
    <t>Чешуя монстра</t>
  </si>
  <si>
    <t>защитная чешуйчатая облицовка для одежды и доспехов из редкого чудовищного сырья.</t>
  </si>
  <si>
    <t>редкий органический модуль для необычного оружия, хлыстов, хватательных систем и экзотической оснастки.</t>
  </si>
  <si>
    <t>Щупальце чудовище</t>
  </si>
  <si>
    <t>Душевное зачарование</t>
  </si>
  <si>
    <t>социальная магическая отделка украшений, масок и чудесных предметов, усиливающая обаяние владельца.</t>
  </si>
  <si>
    <t>Малый осколок души</t>
  </si>
  <si>
    <t>Закалённая чешуя</t>
  </si>
  <si>
    <t>усиленная версия чешуйчатого покрытия для защитной одежды и походной брони.</t>
  </si>
  <si>
    <t>холодный хищный фрагмент для боевой отделки оружия, особенно популярный у северян и охотников.</t>
  </si>
  <si>
    <t>неустойчивая призрачная субстанция для тонких маготехнических вставок в редкие предметы.</t>
  </si>
  <si>
    <t>Эссенция тени</t>
  </si>
  <si>
    <t>густая теневая примесь для оружия и декоративных предметов зловещего вида.</t>
  </si>
  <si>
    <t>Эсенция тени</t>
  </si>
  <si>
    <t>Малое зачарование остроты</t>
  </si>
  <si>
    <t>базовая магическая доводка оружия, повышающая его боевую ценность и престиж.</t>
  </si>
  <si>
    <t>Малое зачарование защиты</t>
  </si>
  <si>
    <t>простое защитное наложение на одежду, плащи, кирасы и иные носимые вещи.</t>
  </si>
  <si>
    <t>Малое зачарование стойкости</t>
  </si>
  <si>
    <t>универсальное малое усиление для личных предметов, талисманов и походного снаряжения.</t>
  </si>
  <si>
    <t>Панцирь чудовища</t>
  </si>
  <si>
    <t>крупный и прочный чудовищный сегмент для дорогой защитной одежды и тяжёлой брони.</t>
  </si>
  <si>
    <t>Гигантский коготь</t>
  </si>
  <si>
    <t>4800 зм</t>
  </si>
  <si>
    <t>огромный боевой фрагмент, который ставят на редкое оружие как трофейное и устрашающее усиление.</t>
  </si>
  <si>
    <t>Гиганский коготь</t>
  </si>
  <si>
    <t>Зачарование некромантии</t>
  </si>
  <si>
    <t>тёмная магическая врезка для оружия, популярная у запретных школ и чёрных ремесленников.</t>
  </si>
  <si>
    <t>Эссенция духа</t>
  </si>
  <si>
    <t>Живой корень</t>
  </si>
  <si>
    <t>полуживой растительный материал для экзотических доспехов, посохов, щитов и оружия.</t>
  </si>
  <si>
    <t>Бивень чудовища</t>
  </si>
  <si>
    <t>массивный костяной усилитель для тяжёлого оружия, рассчитанного на грубое сокрушение.</t>
  </si>
  <si>
    <t>светоносная защитная вшивка для одежд, мантий и церемониальных доспехов.</t>
  </si>
  <si>
    <t>Грозовой камень</t>
  </si>
  <si>
    <t>заряжённый минерал для оружейных и техномагических врезок электрического профиля.</t>
  </si>
  <si>
    <t>3600 зм</t>
  </si>
  <si>
    <t>редкое жизнетворное вещество для личных реликвий, амулетов и особых изделий.</t>
  </si>
  <si>
    <t>Мана-ускоритель</t>
  </si>
  <si>
    <t>маготехнический боевой узел, ускоряющий работу оружейной системы или её энергетической части.</t>
  </si>
  <si>
    <t>Магический конденсатор</t>
  </si>
  <si>
    <t>Зачарование остроты</t>
  </si>
  <si>
    <t>полноценная мастерская зачаровка боевого оружия высокого качества.</t>
  </si>
  <si>
    <t>Крупный кристал маны</t>
  </si>
  <si>
    <t>Зачарование защиты</t>
  </si>
  <si>
    <t>полноценное защитное зачарование верхней одежды, доспеха или щита.</t>
  </si>
  <si>
    <t>Огненная мазь</t>
  </si>
  <si>
    <t>редкая пылающая боевая пропитка для оружия, требующая особого хранения и нанесения.</t>
  </si>
  <si>
    <t>Пылающее ядро</t>
  </si>
  <si>
    <t>Ледяная мазь</t>
  </si>
  <si>
    <t>13500 зм</t>
  </si>
  <si>
    <t>редкая морозная пропитка для оружия, оставляющая на металле холодный налёт и иней.</t>
  </si>
  <si>
    <t>Заиндевелое ядро</t>
  </si>
  <si>
    <t>Великое зачарование остроты</t>
  </si>
  <si>
    <t>12000 зм</t>
  </si>
  <si>
    <t>дорогая высшая зачаровка оружия для элитных бойцов, трофеев и статусных клинков.</t>
  </si>
  <si>
    <t>Великий осколок души</t>
  </si>
  <si>
    <t>Великое зачарование защиты</t>
  </si>
  <si>
    <t>дорогая высшая защитная обработка доспеха или верхней одежды.</t>
  </si>
  <si>
    <t>Эссенция кошмара</t>
  </si>
  <si>
    <t>жуткая тёмная примесь для оружия, реликвий и предметов устрашающего ритуального назначения.</t>
  </si>
  <si>
    <t>Сердцевина древня</t>
  </si>
  <si>
    <t>редкий растительный сердечник для живых доспехов, органических кирас и друидических одеяний.</t>
  </si>
  <si>
    <t>Священная сталь</t>
  </si>
  <si>
    <t>18000 зм</t>
  </si>
  <si>
    <t>светоносный высокочистый металл для церемониального и охотничьего оружия высшего класса.</t>
  </si>
  <si>
    <t>Эссенция небес</t>
  </si>
  <si>
    <t>Астральное жало</t>
  </si>
  <si>
    <t>редчайшая пространственная вставка для экзотического оружия, связанного с иными планами.</t>
  </si>
  <si>
    <t>Астральный котёл</t>
  </si>
  <si>
    <t>Паучья тетива</t>
  </si>
  <si>
    <t>тягучая прочная тетива из чудовищной паутины для дальнобойного оружия и охотничьих луков.</t>
  </si>
  <si>
    <t>Паутина гиганского паука</t>
  </si>
  <si>
    <t>Фейское плечо</t>
  </si>
  <si>
    <t>гибкий древесный плечевой элемент для луков, ценимый за лёгкость и упругую силу.</t>
  </si>
  <si>
    <t>Фейское дерево</t>
  </si>
  <si>
    <t>Крупный топор с длинной рукоятью и острым лезвием</t>
  </si>
  <si>
    <t>Очки модификации</t>
  </si>
  <si>
    <t>Требования</t>
  </si>
  <si>
    <t>Цена (ЗМ ) и Источник</t>
  </si>
  <si>
    <t>Тип</t>
  </si>
  <si>
    <t>Оболочка (0)</t>
  </si>
  <si>
    <t>Срок жизни — 10 лет</t>
  </si>
  <si>
    <t>Механические</t>
  </si>
  <si>
    <t>Срок жизни — 30 лет</t>
  </si>
  <si>
    <t>Гражданские</t>
  </si>
  <si>
    <t>Общие</t>
  </si>
  <si>
    <t>Военные</t>
  </si>
  <si>
    <t>Сверхтяжёлые</t>
  </si>
  <si>
    <t>Транспортный узел</t>
  </si>
  <si>
    <t>Срок жизни — 50 лет</t>
  </si>
  <si>
    <t>Гуманоиды</t>
  </si>
  <si>
    <t>Без проблем</t>
  </si>
  <si>
    <t>Объденение</t>
  </si>
  <si>
    <t>Невозможно</t>
  </si>
  <si>
    <t>Срок жизни — 100 лет</t>
  </si>
  <si>
    <t>Синтеты</t>
  </si>
  <si>
    <t>Вы полностью перестраиваете своё тело и оболочку заменяя уязвимые части тела. Если ваши хиты опускаються до 0, то оболочка не теряет срок жизни.</t>
  </si>
  <si>
    <t>Железорождённые</t>
  </si>
  <si>
    <t>Настроенные сервопривод</t>
  </si>
  <si>
    <t>Ваше значение Ловкости увеличивается на 2, с максимумом 22</t>
  </si>
  <si>
    <t>Военная</t>
  </si>
  <si>
    <t>Сокрушительные конечности (М)</t>
  </si>
  <si>
    <t>Ваша Сила становится равна 19. Конечности не оказывают на Вас эффект, если ваша Сила без них уже 19 или выше.</t>
  </si>
  <si>
    <t>Сила не менее 13</t>
  </si>
  <si>
    <t>Вы совершаете атаки оружием с бонусом +1</t>
  </si>
  <si>
    <t>Интеллект не менее 13</t>
  </si>
  <si>
    <t>Биологические</t>
  </si>
  <si>
    <t>Вы устанавливаете второстепенную руку немного меньшего размера. Второстепенная рука может манипулировать предметами, открывать или закрывать двери или контейнеры, поднимать или класть Крошечные предметы или держать оружие, обладающее свойством «лёгкое». Вы можете установить эту модификацию несколько раз в ваше Тело пока у вас есть очки модификации для этого.</t>
  </si>
  <si>
    <t>Волшебные</t>
  </si>
  <si>
    <t>Древние</t>
  </si>
  <si>
    <t>Титанические</t>
  </si>
  <si>
    <t>Конденсатор магии (М)</t>
  </si>
  <si>
    <t>1–5</t>
  </si>
  <si>
    <t>Вы получаете одну дополнительную ячейку уровень которой равен количеству потраченных очков модификации и которая не превышает ваш максимальный доступный уровень ячеек.</t>
  </si>
  <si>
    <t>Умение «Использование заклинаний»</t>
  </si>
  <si>
    <t>2000 зм (Осколок маны)</t>
  </si>
  <si>
    <t>Синтеты и железорождённые</t>
  </si>
  <si>
    <t>Если в прошлом ходу вы потратили 0 футов перемещения, то в начале хода можете удвоить свою скорость до конца текущего хода.</t>
  </si>
  <si>
    <t>Модуль чувства жизни (М)</t>
  </si>
  <si>
    <t>Используя магию школы Прорицания вы чувствуете жизнь от существ в пределах 30 футах. Вы можете видеть всех невидимых существ в этой области и они не могут скрыться от вас пока не защищены от магии прорицания.</t>
  </si>
  <si>
    <t>Половинные заклинатели</t>
  </si>
  <si>
    <t>Вы получаете слепое зрение в пределах 10 футов. Вы не можете использовать его, если находитесь под воздействием Глухоты. Если вы уже обладаете слепым зрением, то оно увеличивается на 10 футов.</t>
  </si>
  <si>
    <t>Полные заклинатели</t>
  </si>
  <si>
    <t>Вы можете парить пока летаете.</t>
  </si>
  <si>
    <t>Скорость полёта</t>
  </si>
  <si>
    <t>Заклинатель с мифической расой</t>
  </si>
  <si>
    <t>Телепатический модуль (М)</t>
  </si>
  <si>
    <t>Вы можете общаться телепатически с любым существом, которое видите в пределах 60 футов.</t>
  </si>
  <si>
    <t>Если раса персонажа мифическая, то он считается персонажем на одну ступень ниже по возможностям объеденения</t>
  </si>
  <si>
    <t>Ваша скорость увеличивается на 10 футов.</t>
  </si>
  <si>
    <t>Вы можете действием встроить в свою руку вплоть до 20 боеприпасов. Когда вы атакуете дальнобойным или огнестрельным оружием со свойством Боеприпас, удерживаемым в этой руке, то, чтобы вставить новый боеприпас вам не нужна свободная рука.</t>
  </si>
  <si>
    <t>Если вы получаете хотя бы 1 урона электричеством в течении часа активности, то получаете бонус +1 к спасброску Телосложения, соверщённым против экстра-работы</t>
  </si>
  <si>
    <r>
      <rPr>
        <rFont val="Open Sans"/>
        <color rgb="FF000000"/>
        <sz val="9.0"/>
      </rPr>
      <t xml:space="preserve">Синтезатор яда обладает запасом яда в виде 12к8. Когда вы используете дыхание ядом, то расходуете кости из запаса, но не более чем 6к8 за раз. Одна кость восстанавливается в течении часа.
Вы можете Бонусным действием либо вместо одной из атак выплеснуть ядовитую струю 10-футовым конусом. Все цели в области поражения должны совершить спасбросок Телосложения Сл вашего класса. </t>
    </r>
    <r>
      <rPr>
        <rFont val="Open Sans"/>
        <b/>
        <color rgb="FF000000"/>
        <sz val="9.0"/>
      </rPr>
      <t>Провал:</t>
    </r>
    <r>
      <rPr>
        <rFont val="Open Sans"/>
        <color rgb="FF000000"/>
        <sz val="9.0"/>
      </rPr>
      <t xml:space="preserve"> цель получает урон ядом в количестве равном потрачены костям. </t>
    </r>
    <r>
      <rPr>
        <rFont val="Open Sans"/>
        <b/>
        <color rgb="FF000000"/>
        <sz val="9.0"/>
      </rPr>
      <t>Успех:</t>
    </r>
    <r>
      <rPr>
        <rFont val="Open Sans"/>
        <color rgb="FF000000"/>
        <sz val="9.0"/>
      </rPr>
      <t xml:space="preserve"> половина урона</t>
    </r>
  </si>
  <si>
    <t>10000 зм (железный голем)</t>
  </si>
  <si>
    <t>200 зм (Тролль)</t>
  </si>
  <si>
    <t>Вы получаете бонус +1 к броскам урона оружием против нежити</t>
  </si>
  <si>
    <t>125 зм (Пыль призрака)</t>
  </si>
  <si>
    <t>Вы можете использовать когти для совершения безоружных ударов. Если вы совершаете атаку ими, вы наносите рубящий урон, равный 1к3 + ваш модификатор Силы, вместо дробящего урона, обычного для безоружного удара.</t>
  </si>
  <si>
    <t>50 зм (Коготь чудовища)</t>
  </si>
  <si>
    <t>Вы получаете бонус +1 к спасброскам Телосложения</t>
  </si>
  <si>
    <t>150 зм (Сердце чудовища)</t>
  </si>
  <si>
    <t>Язык чудовища (м)</t>
  </si>
  <si>
    <t>Вы можете неограниченно действием накладывать заклинание понимание языков [comprehend languages].</t>
  </si>
  <si>
    <t>100 зм (Язык чудовища)</t>
  </si>
  <si>
    <t>Вы можете использовать когти для совершения безоружных ударов. Если вы совершаете атаку ими, вы наносите 1к4 + ваш модификатор Силы дробящего урона. Досягаемость таких безоружных атак увеличиваются на 5 футов.</t>
  </si>
  <si>
    <t>500 зм (Щупальце чудовища)</t>
  </si>
  <si>
    <r>
      <rPr>
        <rFont val="Open Sans"/>
        <color theme="1"/>
        <sz val="9.0"/>
      </rPr>
      <t xml:space="preserve">Вы можете дышать льдом. Вы можете совершить особую атаку дыханием. Существо в пределах вашей досягаемости должно совершить спасбросок Телосложения Сл вашего класса. </t>
    </r>
    <r>
      <rPr>
        <rFont val="Open Sans"/>
        <b/>
        <color theme="1"/>
        <sz val="9.0"/>
      </rPr>
      <t>Провал:</t>
    </r>
    <r>
      <rPr>
        <rFont val="Open Sans"/>
        <color theme="1"/>
        <sz val="9.0"/>
      </rPr>
      <t xml:space="preserve">  2к6 урона холодом. </t>
    </r>
    <r>
      <rPr>
        <rFont val="Open Sans"/>
        <b/>
        <color theme="1"/>
        <sz val="9.0"/>
      </rPr>
      <t>Успех:</t>
    </r>
    <r>
      <rPr>
        <rFont val="Open Sans"/>
        <color theme="1"/>
        <sz val="9.0"/>
      </rPr>
      <t xml:space="preserve"> Половина урона.</t>
    </r>
  </si>
  <si>
    <t>500 зм (Ледяной клык)</t>
  </si>
  <si>
    <t>Вы можете сделать нематериальной конечность на которую установили этот имплант (никаких действий не требуется) на 1 минуту. Вы можете использовать это свойство не чаще, чем раз в час. Нематериальная конечность может проходить сквозь материальные объекты. В конце действия особенности конечность выталкивается в близжайшее свободное пространство</t>
  </si>
  <si>
    <t>250 зм (Эктоплазма)</t>
  </si>
  <si>
    <t>Ваши безоружные атаки получают свойство Отравляющее</t>
  </si>
  <si>
    <t>500 зм (Ядовитый шип)</t>
  </si>
  <si>
    <t>Вы можете начать и прекратить испускать вокруг себя свет (Никаких действий не требуется). Яркий свет в радиусе 30 футов и тусклый свет в радиусе ещё 30 футов.</t>
  </si>
  <si>
    <t>100 зм (Эссенция света)</t>
  </si>
  <si>
    <t>Восстанавливает конечность, но не позволяет использовать её для мелкой моторики.</t>
  </si>
  <si>
    <t>Гражданский</t>
  </si>
  <si>
    <t>Круглая стекляшка заменяющая глаз</t>
  </si>
  <si>
    <t>Любимая орками и бойцами арены челюсть позволяет рту функционировать и существовать</t>
  </si>
  <si>
    <t>Протез заменяющий хребет и часть таза позволяет ходить после сильных переломов</t>
  </si>
  <si>
    <t>Модуль иммитации речи (м)</t>
  </si>
  <si>
    <t>Магический модуль, который устанавливается в голову вместо утраченного языка, позволяя носителю говорить  на знакомых ей языках</t>
  </si>
  <si>
    <t>Крюк вместо ладони, который обычно используют моряки или рабочие. Восстанавливает конечность.</t>
  </si>
  <si>
    <t>Восстанавливает конечность.</t>
  </si>
  <si>
    <t>Искуственный глаз</t>
  </si>
  <si>
    <t>Почти идеально повторяющий глаз протез из особой керамики</t>
  </si>
  <si>
    <t>Популярный у богачей протез выполняющий исключительно декроративную функцию вроде третьей руки или же пластины на теле. Может быть удалён без особых трудностей</t>
  </si>
  <si>
    <t>Вы получаете бонус +1 к КД и сопротивление урону электричеством</t>
  </si>
  <si>
    <t>Древняя</t>
  </si>
  <si>
    <t>Вы обучаетесь в два раза быстрее и получаете бонус +2 к проверкам характеристик, которые совершаете взаимодействуюя c любыми существами кроме гуманоидов</t>
  </si>
  <si>
    <t>12500 (Кристальный левиафан)</t>
  </si>
  <si>
    <r>
      <rPr>
        <rFont val="Open Sans"/>
        <color theme="1"/>
        <sz val="9.0"/>
      </rPr>
      <t xml:space="preserve">Вы можете задерживать дыхание в пять раз дольше, чем обычно. Вы получаете владение реакцией </t>
    </r>
    <r>
      <rPr>
        <rFont val="Open Sans"/>
        <b/>
        <color theme="1"/>
        <sz val="9.0"/>
      </rPr>
      <t>Быстрая задержка дыхания ⚡</t>
    </r>
    <r>
      <rPr>
        <rFont val="Open Sans"/>
        <color theme="1"/>
        <sz val="9.0"/>
      </rPr>
      <t xml:space="preserve">. </t>
    </r>
    <r>
      <rPr>
        <rFont val="Open Sans"/>
        <b/>
        <color theme="1"/>
        <sz val="9.0"/>
      </rPr>
      <t>Триггер:</t>
    </r>
    <r>
      <rPr>
        <rFont val="Open Sans"/>
        <color theme="1"/>
        <sz val="9.0"/>
      </rPr>
      <t xml:space="preserve"> Вы попадаете в область с вдыхаемым ядом или под воду, или схожую среду, где бы вы не хотели дышать. </t>
    </r>
    <r>
      <rPr>
        <rFont val="Open Sans"/>
        <b/>
        <color theme="1"/>
        <sz val="9.0"/>
      </rPr>
      <t xml:space="preserve">Эффект: </t>
    </r>
    <r>
      <rPr>
        <rFont val="Open Sans"/>
        <color theme="1"/>
        <sz val="9.0"/>
      </rPr>
      <t xml:space="preserve"> Вы успеваете задержать дыхание до того как источник  области подействует на вас.</t>
    </r>
  </si>
  <si>
    <t>1200 (Лёгкое чудовища)</t>
  </si>
  <si>
    <t>Часть тела куда был установлен имплант способна отрегенерировать в течении семи дней. Если это была голова, то это скорее всего не вернёт вас к жизни</t>
  </si>
  <si>
    <t>1500 зм (Регенерирующая плоть)</t>
  </si>
  <si>
    <t>Ваш тип существа изменяется на Небожителя. Когда вы завершаете продолжительный отдых, то восстанавливаете все потраченные кости хитов, а не половину</t>
  </si>
  <si>
    <t>1800 зм (Живая вода)</t>
  </si>
  <si>
    <t>Вы с преимуществом совершаете спасброски Силы</t>
  </si>
  <si>
    <t>Общая</t>
  </si>
  <si>
    <t>Вы с преимуществом совершаете спасброски Ловкости</t>
  </si>
  <si>
    <t>Вы получаете +1 к КД.</t>
  </si>
  <si>
    <t>Вы устанавливаете в своё тело один набор Ремесленных инструментов. Вы совершаете проверки выбранного инструмента с бонусом +2. Когда вы завершаете продолжительный отдых вы можете выбрать другие ремесленные инструменты.</t>
  </si>
  <si>
    <t>На расстоянии в 30 футов вы при тусклом освещении можете видеть так, как будто это яркое освещение, и в темноте так, как будто это тусклое освещение</t>
  </si>
  <si>
    <t>Высота и дальность ваших прыжков увеличивается в два раза, и вы получаете сопротивление урону от падения.</t>
  </si>
  <si>
    <t>Вы можете в течении минуты вставить зелье или иной схожий предмет в специальное место на вашем теле. В свой ход вы можете использовать предмет без траты действий.</t>
  </si>
  <si>
    <t>Система термоконтроля</t>
  </si>
  <si>
    <t>Вы становитесь адаптированный к экстремальной жаре и холоду.</t>
  </si>
  <si>
    <t>Укреплённые суставы</t>
  </si>
  <si>
    <t>Ваша формула для подсчёта грузоподъемности увеличивается на 2.  Например, с 15 до 17.</t>
  </si>
  <si>
    <t>Модуль укрепления тела</t>
  </si>
  <si>
    <t>Вы совершаете проверки и спасброски Телосложения с бонусом +1.</t>
  </si>
  <si>
    <t>Многофункциональный захват</t>
  </si>
  <si>
    <t>Позволяет вам использовать для совершения одной проверки не один вид инструментов, а два потенциально увеличивая бонус от инструментов в два раза.</t>
  </si>
  <si>
    <t>Интеллект 13</t>
  </si>
  <si>
    <t>Разрисованный корпус</t>
  </si>
  <si>
    <t>Вы разрисовываете своё тело непристойными знаками. Существо, который начинает свой ход в пределах 10 футов от вас не может пережить подобного и становиться Спровоцированным 1 вами, если оно умеет читать.</t>
  </si>
  <si>
    <t>Усиленные ладони</t>
  </si>
  <si>
    <t>Для лазания вам не нужна свободная рука</t>
  </si>
  <si>
    <t>Крепкий шарнир</t>
  </si>
  <si>
    <t>Когда вы совершаете атаку (Захват или Толчок), то получаете бонус +1 к проверке</t>
  </si>
  <si>
    <t>Магнитная ладонь</t>
  </si>
  <si>
    <t>Бонусным действием либо одной из доступных атак вы можете притянуть предмет весом до 5 фунтов в пределах 20 футов, который никто не несет и не носит.</t>
  </si>
  <si>
    <t>Мозг чудовища</t>
  </si>
  <si>
    <t>Ваше значение Интеллекта увеличивается на 1, при максимуме в 20. Это увеличение применяется после всех модификаторов и предметов.</t>
  </si>
  <si>
    <t>Телосложение не менее 16</t>
  </si>
  <si>
    <t>350 зм (Мозг чудовища)</t>
  </si>
  <si>
    <t>Ракетная тяга</t>
  </si>
  <si>
    <t>Вы получаете скорость полёта равную вашей скорости ходьбы. С помощью ракетной тяги вы можете лететь вплоть до 1 часа за раз или по частям. но каждое использование считается как минимум за 1 минуту. Если вы летите, когда час заканчивается, вы спускаетесь со скоростью 30 футов в раунд, пока не приземлитесь.
Тяга восстанавливает 10 минут полёта за каждые 6 часов, пока не используются.</t>
  </si>
  <si>
    <t>Сверхтяжёлая</t>
  </si>
  <si>
    <t>Модуль восстановления</t>
  </si>
  <si>
    <t>Если в начале хода у вас меньше половины хитов, но больше 1, то вы восстанавливаете 1 хит.</t>
  </si>
  <si>
    <t>Контейнер для фамильяра (М)</t>
  </si>
  <si>
    <t>В вашей голове просверливают уютную комнату с системой жизнеобеспечения, где в полном укрытии либо небольшом демиплане сможет проживать маленький или крошечный фамильяр.</t>
  </si>
  <si>
    <t>Доступ к фамильяру</t>
  </si>
  <si>
    <t>Паучьи лапы «Нова Индастриз»</t>
  </si>
  <si>
    <t>Колоссальный экзоскелет «Гефест»</t>
  </si>
  <si>
    <t>Система абсолютного анализа «Спектр»</t>
  </si>
  <si>
    <t>Адаптивная платформа «Левиафан»</t>
  </si>
  <si>
    <t>Оборонительная система «Эгида»</t>
  </si>
  <si>
    <t>Контейнер для фамильяра «Колыбель» (М)</t>
  </si>
  <si>
    <t>Механические крылья «Орион»</t>
  </si>
  <si>
    <t>Ракетная тяга «Орион»</t>
  </si>
  <si>
    <t>Симбиотический мозг (М)</t>
  </si>
  <si>
    <t>Вы совершаете с бонусом +2 проверки Интеллекта и Инициативы. Вы также изучаете одно заклинание волшебника 1-го и 2-го уровня. Вы можете накладывать каждое из этих заклинаний без затрат ячеек заклинаний. Как только вы накладываете любое из этих заклинаний подобным образом, вам необходимо закончить продолжительный отдых, чтобы наложить это заклинание подобным образом вновь. Вы также можете накладывать эти заклинания, используя любые имеющиеся у вас ячейки заклинаний подходящего уровня. Базовой характеристикой для этих заклинаний является Интеллект</t>
  </si>
  <si>
    <t>Интеллект не менее 16</t>
  </si>
  <si>
    <t>Рука бога</t>
  </si>
  <si>
    <t>Вы можете вкладывать на 5 зм больше, когда занимаетесь Ремеслом. Это число увеличивается до 10 зм, если вы занимаетесь Созданием конструкта</t>
  </si>
  <si>
    <t>Интеллект не менее 14, Телосложение не менее 14</t>
  </si>
  <si>
    <t>Хранилище невероятной проницательности</t>
  </si>
  <si>
    <r>
      <rPr>
        <rFont val="Open Sans"/>
        <color theme="1"/>
        <sz val="9.0"/>
      </rPr>
      <t xml:space="preserve">В одной из вашей части тела монтируется особое хранилище в которое вы можете вложить вплоть до 10000 зм. Когда вам необходимо получить какой либо </t>
    </r>
    <r>
      <rPr>
        <rFont val="Open Sans"/>
        <color theme="1"/>
        <sz val="9.0"/>
        <u/>
      </rPr>
      <t xml:space="preserve">немагический предмет снаряжения </t>
    </r>
    <r>
      <rPr>
        <rFont val="Open Sans"/>
        <color theme="1"/>
        <sz val="9.0"/>
      </rPr>
      <t xml:space="preserve">или даже компоненты для любых заклинаний (кроме тех, которые включают в себя алмазы — это единственное, что вы не можете достать), то вы можете вычесть стоимость этого предмета из вложенной суммы — такое создание как вы определённо позаботилось о покупке такого необходимого в данный момент предмета заранее. 
Вы также можете использовать эти деньги для того, чтобы </t>
    </r>
    <r>
      <rPr>
        <rFont val="Open Sans"/>
        <color theme="1"/>
        <sz val="9.0"/>
        <u/>
      </rPr>
      <t>достать зелье</t>
    </r>
    <r>
      <rPr>
        <rFont val="Open Sans"/>
        <color theme="1"/>
        <sz val="9.0"/>
      </rPr>
      <t>, но вы можете достать лишь семь уровней зелий вплоть до момента пока не пополните припасы. 
Если вы полностью истощили запасы, то вам необходимо совершить особый простой длительностью в одну неделю, чтобы восстановить их по своим каналам связи.</t>
    </r>
  </si>
  <si>
    <t>Панцирь кристального левиафана</t>
  </si>
  <si>
    <t>Вы получаете сопротивление урону Холодом и 30 временных хитов. Эти временные хиты восстанавливаются, когда вы завершаете продолжительный отдых.  Если у вас нет временных хитов, то вы получаете поглощение урона 3.</t>
  </si>
  <si>
    <t>22500 (Кристальный левиафан)</t>
  </si>
  <si>
    <t>Титаническая</t>
  </si>
  <si>
    <t>Чешуя Тарраска</t>
  </si>
  <si>
    <t>Вы совершаете с преимуществом спасброски от заклинаний и прочих магических эффектов.
Вы получаете Поглощение урона 10 и ваш КД увеличивается на 1.
Пока этот имплант установлен, то ваше значение телосложение увеличивается на 2 с максимумом 30. Кроме этого пересчитайте свои текущие и максимальные хиты используя максимальное число на кости вместо броска. Если какой либо эффект или повышщение уровеня увеличивает ваши максимальные хиты, то вы можете вместо броска использовать максимальные значения.</t>
  </si>
  <si>
    <t>Телосложение не менее 20</t>
  </si>
  <si>
    <t>20000 (Тарраск)</t>
  </si>
  <si>
    <t>Эссенция хаоса</t>
  </si>
  <si>
    <t>Ваше мировозрение изменяется на Хаотичное и не может быть изменено пока исплант функционирует. Если вы получаете результат «1» или «20» на к20-тексте, то срабатывает волна дикой магии. Для спасбросков используется ваша Сл класса.</t>
  </si>
  <si>
    <t>5000 зм (Эссенция хаоса)</t>
  </si>
  <si>
    <t>Сердце преобразования</t>
  </si>
  <si>
    <t>Вы можете неограниченно накладывать заклинание Превращение [Polymorph] (только на себя). Сл заклинания — ваша Сл класса.</t>
  </si>
  <si>
    <t>18000 зм (Сердце преобразования)</t>
  </si>
  <si>
    <t>Ядро переплетённой реальности</t>
  </si>
  <si>
    <t>В голове образуется другая личность, которая может поддерживать ваши заклинания. Вы можете наложить заклинание с уровнем от 1 до 5 на ядро, касаясь второй души в процессе накладывания. Заклинание не оказывает эффекта сейчас, а просто сохраняется в душе. Если ядро не может удержать заклинание, заклинание тратится безо всякого эффекта.
В конце вашего хода вы можете без траты действий наложить это заклинание.</t>
  </si>
  <si>
    <t>Возможность наложить хотя бы одно заклинание</t>
  </si>
  <si>
    <t>40000 зм (Ядро переплетённой реальности)</t>
  </si>
  <si>
    <t>Коляска для мотоцикла</t>
  </si>
  <si>
    <t>Вес транспорта +500 фнт, грузоподъемность +250 фнт, пассажиры +1. Скорость транспорта -10/20 футов</t>
  </si>
  <si>
    <t>Любой мотоцикл</t>
  </si>
  <si>
    <t xml:space="preserve">Применимо к </t>
  </si>
  <si>
    <t>Источник</t>
  </si>
  <si>
    <t>Проклятье молниеносной реакции</t>
  </si>
  <si>
    <t>Чудестный предмет</t>
  </si>
  <si>
    <t>Вы получаете бонус к проверкам инициативы +4
ПРОКЛЯТЬЕ: Вы не можете использовать реакции до конца первого раунда сражения.</t>
  </si>
  <si>
    <t>Проклятье</t>
  </si>
  <si>
    <t>Проклятье преследующего успеха</t>
  </si>
  <si>
    <t>Когда вы проваливаете спасбросок, вместо этого вы можете выбрать преуспеть в нём. Использовав эту особенность вам необходимо завершить продолжительный отдых, прежде, чем использовать её снова.
ПРОКЛЯТЬЕ: После того как вы используете эту особенность вы автоматически проваливаете следующий спасбросок без возможности преуспеть в нём</t>
  </si>
  <si>
    <t>Проклятье жизни и смерти</t>
  </si>
  <si>
    <t>Вы совершаете спасброски смерти с преимуществом
ПРОКЛЯТЬЕ: Когда ваши хиты опускаются до 0, то вы сразу же получаете 1 проваленный спасбросок</t>
  </si>
  <si>
    <t>Проклятье тяжести жизни</t>
  </si>
  <si>
    <r>
      <rPr>
        <rFont val="Open Sans"/>
        <color theme="1"/>
        <sz val="9.0"/>
      </rPr>
      <t xml:space="preserve">После совершения проверки инициативы вы получаете временные хиты равные вашему БМ + модификатор Телосложения
</t>
    </r>
    <r>
      <rPr>
        <rFont val="Open Sans"/>
        <b/>
        <color theme="1"/>
        <sz val="9.0"/>
      </rPr>
      <t>ПРОКЛЯТЬЕ:</t>
    </r>
    <r>
      <rPr>
        <rFont val="Open Sans"/>
        <color theme="1"/>
        <sz val="9.0"/>
      </rPr>
      <t xml:space="preserve"> Пока у вас существуют эти хиты ваша скорость уменьшается на 10 футов.</t>
    </r>
  </si>
  <si>
    <t>У некоторых чудовищ есть иммунитет или сопротивление немагическому оружию или уязвимость перед серебряным оружием, поэтому осторожные искатели приключений за дополнительную плату покрывают своё оружие серебром. Кроме того, когда вы атакуете нежить или исчадие таким оружием, то оно считается магическим</t>
  </si>
  <si>
    <t>Материал</t>
  </si>
  <si>
    <t xml:space="preserve">Рукопашное оружие и боеприпасы, сделанные из адамантина или покрытые им, обычно эффективнее при разрушении предметов. Когда адамантиновое оружие или боеприпас попадает по предмету или искусственному конструкту, то попадание считается критическим.
</t>
  </si>
  <si>
    <t>Атаки таким оружием наносят дополнительно 2 урона нежити.</t>
  </si>
  <si>
    <t>Атаки таким оружием наносят дополнительно 2 урона Великанам и Исчадиям.</t>
  </si>
  <si>
    <t>Атаки таким оружием наносят дополнительно 1d4 урона ядом гуманоидом.</t>
  </si>
  <si>
    <t>Если вы совершаете атаку с преимуществом, то при попадании нанесёте дополнительно 2 урона.</t>
  </si>
  <si>
    <t>Атаки таким оружием наносят дополнительно 2 урона элементалям.</t>
  </si>
  <si>
    <t>Атаки таким оружием наносят дополнительно 2 урона небожителям.</t>
  </si>
  <si>
    <t>Вы совершаете с преимуществом все атаки по существам со значение пассивной проверки Мудрости (Восприятие) менее 12.</t>
  </si>
  <si>
    <t>Оружие из такого металла декоративно переливается цветами радуги, если находится в области яркого света.</t>
  </si>
  <si>
    <t>Вы получаете бонус +2 к атакам, совершаемым по гуманоидам.</t>
  </si>
  <si>
    <t>Проклятье кровопускания</t>
  </si>
  <si>
    <t>Оружие наносит дополнительно 1к6 рубящего урона при попадании.
ПРОКЛЯТЬЕ: Когда вы впервые за ход попадаете атакой этим оружием, то сами получаете этот дополнительный урон</t>
  </si>
  <si>
    <t>Проклятье скорбящего прошлого</t>
  </si>
  <si>
    <t>Вы совершаете атаки по Окружённым противникам с преимуществом
ПРОКЛЯТЬЕ: Вы получаете штраф -2 к броскам атаки по Окружённым противника</t>
  </si>
  <si>
    <t>Проклятье притягивание снарядов</t>
  </si>
  <si>
    <t>Верхняя одежда (Щит)</t>
  </si>
  <si>
    <t>Вы получаете сопротивление урону от дальнобойных атак оружием, пока держите этот щит. 
ПРОКЛЯТЬЕ: Каждый раз, когда по цели, находящейся в пределах 10 футов от вас, совершается дальнобойная атака оружием, проклятье заставляет стать целью вас.</t>
  </si>
  <si>
    <t>Верхняя одежда</t>
  </si>
  <si>
    <t>Пока вы носите эти доспехи, все критические попадания по вам считаются обычными попаданиями, если только не совершены с помощью оружия покрытого адамантом</t>
  </si>
  <si>
    <t>Сделанная из мифрила кольчужная рубаха или кираса может носиться под обычной одеждой. Если в обычном исполнении доспех накладывает помеху на проверки Ловкости (Скрытность) или имеет требования к Силе, то в версии из мифрила он не обладает этими недостатками.</t>
  </si>
  <si>
    <t>Доспех теряет помеху на проверки Ловкости (Скрытность), если её не было изначально, то вы получаете преимущества на проверки Ловкости (Скрытность).</t>
  </si>
  <si>
    <t>Ваша скорость ходьбы увеличивается на 5 футов.</t>
  </si>
  <si>
    <t>Деревья, что растут на Диких землях невероятно прочны и доспех из такого материала наделит частицей своей мощи носителя. Ваш максимум хитов увеличивается на 5.</t>
  </si>
  <si>
    <t>Освящённый адамантий</t>
  </si>
  <si>
    <t>Вы узнаёте заклинание щит веры [Shield of Faith] и можете наложить его минимально возможным уровнем. После наложения заклинания таким образом Вы должны закончить продолжительный отдых, прежде чем сможете наложить его снова. Базовая характеристика для заклинания — Харизма.</t>
  </si>
  <si>
    <t>Прах модронов</t>
  </si>
  <si>
    <t>В пределах 10 футов от вас образуется аура порядка. Скорость всех существ с нейтральным и хаотическим мировоззрением уменьшается на 10 футов.</t>
  </si>
  <si>
    <t>Порошок Дрохубы</t>
  </si>
  <si>
    <t>Ваша скорость ходьбы увеличивается на 10 футов.</t>
  </si>
  <si>
    <t>Шёпот тьмы</t>
  </si>
  <si>
    <t>Существо, что носит такой доспех скрыто от магии школы Прорицания. Существо не можете быть целью подобной магии, и его не воспринимают магические сенсоры слежения.</t>
  </si>
  <si>
    <t>1625 зм</t>
  </si>
  <si>
    <t>Проклятье огненной души</t>
  </si>
  <si>
    <t>Вы получаете Поглощение урона огнём 2
ПРОКЛЯТЬЕ: Вы получаете Слабость к урону холодом 2</t>
  </si>
  <si>
    <t>Проклятье воли к жизни</t>
  </si>
  <si>
    <t>Если вы Окровавлены, то получаете бонус +2 к КД
ПРОКЛЯТЬЕ: Пока вы не Окровавлены вы получаете штраф -2 к КД</t>
  </si>
  <si>
    <r>
      <rPr>
        <rFont val="Open Sans"/>
        <color rgb="FF000000"/>
        <sz val="9.0"/>
      </rPr>
      <t xml:space="preserve">Вы получаете сопротивление Холодом. Действием вы можете сомкнуть чешуйки, чтобы высвободить их Силу вокруг. Все существа в пределах 30 футов от вас притягиваются на 25 футов к вам, в смежное пространство.  Вы можете использовать это Действие раз в минуту. Если вы Окровавлены, то вы можете совершить его Бонусным действием
Вы получаете владение реакций </t>
    </r>
    <r>
      <rPr>
        <rFont val="Open Sans"/>
        <b/>
        <color rgb="FF000000"/>
        <sz val="9.0"/>
      </rPr>
      <t>Хлопок ⚡</t>
    </r>
    <r>
      <rPr>
        <rFont val="Open Sans"/>
        <color rgb="FF000000"/>
        <sz val="9.0"/>
      </rPr>
      <t xml:space="preserve">. </t>
    </r>
    <r>
      <rPr>
        <rFont val="Open Sans"/>
        <b/>
        <color rgb="FF000000"/>
        <sz val="9.0"/>
      </rPr>
      <t>Триггер:</t>
    </r>
    <r>
      <rPr>
        <rFont val="Open Sans"/>
        <color rgb="FF000000"/>
        <sz val="9.0"/>
      </rPr>
      <t xml:space="preserve"> Вы получаете урон. </t>
    </r>
    <r>
      <rPr>
        <rFont val="Open Sans"/>
        <b/>
        <color rgb="FF000000"/>
        <sz val="9.0"/>
      </rPr>
      <t>Эффект:</t>
    </r>
    <r>
      <rPr>
        <rFont val="Open Sans"/>
        <color rgb="FF000000"/>
        <sz val="9.0"/>
      </rPr>
      <t xml:space="preserve"> Все существа по вашему выбору в пределах 10-футовой эманации отбрасываются на 30 футов от вас.</t>
    </r>
  </si>
  <si>
    <t>20000 зм</t>
  </si>
  <si>
    <t>Череп Оркуса</t>
  </si>
  <si>
    <t>Осквернённый череп Принца нежити. Носитель начинает слышать голоса мёртвых и получает пророческие видения. Вы можете наложить заклинание Предвидение [Foresight]. После наложения заклинания таким образом Вы должны закончить продолжительный отдых, прежде чем сможете наложить его снова. Базовая характеристика для заклинания — Харизма.
ПРОКЛЯТЬЕ: На Нежить и Аббераций не распространяется эффект Предвиденья. Для существ этого типа считается, что не вы находитесь под действием этого заклиннаия, а они</t>
  </si>
  <si>
    <t>40000 зм</t>
  </si>
  <si>
    <t>Оркус</t>
  </si>
  <si>
    <t>Кости тролля</t>
  </si>
  <si>
    <t>Панцирная пластина Дредноута</t>
  </si>
  <si>
    <t>Если у вас выпало «1–5» или на урона Чистой силой при атаке, то вы можете считать «1–5» на кости урона как «6».</t>
  </si>
  <si>
    <t>25000 зм</t>
  </si>
  <si>
    <t>Астральный дредноут</t>
  </si>
  <si>
    <t>Вы получаете сопротивление Чистой силе. Если вы получаете более 20 урона Чистой силой из одного источника до применения любых модификаторов, то можете совершить Перекат (не требует каких либо действий)</t>
  </si>
  <si>
    <t>Клешни дредноута</t>
  </si>
  <si>
    <t>Когда вы совершаете атаку по существу родом из плана, отличного от материального плана, то существо получает дополнительно 2к12 урона чистой силой при попадании</t>
  </si>
  <si>
    <r>
      <rPr>
        <rFont val="Open Sans"/>
        <color rgb="FF000000"/>
        <sz val="9.0"/>
      </rPr>
      <t xml:space="preserve">Синтезатор яда обладает запасом яда в виде 12к8. Когда вы используете дыхание ядом, то расходуете кости из запаса, но не более чем 6к8 за раз. Одна кость восстанавливается в течении часа.
Вы можете Бонусным действием либо вместо одной из атак выплеснуть ядовитую струю 10-футовым конусом. Все цели в области поражения должны совершить спасбросок Телосложения Сл вашего класса. </t>
    </r>
    <r>
      <rPr>
        <rFont val="Open Sans"/>
        <b/>
        <color rgb="FF000000"/>
        <sz val="9.0"/>
      </rPr>
      <t>Провал:</t>
    </r>
    <r>
      <rPr>
        <rFont val="Open Sans"/>
        <color rgb="FF000000"/>
        <sz val="9.0"/>
      </rPr>
      <t xml:space="preserve"> цель получает урон ядом в количестве равном потрачены костям. </t>
    </r>
    <r>
      <rPr>
        <rFont val="Open Sans"/>
        <b/>
        <color rgb="FF000000"/>
        <sz val="9.0"/>
      </rPr>
      <t>Успех:</t>
    </r>
    <r>
      <rPr>
        <rFont val="Open Sans"/>
        <color rgb="FF000000"/>
        <sz val="9.0"/>
      </rPr>
      <t xml:space="preserve"> половина урона</t>
    </r>
  </si>
  <si>
    <t>Осколок кости чудовища</t>
  </si>
  <si>
    <t>Поглощение немагического дробящего урона 1. Слабость к немагическому колющему урону 1.</t>
  </si>
  <si>
    <t>Зачарование лёгкости</t>
  </si>
  <si>
    <t>Любой</t>
  </si>
  <si>
    <t>Вес элемента снаряжения уменьшается на 10 фунтов</t>
  </si>
  <si>
    <t>Перо чудовища</t>
  </si>
  <si>
    <t>Зачарование</t>
  </si>
  <si>
    <t>Поглощение немагического рубящего урона 1. Слабость к немагическому дробящему урону 1.</t>
  </si>
  <si>
    <t>Поглощение 1 к одну виду урона на ваш выбор</t>
  </si>
  <si>
    <t>Вы можете накладывать заговор Малая илюзия с помощью этого чудестного предмета. Базовая характеристика для него — Интеллект</t>
  </si>
  <si>
    <t>Вы получаете бонус +1 к проверкам с применением навыка Запугивание</t>
  </si>
  <si>
    <t>Оружие (кастет или металлическая перчатка)</t>
  </si>
  <si>
    <t>Урон выбранного оружия увеличивается на один шаг. Кастет до 1к3 и перчата до 1к4 соответственно</t>
  </si>
  <si>
    <t>Поглощение дробящего урона 1.</t>
  </si>
  <si>
    <t>Ваше оружие получает свойство Отравляющее</t>
  </si>
  <si>
    <t>Оружие (не металлическое)</t>
  </si>
  <si>
    <t>Когда вы попадаете по цели атакой оружием, то вы можете создать на её доспехе степень поломки, если доспех металлический. Вы не можете создать более одной степени поломки на одном объекте таким образом.</t>
  </si>
  <si>
    <t>Если в обычном исполнении доспех накладывает помеху на проверки Ловкости (Скрытность), то после покрытия хитином он не обладает этими недостатками.</t>
  </si>
  <si>
    <t>Поглощение рубящего урона 1.</t>
  </si>
  <si>
    <t>Оружие (Дальнобойное)</t>
  </si>
  <si>
    <t>Вы получаете бонус +1 к броскам урона, совершённым с помощью этого оружия</t>
  </si>
  <si>
    <t>Дальность ваших прыжков в длину и высоту увеличивается на 5 футов</t>
  </si>
  <si>
    <t>Оружие получает свойство «Наскок 1к2». Если у оружия уже был «Наскок», то его значение увеличивается на 1к2</t>
  </si>
  <si>
    <t>Вы получаете поглощение урону 2 к одному из следующих типов: Огонь, Холод, Кислота, Яд, Электричество</t>
  </si>
  <si>
    <t>Вы можете с помощью этого оружия схватить существо. Для такого Захвата вам не нужна свободная рука, но размер существа, которое вы можете схватить на один размер меньше, чем обычно (обычно — ваш размер)</t>
  </si>
  <si>
    <t>Вы получаете бонус +1 к проверкам с применением навыков Убеждение и Выступление.</t>
  </si>
  <si>
    <t>Поглощение колющего урона 1.</t>
  </si>
  <si>
    <t>После попадание атакой этим оружием, скорость цели до начала вашего следующего хода уменьшается на 5 футов.</t>
  </si>
  <si>
    <t>После накладывания заклинания ваша скорость увеличивается на 10 футов до конца текущего хода.</t>
  </si>
  <si>
    <t>Вокруг вашего меча начинает кружиться тёмная аура. Люди могут увидеть в вас опасность.</t>
  </si>
  <si>
    <t>Ваше оружие получает бонус +1 к броскам урона, совершённым с помощью этого оружия.</t>
  </si>
  <si>
    <t>Вы получаете бонус +1 к КД.</t>
  </si>
  <si>
    <t>Вы получаете бонус +1 к спасброскам.</t>
  </si>
  <si>
    <t>Поглощение рубящего и колющего урона 1.</t>
  </si>
  <si>
    <t>Оружие получает свойство «Смертельное»</t>
  </si>
  <si>
    <t>При попадании вы наносите дополнительно 1к3 урона некротической энергией</t>
  </si>
  <si>
    <t>Когда вы попадаете по существу, то корень оскорбляет цель. Следующая атака существа получает штраф -1, а если цель этой атаки вы, то штраф увеличивается до -2.</t>
  </si>
  <si>
    <t>Когда по вам попадает атака корень может прокоментировать действия атакующего. Следующая атака по атакующему совершается с бонусом +1. Если эту атаку совершаете вы, то бонус увеличивается до +2</t>
  </si>
  <si>
    <t>Оружие получает свойство «Силовое». Вы можете использовать это свойство два раза в ход, атакуя этим оружием.</t>
  </si>
  <si>
    <t>Проклятье цепей</t>
  </si>
  <si>
    <t>Когда существо проваливает спасбросок против вашего эффекта, который только наносит урон, то вы можете покрыть цель адскими цепями. Цель до конца своего следующего хода становиться Опутанной. Вы можете использовать эту особенность не чаще, чем раз в минуту.
ПРОКЛЯТЬЕ: Когда цель преуспевает в спасброске против вашего эффекта, который наносит только урон и Проклятье цепей находиться на перезарядке, то вы становитесь жертвой цепей.</t>
  </si>
  <si>
    <t>Демонический рог</t>
  </si>
  <si>
    <t>Вы получаете поглощение урона излучением 3 и поглощение урона от нежити 3.</t>
  </si>
  <si>
    <t>После определения последствия атаки вы можете нанести 2к10 урона электричеством другой цели в пределах 10 футов от цели атаки. Если других существ (исключая вас) в этом радиусе нету, то вы можете нанести цели атаки 1к6 урона</t>
  </si>
  <si>
    <t>Ваш запас костей хитов увеличивается на значение равное вашему БМ</t>
  </si>
  <si>
    <t>Ваше оружие получает свойство «Размах». Бонус Размаха увеличивается до +4, когда вы атакуете другое существо.</t>
  </si>
  <si>
    <t>Ваше оружие получает бонус +1 к броскам атаки и урона, совершённым с помощью этого оружия.</t>
  </si>
  <si>
    <t>Вы получаете бонус +1 к КД и спасброскам.</t>
  </si>
  <si>
    <t>При попадании вы наносите дополнительно 1к6 урона огнём</t>
  </si>
  <si>
    <t>Проклятье обсидиана</t>
  </si>
  <si>
    <t>Когда вы совершаете атаку этим оружием, то вы получаете бонус +1 к КД до начала своего следующего хода.
ПРОКЛЯТЬЕ: Если вы в свой ход не совершаете действие Атака, то получаете штраф -1 к кд до начала своего следующего хода.</t>
  </si>
  <si>
    <t>Обсидиановый осколок</t>
  </si>
  <si>
    <t>При попадании вы наносите дополнительно 1к6 урона холодом</t>
  </si>
  <si>
    <t>Заинделевелое ядро</t>
  </si>
  <si>
    <t>Ваше оружие получает бонус +1 к броскам атаки и урона, совершённым с помощью этого оружия и ваше оружие игнорирует сопротивление к тому типу урона, который наносит</t>
  </si>
  <si>
    <t>Вы получаете бонус +1 к КД, спасброскам и поглощению урона.</t>
  </si>
  <si>
    <t>Когда вы совершаете критическое попадание этим оружием, то цель становиться Испуганной 2. Если частью атаки вы можете испугать цель, то значение этого испуга увеличивается на 1</t>
  </si>
  <si>
    <t>Когда вы восстанавливаете хиты, то дополнительно восстанавливаете 2 хита.</t>
  </si>
  <si>
    <t>Тип урона оружия меняется на Излучение, кости урона оружия удваиваются</t>
  </si>
  <si>
    <t>Атакуя таким оружием вы можете поразить существо на эфирном плане даже, если находитесь на материальном</t>
  </si>
  <si>
    <t>Хребет бесконечной плоти</t>
  </si>
  <si>
    <t>35000 зм</t>
  </si>
  <si>
    <t>Абсолютная Пустота</t>
  </si>
  <si>
    <t>Абсолютная пустота</t>
  </si>
  <si>
    <t>Голова Эриданы</t>
  </si>
  <si>
    <t>Вы получаете сопротивление Кислоте. Если вы меняете положение существа каким либо образом в пространстве, вы можете нанести цели 1d10 урона кислотой за каждые 5 футов перемещения с максимумом в 6d10 за одно перемещение.
Когда вы попадаете по существу атакой или существо проваливает спасбросок против вашего эффекта вы, после определения всех последствий, можете переместить цель в горизонтальном пространстве на расстояние влоть до 10 футов в любом направлении.</t>
  </si>
  <si>
    <t>30000 зм</t>
  </si>
  <si>
    <t>Эридана</t>
  </si>
  <si>
    <t>Паучья тетева</t>
  </si>
  <si>
    <t>Оружие (дальнобойное)</t>
  </si>
  <si>
    <t>Совершение атаки в пределах максимальной дистанции не вызывает помеху к броску атаки этим оружием. Если цель атаки этим оружием находиться в пределах максимальной дистанции, то атака получает свойство МУ 1</t>
  </si>
  <si>
    <t>Плечи оружия из этого материала куда крепче. Перед атакой вы можете уменьшить дистанцию стрельбы вдвое. В таком случае кость урона оружия увеличивается на один шаг</t>
  </si>
  <si>
    <t>Подтип / добыча</t>
  </si>
  <si>
    <t>Применение</t>
  </si>
  <si>
    <t>Аспекты (алхимия)</t>
  </si>
  <si>
    <t>Создание и Снаряжение</t>
  </si>
  <si>
    <t>Алхимия</t>
  </si>
  <si>
    <t>Знания</t>
  </si>
  <si>
    <t>Шерсть чудовища</t>
  </si>
  <si>
    <t>Существо</t>
  </si>
  <si>
    <t>Общее</t>
  </si>
  <si>
    <t>Густая и теплая шерсть, востребована для тёплой и зимней одежды</t>
  </si>
  <si>
    <t>Недоступно</t>
  </si>
  <si>
    <t>Немагическая одежда</t>
  </si>
  <si>
    <t>Кровь чудовища</t>
  </si>
  <si>
    <t>Жизненно важная жидкость, текущея в жилах большинства чудовищ; часто содержит следы магии. Используется алхимиками как основа зелий и в ритуалах жертвоприношения.</t>
  </si>
  <si>
    <t>Требование для любого Зелья</t>
  </si>
  <si>
    <t>Ритуал жертвоприношения</t>
  </si>
  <si>
    <t>Прочная кость, добытая из скелета существа; Используется для создания талисманов или Обычных доспехов.</t>
  </si>
  <si>
    <t>Обычные доспех</t>
  </si>
  <si>
    <t>Осколок клыка чудовища</t>
  </si>
  <si>
    <t>Острый и длинный зуб хищного существа. Используется для создания Обычного оружия.</t>
  </si>
  <si>
    <t>Обычное оружие</t>
  </si>
  <si>
    <t>Лёгкое и прочное перо, используется для усовершенствования предметов на лёгкость и создания зелий левитации.</t>
  </si>
  <si>
    <t>Требование для Зелья левитации</t>
  </si>
  <si>
    <t>Жир чудовища</t>
  </si>
  <si>
    <t>Используется для свечей, масел и горючих смесей, также подходит для алхимических мазей и эликсиров стойкости.</t>
  </si>
  <si>
    <t>Требование для любого Масла</t>
  </si>
  <si>
    <t>Слюна чудовища</t>
  </si>
  <si>
    <t>Часто содержит ферменты или слабые яды, подходит для приготовления слабых кислот и липких зелий.</t>
  </si>
  <si>
    <t>Требование для любого Яда</t>
  </si>
  <si>
    <t>Копыто чудовища</t>
  </si>
  <si>
    <t>Используется при создании крепкого клея или как добавка в алхимические смеси для выносливости.</t>
  </si>
  <si>
    <t>Немагическое снаряжение</t>
  </si>
  <si>
    <t>Требование для усиления Зелья выносливости</t>
  </si>
  <si>
    <t>Прочный позвоночник, который отлично защищает от встречных ударов</t>
  </si>
  <si>
    <t>Идеальны для записи магических текстов. Это основа для любых свитков или защитных рун</t>
  </si>
  <si>
    <t>Требование для любых свитков</t>
  </si>
  <si>
    <t>Повреждённый осколок души</t>
  </si>
  <si>
    <t>Минимальная магическая энергия, полезен в самых слабых алхимических составах или для создания конструктов</t>
  </si>
  <si>
    <t>Обычные чудесные предметы и Ядро души 1-го ранга</t>
  </si>
  <si>
    <t>Споры грибка</t>
  </si>
  <si>
    <t>Мешочек спор от небольшого грибного создания. Используется для вдыхаемых ядов</t>
  </si>
  <si>
    <t>Позволяет контактный яд превратить во вдыхаемый</t>
  </si>
  <si>
    <t>Крошечный конденсированный фрагмент тени, полученный от нематериального существа. Пригоден для малых иллюзий или создания талисманов</t>
  </si>
  <si>
    <t>Обычные Талисманы</t>
  </si>
  <si>
    <t>Мелкий порошок, остающийся после исчезновения слабого духа. Алхимики используют его для амулетов отпугивающих нежить.</t>
  </si>
  <si>
    <t>Создание амулета отпугивающего нежить</t>
  </si>
  <si>
    <t>Целый череп убитого чудовища, нередко сохраняющий зловещую ауру. Часто встречается как трофей у орков, которые используют его для своих доспехов</t>
  </si>
  <si>
    <t>Знания о орочьих обрядах и истории племён</t>
  </si>
  <si>
    <t>Изогнутый коготь, с помощью которого зверь разрывал жертву. Обычно используется для отвратительных кастетов или перчаток, либо как имплантат, иммитирующий когти</t>
  </si>
  <si>
    <t>Грубая шкура или кожа, снятая с чудовища; обладает защитными свойствами. Её используют для создания особых доспехов и для усиления существующих</t>
  </si>
  <si>
    <t>Кожанный доспех +1</t>
  </si>
  <si>
    <t>Орган, насыщенный магической жизненной силой. Ценится в алхимических рецептах и как имплант</t>
  </si>
  <si>
    <t>Зелье густой крови</t>
  </si>
  <si>
    <t>Содержит природный яд, востребовано для создания ядов и пропитки оружия с парализующим эффектом.</t>
  </si>
  <si>
    <t>Отравляющее</t>
  </si>
  <si>
    <t>Простой яд</t>
  </si>
  <si>
    <t>Подходит для зелий, дарующих языковые или речевые способности, а также может служить для зачарования предметов общения.</t>
  </si>
  <si>
    <t>Зелье понимания языков</t>
  </si>
  <si>
    <t>Обладает разъедающими свойствами, идеальна для кислотных ядов</t>
  </si>
  <si>
    <t>Кислотный яд</t>
  </si>
  <si>
    <t>Прочный материал, служит для изготовления лёгкой брони, а порошок из него укрепляет кожу и доспехи.</t>
  </si>
  <si>
    <t>Доспех стёганная кожа +1</t>
  </si>
  <si>
    <t>Острый клык чудовища</t>
  </si>
  <si>
    <t>Острый клык, извлечённый из чудовища. Используется при создании кинжалов или перемалывается в порошок для масел остроты</t>
  </si>
  <si>
    <t>Оружие +1</t>
  </si>
  <si>
    <t>Малое масло остроты</t>
  </si>
  <si>
    <t>Глаз чудовища</t>
  </si>
  <si>
    <t>Консервированный глаз небольшого чудовища. Применяется в ритуалах ясновидения или как компонент зелий ночного видения.</t>
  </si>
  <si>
    <t>Зелье ночного зрения</t>
  </si>
  <si>
    <t>Ритуал прорицания</t>
  </si>
  <si>
    <t>Фрагмент прочного хитинового панциря насекомого чудовища. Используется ремесленниками для укрепления лёгкой брони или щитов.</t>
  </si>
  <si>
    <t>Щит +1</t>
  </si>
  <si>
    <t>Прочный отрезок сухожилия, добытый из туши существа. Часто используется как тетива для луков или прочная нить при создании предметов.</t>
  </si>
  <si>
    <t>Луки +1</t>
  </si>
  <si>
    <t>Вихревой сгусток стихии воздуха, заключённый в склянку. Используется для наложения зачарований и в рецептах зелий полёта.</t>
  </si>
  <si>
    <t>Требование для Зелья полёта</t>
  </si>
  <si>
    <t>Твердый рог из на головы чудовища. Используется в ковке или усовершенствовании оружия, а толченый – в зельях мужества.</t>
  </si>
  <si>
    <t>Зелье мужества</t>
  </si>
  <si>
    <t>Полная и твердая чешуя. Легкая и прочная, идет на создание чешуйчатых доспехов, защищая от стихийного урона. Эти же свойства используются для созданий зелий</t>
  </si>
  <si>
    <t>Чешуйчатый доспех +1</t>
  </si>
  <si>
    <t>Зелье сопротивление</t>
  </si>
  <si>
    <t>Хранит фрагменты инстинктов существа. Используется для зелий мудрости, ясновидения или алхимических средств от безумия.</t>
  </si>
  <si>
    <t>Зелье интеллекта</t>
  </si>
  <si>
    <t>Гибкое и прочное, применяется в алхимии для зелий трансформации, либо служит основой для создания кнутов.</t>
  </si>
  <si>
    <t>Печень чудовища</t>
  </si>
  <si>
    <t>Способствует созданию антидотов от почти любых  негативных состояния</t>
  </si>
  <si>
    <t>Антидот</t>
  </si>
  <si>
    <t>Чудовищный безоар</t>
  </si>
  <si>
    <t>Ценный алхимический ингредиент, нейтрализует большинство ядов</t>
  </si>
  <si>
    <t>Липкая слизь чудовища</t>
  </si>
  <si>
    <t>Используется для создания мощного клея и закрепляющих алхимических средств.</t>
  </si>
  <si>
    <t>Клейкое масло и зелье злея</t>
  </si>
  <si>
    <t>Используется в простых зачарованиях или для слабых алхимических средств воздействия на разум и эмоции.</t>
  </si>
  <si>
    <t>Ритуал очарования</t>
  </si>
  <si>
    <t>Прочная чешуйка, снятая с кожи крупного чудовища, закалённая магией</t>
  </si>
  <si>
    <t>Клык, пронизанный силой холода от ледяного создания. Может быть измельчён в морозный порошок для алхимии или прикреплён к оружию, чтобы придать ему эффект заморозки.</t>
  </si>
  <si>
    <t>Зелье ледяного дыхания</t>
  </si>
  <si>
    <t>Тягучий остаток нематериального противника. Используется в множестве мест и действительно почти универсальный</t>
  </si>
  <si>
    <t>Плащ невидимости</t>
  </si>
  <si>
    <t>Зелье невидимости</t>
  </si>
  <si>
    <t>Тёмная дымчатая эссенция, извлечённая из существа родом из мира тьмы. Применяется при создании плащей и зелий</t>
  </si>
  <si>
    <t>Эльфийский плащ</t>
  </si>
  <si>
    <t>Зелье тьмы</t>
  </si>
  <si>
    <t>Шип, покрытый ядом, полученный от живого растения или зверя. Используется для варки растительных ядов и в качестве имплантов</t>
  </si>
  <si>
    <t>Яд шипа</t>
  </si>
  <si>
    <t>Небольшой кристаллический осколок, излучающий магию/ Применяется для создания простых зачарований и других магических имплантов</t>
  </si>
  <si>
    <t>Малое зачарование  остроты, защиты и стойкости</t>
  </si>
  <si>
    <t>Простые и необычные чудестные магические предметы</t>
  </si>
  <si>
    <t>Ритуал воплощения</t>
  </si>
  <si>
    <t>Прочный панцирь, идеален для создания тяжёлой брони и щитов</t>
  </si>
  <si>
    <t>Тяжёлые доспехи +1</t>
  </si>
  <si>
    <t>Зелье стальной кожи</t>
  </si>
  <si>
    <t>Яйцо чудовища</t>
  </si>
  <si>
    <t>Обладает жизненной энергией, используется в алхимии для зелий роста, омоложения и восстановления сил.</t>
  </si>
  <si>
    <t>Питательный омлет</t>
  </si>
  <si>
    <t>Зелье молодости</t>
  </si>
  <si>
    <t>Легкое чудовища</t>
  </si>
  <si>
    <t>Применяется для зелий дыхания в неблагоприятных средах (под водой, в ядовитом газе и т.п.).</t>
  </si>
  <si>
    <t>Зелье дыхания</t>
  </si>
  <si>
    <t>Зачарованная шкура</t>
  </si>
  <si>
    <t>Кусок шкуры магического зверя, в котором ощущается остаточная магия. Востребован при создании защитных плащей или доспехов с дополнительной защитой</t>
  </si>
  <si>
    <t>Плащ защиты</t>
  </si>
  <si>
    <t>Огромный коготь, добытый у исполинского чудовища. Его смертельная острота часто используются в оружии и при создании отличного оружия</t>
  </si>
  <si>
    <t>Оружие +2</t>
  </si>
  <si>
    <t>Кусок живой плоти, продолжающей медленно регенерировать, добытый у существ обладающих регенерацией. Используется алхимиками в снадобьях, ускоряющих заживление, или как имплант</t>
  </si>
  <si>
    <t>Зелье восстановления жизненных сил</t>
  </si>
  <si>
    <t>Мерцающая субстанция, содержащая волю ушедшего духа. Используется в ритуалах вызова душ умерших или при зачаровании предметов духовной силой.</t>
  </si>
  <si>
    <t>Зелье восстановления магических сил</t>
  </si>
  <si>
    <t>Ритуал некромантии</t>
  </si>
  <si>
    <t>Астральная эссенция</t>
  </si>
  <si>
    <t>Эфирная эссенция, извлечённая из существ астрального плана. Ценится при телепортации или предметов, усиливающих ментальные способности.</t>
  </si>
  <si>
    <t>Кольца характеристики (Интеллект)</t>
  </si>
  <si>
    <t>Астральное масло</t>
  </si>
  <si>
    <t>Извивающийся отрезок корня из одушевлённого растительного существа. Используется в друидических обрядах и при создании посохов или плетей, способных к самовосстановлению.</t>
  </si>
  <si>
    <t>Ритуал вызова</t>
  </si>
  <si>
    <t>Материал для оружия; стружка используется в алхимических препаратах, повышающих физическую силу.</t>
  </si>
  <si>
    <t>Зелье силы</t>
  </si>
  <si>
    <t>Осколок души</t>
  </si>
  <si>
    <t>Средней силы компонент для магических амулетов и зелий, воздействующих на душу или разум.</t>
  </si>
  <si>
    <t>Амулет защиты от обнаружения и поиска</t>
  </si>
  <si>
    <t>Дурманящее зелье</t>
  </si>
  <si>
    <t>Рог исчадия, излучающий зловещую энергетику. Применяется при ковке проклятий или в ритуалах призыва инферналов</t>
  </si>
  <si>
    <t>Сияющая эссенция, полученная от существа света или священного духа. Важный ингредиент зелий или чар, отпугивающих нежить.</t>
  </si>
  <si>
    <t>Зелье героизма</t>
  </si>
  <si>
    <t>Камень, пронизанный энергией молнии. Используется кузнецами для ковки клинков с электрическим разрядом</t>
  </si>
  <si>
    <t>Зелье молний</t>
  </si>
  <si>
    <t>Добытый из священный чудовищ или водных монстров, применяется в целебных зельях и обрядах очищения благодаря своим свойствам.</t>
  </si>
  <si>
    <t>Масло восстановления</t>
  </si>
  <si>
    <t>Кристалл из разрушенного конструкта, всё ещё держащий заряд. Артефакторы применяют его для накопления энергии или питания новых конструкций.</t>
  </si>
  <si>
    <t>Крупный кристалл маны</t>
  </si>
  <si>
    <t>Большой кристалл, переполненный маной, образующийся в существах родом из чистой магии. Необходим для создания неплохих зачарованний</t>
  </si>
  <si>
    <t>Зачарование остроты и защиты</t>
  </si>
  <si>
    <t>Эссенция смерти</t>
  </si>
  <si>
    <t>Леденящая эссенция, извлечённая из нежити или схожих тварей. Используется некромантами для усиления неживых слуг или наложения смертоносных проклятий.</t>
  </si>
  <si>
    <t>Проклятые предметы</t>
  </si>
  <si>
    <t>Масло смерти</t>
  </si>
  <si>
    <t>Отмеченная кровь чудовища</t>
  </si>
  <si>
    <t>Густая чёрная кровь, кипящая хаотической магией. Служит мощным алхимическим реагентом и ковки демонической брони</t>
  </si>
  <si>
    <t>Дьявольский доспех</t>
  </si>
  <si>
    <t>Зелье демонического горна</t>
  </si>
  <si>
    <t>Прах мёртвых</t>
  </si>
  <si>
    <t>Мелкий пепел, оставшийся от уничтоженного существа. Применяется в эликсирах долголетия, а также в ритуалах иллюзии</t>
  </si>
  <si>
    <t>Зелье долголетия</t>
  </si>
  <si>
    <t>Ритуал иллюзии</t>
  </si>
  <si>
    <t>Огненное ядро, пылающее и могучее. Используется для ковки пламенных клинков и питания алхимических печей, требующих экстремального жара.</t>
  </si>
  <si>
    <t>Язык пламени</t>
  </si>
  <si>
    <t>Мастерская алхимика</t>
  </si>
  <si>
    <t>Ледяное ядро, всё ещё отдающее морозом. Применяется при создании ледяного оружия или мощных амулетов защиты от холода.</t>
  </si>
  <si>
    <t>Язык льда</t>
  </si>
  <si>
    <t>Сфера духа</t>
  </si>
  <si>
    <t>Светящийся шар, содержащий пленённого духа. Используется для создания зелий и ритуалов некромантии</t>
  </si>
  <si>
    <t>Зелье духа</t>
  </si>
  <si>
    <t>Острый фрагмент вулканического стекла, пропитанный тёмной энергией. Применяется для создания проклятых клинков или для разрушительной магии.</t>
  </si>
  <si>
    <t>Очень мощный магический компонент, служит основой для лучших зачарований</t>
  </si>
  <si>
    <t>Великое зачарование остроты и защиты</t>
  </si>
  <si>
    <t>Масло остроты</t>
  </si>
  <si>
    <t>Эссенция кошмаров</t>
  </si>
  <si>
    <t>Эссенция, которая покоиться в существах способных пробудить животный ужас. Применяется в созданиях иллюзий, навевающих ужас и зельях борьбы с ним</t>
  </si>
  <si>
    <t>Упругая сердцевина гигантского древня. Используется для изготовления друидических посохов и для улучшения регенерации</t>
  </si>
  <si>
    <t>Друидеческий посох</t>
  </si>
  <si>
    <t>Нестабильная субстанция, добытая из создания чистого хаоса. Ценнейший компонент в экспериментах с дикой магией и создании имплантов</t>
  </si>
  <si>
    <t>Масло дикой магии</t>
  </si>
  <si>
    <t>Чистый кристалл маны</t>
  </si>
  <si>
    <t>Безупречный кристалл, сконденсировавший магическую энергию. Необходим при создании предметов или в качестве источника питания. Может быть использован, чтобы восстановить заряды предметам.</t>
  </si>
  <si>
    <t>Чудестные предметы вплоть до Очень редкого</t>
  </si>
  <si>
    <t>Действием вы можете прикоснуться к одному магическому предмету и восстановить ему часть зарядов, словно дважды наступил рассвет. После этого чистый кристал маны разрушается</t>
  </si>
  <si>
    <t>Пепел чистой энергии</t>
  </si>
  <si>
    <t>Пепел, оставшийся после возрождения чудовища. Идёт на приготовление эликсиров возрождения и огненных талисманов</t>
  </si>
  <si>
    <t>Талисман вечного огня</t>
  </si>
  <si>
    <t>Эликсир возрождения</t>
  </si>
  <si>
    <t>Чистая светлая эссенция, полученная от небожителя. Необходима для ковки священных реликвий или мощных оберегов</t>
  </si>
  <si>
    <t>Талисман небожителя</t>
  </si>
  <si>
    <t>Сердце бури</t>
  </si>
  <si>
    <t>Неистовое ядро великого духа, содержащее ярость грома и ветра. Применяется для создания предметов управления погодой или могучих молотов, сокрушающих громом.</t>
  </si>
  <si>
    <t>Молот бури</t>
  </si>
  <si>
    <t>Ритуал управления погодой</t>
  </si>
  <si>
    <t>Поток временной жилы</t>
  </si>
  <si>
    <t>Концентрированная временная энергия, оставшаяся в тканях существ. Используется для зелий ускорения</t>
  </si>
  <si>
    <t>Зелье ускорения</t>
  </si>
  <si>
    <t>Кровь великого первородного</t>
  </si>
  <si>
    <t>Плазма, текущая в венах существ, близких к истоку жизни. Универсальный инструмент трансмутации и лучших магических доспехов</t>
  </si>
  <si>
    <t>Доспехи +3</t>
  </si>
  <si>
    <t>Ритуал трансмутации</t>
  </si>
  <si>
    <t>Нестабильное ядро, вмещающее активную энергию астрального моря.</t>
  </si>
  <si>
    <t>Масло эфирности</t>
  </si>
  <si>
    <t>Сформированное в чудовищах, что многократно изменяли облик, орган хранит силу трансформации.</t>
  </si>
  <si>
    <t>Зелье преображения</t>
  </si>
  <si>
    <t>Идеальный осколок души</t>
  </si>
  <si>
    <t>Легендарный компонент высшей категории, используется как основа любого соверменного Артефакта</t>
  </si>
  <si>
    <t>Формула Артефакта</t>
  </si>
  <si>
    <t>Извлечён из существ, обладающих бесконечной регенерацией или многоголовостью</t>
  </si>
  <si>
    <t>Доспех регенрации</t>
  </si>
  <si>
    <t>Инертная сущность</t>
  </si>
  <si>
    <t>Остаток материи, потерявшей все связи с Плетением и законами физики. Нейтрализует магию в области.</t>
  </si>
  <si>
    <t>Зелье преобладания магии</t>
  </si>
  <si>
    <t>Сфера нематериального присутствия</t>
  </si>
  <si>
    <t>Концентрированное ядро существования существа, не имеющего физического тела</t>
  </si>
  <si>
    <t>Масло материализации</t>
  </si>
  <si>
    <t>Чёрное вещество, не отражающее ни свет, ни магию.</t>
  </si>
  <si>
    <t>Ядро чёрной дыры</t>
  </si>
  <si>
    <t>Слияние разрозненных реальностей, сформированное в существе, существующем в чужом мире</t>
  </si>
  <si>
    <t>Зелье чужеродной природы</t>
  </si>
  <si>
    <t>Пульс души</t>
  </si>
  <si>
    <t>Ритмическая вибрация между жизнью и смертью, временем и пустотой.</t>
  </si>
  <si>
    <t>Исскуственная душа</t>
  </si>
  <si>
    <t>Ритуал воссоздания души</t>
  </si>
  <si>
    <t>Метафизическая пыль</t>
  </si>
  <si>
    <t>Сверхтонкая субстанция, остающаяся от разрушения существа, не подвластного определению.</t>
  </si>
  <si>
    <t>Метафизическое зелье</t>
  </si>
  <si>
    <t>Ядовитая железа 0-й ранг</t>
  </si>
  <si>
    <t>Ядовитая железа, извлечённая из тела... Ядовитого существа 0 ранга</t>
  </si>
  <si>
    <r>
      <rPr>
        <rFont val="Open Sans"/>
        <color rgb="FF000000"/>
        <sz val="10.0"/>
      </rPr>
      <t xml:space="preserve">Извлечь яд, совершая проверку Мудрости (Выживания) Сл 13.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13. </t>
    </r>
    <r>
      <rPr>
        <rFont val="Open Sans"/>
        <b/>
        <color rgb="FF000000"/>
        <sz val="10.0"/>
      </rPr>
      <t>Провал:</t>
    </r>
    <r>
      <rPr>
        <rFont val="Open Sans"/>
        <color rgb="FF000000"/>
        <sz val="10.0"/>
      </rPr>
      <t xml:space="preserve"> 1d6 урона ядом. </t>
    </r>
    <r>
      <rPr>
        <rFont val="Open Sans"/>
        <b/>
        <color rgb="FF000000"/>
        <sz val="10.0"/>
      </rPr>
      <t>Успех:</t>
    </r>
    <r>
      <rPr>
        <rFont val="Open Sans"/>
        <color rgb="FF000000"/>
        <sz val="10.0"/>
      </rPr>
      <t xml:space="preserve"> половина урона.</t>
    </r>
  </si>
  <si>
    <t>Ядовитая железа 1-й ранг</t>
  </si>
  <si>
    <t>Ядовитая железа, извлечённая из тела... Ядовитого существа 1 ранга</t>
  </si>
  <si>
    <r>
      <rPr>
        <rFont val="Open Sans"/>
        <color rgb="FF000000"/>
        <sz val="10.0"/>
      </rPr>
      <t xml:space="preserve">Извлечь яд, совершая проверку Мудрости (Выживания) Сл 13.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13. </t>
    </r>
    <r>
      <rPr>
        <rFont val="Open Sans"/>
        <b/>
        <color rgb="FF000000"/>
        <sz val="10.0"/>
      </rPr>
      <t>Провал:</t>
    </r>
    <r>
      <rPr>
        <rFont val="Open Sans"/>
        <color rgb="FF000000"/>
        <sz val="10.0"/>
      </rPr>
      <t xml:space="preserve"> 2d6 урона ядом. </t>
    </r>
    <r>
      <rPr>
        <rFont val="Open Sans"/>
        <b/>
        <color rgb="FF000000"/>
        <sz val="10.0"/>
      </rPr>
      <t>Успех:</t>
    </r>
    <r>
      <rPr>
        <rFont val="Open Sans"/>
        <color rgb="FF000000"/>
        <sz val="10.0"/>
      </rPr>
      <t xml:space="preserve"> половина урона.</t>
    </r>
  </si>
  <si>
    <t>Ядовитая железа 2-й ранг</t>
  </si>
  <si>
    <t>Ядовитая железа, извлечённая из тела... Ядовитого существа 2 ранга</t>
  </si>
  <si>
    <r>
      <rPr>
        <rFont val="Open Sans"/>
        <color rgb="FF000000"/>
        <sz val="10.0"/>
      </rPr>
      <t xml:space="preserve">Извлечь яд, совершая проверку Мудрости (Выживания) Сл 13.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13. </t>
    </r>
    <r>
      <rPr>
        <rFont val="Open Sans"/>
        <b/>
        <color rgb="FF000000"/>
        <sz val="10.0"/>
      </rPr>
      <t>Провал:</t>
    </r>
    <r>
      <rPr>
        <rFont val="Open Sans"/>
        <color rgb="FF000000"/>
        <sz val="10.0"/>
      </rPr>
      <t xml:space="preserve"> 3d6 урона ядом. </t>
    </r>
    <r>
      <rPr>
        <rFont val="Open Sans"/>
        <b/>
        <color rgb="FF000000"/>
        <sz val="10.0"/>
      </rPr>
      <t>Успех:</t>
    </r>
    <r>
      <rPr>
        <rFont val="Open Sans"/>
        <color rgb="FF000000"/>
        <sz val="10.0"/>
      </rPr>
      <t xml:space="preserve"> половина урона.</t>
    </r>
  </si>
  <si>
    <t>Ядовитая железа 3-й ранг</t>
  </si>
  <si>
    <t>Ядовитая железа, извлечённая из тела... Ядовитого существа 3 ранга</t>
  </si>
  <si>
    <r>
      <rPr>
        <rFont val="Open Sans"/>
        <color rgb="FF000000"/>
        <sz val="10.0"/>
      </rPr>
      <t xml:space="preserve">Извлечь яд, совершая проверку Мудрости (Выживания) Сл 15.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15. </t>
    </r>
    <r>
      <rPr>
        <rFont val="Open Sans"/>
        <b/>
        <color rgb="FF000000"/>
        <sz val="10.0"/>
      </rPr>
      <t>Провал:</t>
    </r>
    <r>
      <rPr>
        <rFont val="Open Sans"/>
        <color rgb="FF000000"/>
        <sz val="10.0"/>
      </rPr>
      <t xml:space="preserve"> 5d6 урона ядом. </t>
    </r>
    <r>
      <rPr>
        <rFont val="Open Sans"/>
        <b/>
        <color rgb="FF000000"/>
        <sz val="10.0"/>
      </rPr>
      <t>Успех:</t>
    </r>
    <r>
      <rPr>
        <rFont val="Open Sans"/>
        <color rgb="FF000000"/>
        <sz val="10.0"/>
      </rPr>
      <t xml:space="preserve"> половина урона.</t>
    </r>
  </si>
  <si>
    <t>Ядовитая железа 4-й ранг</t>
  </si>
  <si>
    <t>Ядовитая железа, извлечённая из тела... Ядовитого существа 4 ранга</t>
  </si>
  <si>
    <r>
      <rPr>
        <rFont val="Open Sans"/>
        <color rgb="FF000000"/>
        <sz val="10.0"/>
      </rPr>
      <t xml:space="preserve">Извлечь яд, совершая проверку Мудрости (Выживания) Сл 15.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15. </t>
    </r>
    <r>
      <rPr>
        <rFont val="Open Sans"/>
        <b/>
        <color rgb="FF000000"/>
        <sz val="10.0"/>
      </rPr>
      <t>Провал:</t>
    </r>
    <r>
      <rPr>
        <rFont val="Open Sans"/>
        <color rgb="FF000000"/>
        <sz val="10.0"/>
      </rPr>
      <t xml:space="preserve"> 7d6 урона ядом. </t>
    </r>
    <r>
      <rPr>
        <rFont val="Open Sans"/>
        <b/>
        <color rgb="FF000000"/>
        <sz val="10.0"/>
      </rPr>
      <t>Успех:</t>
    </r>
    <r>
      <rPr>
        <rFont val="Open Sans"/>
        <color rgb="FF000000"/>
        <sz val="10.0"/>
      </rPr>
      <t xml:space="preserve"> половина урона.</t>
    </r>
  </si>
  <si>
    <t>Ядовитая железа 5-й ранг</t>
  </si>
  <si>
    <t>Ядовитая железа, извлечённая из тела... Ядовитого существа 5 ранга</t>
  </si>
  <si>
    <r>
      <rPr>
        <rFont val="Open Sans"/>
        <color rgb="FF000000"/>
        <sz val="10.0"/>
      </rPr>
      <t xml:space="preserve">Извлечь яд, совершая проверку Мудрости (Выживания) Сл 17.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17. </t>
    </r>
    <r>
      <rPr>
        <rFont val="Open Sans"/>
        <b/>
        <color rgb="FF000000"/>
        <sz val="10.0"/>
      </rPr>
      <t>Провал:</t>
    </r>
    <r>
      <rPr>
        <rFont val="Open Sans"/>
        <color rgb="FF000000"/>
        <sz val="10.0"/>
      </rPr>
      <t xml:space="preserve"> 8d6 урона ядом. </t>
    </r>
    <r>
      <rPr>
        <rFont val="Open Sans"/>
        <b/>
        <color rgb="FF000000"/>
        <sz val="10.0"/>
      </rPr>
      <t>Успех:</t>
    </r>
    <r>
      <rPr>
        <rFont val="Open Sans"/>
        <color rgb="FF000000"/>
        <sz val="10.0"/>
      </rPr>
      <t xml:space="preserve"> половина урона.</t>
    </r>
  </si>
  <si>
    <t>Ядовитая железа 6-й ранг</t>
  </si>
  <si>
    <t>Ядовитая железа, извлечённая из тела... Ядовитого существа 6 ранга</t>
  </si>
  <si>
    <r>
      <rPr>
        <rFont val="Open Sans"/>
        <color rgb="FF000000"/>
        <sz val="10.0"/>
      </rPr>
      <t xml:space="preserve">Извлечь яд, совершая проверку Мудрости (Выживания) Сл 17.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17. </t>
    </r>
    <r>
      <rPr>
        <rFont val="Open Sans"/>
        <b/>
        <color rgb="FF000000"/>
        <sz val="10.0"/>
      </rPr>
      <t>Провал:</t>
    </r>
    <r>
      <rPr>
        <rFont val="Open Sans"/>
        <color rgb="FF000000"/>
        <sz val="10.0"/>
      </rPr>
      <t xml:space="preserve"> 9d6 урона ядом. </t>
    </r>
    <r>
      <rPr>
        <rFont val="Open Sans"/>
        <b/>
        <color rgb="FF000000"/>
        <sz val="10.0"/>
      </rPr>
      <t>Успех:</t>
    </r>
    <r>
      <rPr>
        <rFont val="Open Sans"/>
        <color rgb="FF000000"/>
        <sz val="10.0"/>
      </rPr>
      <t xml:space="preserve"> половина урона.</t>
    </r>
  </si>
  <si>
    <t>Ядовитая железа 7-й ранг</t>
  </si>
  <si>
    <t>Ядовитая железа, извлечённая из тела... Ядовитого существа 7 ранга</t>
  </si>
  <si>
    <r>
      <rPr>
        <rFont val="Open Sans"/>
        <color rgb="FF000000"/>
        <sz val="10.0"/>
      </rPr>
      <t xml:space="preserve">Извлечь яд, совершая проверку Мудрости (Выживания) Сл 18.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18. </t>
    </r>
    <r>
      <rPr>
        <rFont val="Open Sans"/>
        <b/>
        <color rgb="FF000000"/>
        <sz val="10.0"/>
      </rPr>
      <t>Провал:</t>
    </r>
    <r>
      <rPr>
        <rFont val="Open Sans"/>
        <color rgb="FF000000"/>
        <sz val="10.0"/>
      </rPr>
      <t xml:space="preserve"> 10d6 урона ядом. </t>
    </r>
    <r>
      <rPr>
        <rFont val="Open Sans"/>
        <b/>
        <color rgb="FF000000"/>
        <sz val="10.0"/>
      </rPr>
      <t>Успех:</t>
    </r>
    <r>
      <rPr>
        <rFont val="Open Sans"/>
        <color rgb="FF000000"/>
        <sz val="10.0"/>
      </rPr>
      <t xml:space="preserve"> половина урона.</t>
    </r>
  </si>
  <si>
    <t>Ядовитая железа 8-й ранг</t>
  </si>
  <si>
    <t>Ядовитая железа, извлечённая из тела... Ядовитого существа 8 ранга</t>
  </si>
  <si>
    <r>
      <rPr>
        <rFont val="Open Sans"/>
        <color rgb="FF000000"/>
        <sz val="10.0"/>
      </rPr>
      <t xml:space="preserve">Извлечь яд, совершая проверку Мудрости (Выживания) Сл 18.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18. </t>
    </r>
    <r>
      <rPr>
        <rFont val="Open Sans"/>
        <b/>
        <color rgb="FF000000"/>
        <sz val="10.0"/>
      </rPr>
      <t>Провал:</t>
    </r>
    <r>
      <rPr>
        <rFont val="Open Sans"/>
        <color rgb="FF000000"/>
        <sz val="10.0"/>
      </rPr>
      <t xml:space="preserve"> 11d6 урона ядом. </t>
    </r>
    <r>
      <rPr>
        <rFont val="Open Sans"/>
        <b/>
        <color rgb="FF000000"/>
        <sz val="10.0"/>
      </rPr>
      <t>Успех:</t>
    </r>
    <r>
      <rPr>
        <rFont val="Open Sans"/>
        <color rgb="FF000000"/>
        <sz val="10.0"/>
      </rPr>
      <t xml:space="preserve"> половина урона.</t>
    </r>
  </si>
  <si>
    <t>Ядовитая железа 9-й ранг</t>
  </si>
  <si>
    <t>Ядовитая железа, извлечённая из тела... Ядовитого существа 9 ранга</t>
  </si>
  <si>
    <r>
      <rPr>
        <rFont val="Open Sans"/>
        <color rgb="FF000000"/>
        <sz val="10.0"/>
      </rPr>
      <t xml:space="preserve">Извлечь яд, совершая проверку Мудрости (Выживания) Сл 19.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19. </t>
    </r>
    <r>
      <rPr>
        <rFont val="Open Sans"/>
        <b/>
        <color rgb="FF000000"/>
        <sz val="10.0"/>
      </rPr>
      <t>Провал:</t>
    </r>
    <r>
      <rPr>
        <rFont val="Open Sans"/>
        <color rgb="FF000000"/>
        <sz val="10.0"/>
      </rPr>
      <t xml:space="preserve"> 12d6 урона ядом. </t>
    </r>
    <r>
      <rPr>
        <rFont val="Open Sans"/>
        <b/>
        <color rgb="FF000000"/>
        <sz val="10.0"/>
      </rPr>
      <t>Успех:</t>
    </r>
    <r>
      <rPr>
        <rFont val="Open Sans"/>
        <color rgb="FF000000"/>
        <sz val="10.0"/>
      </rPr>
      <t xml:space="preserve"> половина урона.</t>
    </r>
  </si>
  <si>
    <t>Ядовитая железа 10-й ранг</t>
  </si>
  <si>
    <t>Ядовитая железа, извлечённая из тела... Ядовитого существа 10 ранга</t>
  </si>
  <si>
    <r>
      <rPr>
        <rFont val="Open Sans"/>
        <color rgb="FF000000"/>
        <sz val="10.0"/>
      </rPr>
      <t xml:space="preserve">Извлечь яд, совершая проверку Мудрости (Выживания) Сл 21. </t>
    </r>
    <r>
      <rPr>
        <rFont val="Open Sans"/>
        <b/>
        <color rgb="FF000000"/>
        <sz val="10.0"/>
      </rPr>
      <t>Успех:</t>
    </r>
    <r>
      <rPr>
        <rFont val="Open Sans"/>
        <color rgb="FF000000"/>
        <sz val="10.0"/>
      </rPr>
      <t xml:space="preserve"> одна доза яда существа. Обычно яд такого существа требует от цели совершить спасбросок Телосложения Сл 21. </t>
    </r>
    <r>
      <rPr>
        <rFont val="Open Sans"/>
        <b/>
        <color rgb="FF000000"/>
        <sz val="10.0"/>
      </rPr>
      <t>Провал:</t>
    </r>
    <r>
      <rPr>
        <rFont val="Open Sans"/>
        <color rgb="FF000000"/>
        <sz val="10.0"/>
      </rPr>
      <t xml:space="preserve"> 15d6 урона ядом. </t>
    </r>
    <r>
      <rPr>
        <rFont val="Open Sans"/>
        <b/>
        <color rgb="FF000000"/>
        <sz val="10.0"/>
      </rPr>
      <t>Успех:</t>
    </r>
    <r>
      <rPr>
        <rFont val="Open Sans"/>
        <color rgb="FF000000"/>
        <sz val="10.0"/>
      </rPr>
      <t xml:space="preserve"> половина урона.</t>
    </r>
  </si>
  <si>
    <t>Ядро души 1-й ранг</t>
  </si>
  <si>
    <t>Обработанный камень души 1-го ранга который используется для, оживлявшее конструкта вплоть до 1-го ранга</t>
  </si>
  <si>
    <t>Используется для оживления конструкта соответствующего ранга</t>
  </si>
  <si>
    <t>Ядро души 2-й ранг</t>
  </si>
  <si>
    <t>Обработанный камень души 2-го ранга который используется для, оживлявшее конструкта вплоть до 2-го ранга</t>
  </si>
  <si>
    <t>Ядро души 3-й ранг</t>
  </si>
  <si>
    <t>Обработанный камень души 3-го ранга который используется для, оживлявшее конструкта вплоть до 3-го ранга</t>
  </si>
  <si>
    <t>Ядро души 4-й ранг</t>
  </si>
  <si>
    <t>Обработанный камень души 4-го ранга который используется для, оживлявшее конструкта вплоть до 4-го ранга</t>
  </si>
  <si>
    <t>Ядро души 5-й ранг</t>
  </si>
  <si>
    <t>Обработанный камень души 5-го ранга который используется для, оживлявшее конструкта вплоть до 5-го ранга</t>
  </si>
  <si>
    <t>Ядро души 6-й ранг</t>
  </si>
  <si>
    <t>Обработанный камень души 6-го ранга который используется для, оживлявшее конструкта вплоть до 6-го ранга</t>
  </si>
  <si>
    <t>Ядро души 7-й ранг</t>
  </si>
  <si>
    <t>Обработанный камень души 7-го ранга который используется для, оживлявшее конструкта вплоть до 7-го ранга</t>
  </si>
  <si>
    <t>Ядро души 8-й ранг</t>
  </si>
  <si>
    <t>Обработанный камень души 8-го ранга который используется для, оживлявшее конструкта вплоть до 8-го ранга</t>
  </si>
  <si>
    <t>Ядро души 9-й ранг</t>
  </si>
  <si>
    <t>Обработанный камень души 9-го ранга который используется для, оживлявшее конструкта вплоть до 9-го ранга</t>
  </si>
  <si>
    <t>Ядро души 10-й ранг</t>
  </si>
  <si>
    <t>Обработанный камень души 10-го ранга который используется для, оживлявшее конструкта вплоть до 10-го ранга</t>
  </si>
  <si>
    <t>Камень души 1-й ранг</t>
  </si>
  <si>
    <t>Концентрированная эктоплазма, которая остаётся после убийства большинства нематериальных противников</t>
  </si>
  <si>
    <t>Используется для создания ядер души</t>
  </si>
  <si>
    <t>Расщепление на аспекты</t>
  </si>
  <si>
    <t>Камень души 2-й ранг</t>
  </si>
  <si>
    <t>Камень души 3-й ранг</t>
  </si>
  <si>
    <t>Камень души 4-й ранг</t>
  </si>
  <si>
    <t>Камень души 5-й ранг</t>
  </si>
  <si>
    <t>Камень души 6-й ранг</t>
  </si>
  <si>
    <t>Камень души 7-й ранг</t>
  </si>
  <si>
    <t>Камень души 8-й ранг</t>
  </si>
  <si>
    <t>Камень души 9-й ранг</t>
  </si>
  <si>
    <t>Камень души 10-й ранг</t>
  </si>
  <si>
    <t>Глазные стебли</t>
  </si>
  <si>
    <t>Зомби бехолдер</t>
  </si>
  <si>
    <t>Глазное яблоко мелкое, которое можно достать от Зомби бехолдера</t>
  </si>
  <si>
    <t>Если на него правильно надавить, то позвояет использовать луч бехолдера вместо одной из атак. При таком использовании вы можете заменить Сл спасброска Бехолдера на свою Сл класса</t>
  </si>
  <si>
    <t>Клык чудовища</t>
  </si>
  <si>
    <t>Пластина почти из чистой магии! Способна усилить ваши уже имеющиеся источники Чистой силы на оружии либо даже больше</t>
  </si>
  <si>
    <t>Глаз Антимагии</t>
  </si>
  <si>
    <t>Типовые существа</t>
  </si>
  <si>
    <t>Даже отсечённый, глаз всё ещё убивает чары вокруг себя</t>
  </si>
  <si>
    <t>Настоящие лезвия из хитина и кварцевидных прожилок</t>
  </si>
  <si>
    <t>Осколки желудка</t>
  </si>
  <si>
    <t>Вещь способная менять пространство вокруг себя</t>
  </si>
  <si>
    <t>Позволяет удвоить грузоподъемость объектов, которые внутри больше, чем снаружи</t>
  </si>
  <si>
    <t>Глазной стебель бехолдера</t>
  </si>
  <si>
    <t>Бехолдер</t>
  </si>
  <si>
    <t>Один из многочисленных стеблей бехолдера прямиком из его головы</t>
  </si>
  <si>
    <t>Устройство, что способно конденсировать яд в теле голема</t>
  </si>
  <si>
    <t>Кровьтрава</t>
  </si>
  <si>
    <t>Растение</t>
  </si>
  <si>
    <t>Повсеместно</t>
  </si>
  <si>
    <t>Низкая трава с тёмно-алыми прожилками; при надрыве выделяет густой тёплый сок цвета свернувшейся крови.</t>
  </si>
  <si>
    <t>15 О</t>
  </si>
  <si>
    <t>Хромовая слизь</t>
  </si>
  <si>
    <t>Берега, Подземье</t>
  </si>
  <si>
    <t>Вязкая полупрозрачная масса с металлическим отливом; на свету переливается, медленно стекая с камня.</t>
  </si>
  <si>
    <t>45 З</t>
  </si>
  <si>
    <t>Сушеная Эфедра</t>
  </si>
  <si>
    <t>Пустыни, Горы</t>
  </si>
  <si>
    <t>Ломкие бледно-зелёные стебельки с терпким смолистым запахом; шуршат, как тонкая бумага.</t>
  </si>
  <si>
    <t>22 Пэ</t>
  </si>
  <si>
    <t>Рвоск</t>
  </si>
  <si>
    <t>Леса, Болота</t>
  </si>
  <si>
    <t>Плотный комок желтоватого воска со смоляными вкраплениями; при нагреве становится тягучим и пахучим.</t>
  </si>
  <si>
    <t>18 Нэ</t>
  </si>
  <si>
    <t>Фенхелейвый шёлк</t>
  </si>
  <si>
    <t>Арктика, Подземье</t>
  </si>
  <si>
    <t>Тонкие серебристые волокна с лёгким анисовым ароматом; тянутся в гладкие нити.</t>
  </si>
  <si>
    <t>14 З</t>
  </si>
  <si>
    <t>Кисть Генгкоу</t>
  </si>
  <si>
    <t>Холмы, Подземье</t>
  </si>
  <si>
    <t>Пучок веерообразных листьев с толстой жилкой; цвет меняется от светло-зелёного до янтарного.</t>
  </si>
  <si>
    <t>22 Вд</t>
  </si>
  <si>
    <t>Нектар Гиацинта</t>
  </si>
  <si>
    <t>Берега, Луга</t>
  </si>
  <si>
    <t>Прозрачные сладковатые капли у основания цветка; при встряхивании едва заметно светятся.</t>
  </si>
  <si>
    <t>15 З</t>
  </si>
  <si>
    <t>Веточка лаванды</t>
  </si>
  <si>
    <t>Берега, Луга, Холмы</t>
  </si>
  <si>
    <t>Сухой тонкий стебель с мелкими сиреневыми соцветиями; сохраняет стойкий травяной аромат.</t>
  </si>
  <si>
    <t>16 Вз</t>
  </si>
  <si>
    <t>Корень Мандрагоры</t>
  </si>
  <si>
    <t>Корчеватый корень, похожий на человеческую фигурку; пахнет сырой землёй и травой.</t>
  </si>
  <si>
    <t>11 Пэ</t>
  </si>
  <si>
    <t>Семена Молочая</t>
  </si>
  <si>
    <t>Крошечные тёмные зёрна, гладкие на ощупь; при раздавливании выступает белесая маслянистая капля.</t>
  </si>
  <si>
    <t>12 О</t>
  </si>
  <si>
    <t>Корень дикого Шалфея</t>
  </si>
  <si>
    <t>Витой серо-коричневый корень с шероховатой корой и терпкой горчинкой на вкус.</t>
  </si>
  <si>
    <t>15 Вз</t>
  </si>
  <si>
    <t>Арктический плющ</t>
  </si>
  <si>
    <t>Арктика, Горы</t>
  </si>
  <si>
    <t>Мелколистая лиана серебристо-зелёного тона; холодит кожу при касании и не теряет упругость на морозе.</t>
  </si>
  <si>
    <t>19 Вд</t>
  </si>
  <si>
    <t>Шляпка мухомора</t>
  </si>
  <si>
    <t>Берега, Болота</t>
  </si>
  <si>
    <t>Ярко-красная шляпка с белыми хлопьями; на срезе выделяет густой молочно-белый сок.</t>
  </si>
  <si>
    <t>25 Нэ</t>
  </si>
  <si>
    <t>Дыхание Василиска</t>
  </si>
  <si>
    <t>Горы</t>
  </si>
  <si>
    <t>Хрупкие стеклянные соцветия, источающие холодный пар; отблески зеленоваты в темноте.</t>
  </si>
  <si>
    <t>80 О</t>
  </si>
  <si>
    <t>Сок кактуса</t>
  </si>
  <si>
    <t>Пустыни, Луга</t>
  </si>
  <si>
    <t>Мутная водянистая жидкость с травяным запахом; липнет к пальцам тонкой плёнкой.</t>
  </si>
  <si>
    <t>12 Вд</t>
  </si>
  <si>
    <t>Цветы Дракуса</t>
  </si>
  <si>
    <t>Пустыни, Луга, Горы</t>
  </si>
  <si>
    <t>Мелкие тёмно-бордовые цветки с узкими лепестками; сердцевина почти чёрная.</t>
  </si>
  <si>
    <t>Замороженные саженцы</t>
  </si>
  <si>
    <t>Арктика, Болота</t>
  </si>
  <si>
    <t>Невысокие ростки, будто прихваченные инеем изнутри; ломаются с чистым сухим треском.</t>
  </si>
  <si>
    <t>47 Вз</t>
  </si>
  <si>
    <t>Листья Харрады</t>
  </si>
  <si>
    <t>Лес</t>
  </si>
  <si>
    <t>Длинные ланцетные листья с неровным рваным краем; пахнут дымом и горечью.</t>
  </si>
  <si>
    <t>14 Пэ</t>
  </si>
  <si>
    <t>Ртутный лишайник</t>
  </si>
  <si>
    <t>Серебристые пятна с влажным металлическим блеском; при касании медленно «перетекают».</t>
  </si>
  <si>
    <t>23 Нэ</t>
  </si>
  <si>
    <t>Сияющий синтоцвет</t>
  </si>
  <si>
    <t>Подземье</t>
  </si>
  <si>
    <t>Колокольчатые молочные цветки с мягким внутренним свечением в сумерках.</t>
  </si>
  <si>
    <t>39 Нэ</t>
  </si>
  <si>
    <t>Ягоды шипоцвета</t>
  </si>
  <si>
    <t>Пустыни, Болота</t>
  </si>
  <si>
    <t>Тёмные кислые ягоды на ветвях с тонкими шипами; кожица лопается от лёгкого нажатия.</t>
  </si>
  <si>
    <t>31 З</t>
  </si>
  <si>
    <t>Лепестки Змееуста</t>
  </si>
  <si>
    <t>Узкие изогнутые лепестки зеленовато-жёлтого тона; при касании слегка покалывают кожу.</t>
  </si>
  <si>
    <t>17 О</t>
  </si>
  <si>
    <t>Корень Стрела</t>
  </si>
  <si>
    <t>Пустыни, Луга, Леса</t>
  </si>
  <si>
    <t>Прямой плотный корень с острым коническим концом; легко входит в уплотнённую почву.</t>
  </si>
  <si>
    <t>20 З</t>
  </si>
  <si>
    <t>Синий Кривожаб</t>
  </si>
  <si>
    <t>Берега, Леса, Болота</t>
  </si>
  <si>
    <t>Мясистый гриб с синеватой шляпкой и искривлённой ножкой; оставляет тёмный след на пальцах.</t>
  </si>
  <si>
    <t>35 О</t>
  </si>
  <si>
    <t>Ко-Глонд</t>
  </si>
  <si>
    <t>Берега, Пустыни</t>
  </si>
  <si>
    <t>Крупный плотный бутон с изумрудными чешуйками; раскрывается рывком с сухим щелчком.</t>
  </si>
  <si>
    <t>44 Пэ</t>
  </si>
  <si>
    <t>Дьявольский кроволист</t>
  </si>
  <si>
    <t>Холмы, Болота, Подземье</t>
  </si>
  <si>
    <t>Тёмно-алые листья с чёрной прожилкой; на срезе выступает горячий пряный сок.</t>
  </si>
  <si>
    <t>85 Вз</t>
  </si>
  <si>
    <t>Дьявольский плющ</t>
  </si>
  <si>
    <t>Гибкая багровая лиана с крючковатыми усиками; цепляется за камень, оставляя тонкие царапины.</t>
  </si>
  <si>
    <t>50 Нэ</t>
  </si>
  <si>
    <t>Водополох</t>
  </si>
  <si>
    <t>Прибрежное растение с пористым стеблем и тонкими серо-зелёными листьями; шуршит при сжатии.</t>
  </si>
  <si>
    <t>42 Вд</t>
  </si>
  <si>
    <t>Сердце Жлезодрева</t>
  </si>
  <si>
    <t>Арктика, Леса, Холмы</t>
  </si>
  <si>
    <t>Комковатый бурый нарост на древесине; на изломе сочится густая янтарная смола.</t>
  </si>
  <si>
    <t>26 О</t>
  </si>
  <si>
    <t>Светопыль</t>
  </si>
  <si>
    <t>Горы, Подземье</t>
  </si>
  <si>
    <t>Сыпучий бледно-жёлтый порошок; от малейшего движения поднимается мерцающим облачком.</t>
  </si>
  <si>
    <t>40 Пэ</t>
  </si>
  <si>
    <t>Порошок морплоти</t>
  </si>
  <si>
    <t>Серый мелкий порошок с лёгким рыбным духом; на влажной коже становится липким.</t>
  </si>
  <si>
    <t>95 Вд</t>
  </si>
  <si>
    <t>Ягоды Паслёна</t>
  </si>
  <si>
    <t>Леса, Холмы</t>
  </si>
  <si>
    <t>Гладкие чёрные ягоды с водянистой мякотью; внутри множество мелких семян.</t>
  </si>
  <si>
    <t>25 З</t>
  </si>
  <si>
    <t>Изначальный бальзам</t>
  </si>
  <si>
    <t>Горы, Болота, Подземье</t>
  </si>
  <si>
    <t>Густая смолистая масса цвета старого мёда; медленно растекается и пахнет тёплыми травами.</t>
  </si>
  <si>
    <t>58 Пэ</t>
  </si>
  <si>
    <t>Каменный вьюн</t>
  </si>
  <si>
    <t>Холмы, Горы</t>
  </si>
  <si>
    <t>Лиана с серыми, почти каменными стеблями; ломается с сухим каменным треском.</t>
  </si>
  <si>
    <t>60 Нэ</t>
  </si>
  <si>
    <t>Бобы Сцили</t>
  </si>
  <si>
    <t>Плоские бледные бобы с мраморными прожилками; шелестят в стручках как мелкая галька.</t>
  </si>
  <si>
    <t>11 Вз</t>
  </si>
  <si>
    <t>Серебряный гибискус</t>
  </si>
  <si>
    <t>Крупный цветок с матово-серебристой чашечкой; лепестки прохладны и едва искрятся.</t>
  </si>
  <si>
    <t>47 Вд</t>
  </si>
  <si>
    <t>Листохвост</t>
  </si>
  <si>
    <t>Луга, Холмы</t>
  </si>
  <si>
    <t>Продолговатые листья, собранные веером как хвост; при встряхивании издают сухой свист.</t>
  </si>
  <si>
    <t>75 О</t>
  </si>
  <si>
    <t>Вердинская крапива</t>
  </si>
  <si>
    <t>Леса</t>
  </si>
  <si>
    <t>Ярко-зелёные зубчатые листья с стеклянными волосками; обжигают лёгким жгучим зудом.</t>
  </si>
  <si>
    <t>30 Нэ</t>
  </si>
  <si>
    <t>Корень пустоты</t>
  </si>
  <si>
    <t>Арктика, Пустыня</t>
  </si>
  <si>
    <t>Тёмный полый корень, гудящий при поднесении к уху; внутренняя поверхность гладкая, как стекло.</t>
  </si>
  <si>
    <t>32 Пэ</t>
  </si>
  <si>
    <t>Стебли Гифломы</t>
  </si>
  <si>
    <t>Лес, Подземье</t>
  </si>
  <si>
    <t>Полупрозрачные нити грибницы, тянущиеся тонкими струнами; на воздухе быстро мутнеют.</t>
  </si>
  <si>
    <t>80 З</t>
  </si>
  <si>
    <t>Зловонная луковица</t>
  </si>
  <si>
    <t>Крупная луковица с серо-зелёной кожурой; при надрезе выпускает резкий едкий запах.</t>
  </si>
  <si>
    <t>44 Вз</t>
  </si>
  <si>
    <t>Минерал</t>
  </si>
  <si>
    <t>Металл</t>
  </si>
  <si>
    <t>Адамантин — это высокопрочный и сверхтвёрдый металл, который находят в метеоритах и необычных рудных жилах. Помимо применения при изготовлении адамантиновой брони, его также используют и для изготовления оружия.</t>
  </si>
  <si>
    <t>Адамантин оружие и доспехи</t>
  </si>
  <si>
    <t>Сталь высших эльфов, что создана для борьбы с нечистью.</t>
  </si>
  <si>
    <t>Окаменелость</t>
  </si>
  <si>
    <t xml:space="preserve">Кристаллы забытых Титанов — не до конца изученный материал, что добывают в 4-х местах в мире. Но слухам это останки самих великих Титанов. </t>
  </si>
  <si>
    <t>Мантикоры</t>
  </si>
  <si>
    <t xml:space="preserve">Мантикоры обладают сильным ядом, что способен поразить гуманоидов. </t>
  </si>
  <si>
    <t xml:space="preserve">Ночное небо Тейванкаля прекрасно, часто звёзды образуют метеориты и падают на землю. </t>
  </si>
  <si>
    <t xml:space="preserve">Сталь, созданная с вкраплением особого материала, которого боятся элементали. </t>
  </si>
  <si>
    <t xml:space="preserve">Металл, который используют и добывают исчадия на своих землях. На материальный план попадает лишь из других рук, не смотря на это из-за своей специфики довольно дешевый. </t>
  </si>
  <si>
    <t xml:space="preserve">Металл, что при остывании становится почти невидимым, преламывая лучи света, грозное орудие в руках специалистов. </t>
  </si>
  <si>
    <t xml:space="preserve">Особый гномий материал, который в основном используется как декорации на секретных гномьих вечеринках. </t>
  </si>
  <si>
    <t xml:space="preserve">Будто бракованный металл, который ещё и плохо пахнет лучше поражает гуманоидов. </t>
  </si>
  <si>
    <t xml:space="preserve">Мифрил это лёгкий и гибкий металл. </t>
  </si>
  <si>
    <t xml:space="preserve">Металл из шахт Азадранской империи, который используют мобильные корпуса. Имеет отличную гибкость и почти не издаёт звуков. </t>
  </si>
  <si>
    <t>Гриффон</t>
  </si>
  <si>
    <t xml:space="preserve">Грифоны обладают отличной шерстью и доспех с такой шерстью в разы удобней для использования. </t>
  </si>
  <si>
    <t xml:space="preserve">Всё ещё адамантий, но освящённый храмовыми жрецами так, чтобы он мог помочь носителю использовать магию. </t>
  </si>
  <si>
    <t>Как адамантий, но освящённый</t>
  </si>
  <si>
    <t>Модроны</t>
  </si>
  <si>
    <t xml:space="preserve">Модроны — слуги Праймуса после смерти обращаются из которого можно сделать достойные доспехи. </t>
  </si>
  <si>
    <t xml:space="preserve">Химическая смесь, что позволяет сделать доспех более подвижным. </t>
  </si>
  <si>
    <t xml:space="preserve">Магический порошок, что создан волшебниками для защиты важных личностей от слежки. </t>
  </si>
  <si>
    <t>Плотные кости с необычной живучестью ткани; ценятся алхимиками и ремесленниками за устойчивость и редкость добычи.</t>
  </si>
  <si>
    <t>Паук</t>
  </si>
  <si>
    <t>Прочное липкое волокно, пригодное для изготовления верёвок, сетей, бинтов и крепких нитей после очистки.</t>
  </si>
  <si>
    <t>Фейские демипланы</t>
  </si>
  <si>
    <t>Редкая древесина с тонкой текстурой и «живым» рисунком; легче обрабатывается, но требует бережного хранения и сушки.</t>
  </si>
  <si>
    <t>Базовое сырье для Инструменты Воровские</t>
  </si>
  <si>
    <t>Базовое сырье для Инструменты Алхимические</t>
  </si>
  <si>
    <t>Базовое сырье для Инструменты Кузнеца</t>
  </si>
  <si>
    <t>Базовое сырье для Инструменты Каллиграфа</t>
  </si>
  <si>
    <t>Базовое сырье для Инструменты Поддельщика</t>
  </si>
  <si>
    <t xml:space="preserve">Базовое сырье для Инструменты Гримёра </t>
  </si>
  <si>
    <t>Базовое сырье для Инструменты Художественные</t>
  </si>
  <si>
    <t>Базовое сырье для Инструменты Исследователя</t>
  </si>
  <si>
    <t>Базовое сырье для Инструменты Жестянщика</t>
  </si>
  <si>
    <t xml:space="preserve">Базовое сырье для Инструменты Камнелома </t>
  </si>
  <si>
    <t xml:space="preserve">Базовое сырье для Инструменты Кожедела </t>
  </si>
  <si>
    <t>Базовое сырье для Инструменты Пивовара</t>
  </si>
  <si>
    <t>Базовое сырье для Инструменты Деревянщика</t>
  </si>
  <si>
    <t xml:space="preserve">Базовое сырье для Инструменты Повара </t>
  </si>
  <si>
    <t>Базовое сырье для Инструменты Ювелира</t>
  </si>
  <si>
    <t>Железная руда</t>
  </si>
  <si>
    <t>Базовый металл для оружия, инструментов и крепежа; распространённый, хорошо поддаётся ковке и обработке.</t>
  </si>
  <si>
    <t>Прочный сплав железа с углеродом; основной материал для более надёжных инструментов, оружия и механизмов.</t>
  </si>
  <si>
    <t>Медная руда</t>
  </si>
  <si>
    <t>Мягкий проводящий металл для деталей, посуды, монетных сплавов и технических компонентов.</t>
  </si>
  <si>
    <t>Олово</t>
  </si>
  <si>
    <t>Оловянная руда</t>
  </si>
  <si>
    <t>Мягкий светлый металл, часто используемый в сплавах, покрытии изделий и ремесленной работе.</t>
  </si>
  <si>
    <t>Свинец</t>
  </si>
  <si>
    <t>Свинцовая руда</t>
  </si>
  <si>
    <t>Тяжёлый мягкий металл для грузов, пуль, простых уплотнителей и технических нужд.</t>
  </si>
  <si>
    <t>Серебряная руда</t>
  </si>
  <si>
    <t>Драгоценный металл для монет, украшений, ритуальных предметов и тонкой отделки.</t>
  </si>
  <si>
    <t>Золотая руда</t>
  </si>
  <si>
    <t>Драгоценный металл для ценностей, украшений и тонких работ; мягкий и устойчивый к коррозии.</t>
  </si>
  <si>
    <t>Платиновая руда</t>
  </si>
  <si>
    <t>Редкий драгоценный металл высокой ценности; используется для статусных изделий и точных работ.</t>
  </si>
  <si>
    <t>Обычный твёрдый минеральный материал для кладки, грубой обработки, фундаментов и простых изделий.</t>
  </si>
  <si>
    <t>Сланец</t>
  </si>
  <si>
    <t>Слоистый камень для плит, облицовки и кровли; легко колется ровными пластинами.</t>
  </si>
  <si>
    <t>Пластичная минеральная масса для керамики, форм, кирпича и строительных растворов.</t>
  </si>
  <si>
    <t>Кирпич</t>
  </si>
  <si>
    <t>Обожжённый строительный блок для стен, печей, перегородок и прочной кладки.</t>
  </si>
  <si>
    <t>Известняк</t>
  </si>
  <si>
    <t>Сыпучий минеральный материал для растворов, побелки, обработки и строительных смесей.</t>
  </si>
  <si>
    <t>Универсальный строительный и ремесленный материал; используется для рукоятей, каркасов, мебели и тары.</t>
  </si>
  <si>
    <t>Крупный рогатый скот</t>
  </si>
  <si>
    <t>Обработанная шкура, используемая для ремней, сумок, обуви и лёгкой брони; ценится за гибкость и прочность.</t>
  </si>
  <si>
    <t>Останки</t>
  </si>
  <si>
    <t>Твёрдый органический материал для рукоятей, украшений, игл и простых деталей; хорошо режется и шлифуется.</t>
  </si>
  <si>
    <t>Хлопок</t>
  </si>
  <si>
    <t>Полотно из растительных или животных волокон; идёт на одежду, мешки, повязки и бытовые изделия.</t>
  </si>
  <si>
    <t>Тонкое, прочное и дорогое волокно; подходит для качественной одежды, шнуров и тонких изделий.</t>
  </si>
  <si>
    <t>Овца</t>
  </si>
  <si>
    <t>Натуральное волокно животного происхождения для ткани, утепления, подкладки и набивки.</t>
  </si>
  <si>
    <t>Растительное волокно для нитей, холста, лёгкой ткани, мешков и бытовых изделий.</t>
  </si>
  <si>
    <t>Мягкое растительное волокно для пряжи, ткани, прокладок и повседневных изделий.</t>
  </si>
  <si>
    <t>Кварцевый песок</t>
  </si>
  <si>
    <t>Хрупкий прозрачный материал для флаконов, линз и окон; требует аккуратной транспортировки.</t>
  </si>
  <si>
    <t>Писчий материал для заметок, чертежей и документов; боится влаги и огня.</t>
  </si>
  <si>
    <t>Шкура</t>
  </si>
  <si>
    <t>Плотный писчий материал из обработанной кожи; долговечнее бумаги, но дороже в изготовлении.</t>
  </si>
  <si>
    <t>Пчела</t>
  </si>
  <si>
    <t>Пластичный материал для свечей, герметизации, форм и печатей; плавится при нагреве.</t>
  </si>
  <si>
    <t>Уголь</t>
  </si>
  <si>
    <t>Пигментированная жидкость для письма и маркировки; качество зависит от состава и степени очистки.</t>
  </si>
  <si>
    <t>Смола</t>
  </si>
  <si>
    <t>Хвойные деревья</t>
  </si>
  <si>
    <t>Липкое густое вещество для герметизации, пропитки, розжига и ремесленных смесей.</t>
  </si>
  <si>
    <t>Клей</t>
  </si>
  <si>
    <t>Связующий материал для склейки дерева, кожи, ткани и мелких деталей.</t>
  </si>
  <si>
    <t>Красители</t>
  </si>
  <si>
    <t>Травы и ягоды</t>
  </si>
  <si>
    <t>Пигментные вещества для окрашивания ткани, бумаги, кожи, дерева и декоративных работ.</t>
  </si>
  <si>
    <t>Сера</t>
  </si>
  <si>
    <t>Серная руда</t>
  </si>
  <si>
    <t>Жёлтое хрупкое минеральное вещество с резким запахом при нагреве; используется как реагент в алхимии и как компонент для изготовления пороховых смесей</t>
  </si>
  <si>
    <t>Селитра</t>
  </si>
  <si>
    <t>Миерал</t>
  </si>
  <si>
    <t>Белые кристаллы (нитрат), очищенный минеральный реагент; ключевой окислитель для пороха и компонент для некоторых промышленных и алхимических составов. Боится влаги и загрязнений</t>
  </si>
  <si>
    <t>Порох</t>
  </si>
  <si>
    <t>Сыпучая взрывчатая смесь для огнестрела и зарядов; чувствителен к влаге и искрам.</t>
  </si>
  <si>
    <t>Масличные культуры</t>
  </si>
  <si>
    <t>Жидкий жир для ламп, обработки механизмов, готовки и ремесленного применения.</t>
  </si>
  <si>
    <t>Зерно</t>
  </si>
  <si>
    <t>Летучая горючая жидкость для настоек, очистки, розжига и простых алхимических нужд.</t>
  </si>
  <si>
    <t>Угольная руда</t>
  </si>
  <si>
    <t>Твёрдое топливо для печей и кузниц; даёт высокий жар и легко хранится в сухом виде.</t>
  </si>
  <si>
    <t>Жидкий уголь</t>
  </si>
  <si>
    <t>Вязкое концентрированное топливо на основе углеродной смеси; применяется там, где нужен компактный и мощный источник горения.</t>
  </si>
  <si>
    <t>Пшеница</t>
  </si>
  <si>
    <t>Зерно для пищи и переработки; основа многих припасов и кормов.</t>
  </si>
  <si>
    <t>Мука</t>
  </si>
  <si>
    <t>Перемолотое зерно для выпечки и загущения блюд; чувствительна к влаге и вредителям.</t>
  </si>
  <si>
    <t>Пищевой ресурс животного происхождения; требует обработки или консервации для хранения.</t>
  </si>
  <si>
    <t>Рыба</t>
  </si>
  <si>
    <t>Пищевой ресурс водного происхождения; быстро портится без засолки, копчения или сушки.</t>
  </si>
  <si>
    <t>Овощи</t>
  </si>
  <si>
    <t>Огородные культуры</t>
  </si>
  <si>
    <t>Свежий растительный провиант для повседневного питания; хранится недолго и зависит от сезона.</t>
  </si>
  <si>
    <t>Фрукты</t>
  </si>
  <si>
    <t>Плодовые деревья</t>
  </si>
  <si>
    <t>Сладкие плоды для пищи, заготовок и напитков; ценятся за вкус, но быстро теряют свежесть.</t>
  </si>
  <si>
    <t>Сахар</t>
  </si>
  <si>
    <t>Сахарный тростник</t>
  </si>
  <si>
    <t>Сладкий кристаллический продукт для готовки, консервации и простых смесей; хорошо хранится в сухости.</t>
  </si>
  <si>
    <t>Соль</t>
  </si>
  <si>
    <t>Консервант и приправа; используется для засолки, хранения пищи и простых бытовых нужд.</t>
  </si>
  <si>
    <t>Мёд</t>
  </si>
  <si>
    <t>Густой сладкий продукт пчеловодства для пищи, настоек и консервации; долго хранится без особых условий.</t>
  </si>
  <si>
    <t>Кровь</t>
  </si>
  <si>
    <t>Базовое сырьё для алхимии</t>
  </si>
  <si>
    <t xml:space="preserve"> </t>
  </si>
  <si>
    <t>Тип существа</t>
  </si>
  <si>
    <t>Ранг монстра</t>
  </si>
  <si>
    <t>Добыча!</t>
  </si>
  <si>
    <t>Уникальная</t>
  </si>
  <si>
    <t>Великан</t>
  </si>
  <si>
    <t>Сердце троля</t>
  </si>
  <si>
    <t>Гарпия</t>
  </si>
  <si>
    <t>Монстр</t>
  </si>
  <si>
    <t>Мизел</t>
  </si>
  <si>
    <t>Анхег</t>
  </si>
  <si>
    <t>Ксварт</t>
  </si>
  <si>
    <t>Мерроу</t>
  </si>
  <si>
    <t>Жабры чудовища</t>
  </si>
  <si>
    <t>Ползающий падальщик</t>
  </si>
  <si>
    <t>Юань-ти</t>
  </si>
  <si>
    <t>Взрослый крутик</t>
  </si>
  <si>
    <t>Гигантский клещ</t>
  </si>
  <si>
    <t>Мимик</t>
  </si>
  <si>
    <t>Самка стидера</t>
  </si>
  <si>
    <t>Грик</t>
  </si>
  <si>
    <t>Пёс смерти</t>
  </si>
  <si>
    <t>Теневой мастиф</t>
  </si>
  <si>
    <t>Гиппогриф</t>
  </si>
  <si>
    <t>Грифон</t>
  </si>
  <si>
    <t>Морское отродье</t>
  </si>
  <si>
    <t>Плавник чудовища</t>
  </si>
  <si>
    <t>Перитон</t>
  </si>
  <si>
    <t>Эттеркап</t>
  </si>
  <si>
    <t>Василиск</t>
  </si>
  <si>
    <t>Йети</t>
  </si>
  <si>
    <t>Мантикора</t>
  </si>
  <si>
    <t>Шипы чудовища</t>
  </si>
  <si>
    <t>Полярный волк</t>
  </si>
  <si>
    <t>Ускользающий зверь</t>
  </si>
  <si>
    <t>Гираллон</t>
  </si>
  <si>
    <t>Крюкастый ужас</t>
  </si>
  <si>
    <t>Крюк чудовища</t>
  </si>
  <si>
    <t>Минотавр</t>
  </si>
  <si>
    <t>Совомед</t>
  </si>
  <si>
    <t>Холдрит</t>
  </si>
  <si>
    <t>Доппельгангер</t>
  </si>
  <si>
    <t>Лекрота</t>
  </si>
  <si>
    <t>Отпрыск глубин</t>
  </si>
  <si>
    <t>Исчезающий паук</t>
  </si>
  <si>
    <t>Ламия</t>
  </si>
  <si>
    <t>Пещерный удильщик</t>
  </si>
  <si>
    <t>Траппер</t>
  </si>
  <si>
    <t>Бандерхобб</t>
  </si>
  <si>
    <t>Драук</t>
  </si>
  <si>
    <t>Молодой ремораз</t>
  </si>
  <si>
    <t>Тринкалли</t>
  </si>
  <si>
    <t>Бурый увалень</t>
  </si>
  <si>
    <t>Жрец кракена</t>
  </si>
  <si>
    <t>Медуза</t>
  </si>
  <si>
    <t>Химера</t>
  </si>
  <si>
    <t>Верёвочник</t>
  </si>
  <si>
    <t>Катоблепас</t>
  </si>
  <si>
    <t>Панцирница</t>
  </si>
  <si>
    <t>Горгона</t>
  </si>
  <si>
    <t>Крутик Лорд улья</t>
  </si>
  <si>
    <t>Паук разрушитель</t>
  </si>
  <si>
    <t>Альфа грик</t>
  </si>
  <si>
    <t>Когтистый зверь</t>
  </si>
  <si>
    <t>Гидра</t>
  </si>
  <si>
    <t>Отродье Юань-Ти</t>
  </si>
  <si>
    <t>Духовная нага</t>
  </si>
  <si>
    <t>Заблудший угнетённый</t>
  </si>
  <si>
    <t>Охранная нага</t>
  </si>
  <si>
    <t>Лягемот</t>
  </si>
  <si>
    <t>Одинокий угнетённый</t>
  </si>
  <si>
    <t>Отвратительный йети</t>
  </si>
  <si>
    <t>Бехир</t>
  </si>
  <si>
    <t>Рух</t>
  </si>
  <si>
    <t>Гиносфинкс</t>
  </si>
  <si>
    <t>Серый рендер</t>
  </si>
  <si>
    <t>Голодный угнетённый</t>
  </si>
  <si>
    <t>Штормовой краб</t>
  </si>
  <si>
    <t>Ремораз</t>
  </si>
  <si>
    <t>Юань-ти анафема</t>
  </si>
  <si>
    <t>Алтизавр</t>
  </si>
  <si>
    <t>Злой угнетённый</t>
  </si>
  <si>
    <t>Регизавр</t>
  </si>
  <si>
    <t>Андросфинкс</t>
  </si>
  <si>
    <t>Лиловый червь</t>
  </si>
  <si>
    <t>Медуза иерофант</t>
  </si>
  <si>
    <t>Нагпа</t>
  </si>
  <si>
    <t>Тарраск</t>
  </si>
  <si>
    <t>Бербаланг</t>
  </si>
  <si>
    <t>Аберрация</t>
  </si>
  <si>
    <t>Пожиратель интеллекта</t>
  </si>
  <si>
    <t>Бормочущий ротовик</t>
  </si>
  <si>
    <t>Душитель</t>
  </si>
  <si>
    <t>Нотик</t>
  </si>
  <si>
    <t>Грелл</t>
  </si>
  <si>
    <t>Неоги</t>
  </si>
  <si>
    <t>Дерро савант</t>
  </si>
  <si>
    <t>Неоги повелитель</t>
  </si>
  <si>
    <t>Долгаунт</t>
  </si>
  <si>
    <t>Чууль</t>
  </si>
  <si>
    <t>Наблюдатель</t>
  </si>
  <si>
    <t>Гаунт</t>
  </si>
  <si>
    <t>Свидетель разума</t>
  </si>
  <si>
    <t>Красный слаад</t>
  </si>
  <si>
    <t>Стая черепных крыс</t>
  </si>
  <si>
    <t>Кромсатель звёздных порождений</t>
  </si>
  <si>
    <t>Отидж</t>
  </si>
  <si>
    <t>Зелёный слаад</t>
  </si>
  <si>
    <t>Свежеватель разума</t>
  </si>
  <si>
    <t>Плащевик</t>
  </si>
  <si>
    <t>Цукора куори</t>
  </si>
  <si>
    <t>Синий слаад</t>
  </si>
  <si>
    <t>Эттин-цереморф</t>
  </si>
  <si>
    <t>Аболет</t>
  </si>
  <si>
    <t>Смертельный слаад</t>
  </si>
  <si>
    <t>Громила звёздных порождений</t>
  </si>
  <si>
    <t>Улитарид</t>
  </si>
  <si>
    <t>Поцелуй смерти</t>
  </si>
  <si>
    <t>Хашалак куори</t>
  </si>
  <si>
    <t>Серый слаад</t>
  </si>
  <si>
    <t>Балханнот</t>
  </si>
  <si>
    <t>Провидец звёздных порождений</t>
  </si>
  <si>
    <t>Моркот</t>
  </si>
  <si>
    <t>Неотелид</t>
  </si>
  <si>
    <t>Вестник бури</t>
  </si>
  <si>
    <t>Старший мозг</t>
  </si>
  <si>
    <t>Личиночный маг звёздных порождений</t>
  </si>
  <si>
    <t>Поглотитель дыхания</t>
  </si>
  <si>
    <t>Потусторонний развратитель</t>
  </si>
  <si>
    <t>Каларак куори</t>
  </si>
  <si>
    <t>Великий Осколок души</t>
  </si>
  <si>
    <t>Исполин</t>
  </si>
  <si>
    <t>Кровь Великого Первородного</t>
  </si>
  <si>
    <t>Метафизическая Пыль</t>
  </si>
  <si>
    <t>Бессмертный солдат</t>
  </si>
  <si>
    <t>Нежить</t>
  </si>
  <si>
    <t>Полтергейст</t>
  </si>
  <si>
    <t>Ястреб разорителей</t>
  </si>
  <si>
    <t>Блуждающий огонёк</t>
  </si>
  <si>
    <t>Спектр</t>
  </si>
  <si>
    <t>Вурдалак</t>
  </si>
  <si>
    <t>Скелет минотавра</t>
  </si>
  <si>
    <t>Огр зомби</t>
  </si>
  <si>
    <t>Упырь</t>
  </si>
  <si>
    <t>Баньши</t>
  </si>
  <si>
    <t>Дэтлок</t>
  </si>
  <si>
    <t>Мумия</t>
  </si>
  <si>
    <t>Вапмпирический туман</t>
  </si>
  <si>
    <t>Приведение</t>
  </si>
  <si>
    <t>Воин призраков меча</t>
  </si>
  <si>
    <t>Каррнатский зомби</t>
  </si>
  <si>
    <t>Пылающий череп</t>
  </si>
  <si>
    <t>Гончая разоритель</t>
  </si>
  <si>
    <t>Костяная нага</t>
  </si>
  <si>
    <t>Умертвие</t>
  </si>
  <si>
    <t>Аллип</t>
  </si>
  <si>
    <t>Порождение вампира</t>
  </si>
  <si>
    <t>Бехолдер зомби</t>
  </si>
  <si>
    <t>Призрак</t>
  </si>
  <si>
    <t>Бодак</t>
  </si>
  <si>
    <t>Ревенант</t>
  </si>
  <si>
    <t>Отродье Клюсса</t>
  </si>
  <si>
    <t>Дэтлок манипулятор</t>
  </si>
  <si>
    <t>Курганный вурдалак</t>
  </si>
  <si>
    <t>Полководец призраков меча</t>
  </si>
  <si>
    <t>Алхун</t>
  </si>
  <si>
    <t>Огненные живые мощи</t>
  </si>
  <si>
    <t>Бессмертный советник</t>
  </si>
  <si>
    <t>Морозная скорбь</t>
  </si>
  <si>
    <t>Надгробие умертвие</t>
  </si>
  <si>
    <t>Вампир</t>
  </si>
  <si>
    <t>Тиран-смерти</t>
  </si>
  <si>
    <t>Костелап</t>
  </si>
  <si>
    <t>Эйдолон</t>
  </si>
  <si>
    <t>Пожиратель</t>
  </si>
  <si>
    <t>Призрачное облако</t>
  </si>
  <si>
    <t>Вампир воитель</t>
  </si>
  <si>
    <t>Драколич</t>
  </si>
  <si>
    <t>Вампир заклинатель</t>
  </si>
  <si>
    <t>Лорд черепов</t>
  </si>
  <si>
    <t>Лорд-мумия</t>
  </si>
  <si>
    <t>Дух бури</t>
  </si>
  <si>
    <t>Рыцарь смерти</t>
  </si>
  <si>
    <t>Демилч</t>
  </si>
  <si>
    <t>Астральный Котёл</t>
  </si>
  <si>
    <t>Ночной ходок</t>
  </si>
  <si>
    <t>Лич</t>
  </si>
  <si>
    <t>Ядро Переплетённой Реальности</t>
  </si>
  <si>
    <t>Иллитилич</t>
  </si>
  <si>
    <t>Сердце Преобразования</t>
  </si>
  <si>
    <t>Сторожевой дрейк</t>
  </si>
  <si>
    <t>Дракон</t>
  </si>
  <si>
    <t>Волшебный дракончик</t>
  </si>
  <si>
    <t>Вирмлинг цветного дракона</t>
  </si>
  <si>
    <t>Кобольд драконий щит</t>
  </si>
  <si>
    <t>Вирмлинг металлического дракона</t>
  </si>
  <si>
    <t>Вирмлинг кристального дракона</t>
  </si>
  <si>
    <t>Виверна</t>
  </si>
  <si>
    <t>Молодой белый дракон</t>
  </si>
  <si>
    <t>Молодой латунный дракон</t>
  </si>
  <si>
    <t>Молодой медный дракон</t>
  </si>
  <si>
    <t>Молодой чёрный дракон</t>
  </si>
  <si>
    <t>Молодой бронзовый дракон</t>
  </si>
  <si>
    <t>Молодой зеленый дракон</t>
  </si>
  <si>
    <t>Молодой глубинный дракон</t>
  </si>
  <si>
    <t>Молодой кристаллический дракон</t>
  </si>
  <si>
    <t>Молодой топазный дракон</t>
  </si>
  <si>
    <t>Молодой изумрудный дракон</t>
  </si>
  <si>
    <t>Молодой луннокаменный дракон</t>
  </si>
  <si>
    <t>Молодой морской змей</t>
  </si>
  <si>
    <t>Взрослый глубинный дракон</t>
  </si>
  <si>
    <t>Молодой синий дракон</t>
  </si>
  <si>
    <t>Молодая дракочерепаха</t>
  </si>
  <si>
    <t>Молодой золотой дракон</t>
  </si>
  <si>
    <t>Молодой красный дракон</t>
  </si>
  <si>
    <t>Молодой серебряный дракон</t>
  </si>
  <si>
    <t>Молодой сапфировый дракон</t>
  </si>
  <si>
    <t>Молодой аметистовый дракон</t>
  </si>
  <si>
    <t>Взрослый кристаллический дракон</t>
  </si>
  <si>
    <t>Взрослый изумрудный дракон</t>
  </si>
  <si>
    <t>Взрослый зеленый дракон</t>
  </si>
  <si>
    <t>Молодой красный теневой дракон</t>
  </si>
  <si>
    <t>Взрослый белый дракон</t>
  </si>
  <si>
    <t>Взрослый медный дракон</t>
  </si>
  <si>
    <t>Взрослый луннокаменный дракон</t>
  </si>
  <si>
    <t>Теневой дракон</t>
  </si>
  <si>
    <t>Взрослый латунный дракон</t>
  </si>
  <si>
    <t>Взрослый чёрный дракон</t>
  </si>
  <si>
    <t>Взрослый сапфировый дракон</t>
  </si>
  <si>
    <t>Взрослый топазный дракон</t>
  </si>
  <si>
    <t>Взрослый бронзовый дракон</t>
  </si>
  <si>
    <t>Древний морской змей</t>
  </si>
  <si>
    <t>Взрослый аметистовый дракон</t>
  </si>
  <si>
    <t>Взрослый красный дракон</t>
  </si>
  <si>
    <t>Взрослый серебряный дракон</t>
  </si>
  <si>
    <t>Дракочерепаха</t>
  </si>
  <si>
    <t>Взрослый синий дракон</t>
  </si>
  <si>
    <t>Древний глубинный дракон</t>
  </si>
  <si>
    <t>Взрослый золотой дракон</t>
  </si>
  <si>
    <t>Древний кристаллический дракон</t>
  </si>
  <si>
    <t>Древний белый дракон</t>
  </si>
  <si>
    <t>Древний латунный дракон</t>
  </si>
  <si>
    <t>Древний топазный дракон</t>
  </si>
  <si>
    <t>Древний изумрудный дракон</t>
  </si>
  <si>
    <t>Хребет Бесконечной Плоти</t>
  </si>
  <si>
    <t>Древний бронзовый дракон</t>
  </si>
  <si>
    <t>Поток Временной Жилы</t>
  </si>
  <si>
    <t>Сфера Нематериального Присутствия</t>
  </si>
  <si>
    <t>Древний серебряный дракон</t>
  </si>
  <si>
    <t>Древняя дракочерепаха</t>
  </si>
  <si>
    <t>Идеальный Осколок души</t>
  </si>
  <si>
    <t>Древний луннокаменный дракон</t>
  </si>
  <si>
    <t>Древний зеленый дракон</t>
  </si>
  <si>
    <t>Инертная Сущность</t>
  </si>
  <si>
    <t>Древний синий дракон</t>
  </si>
  <si>
    <t>Древний медный дракон</t>
  </si>
  <si>
    <t>Древний сапфировый дракон</t>
  </si>
  <si>
    <t>Древний золотой дракон</t>
  </si>
  <si>
    <t>Древний чёрный дракон</t>
  </si>
  <si>
    <t>Древний аметистовый дракон</t>
  </si>
  <si>
    <t>Древний красный дракон</t>
  </si>
  <si>
    <t>Аспект Багамута</t>
  </si>
  <si>
    <t>Великий кристаллический вирм</t>
  </si>
  <si>
    <t>Великий зелёный вирм</t>
  </si>
  <si>
    <t>Великий бронзовый вирм</t>
  </si>
  <si>
    <t>Великий серебряный вирм</t>
  </si>
  <si>
    <t>Аспект Тиамат</t>
  </si>
  <si>
    <t>Великий сапфировый вирм</t>
  </si>
  <si>
    <t>Великий красный вирм</t>
  </si>
  <si>
    <t>Великий золотой вирм</t>
  </si>
  <si>
    <t>Великий аметистовый вирм</t>
  </si>
  <si>
    <t>Великий топазный вирм</t>
  </si>
  <si>
    <t>Великий синий вирм</t>
  </si>
  <si>
    <t>Великий латунный вирм</t>
  </si>
  <si>
    <t>Великий изумрудный вирм</t>
  </si>
  <si>
    <t>Великий белый вирм</t>
  </si>
  <si>
    <t>Великий чёрный вирм</t>
  </si>
  <si>
    <t>Великий медный вирм</t>
  </si>
  <si>
    <t>Пегас</t>
  </si>
  <si>
    <t>Небожитель</t>
  </si>
  <si>
    <t>Живое знамение</t>
  </si>
  <si>
    <t>Коатль</t>
  </si>
  <si>
    <t>Единорог</t>
  </si>
  <si>
    <t>Фенсир пожиратель</t>
  </si>
  <si>
    <t>Дэв</t>
  </si>
  <si>
    <t>Сияющий идол</t>
  </si>
  <si>
    <t>Кир-рин</t>
  </si>
  <si>
    <t>Планетар</t>
  </si>
  <si>
    <t>Незримо присутствующий</t>
  </si>
  <si>
    <t>Солар</t>
  </si>
  <si>
    <t>Эмпирей</t>
  </si>
  <si>
    <t>Бес</t>
  </si>
  <si>
    <t>Исчадие</t>
  </si>
  <si>
    <t>Руттеркин</t>
  </si>
  <si>
    <t>Варгулья</t>
  </si>
  <si>
    <t>Утробный демон</t>
  </si>
  <si>
    <t>Игольчатый дьявол (Спинагон)</t>
  </si>
  <si>
    <t>Квазит</t>
  </si>
  <si>
    <t>Адская гончая</t>
  </si>
  <si>
    <t>Баргест</t>
  </si>
  <si>
    <t>Кошмар</t>
  </si>
  <si>
    <t>Теневой демон</t>
  </si>
  <si>
    <t>Бородатый дьявол (Барбазу)</t>
  </si>
  <si>
    <t>Верстервятник</t>
  </si>
  <si>
    <t>Мерренолот</t>
  </si>
  <si>
    <t>Булезау</t>
  </si>
  <si>
    <t>Гнолл клык Йеногу</t>
  </si>
  <si>
    <t>Меррегон</t>
  </si>
  <si>
    <t>Бабау</t>
  </si>
  <si>
    <t>Диббук</t>
  </si>
  <si>
    <t>Суккуб / Инкуб</t>
  </si>
  <si>
    <t>Барлгура</t>
  </si>
  <si>
    <t>Камбион</t>
  </si>
  <si>
    <t>Танарукк</t>
  </si>
  <si>
    <t>Белый абишай</t>
  </si>
  <si>
    <t>Меззолот</t>
  </si>
  <si>
    <t>Чазм</t>
  </si>
  <si>
    <t>Хоботок Чазма</t>
  </si>
  <si>
    <t>Кровь Исчадия</t>
  </si>
  <si>
    <t>Врок</t>
  </si>
  <si>
    <t>Ночная карга</t>
  </si>
  <si>
    <t>Шипастый дьявол (Гаматула)</t>
  </si>
  <si>
    <t>Закия Ракшас</t>
  </si>
  <si>
    <t>Отголосок Демогоргона</t>
  </si>
  <si>
    <t>Арманит</t>
  </si>
  <si>
    <t>Канолот</t>
  </si>
  <si>
    <t>Чёрный абишай</t>
  </si>
  <si>
    <t>Дерголот</t>
  </si>
  <si>
    <t>Маурежи</t>
  </si>
  <si>
    <t>Шусува</t>
  </si>
  <si>
    <t>Дрэглот</t>
  </si>
  <si>
    <t>Ревун</t>
  </si>
  <si>
    <t>Дьявол цепей (Китон)</t>
  </si>
  <si>
    <t>Хезроу</t>
  </si>
  <si>
    <t>Алкилит</t>
  </si>
  <si>
    <t>Пасть Йеногу</t>
  </si>
  <si>
    <t>Костяной дьявол (Осилут)</t>
  </si>
  <si>
    <t>Гидролот</t>
  </si>
  <si>
    <t>Никалот</t>
  </si>
  <si>
    <t>Рогатый дьявол (Мальбранш)</t>
  </si>
  <si>
    <t>Флинд</t>
  </si>
  <si>
    <t>Ортон</t>
  </si>
  <si>
    <t>Глабрезу</t>
  </si>
  <si>
    <t>Йоклол</t>
  </si>
  <si>
    <t>Ягнолот</t>
  </si>
  <si>
    <t>Огненный геллион</t>
  </si>
  <si>
    <t>Арканалот</t>
  </si>
  <si>
    <t>Наргузон</t>
  </si>
  <si>
    <t>Ультролот</t>
  </si>
  <si>
    <t>Вастрилит</t>
  </si>
  <si>
    <t>Ойнолот</t>
  </si>
  <si>
    <t>Эриния</t>
  </si>
  <si>
    <t>Ледяной дьявол (Гелюгон)</t>
  </si>
  <si>
    <t>Охотник Бафомета</t>
  </si>
  <si>
    <t>Ярость Костччи</t>
  </si>
  <si>
    <t>Нальфешни</t>
  </si>
  <si>
    <t>Ракшас</t>
  </si>
  <si>
    <t>Гористро</t>
  </si>
  <si>
    <t>Синий абишай</t>
  </si>
  <si>
    <t>Марилит</t>
  </si>
  <si>
    <t>Набассу</t>
  </si>
  <si>
    <t>Зелёный абишай</t>
  </si>
  <si>
    <t>Амнизу</t>
  </si>
  <si>
    <t>Красный абишай</t>
  </si>
  <si>
    <t>Сибриекс</t>
  </si>
  <si>
    <t>Балор</t>
  </si>
  <si>
    <t>Баэль</t>
  </si>
  <si>
    <t>Исчадие преисподней</t>
  </si>
  <si>
    <t>Молидей</t>
  </si>
  <si>
    <t>Гиганский ходун</t>
  </si>
  <si>
    <t>Элементаль</t>
  </si>
  <si>
    <t>Эйзер</t>
  </si>
  <si>
    <t>Горгулья</t>
  </si>
  <si>
    <t>Огненная змея</t>
  </si>
  <si>
    <t>Огненный тритон колдун Имикса</t>
  </si>
  <si>
    <t>Водная аномалия</t>
  </si>
  <si>
    <t>Грязевой скиталец</t>
  </si>
  <si>
    <t>Цеповая улитка</t>
  </si>
  <si>
    <t>Водяной элементаль</t>
  </si>
  <si>
    <t>Зорн</t>
  </si>
  <si>
    <t>Оживлённое дыхание</t>
  </si>
  <si>
    <t>Туманный скиталец</t>
  </si>
  <si>
    <t>Воздушный элементаль</t>
  </si>
  <si>
    <t>Инейный скиталец</t>
  </si>
  <si>
    <t>Пылевой скиталец</t>
  </si>
  <si>
    <t>Галеб дур</t>
  </si>
  <si>
    <t>Невидимый охотник</t>
  </si>
  <si>
    <t>Пыльный дьявол</t>
  </si>
  <si>
    <t>Земляной элементаль</t>
  </si>
  <si>
    <t>Саламандра</t>
  </si>
  <si>
    <t>Огненный элементаль</t>
  </si>
  <si>
    <t>Пепельный скиталец</t>
  </si>
  <si>
    <t>Водный элементальный мирмидон</t>
  </si>
  <si>
    <t>Воздушный элементальный мирмидон</t>
  </si>
  <si>
    <t>Земляной элементальный мирмидон</t>
  </si>
  <si>
    <t>Огненный элементальный мирмидон</t>
  </si>
  <si>
    <t>Дао</t>
  </si>
  <si>
    <t>Джин</t>
  </si>
  <si>
    <t>Марид</t>
  </si>
  <si>
    <t>Ифрит</t>
  </si>
  <si>
    <t>Морозная саламандра</t>
  </si>
  <si>
    <t>Молниевый скиталец</t>
  </si>
  <si>
    <t>Феникс</t>
  </si>
  <si>
    <t>Левиафан</t>
  </si>
  <si>
    <t>Древний шторм</t>
  </si>
  <si>
    <t>Колыбель ледяного отпрыска</t>
  </si>
  <si>
    <t>Заратан</t>
  </si>
  <si>
    <t>Колыбель огненного отпрыска</t>
  </si>
  <si>
    <t>Колыбель облачного отпрыска</t>
  </si>
  <si>
    <t>Колыбель холмового отпрыска</t>
  </si>
  <si>
    <t>Колыбель каменного отпрыска</t>
  </si>
  <si>
    <t>Колыбель штормового отпрыска</t>
  </si>
  <si>
    <t>Крыстальный левиафан</t>
  </si>
  <si>
    <t>Гиганский баран</t>
  </si>
  <si>
    <t>Фея</t>
  </si>
  <si>
    <t>Морская карга</t>
  </si>
  <si>
    <t>Дриада</t>
  </si>
  <si>
    <t>Нилбог</t>
  </si>
  <si>
    <t>Квиклинг</t>
  </si>
  <si>
    <t>Старейшина дарклингов</t>
  </si>
  <si>
    <t>Минлок</t>
  </si>
  <si>
    <t>Улыбающийся кот</t>
  </si>
  <si>
    <t>Восторженный дельфин</t>
  </si>
  <si>
    <t>Зелёная карга</t>
  </si>
  <si>
    <t>Гигантская гусыня</t>
  </si>
  <si>
    <t>Красный колпак</t>
  </si>
  <si>
    <t>Карга судьбы</t>
  </si>
  <si>
    <t>Гигантский вол</t>
  </si>
  <si>
    <t>Гончая йет</t>
  </si>
  <si>
    <t>Карга аннис</t>
  </si>
  <si>
    <t>Риффлер</t>
  </si>
  <si>
    <t>Сумеречная карга</t>
  </si>
  <si>
    <t>Карга бьёр</t>
  </si>
  <si>
    <t>Корред</t>
  </si>
  <si>
    <t>Весенний эладрин</t>
  </si>
  <si>
    <t>Зимний эладрин</t>
  </si>
  <si>
    <t>Летний эладрин</t>
  </si>
  <si>
    <t>Осенний эладрин</t>
  </si>
  <si>
    <t>Очаровательный лазутчик</t>
  </si>
  <si>
    <t>Огр</t>
  </si>
  <si>
    <t>Полуогр (Огриллон)</t>
  </si>
  <si>
    <t>Эттин</t>
  </si>
  <si>
    <t>Пасть Гролантора</t>
  </si>
  <si>
    <t>Циклоп</t>
  </si>
  <si>
    <t>Фенсир застрельщик</t>
  </si>
  <si>
    <t>Холмовой великан</t>
  </si>
  <si>
    <t>Каменный великан</t>
  </si>
  <si>
    <t>Фомор</t>
  </si>
  <si>
    <t>Ядовитый тролль</t>
  </si>
  <si>
    <t>Ледяной великан</t>
  </si>
  <si>
    <t>Мутировавший тролль</t>
  </si>
  <si>
    <t>Они</t>
  </si>
  <si>
    <t>Гниллой тролль</t>
  </si>
  <si>
    <t>Облачный великан</t>
  </si>
  <si>
    <t>Улыбающийся облачный великан</t>
  </si>
  <si>
    <t>Фомор глубинный падальщик</t>
  </si>
  <si>
    <t>Огненный великан</t>
  </si>
  <si>
    <t>Каменный великан Злой земли</t>
  </si>
  <si>
    <t>Огненный великан Злого огня</t>
  </si>
  <si>
    <t>Каменный великан сноходец</t>
  </si>
  <si>
    <t>Тролль-дух</t>
  </si>
  <si>
    <t>Ледяной великан Злой воды</t>
  </si>
  <si>
    <t>Дредноут огненный великан</t>
  </si>
  <si>
    <t>Лютый тролль</t>
  </si>
  <si>
    <t>Жнец великан смерти</t>
  </si>
  <si>
    <t>Облачный великан Злого воздуха</t>
  </si>
  <si>
    <t>Фомор колдун Тьмы</t>
  </si>
  <si>
    <t>Лавиноподобный холмовой великан</t>
  </si>
  <si>
    <t>Штормовой великан</t>
  </si>
  <si>
    <t>Дворянин фомор</t>
  </si>
  <si>
    <t>Сплав троллей</t>
  </si>
  <si>
    <t>Штормовой великан квинтэссент</t>
  </si>
  <si>
    <t>Каменный великан говорящий с камнями</t>
  </si>
  <si>
    <t>Ледяной великан ваятель льда</t>
  </si>
  <si>
    <t>Окутанный великан смерти</t>
  </si>
  <si>
    <t>Огненный великан Вестник кузни</t>
  </si>
  <si>
    <t>Облачный великан играющий с судьбой</t>
  </si>
  <si>
    <t>Штормовой великан призыватель бури</t>
  </si>
  <si>
    <t>Отпрыск Гролантора</t>
  </si>
  <si>
    <t>Отпрыск Скорауса</t>
  </si>
  <si>
    <t>Отпрыск Трима</t>
  </si>
  <si>
    <t>Отпрыск Суртура</t>
  </si>
  <si>
    <t>Отпрыск Мемнора</t>
  </si>
  <si>
    <t>Отпрыск Стронмауса</t>
  </si>
  <si>
    <t>Золотистый студень</t>
  </si>
  <si>
    <t>Слизь</t>
  </si>
  <si>
    <t>Сумочный студень</t>
  </si>
  <si>
    <t>Студенистый куб</t>
  </si>
  <si>
    <t>Склизкий преследователь</t>
  </si>
  <si>
    <t>Чёрная слизь</t>
  </si>
  <si>
    <t>Зрелый облекс</t>
  </si>
  <si>
    <t>Слизь крови дракона</t>
  </si>
  <si>
    <t>Древний облекс</t>
  </si>
  <si>
    <t>Пугало</t>
  </si>
  <si>
    <t>Конструкт</t>
  </si>
  <si>
    <t>Ядро души</t>
  </si>
  <si>
    <t>Ковёр удушения</t>
  </si>
  <si>
    <t>Дуэргарский молотобоец</t>
  </si>
  <si>
    <t>Пентадрон</t>
  </si>
  <si>
    <t>Оживлённый доспех</t>
  </si>
  <si>
    <t>Железный защитник</t>
  </si>
  <si>
    <t>Ожившие огненные ладони</t>
  </si>
  <si>
    <t>Заводной бронзовый скаут</t>
  </si>
  <si>
    <t>Окаменевший (Камнеклятый)</t>
  </si>
  <si>
    <t>Квадрон</t>
  </si>
  <si>
    <t>Шлемоносный ужас</t>
  </si>
  <si>
    <t>Дуэргарский крикун</t>
  </si>
  <si>
    <t>Заводная железная кобра</t>
  </si>
  <si>
    <t>Заводной каменный защитник</t>
  </si>
  <si>
    <t>Металлический миротворец</t>
  </si>
  <si>
    <t>Заводной дубовый стрелок</t>
  </si>
  <si>
    <t>Мясной голем</t>
  </si>
  <si>
    <t>Ожившая молния</t>
  </si>
  <si>
    <t>Кованый титан</t>
  </si>
  <si>
    <t>Ожившее облако смерти</t>
  </si>
  <si>
    <t>Щитостраж</t>
  </si>
  <si>
    <t>Глиняный голем</t>
  </si>
  <si>
    <t>Голем из драконьих костей</t>
  </si>
  <si>
    <t>Каменный голем</t>
  </si>
  <si>
    <t>Ловчий</t>
  </si>
  <si>
    <t>Собиратель Трупов</t>
  </si>
  <si>
    <t>Адское орудие</t>
  </si>
  <si>
    <t>Стальной хищник</t>
  </si>
  <si>
    <t>Мясной колосс</t>
  </si>
  <si>
    <t>Кованый колосс</t>
  </si>
  <si>
    <t>Марут</t>
  </si>
  <si>
    <t>Рунический колосс</t>
  </si>
  <si>
    <t>Дулахан</t>
  </si>
  <si>
    <t>Дополнительные часы работы</t>
  </si>
  <si>
    <t>Зм в день</t>
  </si>
  <si>
    <t>Прирост зм в час</t>
  </si>
  <si>
    <t>Номер</t>
  </si>
  <si>
    <t>Редкость</t>
  </si>
  <si>
    <t>Подтип</t>
  </si>
  <si>
    <t>Слот</t>
  </si>
  <si>
    <t>Материалы</t>
  </si>
  <si>
    <t>Торги</t>
  </si>
  <si>
    <t>Стоимость</t>
  </si>
  <si>
    <t>Влиятельность</t>
  </si>
  <si>
    <t>Настройка</t>
  </si>
  <si>
    <t>Настройка детали</t>
  </si>
  <si>
    <t>Расходник</t>
  </si>
  <si>
    <t>РЕВОРК</t>
  </si>
  <si>
    <t>Аметистовый магнетит</t>
  </si>
  <si>
    <t>Очень редкий</t>
  </si>
  <si>
    <t>Рука</t>
  </si>
  <si>
    <t>FTD</t>
  </si>
  <si>
    <t>Стандартные</t>
  </si>
  <si>
    <t>Удачными</t>
  </si>
  <si>
    <t>Этот кусок аметиста размером с кулак наделен способностью аметистового дракона преодолевать гравитацию. Пока вы несёте или носите магнетит, вы получаете преимущество на спасброски Силы.
Магнетит имеет 6 зарядов для следующих свойств, которые вы можете использовать, пока держите камень. Камень ежедневно, на рассвете, восстанавливает 1к6 зарядов.
Полёт. Бонусным действием вы можете потратить 1 заряд, чтобы получить способность летать в течение 10 минут. На это время вы получаете скорость полёта, равную вашей скорости ходьбы, и можете парить.
Гравитационный бросок. Действием вы можете потратить 1 заряд, чтобы сконцентрировать гравитацию вокруг существа, которое вы видите в 60 футах от вас. Цель должна преуспеть в спасброске Силы Сл 18, иначе будет отброшена на 20 футов в направлении по вашему выбору, обратном силе притяжения.
Изменение тяготения. Действием вы можете потратить 3 заряда, чтобы наложить изменение тяготения [reverse gravity] (Сл спасброска 18).</t>
  </si>
  <si>
    <t>Амулет планов</t>
  </si>
  <si>
    <t>Шея</t>
  </si>
  <si>
    <t>DMG14</t>
  </si>
  <si>
    <t>Труднодоступные</t>
  </si>
  <si>
    <t>Выгодные</t>
  </si>
  <si>
    <t>Пока вы носите этот амулет, вы можете действием назвать хорошо знакомое вам место на другом плане. После этого необходимо совершить проверку Интеллекта Сл 15. При успехе вы накладываете заклинание уход в иной мир [plane shift]. При провале вы и все существа и предметы в пределах 15 футов от вас переноситесь в случайном направлении. Бросьте к100. При результате "1–60" вы переноситесь в случайное место на названном вами плане. При результате "61–100" вы переноситесь в случайное место на вашем текущем плане существования.</t>
  </si>
  <si>
    <t>Амулет святилища</t>
  </si>
  <si>
    <t>BPGG</t>
  </si>
  <si>
    <t>Доступные</t>
  </si>
  <si>
    <t>Подвеска из чёрного опала висит у основания этой перламутровой цепочки. Священная руна выгравирована на обратной стороне кулона.
Пока вы носите этот предмет, вы получаете сопротивление урону некротической энергией. Кроме того, действием или бонусным действием вы можете наложить заговор уход за умирающим [spare the dying].
Пробуждение руны. Когда хиты существа, которое вы можете видеть в пределах 60 футов от вас, опускаются до 0 в результате получения урона, вы можете реакцией пробудить руну амулета, в результате чего он вспыхивает бледным светом. Затем хиты существа вместо этого опускаются до 1.
После того, как руна была пробуждена, она не может быть пробуждена снова до следующего рассвета.</t>
  </si>
  <si>
    <t>Арфа Анструт</t>
  </si>
  <si>
    <t>бардом</t>
  </si>
  <si>
    <t>Существо, пытающееся играть на инструменте, не будучи настроенным на него, должно преуспеть в спасброске Мудрости Сл 15, иначе получит урон психической энергией 2к4.
Вы можете действием сыграть на инструменте и наложить одно из его заклинаний: власть над погодой [control weather], защита от зла и добра [protection from evil and good], левитация [levitate], лечение ран [cure wounds] (5-го уровня), невидимость [invisibility], полёт [fly], терновая стена [wall of thorns]. После того как инструмент использован для наложения заклинания, он не может повторно накладывать это заклинание до следующего рассвета. Заклинания используют вашу базовую характеристику и Сл спасбросков от ваших заклинаний.
Вы можете играть на инструменте при наложении заклинания, которое делает цели очарованными при провале спасброска, тем самым давая целям помеху на этот спасбросок. Этот эффект применяется только если заклинание имеет соматический или материальный компонент.</t>
  </si>
  <si>
    <t>Боевая кирка камнетворца</t>
  </si>
  <si>
    <t>BMT</t>
  </si>
  <si>
    <t>Вы получаете бонус +1 к броскам атаки и урона, совершённым этим магическим оружием. Оно имеет следующие свойства:
Слиться с камнем. Вы можете наложить заклинание слияние с камнем [meld into stone] из этой боевой кирки. После того, как это свойство будет использовано, его нельзя будет использовать снова до следующего рассвета.
Окаменение. Эта магическая кирка имеет 1к6+1 заряда. Когда вы наносите критический удар по существу, у которого меньше 100 хитов, вы можете потратить 1 заряд боевой кирки, чтобы это существо совершило спасбросок Телосложения со Сл 15. При провале спасброска существо становится окаменевшим на 8 часов. Когда у боевой кирки кончаются заряды, она теряет это свойство.</t>
  </si>
  <si>
    <t>Боеприпасы кровавого искателя</t>
  </si>
  <si>
    <t>Спина</t>
  </si>
  <si>
    <t>Нормальные</t>
  </si>
  <si>
    <t>Броски дальнобойной атаки, совершённые с помощью этого боеприпаса, совершаются с преимуществом против любого существа, у которого хиты были не полные.</t>
  </si>
  <si>
    <t>Бутылка с ифритом</t>
  </si>
  <si>
    <t>Невыгодные</t>
  </si>
  <si>
    <t>Эта раскрашенная латунная бутылка весит 1 фунт. Если вы действием вынете пробку, из бутылки вырвется густое облако дыма. В конце вашего хода дым исчезает во вспышке безвредного огня, и в свободном пространстве в пределах 30 футов от вас появляется ифрит [efreet].
Когда бутылку открывают в первый раз, Мастер определяет, что произойдёт дальше:
к100        Эффект
01-10        Ифрит нападёт на вас. Через 5 раундов сражения ифрит исчезает, а бутылка теряет магию.
11-90        Ифрит служит вам 1 час, выполняя все ваши команды. После этого ифрит возвращается в бутылку, которая закрывается новой пробкой. Пробку нельзя вынуть в течение 24 часов. В последующие два открытия будет происходить то же самое. Если бутылку откроют в четвёртый раз, ифрит сбежит и исчезнет, а бутылка потеряет магию.
91-00        Ифрит может три раза наложить для вас заклинание исполнение желаний [wish]. Он исчезает после того как исполнит последнее желание или спустя 1 час, а бутылка после этого теряет магию.</t>
  </si>
  <si>
    <t>Волшебная палочка превращения</t>
  </si>
  <si>
    <t>Волшебная палочка</t>
  </si>
  <si>
    <t>Заклинателем</t>
  </si>
  <si>
    <t>У этой волшебной палочки 7 зарядов. Если вы её держите, вы можете действием потратить 1 заряд, чтобы наложить ей заклинание превращение [polymorph] (Сл спасброска 15).
Палочка ежедневно восстанавливает 1к6 + 1 заряд на рассвете. Если вы истратили последний заряд в палочке, бросьте к20. Если выпадет «1», палочка рассыплется в пыль и уничтожится.</t>
  </si>
  <si>
    <t>Вор девяти жизней</t>
  </si>
  <si>
    <t>Меч</t>
  </si>
  <si>
    <t>Вы получаете бонус +2 к броскам атаки и урона, совершённым этим магическим оружием.
У меча есть 1к8 + 1 заряд. Если вы совершаете критическое попадание по существу, у которого меньше 100 хитов, оно должно преуспеть в спасброске Телосложения Сл 15, иначе мгновенно умрёт, когда меч вырвет его жизненную силу из тела (конструкты и нежить обладают иммунитетом). Меч теряет 1 заряд, если существо умирает. Когда у меча не останется зарядов, он теряет это свойство.</t>
  </si>
  <si>
    <t xml:space="preserve">Дварфийский метатель </t>
  </si>
  <si>
    <t>дварфом</t>
  </si>
  <si>
    <t>Вы получаете бонус +3 к броскам атаки и урона, совершённым этим магическим оружием. Оно обладает свойством «метательное» с нормальной дистанцией 20 футов и максимальной дистанцией 60 футов. Если вы попадёте дальнобойной атакой этим оружием, оно причиняет дополнительный урон 1к8 или, если цель — Великан, то 2к8. Сразу же после атаки оружие возвращается в вашу руку.</t>
  </si>
  <si>
    <t>Демонический доспех</t>
  </si>
  <si>
    <t>Грудь</t>
  </si>
  <si>
    <t>Пока вы носите этот доспех, вы получаете бонус +1 к КД, можете говорить на языке Бездны и понимаете этот язык. Кроме того, латные рукавицы с шипами этого доспеха делают ваши безоружные атаки руками магическим оружием, причиняющим рубящий урон с бонусом +1 к броскам атаки и урона и костью урона 1к8.
Проклятье. Надев этот проклятый доспех, вы не можете его снять, пока не станете целью заклинания снятие проклятья [remove curse] или подобной магии. Нося этот доспех, вы совершаете с помехой броски атаки по демонам и спасброски от заклинаний и особых умений демонов.</t>
  </si>
  <si>
    <t>Доспех Антимагии</t>
  </si>
  <si>
    <t>Невозможные</t>
  </si>
  <si>
    <t>Пока вы носите эти доспехи, вы можете использовать свою реакцию, чтобы получить преимущество в спасброске от заклинания. После того, как это свойство будет использовано, его нельзя будет использовать снова до следующего рассвета.
Кроме того, пока вы носите эти доспехи, вы можете использовать их для наложения заклинания преграда магии [antimagic field], не требуя компоненты заклинания. Как только это свойство будет использовано, его нельзя будет использовать снова до следующего рассвета.</t>
  </si>
  <si>
    <t>Доспех защиты</t>
  </si>
  <si>
    <t>В центре нагрудника этого доспеха находится цитрин, на котором выгравирована руна «Щит».
Когда вы носите эти доспехи, максимальное количество ваших хитов увеличивается на величину, равную 10 + ваш уровень.
Пробуждение руны. Действием вы можете пробудить руну доспеха, чтобы наложить с её помощью заклинание маяк надежды [beacon of hope]; заклинание действует 1 минуту и не требует концентрации. После того как руна была вызвана, она не может быть вызвана снова до следующего рассвета.</t>
  </si>
  <si>
    <t>Доспех из драконьей чешуи</t>
  </si>
  <si>
    <t>Этот доспех изготавливается из чешуи определённого дракона. Иногда драконы сами собирают сброшенные чешуйки и дарят их гуманоидам. В других случаях успешные охотники тщательно выделывают и хранят шкуры убитых драконов. В любом случае, доспехи из чешуи драконов высоко ценятся.
Пока вы носите этот доспех, вы получаете бонус +1 к КД, совершаете с преимуществом спасброски от Ужасающей внешности и оружия дыхания драконов, а также обладаете сопротивлением одному виду урона, зависящему от вида дракона, чья чешуя была использована для изготовления доспеха (смотрите таблицу).
Кроме того, вы можете действием сосредоточиться, чтобы с помощью магии определить расстояние и направление до ближайшего дракона в пределах 30 миль, вид которого совпадает с видом дракона, чья чешуя была использована для изготовления доспеха. Это особое действие нельзя повторно совершать до следующего рассвета.
Дракон        Сопротивление
Белый        Холод
Бронзовый        Электричество
Зелёный        Яд
Золотой        Огонь
Красный        Огонь
Латунный        Огонь
Медный        Кислота
Серебряный        Холод
Синий        Электричество
Чёрный        Кислота</t>
  </si>
  <si>
    <t>Доспех последней битвы</t>
  </si>
  <si>
    <t>EGW</t>
  </si>
  <si>
    <t>Пока вы носите этот мягко мерцающий доспех, вы получаете бонус +1 к КД.
Если вы умираете, будучи облаченным в этот доспех, он уничтожается, и каждый небожитель, фея и исчадие в радиусе 30 футов от вас должен преуспеть в спасброске Харизмы Сл 15 или будет изгнан на свой родной план существования, если только он уже не находится там.</t>
  </si>
  <si>
    <t>Жезл адского пламени</t>
  </si>
  <si>
    <t>Жезл</t>
  </si>
  <si>
    <t>заклинателем</t>
  </si>
  <si>
    <t>Светящиеся угли вращаются вокруг фланцевой головки этого черного железного стержня.
Вы можете использовать этот жезл как магическую фокусировку. Пока вы держите этот жезл, вы получаете следующие преимущества:
Адское сопротивление. Вы получаете сопротивление урону огнём.
Жгучее возмездие. Вы можете наложить заклинание адское возмездие [hellish rebuke] как заклинание 4-го уровня (Сл спасброска 16) из жезла. Если вы используете жезл для наложения заклинания, он не сможет наложить заклинание до следующего рассвета.
Прилив серы. Когда вы накладываете заклинание, наносящее урон огнём или некротической энергии, вы можете использовать жезл, чтобы нанести максимальный урон вместо броска. После того, как это свойство будет использовано, его нельзя будет использовать снова до следующего рассвета.</t>
  </si>
  <si>
    <t>Жезл бдительности</t>
  </si>
  <si>
    <t>У этого жезла ребристое навершие, и он обладает следующими свойствами:
Бдительность. Пока вы держите жезл, вы совершаете с преимуществом проверки Мудрости (Восприятие) и проверки инициативы.
Заклинания. Пока вы держите этот жезл, вы можете действием наложить им одно из следующих заклинаний: видение невидимого [see invisibility], обнаружение болезней и яда [detect poison and disease], обнаружение зла и добра [detect evil and good] или обнаружение магии [detect magic].
Защитная аура. Вы можете действием воткнуть рукоятку жезла в землю, после чего навершие будет испускать яркий свет в пределах 60 футов и тусклый свет в пределах ещё 60 футов. Находясь в области яркого света, вы и все дружественные вам существа получаете бонус +1 к КД и спасброскам, а также можете чувствовать местоположение всех невидимых враждебных существ, тоже находящихся в области яркого света.
Навершие жезла перестаёт светиться, оканчивая эффект, через 10 минут, или когда какое-нибудь существо действием выдернет его из земли. Это свойство нельзя использовать повторно до следующего рассвета.</t>
  </si>
  <si>
    <t>Жезл поглощения</t>
  </si>
  <si>
    <t>Провальные</t>
  </si>
  <si>
    <t>Держа этот жезл, вы можете реакцией поглотить заклинание, нацеленное только на вас и не имеющее зоны воздействия. Эффект поглощённого заклинания отменяется, а его энергия — но не само заклинание — сохраняется в жезле. Уровень поглощённой энергии равен уровню заклинания, с которым оно накладывалось. Жезл за весь свой срок существования может впитать не более 50 уровней энергии. Когда жезл впитает 50 уровней энергии, больше он никогда не сможет их поглощать, и если вы станете целью заклинания, которое жезл мог бы поглотить, жезл никак не отреагирует.
Когда вы настраиваетесь на жезл, вы узнаёте, сколько уровней энергии успел впитать жезл, и сколько энергии хранится в нём на данный момент.
Если вы — заклинатель и держите этот жезл, вы можете превратить хранящуюся в нём энергию в ячейки заклинаний для накладывания подготовленных или известных вам заклинаний. Вы можете создавать ячейки с уровнем не больше тех, что уже есть у вас, и при этом не больше 5-го уровня. Вместо своих ячеек вы используете хранящуюся в жезле энергию, во всём же остальном накладываете заклинание как обычно. Например, вы можете использовать 3 уровня энергии, хранящейся в жезле, в качестве ячейки заклинания 3-го уровня.
В найденном жезле уже хранится 1к10 уровней энергии. Жезл, не способный больше поглощать заклинания, в котором не осталось энергии, перестаёт быть магическим.</t>
  </si>
  <si>
    <t>Живой доспех</t>
  </si>
  <si>
    <t>RLW</t>
  </si>
  <si>
    <t>Удачные</t>
  </si>
  <si>
    <t>Этот отвратительный доспех сформирован из чёрного хитина, под которым пульсируют вены и блестят красные сухожилия. Чтобы настроиться на этот предмет, вы должны носить его в течение всего периода настройки, в течение которого в вас врастают усики на внутренней стороне .
Пока вы носите этот доспех, вы получаете бонус +1 к КД, и вы получаете сопротивление урону следующих видов: некротическая энергия, психическая энергия и яд.
Симбиотическая природа. Доспех не может быть снят с вас, пока вы настроены на него, и вы не можете добровольно закончить свою настройку на нём. Если на вас используют заклинание, которое снимает проклятие, то ваша настройка на доспехе оканчивается, и он отделяется от вас.
Доспеху требуется свежая кровь для питания. Сразу же после того, как вы заканчиваете продолжительный отдых, вы должны скормить броне половину оставшихся костей хитов (округляя вверх), иначе получите 1 степень истощения.</t>
  </si>
  <si>
    <t>Живой щит</t>
  </si>
  <si>
    <t>Если вы держите этот щит, вы можете бонусным действием произнести командное слово, чтобы он ожил. Щит поднимается в воздух и парит в вашем пространстве, защищая так, как если бы вы его использовали, но ваши руки при этом свободны. Щит остаётся живым 1 минуту, пока вы не окончите эффект бонусным действием или пока вы не станете недееспособным или не умрёте, после чего щит падает на землю или в вашу руку, если она свободна.</t>
  </si>
  <si>
    <t>Заводные доспехи</t>
  </si>
  <si>
    <t>Внешняя и внутренняя поверхность и сочленения этого доспеха вращаются с помощью взаимосвязанных шестеренок, используя упорядоченную магию плана Механус.
Доспехи имеют 4 заряда. Если вы совершаете бросок к20, будучи облачённым в этот доспех, вы можете потратить 1 заряд, чтобы изменить результат броска на «10». Доспехи восстанавливают 1к4 израсходованных зарядов ежедневно на рассвете.</t>
  </si>
  <si>
    <t>Зловещий Коготь</t>
  </si>
  <si>
    <t>Вы получаете бонус +1 к броскам атаки и урона, совершённым этим крючковатым обсидиановым кинжалом.
Когда вы попадаете по существу этим магическим оружием, то, при выпадении «19» или «20» на кости атаки, существо должно совершить спасбросок Телосложения со Сл 15, поскольку кинжал вспыхивает болезненным светом. Существо получает 6к6 урона некротической энергией при провале или половину этого урона при успехе. Если этот урон снижает хиты существа до 0, существо рассыпается в пыль.</t>
  </si>
  <si>
    <t>Камень рассеивания</t>
  </si>
  <si>
    <t>Этот гладкий, радужного цвета, яйцевидный камень можно метнуть на расстояние до 30 футов. При столкновении он взрывается сферой магической энергии радиусом в 10 футов, разрушая камень. Любое активное заклинание 5-го уровня или ниже, оказавшееся в сфере, заканчивается.</t>
  </si>
  <si>
    <t>Клинок дурака</t>
  </si>
  <si>
    <t>Ключом к дальней, практически мгновенной связи по всему Кхорвайру является сеть станций связи дома Сивис. Каждая станция содержит по крайней мере один камень общения, вырезанный из драконьего осколка Сибериса и расписанный магическими символами, являющиеся его уникальным идентификатором. Если вы гном с Меткой Письма, вы можете прикоснуться к камню и действием наложить с его помощью заклинание послание [sending].
Целью заклинания является любой другой камень общения, чье местоположение или уникальный идентификатор вы знаете. Существо в пределах 5 футов от камня слышит сообщение, как если бы оно было целью.
На станции связи дома Сивис у камня общения всегда дежурит гном, прослушивающий приходящие сообщения, и записывая их для доставки адресатам.</t>
  </si>
  <si>
    <t>Клинок кровопролития</t>
  </si>
  <si>
    <t>В рукоять этого меча икрустирован сердолик с выгравированной руной крови.
Вы можете добавить свой модификатор Телосложения (минимум +1) к броскам урона от атак совершённых этим оружием.
Пробуждение руны. Когда вы атакуете существо этим оружием, вы можете пробудить руну меча, отчего она вспыхивает багровым светом и наполняет вашу атаку кровожадной точностью. Вы расходуете и бросаете одну из своих имеющихся Костей Хитов и добавляете полученное число к броску атаки. Вы можете пробудить руну после броска к20.
Если эта атака попадает, вы также можете потратить и бросить любое количество своих имеющихся Костей Хитов и добавить полученное число к урону оружия.
После того как руна была пробуждена, она не может быть пробуждена снова до следующего рассвета.</t>
  </si>
  <si>
    <t>Клубящийся венок</t>
  </si>
  <si>
    <t>Голова</t>
  </si>
  <si>
    <t>Дизайн этого бронзового венка напоминает клубящиеся облака. В его центре установлен тёмно-синий камень, на котором начертана руна «Облака».
Пока вы носите этот венок, вы не получаете урона от падения. Кроме того, бонусным действием вы и всё, что вы несёте или носите, можете телепортироваться в незанятое пространство, которое вы можете видеть в пределах 15 футов от себя, вновь появляясь во вспышке мерцающих облаков.
Пробуждение руны. Действием вы можете пробудить руну венка, чтобы принять облачную форму. Форма существует в течение 1 минуты, пока вы не станете недееспособным или пока не окончите её (никаких действий не требуется).
В облачной форме вы получаете скорость полёта 60 футов и сопротивление дробящему, колющему и рубящему урону.
После того, как руна была пробуждена, она не может быть пробуждена снова до следующего рассвета.</t>
  </si>
  <si>
    <t>Кнут–щупальце Диррна</t>
  </si>
  <si>
    <t>Этот длинный, похожий на кнут, пучок крепких мышечных волокон, на конце которого имеется острое жало. Чтобы настроиться на это оружие, вам необходимо обмотать хлыст вокруг запястья и держать его там всё время настройки, пока усики хлыста болезненно врастают в вашу руку.
Вы получаете бонус +2 к броскам атаки и урона, совершённым с помощью этого магического кнута, но атаки, совершаемые против аберраций, совершаются с помехой. Существо, по которому попадают атакой этим оружием, дополнительно получает 1к6 урона психической энергией. Если при броске к20, на нём выпадает 20, то цель становится ошеломленной до конца своего следующего хода.
Бонусным действием вы можете убрать хлыст, заставив его втянуться в руку или вытянуть его из руки.
Симбиотическая природа. Кнут не может быть отделен от вас, пока вы настроены на него, и вы не можете добровольно закончить свою настройку на нём. Если на вас используют заклинание, которое снимает проклятие, ваша настройка на кнут заканчивается, и он отделяется от вас.</t>
  </si>
  <si>
    <t>Ковёр-самолёт</t>
  </si>
  <si>
    <t>Вы можете произнести действием командное слово, чтобы ковёр смог парить и летать. Он перемещается в сказанных вами вслух направлениях, при условии, что вы находитесь в пределах 30 футов от него. Существует четыре версии такого ковра. Мастер сам выбирает размер ковра или определяет его случайным образом.
к100        Размер        Грузоподъёмность        Скорость полёта
01-20        3 футов × 5 футов        200 фнт.        80 футов
21-55        4 футов × 6 футов        400 фнт.        60 футов
56-80        5 футов × 7 футов        600 фнт.        40 футов
81-100        6 футов × 9 футов        800 фнт.        30 футов
Ковёр может поднять в два раза больший вес, чем тот, что указан в таблице, но при нагрузке больше расчётной его скорость уменьшается вдвое.</t>
  </si>
  <si>
    <t>Колода диких карт</t>
  </si>
  <si>
    <t>Эта колода карт из плотной бумаги наполнена магией Стихийного Хаоса.
Магия колоды действует только в том случае, если карты взяты случайным образом (колода реальных игральных карт может имитировать колоду). Действием вы можете взять случайную карту из этой колоды и метнуть её, чтобы совершить дальнобойную атаку заклинанием, используя Ловкость для броска атаки. Дистанция карты 30 футов. При попадании она наносит 1к4 рубящего урона и накладывает магический эффект, определяемый её мастью, как подробно описано в таблице "Колода диких карт". Карта немедленно возвращается в колоду после того, как попадает или промахивается по цели.
Колода диких карт
к4        Масть        Эффект
1
♣ (Жезлы)        Карта взрывается вспышкой огня. Цель и каждое существо в пределах 5 футов от неё должны совершить спасбросок Ловкости Сл 15, иначе получит 2к8 урона огнём.
2
♦ (Монеты)        Карта обращается полосами молний. Цель должна совершить спасбросок Ловкости Сл 15. При провале цель становится ослеплённой до конца вашего следующего хода, и каждое существо в пределах 10 футов от цели получает 1к6 урона электричеством.
3
♥ (Чаши)        Карта покрывает цель толстым слоем льда. Цель получает 1к10 урона холодом и должна преуспеть в спасброске Телосложения Сл 15, иначе станет опутанной до конца вашего следующего хода.
4
♠ (Мечи)        Карта издает пронзительный, оглушительный взрыв. Цель и каждое существо в пределах 5 футов от неё получают 1к6 урона силовым полем и должны преуспеть в спасброске Силы Сл 15, иначе упадут ничком.</t>
  </si>
  <si>
    <t>Колода измерений</t>
  </si>
  <si>
    <t>Рубашка карт этой колоды украшена замысловатыми узорами, представляющими различные планы существования. Колода имеет 6 зарядов. Удерживая её, вы можете израсходовать 1 или более его зарядов, чтобы использовать следующие свойства:
Краплёная карта. Бонусным действием вы можете израсходовать 1 заряд, чтобы взять карту из колоды и положить её в незанятое пространство в пределах 5 футов от себя. После чего карта отмечается невидимым символом. Единожды, действием, в течение следующих 24 часов, вы можете произнести название отмеченной карты и телепортироваться к местоположению карты вместе с любым снаряжением, которое вы носите, появляясь в ближайшем незанятом пространстве к карте. После того, как вы телепортируетесь таким образом или спустя 8 часов, карта возвращается в колоду, и метка на ней исчезает.
Риффлинг порталов. Действием вы можете израсходовать 3 заряда для наложения заклинания магические врата [arcane gate] с помощью колоды. Колода рассыпается, а парящие карты создают портальный круг заклинания. Когда заклинание заканчивается, колода снова появляется в вашем распоряжении.
Перетасовывающая поступь. Бонусным действием вы можете израсходовать 1 заряд, чтобы метнуть карту из колоды в незанятое пространство в пределах 60 футов и телепортироваться туда вместе с любым снаряжением, которое на вы несёте или носите с собой. После чего карта исчезает и возвращается в колоду.
Колода восстанавливает 1к6 израсходованных зарядов ежедневно на рассвете.</t>
  </si>
  <si>
    <t>Кольцо дружелюбия</t>
  </si>
  <si>
    <t>Кольцо</t>
  </si>
  <si>
    <t>Это кольцо вырезано из гематита и украшено гравировкой руны «Друг».
Когда вы впервые настраиваетесь на это кольцо, вы можете прикоснуться к одному согласному существу и создать магическую связь между вами. Пока действует эта связь, всякий раз, когда вы подвергаетесь эффекту заклинания или магическому эффекту, восстанавливающему хиты, связанное существо также получает преимущества заклинания или эффекта.
Вы можете связаться с другим существом всякий раз, когда оканчиваете продолжительный отдых, при условии, что вы можете прикоснуться к существу, и оно желает этого.
Существо может получить выгоду только от одного кольца дружелюбия одновременно. Связь прекращается, если либо вы, либо существо отправляетесь на другой план существования, если вы связываете себя с другим существом в конце продолжительного отдыха или если вы разрываете связь бонусным действием.
Пробуждение руны. Когда связанное существо поражает цель броском атаки, вы можете реакцией пробудить руну кольца, если вы находитесь в пределах 60 футов от связанного существа. Затем атака связанного существа превращается в критический удар.
После того, как руна была пробуждена, она не может быть пробуждена снова до следующего рассвета.</t>
  </si>
  <si>
    <t>Кольцо падающих звёзд</t>
  </si>
  <si>
    <t>НА РЕВОРК</t>
  </si>
  <si>
    <t>Нося это кольцо в области тусклого света или темноте, вы можете неограниченно действием накладывать им пляшущие огоньки [dancing lights] или свет [light].
У кольца есть 6 зарядов для использования описанных ниже свойств. Кольцо ежедневно восстанавливает 1к6 зарядов на рассвете.
Огонь фей. Вы можете действием потратить 1 заряд, чтобы наложить кольцом огонь фей [faerie fire].
Шаровая молния. Вы можете действием потратить 2 заряда, чтобы создать кольцом от одной до четырёх шаровых молний диаметром 3 фута. Чем больше шаров вы создадите, тем менее эффективен каждый из них.
Каждый шар появляется в свободном пространстве, видимом вами в пределах 120 футов. Шары существуют, пока вы концентрируетесь (как при концентрации на заклинании), но не более 1 минуты. Каждый шар испускает тусклый свет в радиусе 30 футов.
Вы можете бонусным действием переместить каждый шар на расстояние до 30 футов, но не более чем на 120 футов от себя. Если какое-нибудь существо кроме вас оказывается в пределах 5 футов от шара, шар выпускает в него разряд молнии и исчезает. Это существо должно совершить спасбросок Ловкости Сл 15. При провале существо получает урон электричеством, зависящий от количества созданных вами шаров.
Шары        Урон электричеством
4        2к4
3        2к6
2        5к4
1        4к12
Падающие звёзды. Вы можете действием потратить от 1 до 3 зарядов. За каждый потраченный заряд вы выпускаете из кольца по одному светящемуся шарику в точку, которую видите в пределах 60 футов. Все существа в пределах 15-футового куба, исходящего из этой точки, покрываются искрами и должны совершить спасбросок Ловкости Сл 15, получая 5к4 урона огнём при провале или половину урона при успехе.</t>
  </si>
  <si>
    <t>Кольцо регенерации</t>
  </si>
  <si>
    <t>Нося это кольцо, вы восстанавливаете 1к6 хитов каждые 10 минут, при условии, что у вас есть хотя бы 1 хит. Если вы теряете часть тела, кольцо отращивает её и возвращает функциональность через 1к6 + 1 день, если всё это время у вас есть хотя бы 1 хит.</t>
  </si>
  <si>
    <t>Кольцо телекинеза</t>
  </si>
  <si>
    <t>Нося это кольцо, вы можете неограниченно накладывать заклинание телекинез [telekinesis], но нацеливаясь только на предметы, которые никто не несёт и не носит.</t>
  </si>
  <si>
    <t>Котёл перерождения</t>
  </si>
  <si>
    <t>TCE</t>
  </si>
  <si>
    <t>друидом или колдуном</t>
  </si>
  <si>
    <t>На железных боках этого Крошечного горшка тиснением изображены героические эпизоды. Вы можете использовать котёл в качестве заклинательной фокусировки для ваших заклинаний, и он функционирует как подходящий компонент для заклинания наблюдение [scrying]. Когда вы заканчиваете продолжительный отдых, вы можете создать зелье большого лечения [potion of greater healing] с помощью котла. Зелье теряет свою магию, если не будет использовано в течение 24 часов.
Действием вы можете заставить котёл увеличиться до размеров, достаточных, чтобы Среднее существо могло залезть внутрь. Вы можете действием вернуть котёл к его нормальному размеру, что безвредно выпихнет всё, что не помещается внутри, в ближайшее свободное пространство.
Если вы поместите труп гуманоида в котёл и накроете его 200 фунтами соли (стоящей 10 зм) по крайней мере на 8 часов, соль будет израсходована, а существо вернётся к жизни, как от действия заклинания оживление [raise dead], на следующем рассвете. Это свойство не может быть использовано вновь в течение следующих 7 дней.</t>
  </si>
  <si>
    <t>Кристаллическая хроника</t>
  </si>
  <si>
    <t>волшебником</t>
  </si>
  <si>
    <t>Гравированная хрустальная сфера размером с грейпфрут слабо гудит и пульсирует нерегулярными вспышками внутреннего света. Когда вы касаетесь кристалла, вы можете извлекать и хранить информацию и заклинания в кристалле одновременно с чтением и письмом. Найденный кристалл содержит следующие заклинания: крепость интеллекта [intellect fortress], ментальная связь Рэри [Rary’s telepathic bond], обнаружение мыслей [detect thoughts], послание [sending], психическая плеть Таши [Tasha’s mind whip], телекинез [telekinesis] и Тензеров парящий диск [Tenser’s floating disk]. Он функционирует для вас как книга заклинаний, заклинания и другие записи в которой психически закодированы.
Пока вы держите кристалл, вы можете использовать его в качестве заклинательной фокусировки для ваших заклинаний волшебника и знаете заговоры волшебная рука [mage hand], расщепление разума [mind sliver] и сообщение [message], если не знаете их без использования кристалла.
Кристалл имеет 3 заряда и ежедневно восстанавливает 1к3 заряда на рассвете. Вы можете использовать заряды следующими способами, пока держите кристалл:
Если вы потратите 1 минуту на изучение информации в кристалле, вы можете израсходовать 1 заряд и заменить одно из своих подготовленных заклинаний волшебника на другое заклинание из книги.
Когда вы накладываете заклинание волшебника, вы можете потратить 1 заряд, чтобы наложить заклинание без вербальных, соматических и материальных компонентов стоимостью до 100 зм.</t>
  </si>
  <si>
    <t>Кровавый топор</t>
  </si>
  <si>
    <t>Вы получаете бонус +2 к броскам атаки и урона, совершённым этим магическим топором. Топор дополнительно наносит 1к6 урона некротической энергией, всем кроме конструктов и нежити. Если вы уменьшаете хиты существа до 0 атакой совершённой с помощью этого топора, вы получаете 10 временных хитов.
Этот топор выкован из тёмного ржавого металла и когда-то принадлежал голиафу-варвару Грогу Стронгджо из «Vox Machina».</t>
  </si>
  <si>
    <t>Латы дварфов</t>
  </si>
  <si>
    <t>Пока вы носите этот доспех, вы получаете бонус +2 к КД. Кроме того, если некий эффект перемещает вас по земле против вашей воли, вы можете реакцией уменьшить расстояние, на которое вас переместят, на расстояние до 10 футов.</t>
  </si>
  <si>
    <t>Лук клятвы</t>
  </si>
  <si>
    <t>Лук</t>
  </si>
  <si>
    <t>Когда вы натягиваете тетиву этого лука, он шепчет на Эльфийском языке: «Несу смерть врагам». Если вы используете это оружие для совершения дальнобойной атаки, вы можете сказать командную фразу: «Смерть презревшему меня». Цель вашей атаки становится вашим заклятым врагом, пока не умрёт, или пока не наступит рассвет по прошествии семи дней. У вас может быть только один заклятый враг одновременно. Если ваш заклятый враг умирает, вы можете выбрать нового после следующего рассвета.
Если вы совершаете бросок дальнобойной атаки по заклятому врагу, вы совершаете его с преимуществом. Кроме того, цель не получает преимуществ от укрытия, кроме полного укрытия, и вы не получаете штраф за совершение атаки на расстояние, превышающее обычную дистанцию. Если атака попадает, заклятый враг дополнительно получает 3к6 колющего урона.
Пока ваш заклятый враг жив, вы совершаете с помехой броски атаки всем другим оружием.</t>
  </si>
  <si>
    <t>Лук мелодий</t>
  </si>
  <si>
    <t>Этот лук имеет несколько струн и напоминает лиру или небольшую арфу. Играя по струнам во время вставки стрелы в лук, вы наполняете стрелу магией.
Вы можете сыграть одну из следующих мелодий, когда используете лук для совершения дальнобойной атаки оружием. Вы должны сделать это до того, как сделаете бросок атаки, и вы можете сыграть только одну мелодию за атаку.
Мелодия точности. Если вы владеете Выступлением, вы получаете бонус +1 к броску атаки. Если у вас есть компетентность в Выступлении, вместо этого вы получаете бонус +2 к атаке.
Мелодия реверберации. Мелодия, которую вы играете, звучит громко. При попадании цель получает дополнительный урон звуком, равный вашему модификатору Харизмы.</t>
  </si>
  <si>
    <t>Мантия звёзд</t>
  </si>
  <si>
    <t>Плечи</t>
  </si>
  <si>
    <t>Эта чёрная или тёмно-синяя мантия украшена белыми или серебристыми звёздочками. Вы получаете бонус +1 к спасброскам, пока носите её.
Шесть звёзд, расположенные на груди, отличаются увеличенным размером. Если вы носите эту мантию, вы можете действием оторвать одну из звёзд и использовать её для наложения заклинания волшебная стрела [magic missile] как заклинание 5-го уровня. Каждый день на закате на мантии заново появляются 1к6 звёзд.
Пока вы носите эту мантию, вы можете действием перейти на Астральный План вместе со всем, что вы несёте и носите. Вы остаётесь там, пока не вернётесь действием на план, на котором вы были. Вы появляетесь в пространстве, которое занимали ранее, или ближайшем пространстве, если прошлое место занято.</t>
  </si>
  <si>
    <t>Мантия Мистраля</t>
  </si>
  <si>
    <t>Этот толстый плащ с меховой подкладкой имеет руну «Мороз», вышитую на подоле серебристо-синей нитью. Холодный ветер кружит вокруг плаща независимо от погоды.
Пока вы носите этот плащ, вы получаете сопротивление урону холодом. Кроме того, когда вы двигаетесь в пределах 5 футов от существа, вы можете заставить холодный ветер плаща ударить существо. Существо должно преуспеть в спасброске Ловкости Сл 14, иначе оно получит 1к6 урона холодом и упадёт ничком. Существо может быть затронуто мантией только один раз за ход.
Пробуждение руны. Действием вы можете пробудить руну мантии, чтобы наложить ею заклинание метель [sleet storm] (Сл спасброска 14). Когда вы используете мантию для накладывания заклинания, область действия заклинания не является для вас труднопроходимой местностью и вы можете видеть сквозь метель, игнорируя обычные штрафы за сильно заслонённую местность.
После того, как руна была пробуждена, она не может быть пробуждена снова до следующего рассвета.</t>
  </si>
  <si>
    <t>Мантия сияющих цветов</t>
  </si>
  <si>
    <t>У этой мантии 3 заряда, и она ежедневно восстанавливает 1к3 заряда на рассвете. Пока вы её носите, вы можете действием потратить 1 заряд, чтобы на ней появился до конца вашего следующего хода узор из завораживающих оттенков. В это время мантия испускает яркий свет в пределах 30 футов и тусклый свет в пределах ещё 30 футов. Существа, видящие вас, совершают по вам броски атаки с помехой. Кроме того, когда свойство мантии активируется, все существа в области яркого света, видящие вас, должны преуспеть в спасброске Мудрости Сл 15, иначе они станут ошеломлёнными до окончания эффекта.</t>
  </si>
  <si>
    <t>Маска сокола</t>
  </si>
  <si>
    <t>GGR</t>
  </si>
  <si>
    <t>Пока вы носите этот крылатый шлем, вы получаете скорость полёта 60 футов. Кроме того, вы получаете преимущество на броски инициативы.</t>
  </si>
  <si>
    <t>Меч остроты</t>
  </si>
  <si>
    <t>Если вы атакуете этим магическим мечом предмет и попадаете, кости урона оружия причиняют цели максимальный урон.
Если вы атакуете этим оружием существо, и при броске атаки выпадает «20», эта цель получит дополнительно 14 рубящего урона. После этого бросьте ещё к20. Если выпадет «20», вы отрубаете одну из конечностей цели, а эффект этого определяет Мастер. Если у существа не было конечностей, вы отрубаете часть его тела.
Кроме того, вы можете произнести командное слово меча, чтобы клинок начал излучать яркий свет в радиусе 10 футов и тусклый свет в пределах ещё 10 футов. Повторное произнесение этого слова или убирание меча в ножны гасит свет.</t>
  </si>
  <si>
    <t>Меч отцов</t>
  </si>
  <si>
    <t>Вы получаете бонус +1 к броскам атаки и урона, совершённым этим магическим оружием. Кроме того, один раз в каждый ваш ход вы можете использовать одно из следующих свойств, если вы держите меч:
Сразу же после того, как вы используете действие Атака для атаки этим мечом, вы можете позволить одному существу в пределах 60 футов от вас реакцией совершить одну атаку оружием.
Сразу же после того, как вы совершаете действие Рывок, вы можете позволить одному существу в пределах 60 футов от вас реакцией переместиться на максимум своей скорости.
Сразу же после того, как вы совершите действие Уклонение, вы можете позволить одному существу в пределах 60 футов от вас реакцией получить преимущества действия Уклонение.</t>
  </si>
  <si>
    <t>Молот рунного фокуса</t>
  </si>
  <si>
    <t>Заберите пожалуйста</t>
  </si>
  <si>
    <t>Этот магический молот имеет 3 заряда. Бонусным действием вы можете потратить 1 заряд и ударить этим молотом по земле, создав круг светящихся рун радиусом 15 футов с центром в точке удара. Пока вы находитесь внутри этой области, ваш молот светится соответствующими рунами, и вы получаете бонус +3 к броскам атаки и урона, совершённым этим молотом. Рунический круг исчезает через 1 минуту, когда вы создаете другой рунический круг или когда вы оканчиваете рунический круг бонусным действием.
Этот молот восстанавливает 1к3 израсходованных зарядов ежедневно на рассвете.</t>
  </si>
  <si>
    <t>Морозный клинок</t>
  </si>
  <si>
    <t>Если вы попадаете атакой, используя этот магический меч, цель получает дополнительный урон холодом 1к6. Кроме того, пока вы держите этот меч, вы обладаете сопротивлением урону огнём.
При температуре, не превышающей 0 °C, клинок испускает яркий свет в радиусе 10 футов и тусклый свет в радиусе ещё 10 футов.
Когда вы вынимаете оружие из ножен, вы можете погасить все источники немагического огня в пределах 30 футов. Это свойство можно использовать не чаще раза в час.</t>
  </si>
  <si>
    <t>Наручи иллюзиониста</t>
  </si>
  <si>
    <t>Наручи</t>
  </si>
  <si>
    <t>Могущественная иллюзионистка дома Димиров изначально разработала эти наручи, чтобы создавать сразу несколько малых иллюзий [minor illusion]. Однако сила наручей простирается далеко за пределы иллюзий.
Пока вы в этих наручах, каждый раз, когда вы накладываете заговор, в тот же ход вы можете бонусным действием наложить этот же заговор ещё раз.</t>
  </si>
  <si>
    <t>Ножницы отсекающие судьбу</t>
  </si>
  <si>
    <t>Лезвия этих ножниц имеют множество зазубрин и вмятин, но все равно чисто режут. Ножницы функционируют как магический кинжал. Оружие обладает следующими свойствами:
Вечно острые. Когда вы попадаете атакой, совершаемой этими ножницами, цель дополнительно получает 1к6 урона силовым полем .
Разрезание нитей. Когда вы попадаете по существу атакой, совершаемой этими ножницами, вы можете изменить судьбу этого существа. Пока цель не закончит продолжительный отдых, броски атаки против неё наносят критическое попадание при результате «19» или «20» на к20. Как только это свойство будет использовано, оно не сможет быть использовано снова до следующего рассвета.</t>
  </si>
  <si>
    <t>Оружие повеления Трона</t>
  </si>
  <si>
    <t>Любое</t>
  </si>
  <si>
    <t>Это оружие украшено витиеватой золотой филигранью и темно-синими и бордовыми драгоценными камнями. Вы получаете бонус +1 к броскам атаки и урона, совершённым этим магическим оружием. Кроме того, вы получаете владение навыками Запугивание и Убеждение, если вы ими ещё не владели.
Использование заклинаний. Оружие имеет 5 зарядов. Вы можете бонусным действием потратить 1 или более зарядов, чтобы наложить одно из следующих заклинаний (Сл спасброска 16):  приказ [command] (1 заряд), область истины [zone of truth] (2 заряда), принуждение [compulsion] (4 заряда), изгнание [banishment] (4 заряда) или подчинение личности [dominate person] (5 зарядов).
Оружие восстанавливает 1к4 израсходованных зарядов ежедневно на рассвете.</t>
  </si>
  <si>
    <t>Оружие разрушения силы</t>
  </si>
  <si>
    <t>Вы получаете бонус +2 к броскам атаки и урона, совершённым этим магическим оружием.
Это оружие было создано для разрушения структур, созданных силой, например, созданных узилище [forcecage] или силовая стена [wall of force]. Удар этим оружием по структуре магической силы Большого размера или меньше, автоматически разрушает эту структуру. Если целью является Огромного размера силовая структура или больше, это оружие разрушает ее часть размером 20 футов в кубе.</t>
  </si>
  <si>
    <t>Охотничье пальто</t>
  </si>
  <si>
    <t>Вы получаете бонус +1 к КД, пока вы носите этот доспех.
Пальто имеет 3 заряда. Когда вы попадаете атакой по раненому существу, вы можете потратить 1 заряд, чтобы дополнительно нанести 1к10 урона некротической энергией по цели. Пальто восстанавливает 1к3 израсходованных заряда ежедневно на рассвете.</t>
  </si>
  <si>
    <t>Плащ паука</t>
  </si>
  <si>
    <t>Этот прекрасный плащ сделан из чёрного шёлка, переплетённого тонкими серебристыми нитями. Пока вы его носите, вы обладаете следующими преимуществами:
Вы получаете сопротивление урону ядом.
Вы получаете скорость лазания, равную скорости ходьбы.
Вы можете перемещаться вверх, вниз и вдоль вертикальных поверхностей, а также вверх ногами по потолку, оставляя руки свободными.
Вы не можете запутаться ни в какой паутине, и можете перемещаться сквозь паутину как если бы она была просто труднопроходимой местностью.
Вы можете действием наложить заклинание паутина [web] (Сл спасброска 13). Паутина, создаваемая этим заклинанием, заполняет в два раза большую площадь чем обычно. Это свойство нельзя использовать повторно до следующего рассвета.</t>
  </si>
  <si>
    <t>Подковы ветра</t>
  </si>
  <si>
    <t>Ноги</t>
  </si>
  <si>
    <t>Эти железные подковы изготавливаются комплектом по четыре штуки. Если все четыре прикрепить к копытам лошади или подобного существа, они позволят ему перемещаться как обычно, но паря в 4 дюймах от земли. Этот эффект позволяет существу пересекать нетвёрдые и неустойчивые субстанции, такие как вода и лава, а также стоять на них. Существо не оставляет следы и игнорирует труднопроходимую местность. Кроме того, оно может перемещаться с обычной скоростью до 12 часов в день, не получая истощение за форсированный марш.</t>
  </si>
  <si>
    <t>Порошок реинкарнации</t>
  </si>
  <si>
    <t>Когда этот маленький мешочек пурпурного порошка высыпают на мёртвого гуманоида или часть мёртвого гуманоида, прах поглощается останками. При желании мертвое существо возвращается к жизни в новом теле, будто на останки было наложено заклинание реинкарнация [reincarnate].</t>
  </si>
  <si>
    <t>Посох грома и молнии</t>
  </si>
  <si>
    <t>Этот посох можно использовать как магический боевой посох, предоставляющий бонус +2 к броскам атаки и урона им. Он также обладает описанными ниже дополнительными свойствами. Каждое из свойств не может быть повторно использовано до следующего рассвета.
Молния. Если вы попали рукопашной атакой, используя этот посох, вы можете причинить цели дополнительный урон электричеством 2к6.
Гром. Если вы попали рукопашной атакой, используя этот посох, вы можете заставить посох издать громовой рокот, слышный в пределах 300 футов. Цель, по которой вы попали, должна преуспеть в спасброске Телосложения Сл 17, иначе она станет ошеломлённой до конца вашего следующего хода.
Удар молнии. Вы можете действием выпустить из кончика посоха молнию линией шириной 5 футов и 120 футов длиной. Все существа в этой линии должны совершить спасбросок Ловкости Сл 17, получая урон электричеством 9к6 при провале или половину этого урона при успехе.
Удар грома. Вы можете действием заставить посох издать громовой гул, слышный в пределах 600 футов. Все существа в пределах 60 футов от вас (исключая вас) должны совершить спасбросок Телосложения Сл 17. При провале существо получает урон звуком 2к6 и становится оглохшим на 1 минуту. При успехе существо получает половину урона и не становится оглохшим.
Гром и молния. Вы можете действием использовать одновременно свойства «Удар молнии» и «Удар грома». Это не учитывается при подсчёте того, использовали ли вы эти свойства в этот день, тратится использование лишь непосредственно этого свойства.</t>
  </si>
  <si>
    <t>Посох дюнамантии</t>
  </si>
  <si>
    <t>Посох</t>
  </si>
  <si>
    <t>Этот посох из полированного серого дерева украшен многочисленными рунами, вырезанными по всей его длине. Посох имеет 10 зарядов и восстанавливает 1к6 + 4 израсходованных заряда ежедневно на рассвете. Если вы израсходуете последний заряд, бросьте к20. Если выпадет «1», посох обращается в пыль и уничтожается.
Держа посох, вы можете действием израсходовать 2 или более его зарядов, чтобы наложить одно из следующих заклинаний, используя свои Сл и бонус атаки заклинателя: благословение удачи [fortune’s favor] (2 заряда), силовая волна [pulse wave] (3 заряда) или центр притяжения [gravity sinkhole] (4 заряда).
Новая возможность. Если вы держите посох и проваливаете спасбросок против заклинания, которое нацелено только на вас, вы можете превратить свой провал в успех. Это свойство не может быть использовано снова до следующего рассвета.</t>
  </si>
  <si>
    <t>Посох мороза</t>
  </si>
  <si>
    <t>волшебником, друидом, колдуном или чародеем</t>
  </si>
  <si>
    <t>Вы получаете сопротивление урону холодом, пока держите этот посох. У этого посоха есть 10 зарядов. Держа его, вы можете действием потратить часть зарядов и наложить им одно из следующих заклинаний, используя свою Сл спасброска от заклинания: град [ice storm] (4 заряда), конус холода [cone of cold] (5 зарядов), ледяная стена [wall of ice] (4 заряда) или туманное облако [fog cloud] (1 заряд).
Посох ежедневно восстанавливает 1к6 + 4 заряда на рассвете. Если вы истратили последний заряд, бросьте к20. Если выпадет «1», посох превращается в воду и уничтожается.</t>
  </si>
  <si>
    <t>Посох огня</t>
  </si>
  <si>
    <t>Вы получаете сопротивление урону огнём, пока держите этот посох.
У этого посоха есть 10 зарядов. Держа его, вы можете действием потратить часть зарядов и наложить им одно из следующих заклинаний, используя свою Сл спасброска от заклинания: огненная стена [wall of fire] (4 заряда), огненные ладони [burning hands] (1 заряд) или огненный шар [fireball] (3 заряда).
Посох ежедневно восстанавливает 1к6 + 4 заряда на рассвете. Если вы истратили последний заряд, бросьте к20. Если выпадет «1», посох чернеет, разваливается на угли и уничтожается.</t>
  </si>
  <si>
    <t>Посох путешественника</t>
  </si>
  <si>
    <t>Вы получаете бонус +1 к броскам атаки и урона, совершённым этим магическим посохом.
Этот посох имеет 10 зарядов. Держа его, вы можете действием израсходовать 1 или более зарядов посоха, для накладывания одного из следующих заклинаний, используя свою Сл: изгнание [banishment] (4 заряда), мерцание [blink] (3 заряда), туманный шаг [misty step] (2 заряда), создание прохода [passwall] (5 зарядов) или телепортация [teleport] (7 зарядов).
Посох восстанавливает 1к6 + 4 израсходованных заряда ежедневно на рассвете. Если вы израсходуете последний заряд, бросьте к20. Если выпадет «1», то посох навсегда исчезает.</t>
  </si>
  <si>
    <t>Посох силы</t>
  </si>
  <si>
    <t>Волшебником, Колдуном или Чародеем</t>
  </si>
  <si>
    <t xml:space="preserve">Этот посох можно использовать как магический боевой посох, предоставляющий бонус +2 к броскам атаки и урона им. Держа его, вы получаете бонус +2 к Классу Доспеха, спасброскам и броскам атаки заклинаниями.
У посоха есть 20 зарядов для описанных ниже свойств. Он ежедневно восстанавливает 2к8 + 4 заряда на рассвете. Если вы истратили последний заряд, бросьте к20. Если выпадет «1», посох сохраняет бонус +2 к броскам атаки и урона, но теряет все остальные свойства. Если выпадет «20», посох восстанавливает 1к8 + 2 заряда.
Силовой удар. Если вы попадаете рукопашной атакой этим посохом, вы можете потратить 1 заряд, чтобы причинить цели дополнительный урон силовым полем 1к6.
Заклинания. Если вы держите этот посох, вы можете действием потратить часть зарядов, чтобы наложить им одно из следующих заклинаний, используя свою Сл спасброска от заклинания и бонус броска атаки заклинанием: волшебная стрела [magic missile] (1 заряд), конус холода [cone of cold] (5 зарядов), левитация [levitate] (2 заряда), луч слабости [ray of enfeeblement] (1 заряд), молния [lightning bolt] (версия 5-го уровня, 5 зарядов), огненный шар [fireball] (версия 5-го уровня, 5 зарядов), силовая стена [wall of force] (5 зарядов), сфера неуязвимости [globe of invulnerability] (6 зарядов) или удержание чудовища [hold monster] (5 зарядов).
Карающий удар. Действием вы можете сломать посох о колено или твёрдую поверхность, совершая, таким образом, карающий удар. Посох уничтожается, испуская оставшуюся в нём магию взрывом, заполняющим сферу радиусом 30 футов с центром на нём.
У вас есть 50-процентный шанс мгновенно перенестись на случайный план существования, избежав взрыва. Если вы его не избегаете, то получаете урон силовым полем, равный 16 × количество зарядов в посохе. Все другие существа в области взрыва должны совершить спасбросок Ловкости Сл 17. При провале существо получает урон, зависящий от того, как далеко оно находится от исходной точки взрыва, как показано в таблице. При успехе существо получает половину этого урона.
Расстояние от исходной точки        Урон
10 футов или ближе        8 × количество зарядов в посохе
от 11 до 20 футов        6 × количество зарядов в посохе
от 21 до 30 футов        4 × количество зарядов в посохе
</t>
  </si>
  <si>
    <t>Посох ударов</t>
  </si>
  <si>
    <t>Этот посох можно использовать как магический боевой посох, предоставляющий бонус +3 к броскам атаки и урона им.
У этого посоха есть 10 зарядов. Если вы попадаете им рукопашной атакой, вы можете потратить до 3 зарядов. За каждый потраченный заряд цель получает дополнительный урон силовым полем 1к6. Посох ежедневно восстанавливает 1к6 + 4 заряда на рассвете. Если вы истратили последний заряд, бросьте к20. Если выпадет «1», посох становится немагическим боевым посохом.</t>
  </si>
  <si>
    <t>Рукавицы Змеепохитителя</t>
  </si>
  <si>
    <t>Эти шипованные рукавицы, изначально созданные для наземных великаньих бойцов, сражающихся с драконами и другими огромными небесными хищниками, украшены руной «Дракон».
Пока вы носите эти рукавицы, ваш безоружный удар причиняет дополнительный 1к6 урона силовым полем при попадании. Кроме того, каждый раз, когда вы оканчиваете продолжительный отдых, выберите один из следующих видов урона: кислота, огонь, холод, электричество или яд. У вас есть сопротивление выбранному виду урона, пока вы не окончите следующий продолжительный отдых.
Пробуждение рун. Бонусным действием вы можете пробудить руны перчаток и призвать два огромных призрачных кулака, которые охватывают перчатки и имитируют движения ваших рук. Кулаки также могут атаковать противников с дистанции, сразу же возвращаясь в ваше пространство после того, как они попали или промахнулись.
Кулаки существуют 1 минуту или пока вы не станете недееспособны. Пока призрачные кулаки существуют, безоружные удары, которые вы совершаете в свой ход, имеют досягаемость 30 футов и когда вы попадаете по существу провоцированной атакой, совершенной безоружным ударом, существо должно преуспеть в спасброске Силы (Сл равен 8 + ваш бонус мастерства + ваш модификатор Силы) или упадёт ничком.
После того, как руны были пробуждены, они не могут быть пробуждены снова до следующего рассвета.</t>
  </si>
  <si>
    <t>Сапфировый баклер</t>
  </si>
  <si>
    <t>Вырезанный из темно-зеленого нефрита с чёрными прожилками, этот рунный ключ имеет форму насекомого. Он может превратиться в гигантского скорпиона [giant scorpion] на 6 часов. Скорпион обладает Интеллектом 4 и может общаться с вами телепатически, находясь в пределах 60 футов от вас, хотя его сообщения в основном ограничиваются описанием передвижения потенциальной добычи.
Действием, вы можете произнести командное слово и поместить рунный ключ на землю в свободное пространство в пределах 5 футов от вас, рунный ключ превращается в гигантского скорпиона. Если для скорпиона недостаточно места, рунный ключ не трансформируется.
Существо дружелюбно относится к вам, вашим союзникам и другим членам вашей гильдии (если только эти члены гильдии не враждебны к вам). Он понимает ваши языки и подчиняется вашим устным командам. Если вы не отдаете никаких команд, гигантский скорпион совершает действие Уклонения и перемещается, чтобы избегать опасности.
По истечении 6 часов гигантский скорпион возвращается в свою форму рунного ключа. Он возвращается в неё раньше, если его хиты опускаются до 0 хитов или если вы используете Действие, чтобы снова произнести командное слово, прикасаясь к нему. Когда существо возвращается к своей форме рунного ключа, оно не может трансформироваться снова, пока не пройдет 36 часов.</t>
  </si>
  <si>
    <t>Свеча мольбы</t>
  </si>
  <si>
    <t>Этот рунный ключ, вырезанный из чёрного камня похожий на сталь, напоминает стилизованный ужас. По команде он превращается в пожирателя интеллекта [intellect devourer], похожего на символ гильдии Димир, с шестью ножками, похожими на лезвия. Существо может существовать до 24 часов. В течение этого времени он выполняет только одну миссию, которую вы ему даете - обычно задание захватить чье-то тело, либо выдать себя за этого человека на короткое время, либо извлечь секреты из его разума. Когда миссия завершена, существо возвращается к вам, сообщает о своем успехе и возвращается в свою форму рунного ключа.
Действием, вы можете произнести командное слово и поместить рунный ключ на землю в свободное пространство в пределах 5 футов от вас, рунный ключ превращается в пожирателя интеллекта. Если для пожирателя интеллекта недостаточно места, рунный ключ не трансформируется.
Существо дружелюбно относится к вам, вашим союзникам и другим членам вашей гильдии (если только эти члены гильдии не враждебны к вам). Он понимает ваши языки и подчиняется вашим устным командам. Если вы не отдаете никаких команд, пожиратель интеллекта совершает действие Уклонения и перемещается, чтобы избегать опасности.
По истечении 24 часов пожиратель интеллекта возвращается в свою форму рунного ключа. Он возвращается в неё раньше, если его хиты опускаются до 0 хитов или если вы используете Действие, чтобы снова произнести командное слово, прикасаясь к нему. Когда существо возвращается к своей форме рунного ключа, оно не может трансформироваться снова, пока не пройдет 36 часов.</t>
  </si>
  <si>
    <t>Скимитар скорости</t>
  </si>
  <si>
    <t>Этот кристаллический синий щит изготовлен из чешуи сапфирового дракона и создан для того, чтобы помочь искоренять влияние аберраций. Пока вы владеете этим щитом вы получаете сопротивление урону психической энергией и звуком. Кроме того, когда вы получаете урон от существа, которое находится в 5 футах от вас, вы можете использовать свою реакцию, чтобы нанести этому существу 2к6 урона звуком.
Действием вы можете использовать щит для помощи в обнаружении аберраций до конца вашего следующего хода. Если какие-либо аберрации находятся в пределах 1 мили от вас, щит на мгновение издает низкий гудящий сигнал, и вы узнаёте направление ко всем аберрациям в пределах этой дистанции. Вы не можете повторно использовать это свойство щита до следующего рассвета.</t>
  </si>
  <si>
    <t>Слизь Кирзина</t>
  </si>
  <si>
    <t>Это магическое оружие представляет собой трехствольный бронзовый мушкет. Вы получаете бонус +1 к броскам атаки и урона, совершённым этим магическим оружием. Не требует боеприпасов, причиняет урон излучением, а не колющий, не имеет свойства «перезарядка». Основание оружия украшено светлой руной.
Кроме того, пока вы настроены на оружие, вы можете по желанию наложить пляшущие огоньки [dancing lights] с помощью мушкета.
Пробуждение руны. Действием вы можете пробудить руну оружия, чтобы наложить им заклинание солнечный луч [sunbeam] (Сл спасброска 17). После того, как руна была вызвана, она не может быть вызвана снова до следующего рассвета.</t>
  </si>
  <si>
    <t>Снаряды Альтемоны для пращи</t>
  </si>
  <si>
    <t>MOT</t>
  </si>
  <si>
    <t>Снаряды для пращи поставляются в мешочке, который содержит 1к4 + 4 снаряда. Совершите бросок по таблице «Магические снаряды для пращи» для каждого снаряда, чтобы определить его магическое свойство.
Вы получаете бонус +2 к броскам атаки и урона, совершаемыми при использовании этих магических боеприпасов. Если снаряд не попадает в цель, он телепортируется обратно в сумку. Как только снаряд попадает в цель, он теряет свою магию.
Магические снаряды для пращи
к4        Снаряд
1        Изгнание. Существо, получившее урон от этого снаряда, должно преуспеть в спаброске Харизмы Сл 15, иначе будет изгнано, как будто на него наложили заклинание изгнание [banishment].
2        Фульгурация. При попадании этот снаряд наносит дополнительно 2к8 урона электричеством по своей цели. Все остальные существа в пределах 10 футов от цели должны преуспеть в спасброске Телосложения Сл 15, иначе получат 1к8 урона звуком.
3        Ошеломление. При попадании этот снаряд наносит дополнительно 1к10 урона силовым полем, и цель становится ошеломлённой до конца вашего следующего хода.
4        Отслеживание. Существо, получившее урон от этого снаряда, помечается светящейся руной в том месте, куда попал снаряд. Метка держится 24 часа. Пока существо помечено, вы всегда знаете направление к нему.</t>
  </si>
  <si>
    <t>Сокрушитель сумерек</t>
  </si>
  <si>
    <t>Этот предмет имеет форму металлического стержня обернутого кожей, украшенного символом Пелора, Отца Рассвета. Взявшись за стержень, вы можете использовать Бонусное действие, чтобы заставить навершие боевого молота излучать потрескивающее сияние. Сияющее навершие боевого молота излучает яркий свет в радиусе 15 футов и тусклый свет ещё на 15 футов. Испускаемый свет является солнечным светом. Действием, вы можете потушить этот свет.
Пока навершие сияет, вы получаете бонус +2 к броскам атаки и урона, совершённым этим магическим оружием, а атаки с помощью этого оружия наносят урон излучением вместо дробящего урона. Нежить, по которой попадают атакой совершённой этим оружием, дополнительно получает 1к8 урона излучением.
Пока вы держите сокрушитель сумерек и его навершие сияет, вы можете использовать действие, чтобы наложить заклинание солнечный луч [sunbeam] (Сл спасброска 15) с помощью этого оружия, это свойство не может быть использовано снова до следующего рассвета.</t>
  </si>
  <si>
    <t>Справочник быстроты действий</t>
  </si>
  <si>
    <t>Эта книга описывает упражнения по координации и сохранении равновесия, и её слова наполнены магией. Если вы потратите 48 часов за период не более 6 дней на изучение содержимого книги и применение его на практике, ваша Ловкость, а также её максимум увеличатся на 2. После этого руководство теряет магию, но восстанавливает её через 100 лет.</t>
  </si>
  <si>
    <t>Справочник по големам</t>
  </si>
  <si>
    <t>В этом томе находится информация и чары, необходимые для создания конкретного вида голема. Мастер сам выбирает вид голема или определяет его случайным образом. Для того чтобы расшифровать и использовать справочник, вы должны быть заклинателем с как минимум двумя ячейками заклинаний 5-го уровня. Существо, которое не может использовать справочник по големам, но читает его, получает урон психической энергией 6к6.
к20        Голем        Время        Стоимость
1-5        Глиняный        30 дней        65 000 зм
6        Железный        120 дней        100 000 зм
7-8        Каменный        90 дней        80 000 зм
9-20        Мясной        60 дней        50 000 зм
Для того чтобы создать голема, вы должны потратить время, указанное в таблице, работая без перерывов со справочником в руке, отдыхая не более 8 часов в день. Вы также должны оплатить указанную стоимость, приобретая расходные материалы.
После того как голем создан, книга исчезает в магическом пламени. Голем оживает, когда его натрут пеплом справочника. Он находится под вашим контролем, понимает ваши устные команды и выполняет их.</t>
  </si>
  <si>
    <t>Справочник полезных упражнений</t>
  </si>
  <si>
    <t>Эта книга описывает упражнения по физкультуре, и её слова наполнены магией. Если вы потратите 48 часов за период не более 6 дней на изучение содержимого книги и применение его на практике, ваша Сила, а также её максимум увеличатся на 2. После этого руководство теряет магию, но восстанавливает её через 100 лет.</t>
  </si>
  <si>
    <t>Справочник телесного здоровья</t>
  </si>
  <si>
    <t>Эта книга содержит советы по здоровью и питанию, и её слова наполнены магией. Если вы потратите 48 часов за период не более 6 дней на изучение содержимого книги и применение его на практике, ваше Телосложение, а также его максимум увеличатся на 2. После этого руководство теряет магию, но восстанавливает её через 100 лет.</t>
  </si>
  <si>
    <t>Стрела убийства</t>
  </si>
  <si>
    <t>Стрела</t>
  </si>
  <si>
    <t>Стрела убийства это магическое оружие, предназначенное для убийства существ определённого вида. Область применения может быть как широкой, так и более конкретной; например, существуют и стрелы убийства драконов и стрелы убийства синих драконов. Если существо, принадлежащее к виду, расе или группе, связанной со стрелой убийства, получает от неё урон, оно должно совершить спасбросок Телосложения Сл 17, получая дополнительный колющий урон 6к10 при провале или половину этого урона при успехе.
После того как стрела убийства причиняет существу дополнительный урон, она становится немагической стрелой.
Есть и другие разновидности боеприпасов с такой же магией, такие как арбалетные болты убийства, хотя стрелы встречаются чаще всего.</t>
  </si>
  <si>
    <t>Сфера вуали</t>
  </si>
  <si>
    <t>Этот ониксовый шар имеет глубокие спиралевидные бороздки и висит на железной цепи. Пока на вас находится этот шар, вы получаете следующие преимущества:
Значение вашей Мудрости увеличивается на 2, как и ваш максимум для этой характеристики.
Вы получаете тёмное зрение на расстоянии 60 футов. Если у вас уже есть тёмное зрение, сфера увеличивает его радиус на 60 футов
Вы получаете преимущество на проверки Мудрости, совершаемые для нахождения спрятанных дверей и ходов.
Проклятие. Шар проклят, как только вы на него настраиваетесь, проклятие распространятся и на вас. Пока вы остаетесь проклятым, вы не желаете расставаться с шаром, постоянно держа его при себе. Весь немагический огонь в радиусе 30 футов от вас автоматически гаснет, а наносимый вами урон огнём уменьшается вдвое.</t>
  </si>
  <si>
    <t>Танцующий меч</t>
  </si>
  <si>
    <t>Вы можете бонусным действием бросить этот магический меч в воздух и произнести командное слово. После этого меч начнёт парить, пролетает до 30 футов и атакует одно существо на ваш выбор в пределах 5 футов от него. Меч использует ваш бросок атаки и ваш модификатор характеристики для броска урона.
Пока меч парит, вы можете бонусным действием заставить его перелететь на расстояние 30 футов в другое место, находящееся в пределах 30 футов от вас. Частью этого же бонусного действия вы можете заставить меч атаковать одно существо, находящееся в пределах 5 футов от него.
После того как парящий меч совершит четвёртую атаку, он пролетает до 30 футов и пытается вернуться в вашу руку. Если у вас нет свободных рук, он падает на землю у ваших ног. Если у меча нет свободного пути до вас, он перемещается максимально близко к вам и потом падает на землю. Он перестаёт парить, если вы хватаете его или перемещаетесь более чем на 30 футов от него.</t>
  </si>
  <si>
    <t>Татуировка жизненной энергии</t>
  </si>
  <si>
    <t>Татуировка</t>
  </si>
  <si>
    <t>Нанесённая специальной иглой, эта магическая татуировка содержит символы жизни и возрождения.
Настройка на татуировку. Чтобы настроиться на этот предмет, вам необходимо на протяжении всего времени настройки нажимать иглой на кожу там, где вы хотите, чтобы татуировка находилась. Когда настройка завершается, игла превращается в чернила, которые принимают очертания нарисованного вами узора на коже.
Если ваша настройка на татуировку заканчивается, она исчезает, а игла снова появляется в вашем пространстве.
Некротическое сопротивление. Вы получаете сопротивление урону некротической энергией.
Опека жизни. Когда ваши хиты снижаются до 0, вместо этого они опускаются до 1. Это свойство не может быть использовано вновь до следующего рассвета.</t>
  </si>
  <si>
    <t>Татуировка поглощения</t>
  </si>
  <si>
    <t>Нанесённая специальной иглой, эта магическая татуировка выглядит как одноцветный узор.
Настройка на татуировку. Чтобы настроиться на этот предмет, вам необходимо на протяжении всего времени настройки нажимать иглой на кожу там, где вы хотите, чтобы татуировка находилась. Когда настройка завершается, игла превращается в чернила, которые принимают очертания нарисованного вами узора на коже.
Если ваша настройка на татуировку заканчивается, она исчезает, а игла снова появляется в вашем пространстве.
Сопротивление урону. Пока татуировка находится на вашей коже, у вас есть сопротивление одному типу урона в зависимости от цвета, как указано в таблице ниже. Мастер выбирает цвет или определяет его случайным образом.
к10        Тип урона        Цвет
1        Кислота        Зеленый
2        Холод        Синий
3        Огонь        Красный
4        Силовое поле        Белый
5        Молния        Желтый
6        Некротическая энергия        Чёрный
7        Яд        Фиолетовый
8        Психическая энергия        Серебро
9        Излучение        Золото
10        Звук        Оранжевый
Поглощение урона. При получении урона выбранного типа вы можете реакцией получить иммунитет к этому типу урона и восстановить количество хитов, равное половине урона, который вы должны были получить. Эта реакция не может быть совершена вновь до следующего рассвета.</t>
  </si>
  <si>
    <t>Татуировка призрачных шагов</t>
  </si>
  <si>
    <t>Нанесённая специальной иглой, эта татуировка смещается и колеблется на коже, её части кажутся размытыми.
Настройка на татуировку. Чтобы настроиться на этот предмет, вам необходимо на протяжении всего времени настройки нажимать иглой на кожу там, где вы хотите, чтобы татуировка находилась. Когда настройка завершается, игла превращается в чернила, которые принимают очертания нарисованного вами узора на коже.
Если ваша настройка на татуировку заканчивается, она исчезает, а игла снова появляется в вашем пространстве.
Призрачная форма. Татуировка имеет 3 заряда и ежедневно восстанавливает все заряды на рассвете. Бонусным действием, пока татуировка находится на вашей коже, вы можете потратить 1 заряд татуировки и стать бестелесным до конца вашего следующего хода. В течение этого срока вы получаете следующие преимущества:
Вы получаете сопротивление дробящему, колющему и рубящему урону от немагических атак.
Вас нельзя схватить или опутать.
Вы можете перемещаться сквозь существ и твёрдые объекты как по труднопроходимой местности. Если вы оканчиваете ход внутри твёрдого объекта, вы получаете 1к10 урона силовым полем. Если эффект заканчивается, когда вы находитесь внутри твёрдого объекта, вы выталкиваетесь в ближайшее свободное пространство, получая 1к10 урона силовым полем за каждые 5 футов преодолённого расстояния.</t>
  </si>
  <si>
    <t>Тиара кружащихся комет</t>
  </si>
  <si>
    <t>Эта нежная серебряная тиара украшена звездной иконографией. Пока вы носите корону, драгоценные камни на кончиках тиары отделяются и вращаются вокруг вашей головы.
Тиара имеет 6 зарядов для следующих свойств, которые можно использовать, пока вы носите эту тиару:
Звездный полет. Бонусным действием вы можете потратить 1 заряд, чтобы получить силу полета на 10 минут. На время действия вы получаете скорость полета, равную скорости ходьбы, и можете парить. Во время полета вы слабо светитесь звездным светом.
Звездный удар. Действием вы можете потратить любое количество зарядов, чтобы запустить снаряды из холодного звездного света. Вы запускаете количество снарядов, равное количеству потраченных зарядов, и можете направить их на одно или несколько существ, при условии, что все существа находятся в пределах 120 футов от вас и вы можете их видеть. Снаряды автоматически попадают по цели, и каждый снаряд наносит 2к4 урона холодом.
Кружащийся град. Вы можете действием потратить 3 заряда, и наложить заклинание град [ice storm] (Сл спасброска 16).
Корона восстанавливают 1к6 израсходованных зарядов ежедневно на рассвете.</t>
  </si>
  <si>
    <t>Трезубец зова приливов</t>
  </si>
  <si>
    <t>Вы получаете бонус +2 к броскам атаки и урона, совершённым этим магическим оружием. Вы также совершаете с преимуществом броски атаки этим оружием, находясь под водой.
Этот магический трезубец имеет 3 заряда. Вы можете потратить 1 заряд чтобы наложить власть над водами [control water] (Сл 15) из этого трезубца, или 3 заряда, чтобы наложить заклинание цунами [tsunami] (Сл 15) из этого трезубца. Трезубец восстанавливает 1к3 израсходованных зарядов ежедневно на рассвете.</t>
  </si>
  <si>
    <t>Фолиант лидерства и влияния</t>
  </si>
  <si>
    <t>Эта книга содержит руководства по оказанию влияния на других, и её слова наполнены магией. Если вы потратите 48 часов за период не более 6 дней на изучение содержимого книги и применение его на практике, ваша Харизма, а также её максимум увеличатся на 2. После этого руководство теряет магию, но восстанавливает её через 100 лет.</t>
  </si>
  <si>
    <t>Фолиант понимания</t>
  </si>
  <si>
    <t>Эта книга содержит упражнения на интуицию и проницательность, а ее слова заряжены магией. Если вы потратите 48 часов за период не более 6 дней на изучение содержимого книги и применение его на практике, ваша Мудрость, а также её максимум увеличатся на 2. После этого руководство теряет магию, но восстанавливает её через 100 лет.</t>
  </si>
  <si>
    <t>Фолиант чистых мыслей</t>
  </si>
  <si>
    <t>Эта книга содержит упражнения по тренировке памяти и логики, и её слова наполнены магией. Если вы потратите 48 часов за период не более 6 дней на изучение содержимого книги и применение его на практике, ваш Интеллект, а также его максимум увеличатся на 2. После этого руководство теряет магию, но восстанавливает её через 100 лет .</t>
  </si>
  <si>
    <t>Чудесные краски Нолзура</t>
  </si>
  <si>
    <t>Запрещённый</t>
  </si>
  <si>
    <t>Обычно эти краски находят в 1к4 баночках в красивом деревянном ящике вместе с кисточкой (весь набор весит 1 фунт). Эти краски позволяют рисовать трёхмерные предметы в двух измерениях. Краска сама стекает с кисти и формирует желаемый предмет, когда вы концентрируетесь на изображении.
Одной баночки достаточно, чтобы покрыть 1000 квадратных футов поверхности, что позволяет вам создавать неживые предметы и особенности местности — такие как двери, ямы, цветы, деревья, решётки, комнаты или оружие — не превышающие в объёме 10000 кубических футов. Разрисовать 100 квадратных футов можно за 10 минут.
Когда вы заканчиваете рисовать, предмет (или особенность местности) становится реальным, немагическим предметом. Нарисовав дверь на стене, вы создаёте настоящую дверь, которая ведёт на ту сторону стены. Нарисовав яму на полу, вы получаете настоящую яму, а её глубина учитывается при подсчёте объёма создаваемого предмета.
То, что создаётся этими красками, не должно стоить больше 25 зм. Если вы нарисуете что-то, что стоит больше (например, бриллиант или кучу золота), предмет будет выглядеть настоящим, но тщательное исследование даст понять, что он изготовлен из глины, кости или другого бросового материала.
Если вы нарисуете энергию, такую как огонь или электричество, в конце рисования энергия возникает, но тут же исчезает, не причиняя ничему урон.</t>
  </si>
  <si>
    <t>Шлем блеска</t>
  </si>
  <si>
    <t>Этот сверкающий шлем украшен 1к10 бриллиантами, 2к10 рубинами, 3к10 огненными опалами и 4к10 опалами. Любой камень, извлечённый из шлема, рассыпается в пыль. Если все камни изымут или уничтожат, шлем теряет свою магию.
Вы получает следующие преимущества, пока носите его:
Вы можете действием наложить одно из следующих заклинаний (Сл спасброска 18), используя один из камней шлема определённого вида в качестве компонента: дневной свет [daylight] (опал), огненная стена [wall of fire] (рубин), огненный шар [fireball] (огненный опал) или радужные брызги [prismatic spray] (бриллиант). Соответствующий драгоценный камень уничтожается, когда накладывается заклинание, и исчезает со шлема.
Пока у шлема есть хотя бы один бриллиант, он испускает тусклый свет в радиусе 30 футов, если в пределах этой области есть хотя бы одна нежить. Нежить, начинающая ход в этой области, получает урон излучением 1к6.
Пока у шлема есть хотя бы один рубин, вы обладаете сопротивлением урону огнём.
Пока у шлема есть хотя бы один огненный опал, вы можете действием произнести командное слово, чтобы окутать одно оружие, которое держите, пламенем. Пламя испускает яркий свет в пределах 10 футов и тусклый свет в пределах ещё 10 футов. Это пламя безвредно для вас и вашего оружия. Если вы попадаете атакой, используя это пылающее оружие, цель получает дополнительный урон огнём 1к6. Пламя существует, пока вы не произнесёте бонусным действием командное слово ещё раз, пока вы не уберёте оружие в ножны или не бросите его.
Бросьте к20, если носите этот шлем и получаете урон огнём из-за провала спасброска от заклинания. Если выпадет «1»», шлем испустит из оставшихся камней лучи света. Все существа в пределах 60 футов от шлема кроме вас должны преуспеть в спасброске Ловкости Сл 17, иначе их коснётся луч, и они получат урон излучением, равный количеству драгоценных камней на шлеме. И шлем, и драгоценные камни при этом уничтожаются.</t>
  </si>
  <si>
    <t>Шлем-череп</t>
  </si>
  <si>
    <t>Надевая этот шлем в форме черепа, вы получаете сопротивление урону холодом, ядом и некротической энергией.
Кроме того, нося этот шлем, вы можете наложить с его помощью дух смерти [spirit of Death], без материальных компонентов. Как только вы наложите заклинание с помощью шлема, вы не можете наложить это заклинание подобным образом снова до следующего рассвета.</t>
  </si>
  <si>
    <t>Щит от заклинаний</t>
  </si>
  <si>
    <t>Пока вы держите этот щит, вы совершаете с преимуществом спасброски от заклинаний и других магических эффектов, и броски атаки заклинаниями совершаются по вам с помехой.</t>
  </si>
  <si>
    <t>Эльфийский метатель</t>
  </si>
  <si>
    <t>эльфом</t>
  </si>
  <si>
    <t>Бутылка заклинаний</t>
  </si>
  <si>
    <t>Легендарный</t>
  </si>
  <si>
    <t>Эта стеклянная бутылка может единовременно хранить в себе одно заклинание 5-го уровня и ниже. Когда её находят, бросьте к6 и вычтите 1; результат определяет уровень заклинания в бутылке (Мастер выбирает заклинание, а 0 означает, что бутылка пуста). Клубящийся синий пар заполняет бутылку, в то время как она содержит заклинание.
Пока бутылка пуста, любое существо может наложить в неё заклинание с 1-го по 5-й уровень, прикоснувшись к ней во время накладывания заклинания. Заклинание не оказывает никакого эффекта, кроме как оказаться в бутылке.
Держа бутылку, вы можете наложить заклинание, хранящееся в ней. Заклинание использует уровень ячейки, Сл, бонус атаки и заклинательную характеристику оригинального заклинателя, но в остальном рассматривается так, как если бы вы наложили заклинание. Бутылка становится пустой, как только накладывается заклинание.
Если вы держите пустую бутылку, когда видите существо, произносящее заклинание в пределах 60 футов от вас, вы можете реакцией открыть бутылку и попытаться прервать заклинание. Если существо накладывает заклинание 3-го уровня или ниже, заклинание не оказывает никакого эффекта, и попадает в бутылку. Если накладывается заклинание 4-го уровня или выше, совершите проверку Интеллекта. Сл равна 10 + уровень заклинания. При успехе заклинание не оказывает никакого эффекта и попадает в бутылку.</t>
  </si>
  <si>
    <t>Бесконечный гримуар</t>
  </si>
  <si>
    <t>Некоторые из этих книг заклинаний с позолоченными страницами и посеребренными обложками были созданы в эпоху Арканума, но только одна была найдена после окончания Катастрофы. Книга три дюйма в толщину, восемь дюймов в ширину, двенадцать дюймов в длину, весит три фунта и имеет бесконечное количество страниц.
Дремлющий. Большая часть книги пуста, но на первых страницах книги записаны следующие заклинания: безмолвный образ [silent image], верный пес Морденкайнена [Mordenkainen’s faithful hound], власть над погодой [control weather], волна грома [thunderwave], газообразная форма [gaseous form], длань Бигби [Bigby’s hand], знание легенд [legend lore], Леомундов потайной сундук [Leomund’s secret chest], луч слабости [ray of enfeeblement], множественное внушение [mass suggestion], обнаружение мыслей [detect thoughts], охранная руна [glyph of warding], очарование личности [charm person], преграда магии [antimagic field], предвидение [foresight], радужные брызги [prismatic spray], сигнал тревоги [alarm], смятение [confusion], сотворение нежити [create undead], телепортация [teleport], туманный шаг [misty step], увеличение/уменьшение [enlarge/reduce], ужас [fear], усыхание [blight], фальшивый двойник [mislead].
Вы можете использовать гримуар как свою книгу заклинаний и можете записывать в него новые заклинания, как обычно. Когда вы подготавливаете заклинания волшебника с помощью гримуара, количество заклинаний волшебника, которые вы можете подготовить, увеличивается на 1.
Пробуждённый. Когда бесконечный гримуар пробуждается, он приобретает следующие свойства:
Пока вы владеете этой книгой заклинаний, вы получаете преимущество на спасброски против заклинаний и магических эффектов.
Когда вы подготавливаете заклинания волшебника, используя гримуар в качестве книги заклинаний, количество заклинаний, которые вы можете подготовить, снова увеличивается на 1.
Возвышенный. Когда Бесконечный Гримуар достигает возвышенного состояния, он приобретает следующие свойства:
Теперь вы можете использовать своё умение «Магическое восстановление» дважды между продолжительными отдыхами, а не один раз.
Когда вы подготавливаете заклинания волшебника, используя гримуар в качестве книги заклинаний, количество заклинаний, которые вы можете подготовить, снова увеличивается на 1.</t>
  </si>
  <si>
    <t>Арфа позолоченного изобилия</t>
  </si>
  <si>
    <t>Эта золотая арфа вылеплена по образу божества Ялланиса в образе юной облачной великанши. Когда существо оказывается в пределах 5 футов от арфы, инструмент оживает и способен говорить, петь и играть сам по себе.
Каждый раз, когда вы пытаетесь настроиться на арфу, вы должны сначала преуспеть в проверке Харизмы (Выступление) Сл 15 или проверку Харизмы (Убеждение) Сл 20, чтобы убедить арфу в том, что вы достойны, и настроиться на арфу в случае успеха. В случае неудачи вы не сможете снова настроиться на арфу до следующего рассвета. Как только вы успешно настроите арфу, размер арфы изменится в соответствии с вашими потребностями.
Решительная песня. Каждый раз, когда вы совершаете проверку Харизмы, будучи настроенным на арфу, вы можете рассматривать результат «9» или ниже на кости как «10».
Праздник изобилия. Если вы потратите 10 минут на игру на арфе, то сможете с её помощью наложить заклинание пир героев [heroes' feast]. После того, как это свойство использовано, его нельзя использовать снова, пока не пройдет 1к10 + 10 дней.
Успокаивающая мелодия. Действием вы можете использовать арфу, чтобы наложить заклинание умиротворение [calm emotions] (Сл спасброска 19). Когда заклинание накладывается с помощью арфы, его продолжительность увеличивается до 1 часа, при условии, что вы сохраняете концентрацию на заклинании. Это свойство можно использовать пять раз и оно восстанавливает все свои использования на рассвете.
Разум. Арфа — хаотично-добрый разумный предмет с Интеллектом 13, Мудростью 15 и Харизмой 20. Она может слышать и имеет тёмное зрение в радиусе 120 футов.
Арфа может говорить, читать и понимать на Общем и Великаньем. Она также может телепатически общаться с настроенным на него существом.
У арфы драматический и напыщенный характер, она чрезвычайно гордится качеством музыки, воспроизводимой на её струнах. Если арфа короче 6 футов в высоту, она оплакивает свой рост.</t>
  </si>
  <si>
    <t>Арфа Оллава</t>
  </si>
  <si>
    <t>Существо, пытающееся играть на инструменте, не будучи настроенным на него, должно преуспеть в спасброске Мудрости Сл 15, иначе получит урон психической энергией 2к4.
Вы можете действием сыграть на инструменте и наложить одно из его заклинаний: власть над погодой [control weather], защита от зла и добра [protection from evil and good], левитация [levitate], невидимость [invisibility], огненная буря [fire storm], смятение [confusion], полёт [fly]. После того как инструмент использован для наложения заклинания, он не может повторно накладывать это заклинание до следующего рассвета. Заклинания используют вашу базовую характеристику и Сл спасбросков от ваших заклинаний.
Вы можете играть на инструменте при наложении заклинания, которое делает цели очарованными при провале спасброска, тем самым давая целям помеху на этот спасбросок. Этот эффект применяется только если заклинание имеет соматический или материальный компонент.</t>
  </si>
  <si>
    <t>Аппарат Квалиша</t>
  </si>
  <si>
    <t>На первый взгляд этот предмет выглядит как Большая запечатанная железная бочка, весящая 500 фунтов. У бочки есть потайной затвор, который можно найти успешной проверкой Интеллекта (Расследование) Сл 20. Этот затвор отпирает люк на одном конце бочки, позволяющий забраться внутрь двум существам Среднего или меньшего размера. У дальнего конца торчат в ряд десять рычагов, все в нейтральной позиции, но их можно перевести или в верхнее или в нижнее положение. Если использовать определённые рычаги, аппарат трансформируется и станет напоминать гигантского лобстера.
Аппарат Квалиша это Большой предмет со следующей статистикой:
Класс Доспеха: 20
Хиты: 200
Скорость: 30 футов, плавая 30 футов (или 0 футов если не выдвинуты ноги и хвост)
Иммунитет к урону: психическая энергия, яд
Для того чтобы использовать аппарат в качестве транспортного средства, требуется один водитель. Пока люк заперт, аппарат водо- и воздухонепроницаем. Воздуха внутри хватит одному дышащему существу на 10 часов. Аппарат держится на плаву. Он может погружаться на глубину до 900 футов. Глубже этой отметки аппарат получает дробящий урон 2к6 в минуту от давления.
Существо в аппарате может действием переместить от одного до двух рычагов вверх или вниз. После каждого использования рычаги сами возвращаются в нейтральное положение. Назначение десяти рычагов показано в таблице справа.
Рычаг        Вверх        Вниз
1        Ноги и хвост выдвигаются, позволяя аппарату ходить и плавать.        Ноги и хвост втягиваются, уменьшая скорость аппарата до 0 и лишая его способности получать преимущества от бонусов к скорости.
2        Заслонка переднего иллюминатора открывается.        Заслонка переднего иллюминатора закрывается.
3        Заслонки боковых иллюминаторов (по два на каждом борту) открываются.        Заслонки боковых иллюминаторов (по два на каждом борту) закрываются.
4        Из передней части аппарата выдвигаются два когтя.        Когти убираются.
5        Каждый выдвинутый коготь совершает рукопашную атаку оружием: +8 к попаданию, досягаемость 5 футов, одна цель. Попадание: 7 (2к6) дробящего урона.        Каждый выдвинутый коготь совершает рукопашную атаку оружием: +8 к попаданию, досягаемость 5 футов, одна цель. Попадание: цель становится схваченной (Сл высвобождения 15).
6        Аппарат идёт или плывёт вперёд.        Аппарат идёт или плывёт назад.
7        Аппарат поворачивает на 90 градусов налево.        Аппарат поворачивает на 90 градусов направо.
8        Похожие на глаза приспособления испускают яркий свет в пределах 30-футового радиуса и тусклый свет в пределах ещё 30 футов        Свет тухнет.
9        Аппарат погружается в жидкость на глубину до 20 футов        Аппарат всплывает в жидкости не более чем на 20 футов
10        Задний люк отпирается и открывается.        Задний люк закрывается и запирается.</t>
  </si>
  <si>
    <t>Волна</t>
  </si>
  <si>
    <t>существом, поклоняющимся божеству моря</t>
  </si>
  <si>
    <t>Этот трезубец, находящийся под горой Белый Шлейф, — изысканное оружие, украшенное изображениями волн, раковин и морских существ. Для настройки на это оружие владелец должен поклоняться божеству моря, но Волна с радостью принимает и тех, кто только-только обратился в новую веру.
Вы получаете бонус +3 к броскам атаки и урона, совершённым этим магическим оружием. Если вы совершаете им критическое попадание, цель дополнительно получает урон некротической энергией, равный половине максимума её хитов.
Это оружие также действует как трезубец командования рыбами [trident of fish command] и оружие предупреждения [weapon of warning]. Он может предоставить вам преимущества шапки подводного дыхания [cap of water breathing], пока вы держите его, и вы можете использовать его как куб силового поля [cube of force],выбирая эффект самостоятельно, а не нажимая на грани куба
Разум. Волна — разумное нейтральное оружие с Интеллектом 14, Мудростью 10 и Харизмой 18. Она обладает слухом и тёмным зрением в пределах 120 футов. Это оружие может понимать язык Акван, а также говорить и читать на нём и телепатически общаться с владельцем. Оно также может говорить с водными животными, как будто под действием заклинания разговор с животными [speak with animals], используя телепатию, чтобы владелец был вовлечён в разговор.
Индивидуальность. Если Волна начинает беспокоиться, она начинает издавать какую-нибудь мелодию, от песни моряков до священного песнопения морского божества. Волна фанатично желает обращать смертных в услужение морским богам, а неверных предавать смерти. Если владелец отказывается следовать целям оружия, возникает конфликт.
Трезубец привязан ностальгическими воспоминаниями к месту, в котором он был выкован, пустынному острову Громовая Кузня. Морской бог заточил здесь семью штормовых великанов, и те выковали Волну в знак не то преданности этому богу, не то восстания против него.
Волна тайно сомневается в своей природе и своём предназначении. Несмотря на всю преданность морским богам, она боится, что создана на погибель одному из морских богов, и что она не сможет предотвратить эту свою судьбу.</t>
  </si>
  <si>
    <t>Визор Данота</t>
  </si>
  <si>
    <t>Эти очки представляют собой прозрачные алмазные линзы в мифриловой оправе. Они использовались заклинателем Данотом Оро для обнаружения невидимых врагов и разведки местности издалека.
Дремлющий. Нося очки, находящиеся в дремлющем состоянии, вы можете нормально видеть в темноте, как магической, так и немагической, на расстоянии 60 футов. Кроме того, вы получаете преимущество на проверки Интеллекта (Расследование) и Мудрости (Восприятие), которые полагаются на зрение.
Пробуждённый. Когда визор Данота пробуждается, он приобретает следующие свойства:
Вы можете видеть невидимых существ и объекты в пределах 60 футов от вас, как если бы они были видимыми, и ваш взор простирается на Эфирный план. Существа и предметы находящиеся на Эфирном плане кажутся призрачными и полупрозрачными.
Бонусным действием вы можете произнести командное слово и использовать очки, чтобы видеть сквозь твердую материю. Это зрение имеет радиус 60 футов и длится 1 минуту. Для вас твердые объекты в пределах этого радиуса кажутся прозрачными. Зрение может проникать сквозь 1 фут камня, 1 дюйм обычного металла или до 3 футов дерева или грязи. Более толстые материалы блокируют зрение, как и тонкий лист свинца. Это свойство не может быть использовано снова до следующего рассвета.
Бонусным действием вы можете произнести командное слово, чтобы переключить очки в режим подзорной трубы. В этом режиме существа и объекты, видимые через очки, увеличиваются в два раза. Повторное произнесение командного слова возвращает очки в нормальное состояние.
Возвышенный. Когда Визор Данота достигает возвышенного состояния, он приобретает следующие свойства:
Вы автоматически обнаруживаете иллюзии, которые вы можете видеть, и автоматически преуспеваете в спасбросках против них. Кроме того, вы видите яркую ауру вокруг любого существа, которое не находится в своей истинной форме.
Действием вы можете наложить заклинание преграда магии [antimagic field] с помощью визора. Это свойство не может быть использовано снова до следующего рассвета.</t>
  </si>
  <si>
    <t>Веретено судьбы</t>
  </si>
  <si>
    <t>Волшебная палочка, легендарная (требуется настройка)
Рекомендованная стоимость: от 50 001 зм
Эта волшебная палочка имеет форму веретена, обмотанного красной нитью. Волшебная палочка имеет 6 зарядов, которые можно использовать для следующих свойств:
Предвидение битвы. Когда вы совершаете бросок инициативы, вы можете израсходовать 1 заряд, чтобы добавить или вычесть свой бонус мастерства из общего результата.
Предсказанный конец. Действием вы можете израсходовать 2 заряда, чтобы нацелиться на существо в пределах 30 футов и призвать погибель на это существо. Пока цель находится на том же плане существования, что и вы, вы можете определить направление к ее местоположению, и вы знаете направление её движения, если она находится в движении. Кроме того, один раз в ход, когда вы наносите урон обреченному существу, вы можете бросить 1к6 и добавить выпавшее значение к броску урона. Этот эффект действует в течение 1 часа или до тех пор, пока вы не нацелитесь этим эффектом на другое существо.
Поворот судьбы. Когда существо в пределах 60 футов от вас совершает спасбросок или бросок атаки, вы можете реакцией израсходовать 3 заряда и изменить результат, превратив проваленный спасбросок в успешный, промах броском атаки в попадание или наоборот.
Волшебная палочка восстанавливает 1к6 израсходованных зарядов ежедневно на рассвете.</t>
  </si>
  <si>
    <t>Гримуар молчаливого языка</t>
  </si>
  <si>
    <t>У этого толстого гримуара с кожаным переплётом к обложке пришит язык. Всего существует пять таких гримуаров, и никто не может сказать, какой из них оригинальный. Жуткое украшение на обложке изначального гримуара некогда было языком вероломного слуги бога-лича Векны, хранителя тайн. Языки на обложках четырёх копий принадлежали заклинателям, предавшим Векну. Первые несколько страниц каждого гримуара исписаны непонятными каракулями. Оставшиеся страницы девственно чисты.
Если вы можете настроиться на этот гримуар, вы можете использовать его в качестве магической фокусировки. Кроме того, держа этот гримуар в руке, вы можете бонусным действием наложить заклинание, которое вы в него записали, не тратя ячейку заклинания и не используя ни вербальный, ни соматический компонент. Вы не можете повторно использовать это свойство тома до следующего рассвета.
Будучи настроенным на эту книгу, вы можете оторвать язык с обложки. Если вы это сделаете, все заклинания, записанные в ней, мгновенно стираются.
Векна следит за всеми, кто использует этот том. Он также записывает в книгу таинственные сообщения. Эти сообщения появляются в полночь и исчезают после прочтения.</t>
  </si>
  <si>
    <t>Двуручный серебряный меч</t>
  </si>
  <si>
    <t>MTF</t>
  </si>
  <si>
    <t>существом с псионическими способностями</t>
  </si>
  <si>
    <t>Вы получаете бонус +3 к броскам атаки и урона, совершённым этим магическим оружием. Пока вы держите меч в руках, вы совершаете с преимуществом спасброски Интеллекта, Мудрости и Харизмы, обладаете иммунитетом к очарованию и сопротивлением урону психической энергией. Более того, если вы совершаете критическое попадание по астральному телу существа, вместо нанесения урона вы можете оборвать серебряную нить, ведущую к материальному телу существа.</t>
  </si>
  <si>
    <t>Длинный лук исцеляющего очага</t>
  </si>
  <si>
    <t>На этом длинном луке из слоновой кости выгравирована молитва богу Хиатею, руны которой переплетены с позолоченными гравировками стеблей пшеницы и оленьих рогов.
Вы получаете бонус +3 к броскам атаки и урона, совершённых этим оружием. Если вы не заряжаете оружие боеприпасом, оно само его производит, автоматически создавая одну магическую стрелу, когда вы натягиваете тетиву. Стрела, созданная луком, исчезает сразу же после попадания в цель или промаха.
У лука есть 8 зарядов для следующих свойств, которые вы можете использовать, держа лук в руках. Лук восстанавливает 1к4 + 1 заряд ежедневно на рассвете.
Лечебная стрела. Когда вы совершаете действие Атака с использованием лука, вы можете потратить 1 заряд, чтобы заменить одну из ваших атак сияющей стрелой лечебной магии, которая автоматически поражает одно существо, которое вы можете видеть в пределах 150 футов от себя. Затем цель может немедленно потратить и бросить одну из своих неизрасходованных Костей Хитов и восстановить количество хитов, равное результату броска плюс ваш модификатор Мудрости (минимум +1). Если у цели не осталось неизрасходованных Костей Хитов, ничего не происходит. Вы можете использовать лечебную стрелу только один раз за ход.
Использование заклинаний. Удерживая лук, вы можете действием потратить 1 или более его зарядов, чтобы с его помощью наложить одно из следующих заклинаний (Сл спасброска 18): сотворение пищи и воды [create food and water] (1 заряд), охраняющая связь [warding bond] (2 заряда), страж веры [guardian of faith] (3 заряда).</t>
  </si>
  <si>
    <t>Доспех неуязвимости</t>
  </si>
  <si>
    <t>Вы получаете сопротивление немагическому урону, пока носите этот доспех. Кроме того, вы можете действием получить иммунитет к немагическому урону на 10 минут или пока вы не снимете этот доспех. Вы не можете повторно использовать это особое действие до следующего рассвета.</t>
  </si>
  <si>
    <t>Драконье копьё</t>
  </si>
  <si>
    <t>Копьё</t>
  </si>
  <si>
    <t>Драконье копье - это известное оружие, выкованное из редкого металла с помощью мощных артефактов, связанных с Багамутом. Различные копья выковываются для использования пехотинцами (в виде пик) и всадниками (в виде длинных копий), но магические свойства оружия остаются одинаковыми.
Вы получаете бонус +3 к броскам атаки и урона, совершённым этим магическим оружием.
Если вы попадаете им по Дракону, это существо получает дополнительный урон 3к6 урона силовым полем, и любой Дракон по вашему выбору, которого вы можете видеть в пределах 30 футов от вас, реакцией может немедленно совершить рукопашную атаку.</t>
  </si>
  <si>
    <t>Жезл величественной мощи</t>
  </si>
  <si>
    <t>У этого жезла ребристое навершие, и он функционирует как магическая булава, предоставляющая бонус +3 к броскам атаки и урона, совершённым им. У жезла есть свойства, связанные с шестью кнопками, расположенными вдоль ручки, а также три дополнительных свойства.
Шесть кнопок. Вы можете нажать одну из шести кнопок бонусным действием. Эффект кнопки длится, пока вы не нажмёте другую кнопку, или пока не нажмёте эту же кнопку ещё раз, что возвращает жезл в обычную форму.
Если вы нажмёте кнопку 1, жезл становится языком пламени [flame tongue], так как из ручки появляется пламенный клинок (тип меча выбираете вы).
Если вы нажмёте кнопку 2, навершие разойдётся в стороны, становясь двумя полукружьями, а жезл становится магическим боевым топором, предоставляющим бонус +3 к броскам атаки и урона, совершённым им.
Если вы нажмёте кнопку 3, навершие разойдётся в стороны, из него появится наконечник копья, а рукоятка удлиняется, становясь 6-футовым древком. Так жезл становится магическим копьём, предоставляющим бонус +3 к броскам атаки и урона, совершённым им.
Если вы нажмёте кнопку 4, жезл превратится в шест для лазания с длиной до 50 футов, на ваш выбор.На поверхностях, твёрдых как гранит, в основании появляется шип, а на верхней части три крюка, надёжно закрепляющие шест. Через 1 фут в стороны от шеста отходят 3-дюймовые горизонтальные перекладины, превращая его в подобие лестницы. Шест может выдержать до 4000 фунтов. Больший вес или отсутствие надёжной опоры возвращают жезл в обычную форму.
Если вы нажмёте кнопку 5, жезл превратится в переносной таран, предоставляющий использующему его бонус +10 к проверкам Силы, совершённым для выламывания дверей, разлома баррикад и прочих препятствий.
Если вы нажмёте кнопку 6, жезл возвращается в обычную форму или же сохраняет её, но при этом начинает указывать на северный магнитный полюс. Ничего не произойдёт, если эту функцию использовать в месте, где нет магнитного полюса. Жезл также даёт вам знание примерной глубины под землёй или же наоборот, высоты над землёй.
Вытягивание жизни. Если вы попадаете по существу рукопашной атакой, используя этот жезл, вы можете заставить цель совершить спасбросок Телосложения Сл 17. При провале цель получит дополнительный урон некротической энергией 4к6, а вы восстановите количество хитов, равное половине этого урона некротической энергией. Это свойство нельзя использовать повторно до следующего рассвета.
Паралич. Если вы попадаете по существу рукопашной атакой, используя этот жезл, вы можете заставить цель совершить спасбросок Силы Сл 17. При провале цель становится парализованной на 1 минуту. Цель может повторять спасброски в конце каждого своего хода, оканчивая эффект при успехе. Это свойство нельзя использовать повторно до следующего рассвета.
Испуг. Если вы держите этот жезл, вы можете действием заставить всех существ, которых видите в пределах 30 футов от себя, совершить спасбросок Мудрости Сл 17. При провале цель становится испуганной вами на 1 минуту. Испуганная цель может повторять спасброски в конце каждого своего хода, оканчивая эффект на себе при успехе. Это свойство нельзя использовать повторно до следующего рассвета.</t>
  </si>
  <si>
    <t>Жезл воскрешения</t>
  </si>
  <si>
    <t>друидом, жрецом или паладином</t>
  </si>
  <si>
    <t>У этого жезла есть 5 зарядов. Если вы держите его, вы можете действием наложить им одно из следующих заклинаний: полное исцеление [heal] (тратит 1 заряд) или воскрешение [resurrection] (тратит 5 зарядов).
Жезл ежедневно восстанавливает 1 заряд на рассвете. Если заряды жезла уменьшаются до 0, бросьте к20. Если выпадет «1», жезл исчезнет во вспышке света.</t>
  </si>
  <si>
    <t>Железная фляга</t>
  </si>
  <si>
    <t>У этой железной бутылки латунная пробка. Вы можете действием произнести командное слово фляги и выбрать целью существо, которое видите в пределах 60 футов от себя. Если цель родом не с того плана существования, на котором вы находитесь, она должна преуспеть в спасброске Мудрости Сл 17, иначе будет заточена во фляге. Если цель раньше уже была заточена такой флягой, спасбросок она совершает с преимуществом. Заточённое существо остаётся во фляге, пока не будет выпущено. Во фляге может одновременно находиться только одно существо. Заточённое существо не обязано ни дышать, ни есть, ни спать, и оно не стареет.
Вы можете действием вынуть пробку фляги и выпустить существо, находящееся в ней. Оно будет дружественно относиться к вам и вашим спутникам в течение 1 часа и повинуется вашим командам в течение этого времени. Если вы не отдаёте ему команд или отдаёте команду, которая весьма вероятно закончится его смертью, оно будет обороняться, но не будет совершать других действий. В конце этого периода существо действует согласно своему обычному характеру и мировоззрению.
Заклинание опознание [identify] показывает, находится ли во фляге существо, но единственный способ определить вид существа это вскрытие фляги. В найденной фляге уже может находиться существо, определённое Мастером самостоятельно или случайным образом.
к100        Содержимое
01-50        Пустая
51        Арканалот [Arcanaloth]
52        Камбион [Cambion]
53-54        Дао [Dao]
55-57        Демон (1-го вида): Барлгура [Barlgura], Теневой демон [Shadow demon] или Врок [Vrock]
58-60        Демон (2-го вида): Чазм [Chasme] или Хезроу [Hezrou]
61-62        Демон (3-го вида): Глабрезу [Glabrezu] или Йоклол [Yochlol]
63-64        Демон (4-го вида): Нальфешни [Nalfeshnee]
65        Демон (5-го вида): Марилит [Marilith]
66        Демон (6-го вида): Балор [Balor] или Гористро [Goristro]
67        Дэв [Deva]
68-69        Дьявол (старший): Рогатый дьявол (Мальбранш) [Horned devil], Эриния [Erinyes], Ледяной дьявол (Гелюгон) [Ice devil] или Исчадие преисподней [Pit fiend]
70-72        Дьявол (младший): Бес [Imp], Игольчатый дьявол (Спинагон) [Spined devil], Бородатый дьявол (Барбазу) [Bearded devil], Шипастый дьявол (Гаматула) [Barbed devil], Дьявол цепей (Китон) [Chain devil] или Костяной дьявол (Осилут) [Bone devil]
73-74        Джинн [Djinni]
75-76        Ифрит [Efreeti]
77-78        Элементаль (любой)
79        Гитъянки рыцарь [Githyanki knight]
80        Гитцерай зерт [Githzerai zerth]
81-82        Невидимый охотник [Invisible stalker]
83-84        Марид [Marid]
85-86        Меззолот [Mezzoloth]
87-88        Ночная карга [Night hag]
89-90        Никалот [Nycaloth]
91        Планетар [Planetar]
92-93        Саламандра [Salamander]
94-95        Слаад [Slaad] (любой)
95        Солар [Solar]
97-98        Суккуб / Инкуб [Succubus / Incubus]
99        Ультролот [Ultroloth]
00        Зорн [Xorn]</t>
  </si>
  <si>
    <t>Защитник</t>
  </si>
  <si>
    <t>Вы получаете бонус +3 к броскам атаки и урона этим магическим оружием.
В первый раз в каждом своём ходу, когда вы атакуете этим оружием, вы можете перевести весь бонус или его часть в бонус к КД, а не броскам атаки и урона. Например, вы можете уменьшить бонус к броскам атаки и урона до +1, но получить +2 к КД. Изменённые бонусы действуют до начала вашего следующего хода, но вы должны держать этот меч, чтобы получать от него бонус к КД.</t>
  </si>
  <si>
    <t>Инфернальный набор для верховой езды</t>
  </si>
  <si>
    <t>Нарзугон [narzugon] к своим услугам связывает своего кошмара с помощью инфернального набора для верховой езды, в который входят: уздечка, мундштук, седло, стремена и шпоры. Конь погибели, экипированный таким набором, обязан служить носителю специальных шпор, пока носитель не умрёт или не будет убран набор.
Вы можете, использовав действие, призвать кошмара [nightmare], снаряжённого инфернальным набором, постучав шпорами друг о друга или пройтись ими по кровавой луже. В начале вашего следующего хода, в пределах 20 футов от вас, появляется кошмар. Конь служит вам союзником и начинает свой ход при вашем значении инициативы. Конь остаётся c вами на 1 день, пока либо вы, либо он не умрёте, или пока вы не отпустите его, потратив действие. Если кошмар умрёт, то в течение 24 часов он преобразуется в Девяти Преисподних, и после этого, вы сможете призвать его снова.
Набор для верховой езды не появляется просто так у кошмара. Тот, кто хочет подчинить себе коня, для начала должен обуздать самого коня и, принудительно навесить седло на него. Ни один кошмар не примет добровольно такую вынужденную службу, однако, некоторые со временем формируют сильную привязанность к своим хозяевам и становятся верными спутниками.</t>
  </si>
  <si>
    <t>Кираса камнелома</t>
  </si>
  <si>
    <t>Тяжёлый</t>
  </si>
  <si>
    <t>Эта кираса сделана из мраморного гранита, хотя по ощущениям он не тяжелее обычной металлической кирасы. Его грудь украшена руной «Камень».
Пока вы носите этот нагрудник, вы получаете сопротивление дробящему, колющему и рубящему урону, а также получаете иммунитет к сбиванию с ног.
Пробуждение руны. Действием вы можете пробудить руну кирасы, чтобы наложить ею заклинание каменная стена [wall of stone] (Сл спасброска 14). Когда вы накладываете заклинание таким образом, вы совершаете с преимуществом спасброски для поддержания концентрации на заклинании.
После того, как руна была пробуждена, она не может быть пробуждена снова до следующего рассвета.</t>
  </si>
  <si>
    <t>Клинок удачи</t>
  </si>
  <si>
    <t>Вы получаете бонус +1 к броскам атаки и урона, совершённым этим магическим оружием. Пока это оружие находится у вас, вы также получаете бонус +1 к спасброскам.
Удача. Если этот меч находится у вас, вы можете воззвать к его удаче (действие не требуется), чтобы перебросить один бросок атаки, проверку характеристики или спасбросок, который вам не понравился. Вы обязаны использовать результат второго броска. Это свойство нельзя использовать повторно до следующего рассвета.
Исполнение желаний. У меча есть 1к4 − 1 заряд. Если вы держите его, вы можете действием потратить 1 заряд, чтобы наложить им заклинание исполнение желаний [wish]. Это свойство нельзя использовать повторно до следующего рассвета. Меч теряет это свойство, когда у него не останется зарядов.</t>
  </si>
  <si>
    <t>Ключ лазутчика</t>
  </si>
  <si>
    <t>Эта мифриловая отмычка была выкована с использованием крови двенадцати мастеров-воров, казненных за попытку кражи магических предметов в эпоху Арканума.
Дремлющий. Будучи в дремлющем состоянии ключ лазутчика даёт следующие преимущества:
Ключ можно использовать как воровской инструмент для вскрытия замков. При использовании ключа вы считаетесь владеющим воровскими инструментами, и вы получаете преимущество на проверки совершаемые для вскрытия замков.
Пока вы владеете ключом, ваши шаги приглушены, что даёт вам преимущество на проверки Ловкости (Скрытность) совершаемых, чтобы передвигаться бесшумно.
Пробуждённый. Когда ключ проникновений достигает пробуждённого состояния, он приобретает следующие свойства:
Держа ключ, вы можете использовать бонусное действие, чтобы превратить ключ в магический кинжал или обратно в ключ. В то время как ключ находится в форме кинжала, вы получаете бонус +1 к атаке и броскам урона, совершаемым с его помощью, и он возвращается в вашу руку сразу же после того, как вы используете его для дальнобойной атаки.
Держа ключ, вы можете использовать действие, чтобы с его помощью наложить одно из следующих заклинаний: бесследное передвижение [pass without trace], невидимость [invisibility], открывание [knock] или смена обличья [alter self]. После того, как заклинание было наложено с помощью ключа, оно не может быть наложено им повторно до следующего рассвета.
Возвышенный. Когда ключ проникновений достигает возвышенного состояния, он приобретает следующие свойства:
Бонусным действием вы можете прикоснуться ключом к полу, стене или потолку толщиной не более 5 футов и создать магической проход на поверхности. Когда вы создаете проход, вы определяете его длину и ширину, до 10 футов для каждой из сторон. Проход существует до тех пор, пока ключ не пройдет через него на другую сторону, после чего проход исчезает (если существо находится в проходе, когда он закрывается, существо безопасно перемещается в ближайшее свободное пространство). Ключ не может быть использован для создания другого прохода до следующего рассвета.
Держа ключ, вы можете использовать Действие, чтобы с его помощью наложить одно из следующих заклинаний: газообразная форма [gaseous form], переносящая дверь [dimension door] или фальшивый двойник [mislead]. После того, как заклинание было наложено с помощью ключа, оно не может быть наложено им повторно до следующего рассвета.</t>
  </si>
  <si>
    <t>Колода ещё больших вещей</t>
  </si>
  <si>
    <t xml:space="preserve">За столетия, прошедшие с тех пор, как была создана первая колода многих вещей [deck of many things], многие пытались воспроизвести её, но безуспешно. Но некоторые создали новые карты. Эти сорок четыре дополнительные карты известны под общим названием Колода ещё больших вещей.
Подобно Колоде многих вещей, Колода ещё больших вещей проявляется по-разному в разных мирах. Хотя она может включать в себя меньшее количество карт или разные варианты, она часто появляется с колодой многих вещей как часть комбинированной колоды из шестидесяти шести светящихся карт. Комбинированная колода обычно защищена коробкой или чехлом. Сорок четыре карты из колоды ещё больших вещей содержат изображения, сходные с изображениями из колоды многих вещей, и обладают мощными магическими эффектами, которые подробно описаны. Примечательно, что карты из колоды ещё больших вещей с большей вероятностью принесут пользу, хотя около трети из них по-прежнему опасны.
Перед тем, как тянуть карты, вы должны объявить, сколько собираетесь вытянуть, а затем тяните их по одной (можете использовать модифицированную колоду обычных игральных карт). Карты, взятые сверх названного числа, не будут иметь эффекта. Как только вы вытянули карту, её магия начинает действовать. 
Вы должны тянуть следующую карту не позднее, чем через час после предыдущей. Если вы не вытянули названное число карт, оставшиеся сами вылетают из колоды и вступают в силу одновременно.
Если это не карта Дурак или Шут, взятая карта немедленно вступает в силу, исчезает из поля зрения и снова появляясь в колоде, что позволяет вытянуть одну и ту же карту несколько раз.
Мастер может использовать физические карты, входящие в набор карт Колода многих вещей, для создания комбинированной колоды из Колоды многих вещей и Колоды ещё больших вещей , включая любые карты, которые он пожелает. В качестве альтернативы, воспользуйтесь приведенной ниже таблицей "Колода ещё больших вещей", чтобы случайным образом определить, какие карты взяты.
Колода ещё больших вещей
к100        Карта
1        Аберрация
2        Равновесие*
3        Зверь
4        Книга
5        Мост
6        Костёр
7        Пещера
8        Небожитель
9        Комета*
10        Конструкт
11        Труп
12        Перекрёсток
13        Тюрьма*
14        Дверь
15        Дракон
16        Элементаль
17        Эвриала*
18        Эксперт
19        Судьба*
20        Фея
21        Исчадие
22        Огонь*
23        Дурак*
24        Драгоценность*
25        Великан
26        Гуманоид
27        Джокер*
28        Ключ*
29        Рыцарь*
30        Копьё
31        Маг
32        Карта
33        Лабиринт
34        Шахта
35        Монстр
36        Луна*
37        Слизь
38        Путь
39        Яма
40        Растение
41        Священник
42        Заключённый
43        Юродивый (Паззл)*
44        Кольцо
45        Плут*
46        Руины*
47        Визирь (Мудрец)*
48        Щит
49        Корабль
50        Череп*
51        Посох
52        Лестница
53        Звезда*
54        Статуя
55        Солнце*
56        Когти*
57        Таверна
58        Храм
59        Трон*
60        Гробница
61        Башня
62        Дерево
63        Нежить
64        Пустота*
65        Воин
66        Колодец
67-100        Брось ещё раз
*Описаны в Колоде многих вещей [deck of many things]
Аберрация. Вы обретаете телепатию в пределах 90 футов.
Зверь. Вы немедленно превращаетесь в случайного Зверя с ПО 5 или ниже. Ваша игровая статистика — включая значение ваших характеристик, хиты и возможные действия - заменяются игровой статистикой Зверя, и любое немагическое снаряжение, которое вы носите, сливается с вашей новой формой и не может быть использовано. Все магические предметы, которые вы носите с собой, падают в незанятом пространстве в пределах 5 футов от вашей новой формы.
Вы остаетесь трансформированным таким образом в течение 2к12 дней; ничто не может изменить вашу форму, пока вы находитесь под действием этой карты, но заклинание исполнение желаний [wish] может окончить трансформацию раньше. Когда вы возвращаетесь к своей обычной форме, вы возвращаетесь в то же состояние, в котором находились в каком находились до трансформации.
Книга. Вы приобретаете способность говорить, читать и писать на 1к6 + 2 языках по вашему выбору.
Мост. Вы получаете возможность накладывать заклинание остановка времени [time stop] 1к3 раза. В качестве заклинательной характеристики вы используете Интеллект, Мудрость или Харизму (по вашему выбору).
Костёр. Вы мгновенно получаете преимущества от окончания продолжительного отдыха.
Пещера. Вы получаете скорость лазания, равную вашей скорости ходьбы. Вы также получаете возможность перемещаться вверх, вниз и вдоль вертикальных поверхностей, а также по потолкам, оставляя руки свободными.
Небожитель. У вас за спиной вырастает пара мягко светящихся крыльев с перьями, и вы получаете скорость полета в 30 футов.
Конструкт. Гомункул [homunculus] появляется в незанятом пространстве в пределах 5 футов от вас. Внешний вид гомункула определяется Мастером, и гомункул относится к вам как к своему создателю.
Труп. Ваши хиты мгновенно опускаются до 0, вы падаете без сознания и должны начать совершать спасброски от смерти. Заклинания и другие магические эффекты, восстанавливающие хиты, не действуют на вас до тех пор, пока вы не стабилизируетесь. Если вы провалите три спасброска от смерти, вы умрёте и сможете быть воскрешены только с помощью заклинания исполнение желаний [wish].
Перекрёсток. Совершите бросок к20. Если результат чётный, вы стареете на 1к10 лет. Если результат нечетный, вы становитесь моложе на 1к10 лет, минимум на 1 год. Этот эффект может быть отменен только заклинанием исполнение желаний [wish], божественным вмешательством или подобной магией.
Дверь. Вы получаете возможность накладывать заклинание врата [gate] 1к4 раза, не требуя никаких материальных компонентов. В качестве заклинательной характеристики вы используете Интеллект, Мудрость или Харизму (по вашему выбору).
Дракон. У ваших ног появляется драконье яйцо, из которого немедленно вылупляется вирмлинг. Тип дракона определяет Мастер. Вирмлинг считает вас своим родителем и непоколебимо предан вам и вашим союзникам.
Элементаль. Вы становитесь невосприимчивы к одному из следующих типов урона (выбирайте сразу после вытягивания этой карты): кислота, холод, огонь, электричество или звук.
Эксперт. Ваше значение Ловкости увеличивается на 2, с максимумом 22.
Фея. Около вас открывается проход фей, ведущий в Страну Фей, и вас немедленно затаскивает в него, после чего он исчезает во вспышке радужного света. Вы больше не берёте карт.
Проход фей появляется в виде мерцающего фрактала света над колодой и остается открытым в течение 1 минуты после того, как карта вытащена. Точное местоположение в Стране Фей, к которому ведет проход, определяется Мастером.
Исчадие. Могущественное Исчадие появляется в соседнем незанятом пространстве и предлагает вам сделку. Точный характер этой сделки зависит от Мастера, но обычно Исчадие предлагает некоторое материальное вознаграждение в обмен на то, что вы и ваши союзники выполните его задание. Исчадие безразличен к вам, и с ним можно торговаться; он выполняет свою часть любой сделки, которую заключает, хотя может исказить формулировку любого соглашения в соответствии со своими целями. Если на вас нападут или если переговоры провалятся и вы откажетесь от предложения Исчадия, он возвращается на свой родной план.
Великан. Ваш рост мгновенно увеличивается на 2к10 дюймов, а ваши максимум и текущие хиты увеличиваются на 20.
Гуманоид. Вы можете немедленно прекратить вытягивание карт из колоды, независимо от того, сколько карт вы изначально объявили.
Копьё. Значение всех ваших характеристик увеличивается на 1, с максимумом 20.
Маг. Ваше значение Интеллекта увеличивается на 2, с максимумом 22.
Карта. В любой момент в течение года, после того как вы вытянули эту карту, вы можете мысленно назвать или описать знакомый вам объект или человека. Вы сразу же узнаете его местоположение, а также расстояние между вами и ним, даже если объект или человек находится на другом плане существования. Если вы назвали имя человека, вы узнаёте, жив ли он и какие на него воздействуют состояния. Если вы назвали объект, вы узнаете, сломан он или нет. Если вы назвали магический предмет, у которого есть заряды, вы узнаете, сколько зарядов у него осталось.
Лабиринт. Вы получаете 1к3 степеней истощения.
Шахта. У ваших ног появляется груда из 2к6 драгоценных камней (каждый стоимостью 5000 зм) и 1к10 кусков драгоценной руды (каждый стоимостью 2500 зм).
Монстр. Монстр Большого размера или меньше, с ПО 10 или меньше (определяется Мастером) появляется в незанятом пространстве в пределах 15 футов от вас. Существо настроено враждебно по отношению к вам и немедленно атакует. Существо исчезает, когда его убивают или когда ваши хиты уменьшаются до 0. Если места недостаточно для появления существа Большого размера или меньше, эта карта не срабатывает.
Слизь. Студенистый куб [gelatinous cube] немедленно появляется в вашем пространстве и поглощает вас. Студенистый куб враждебен и остается таким до тех пор, пока не будет уничтожен. Если для появления Студенистого куба недостаточно места, эта карта не срабатывает.
Путь. Ваша скорость ходьбы увеличивается на 10 футов.
Яма. Под вами открывается провал. Вы падаете с высоты 3к6 × 10 футов, получая урон от падения и падая ничком.
Растение. Вы получаете возможность накладывать заклинание разговор с растениями [speak with plants] без использования ячейки заклинаний; вы должны закончить продолжительный отдых, прежде чем сможете наложить его подобным образом снова. Если у вас есть ячейка заклинаний 3-го уровня или выше, вы можете наложить это заклинание, расходуя их. В качестве заклинательной характеристики вы используете Интеллект, Мудрость или Харизму (по вашему выбору).
Священник. Ваше значение Мудрости увеличивается на 2, с максимумом 22.
Заключённый. Вас обвивают появившиеся светящиеся цепи, созданные из магической силы. Вы становитесь опутаны до тех пор, пока цепи не будут разрушены или вы не высвободитесь. Пока вы опутаны, вы не можете накладывать заклинания, а свойства любых магических предметов, которые вы носите, подавлены. Вы больше не берёте карты. Цепи невосприимчивы к урону и не могут быть рассеяны с помощью заклинания рассеивание магии [dispel magic] или подобной магии. Однако заклинание распад [disintegrate] мгновенно разрушает цепи, освобождая вас. Другое существо также может освободить вас, преуспев в проверке Ловкости Сл 30 с использованием воровских инструментов.
Кольцо. На вашем пальце появляется редкое или ещё более редкое магическое кольцо. Если у вас есть доступные настройки, вы автоматически настраиваетесь на кольцо, когда оно появляется. Мастер определяет кольцо.
Щит. В ваших руках появляется редкий или ещё более редкий комплект магических доспехов, которым вы владеете. Мастер определяет доспехи. Если вы не владеете никакими доспехами, ваш базовый КД теперь равен 12 + ваш модификатор Ловкости, пока вы не носите доспех.
Корабль. Вы получаете владение тремя навыками, определяемые Мастером.
Посох. В ваших руках появляется редкий или ещё более редкий магический жезл, посох или волшебная палочка. Мастер определяет предмет.
Лестница. Вы можете либо уменьшить количество объявленных вытягиваний на два, либо получить редкий или ещё более редкий чудесный предмет, появляющийся у вас в руках. Мастер определяет предмет.
Статуя. Вы мгновенно становитесь окаменевшим, поскольку ваше тело превращается в мрамор. Окаменение длится до тех пор, пока вы не будете освобождены с помощью заклинания высшее восстановление [greater restoration] или подобной магии.
Таверна. Ваше значение Харизмы увеличивается на 2, с максимумом 22.
Храм. Божество или сущность, обладающие подобной силой, становятся обязаны вам помочь. В любой момент времени между извлечением карты и вашей смертью вы можете использовать своё действие, чтобы призвать эту сущность к божественному вмешательству, и сущность обязана ответить. Параметры и характер этого вмешательства определяются Мастером. Если вы умираете, не воспользовавшись этим вмешательством, божество выполняет своё обязательство, накладывая на вас заклинание воскрешение [resurrection]. Как только сущность откликнулась на ваш призыв о божественном вмешательстве или воскресила вас, она больше не обязана помогать вам.
Гробница. В любое выбранное вами время в течение 1 года с момента вытягивания этой карты вы можете один раз наложить заклинание истинное воскрешение [true resurrection], не расходуя ячейку заклинаний и не требуя материальных компонентов. В качестве заклинательной характеристики вы используете Интеллект, Мудрость или Харизму (по вашему выбору).
Башня. Возьмите две дополнительные карты сверх заявленного вами количества вытягиваний. Магия этих карт вступает в силу не сразу; вместо этого выберите одну из этих двух дополнительных карт, чтобы оставить её себе, а другую верните в колоду. Магия карты, которую вы оставляете, мгновенно активируется после этого.
Дерево. Ваша кожа сразу же становится грубой, как кора дерева. Ваш базовый КД теперь равен 15 + ваш модификатор Ловкости, пока вы не носите доспех, но вы получаете уязвимость урону огнём. Это превращение может быть отменено только заклинанием исполнение желаний [wish], божественным вмешательством или подобной магией.
Нежить. Где-то на Материальном плане восстает ревенант [revenant]. Этот ревенант обвиняет вас в своём существовании и безжалостно охотится на вас, чтобы отомстить. Ревенант существует либо до тех пор, пока не пройдет 1 год, пока сам не убьет вас, либо вы не наложите заклинание исполнение желаний [wish], чтобы навсегда изгнать его в загробную жизнь.
Воин. Ваше значение Силы увеличивается на 2, с максимумом 22.
Колодец. Вы узнаёте три заговора по вашему выбору из любого списка заклинаний. </t>
  </si>
  <si>
    <t>Колода многих вещей</t>
  </si>
  <si>
    <t>Эта колода, находящаяся в коробке или мешочке, состоит из карт, сделанных из слоновой кости или пергамента. Большинство (75%) этих колод содержат только тринадцать карт, но остальные включают двадцать две.
Перед тем, как тянуть карты, вы должны объявить, сколько собираетесь брать, а затем тяните их по одной (можете использовать модифицированную колоду обычных игральных карт). Карты, взятые сверх названного числа, не будут иметь эффекта. Как только вы вытянули карту, её магия начинает действовать. Вы должны тянуть следующую карту не позднее, чем через час после предыдущей. Если вы не вытянули названное число карт, оставшиеся сами вылетают из колоды и вступают в силу одновременно. Как только карта вытягивается, она исчезает. Если это не Дурак, и не Шут, карта вновь появляется в колоде, что позволяет вытянуть её повторно.
Игральная карта        Карта
Туз бубен        Визирь*
Король бубен        Солнце
Дама бубен        Луна
Валет бубен        Звезда
Двойка бубен        Комета*
Туз червей        Судьба*
Король червей        Трон
Дама червей        Ключ
Валет червей        Рыцарь
Двойка червей        Драгоценность*
Туз треф        Когти*
Король треф        Пустота
Дама треф        Огонь
Валет треф        Череп
Двойка треф        Юродивый*
Туз пик        Тюрьма*
Король пик        Руины
Дама пик        Эвриала
Валет пик        Плут
Двойка пик        Равновесие*
Джокер (со знаком)        Дурак*
Джокер (без знака)        Шут
* Только в колоде из 22 карт
Визирь. В любой момент в течение года, после того как вы вытянули эту карту, вы можете заняться медитацией и задать вопрос, чтобы получить мысленный правдивый ответ. Кроме простой информации ответ может помочь вам решить головоломку или другую дилемму. Другими словами, приходит не только знание, но и мудрость, позволяющая этим знанием распорядиться.
Драгоценность. Двадцать пять ювелирных украшений стоимостью 2000 зм каждое или пятьдесят драгоценных камней стоимостью 1000 зм каждый появляются у ваших ног.
Дурак. Вы теряете 10000 опыта, сбрасываете эту карту и вытягиваете из колоды новую, считая их вместе за одну в объявленном вами количестве вытягиваемых карт. Если потеря этого опыта заставила бы вас потерять уровень, вы вместо этого теряете такое количество, которое оставляет вас только с достигнутым уровнем.
Звезда. Увеличьте одну из ваших характеристик на 2. Новое значение может превысить 20, но не должно превышать 24.
Ключ. В ваших руках появляется волшебное оружие с редкостью как минимум «редкое», навыком владения которым вы обладаете (по выбору Мастера).
Когти. Все магические предметы, которые вы несёте и носите, распадаются. Ваши артефакты не уничтожаются, но исчезают.
Комета. Если вы в одиночку побеждаете следующее встретившееся вам враждебное чудовище или группу чудовищ, вы получаете достаточно опыта, чтобы получить следующий уровень. В противном случае эта карта не оказывает никакого эффекта.
Луна. Вы получаете возможность 1к3 раза наложить заклинание исполнение желаний [wish].
Огонь. Могущественный дьявол становится вашим врагом. Он стремится вас уничтожить, смакуя ваши страдания перед попыткой убить вас. Эта вражда длится до вашей или его гибели.
Плут. ПМ по выбору Мастера становится враждебным по отношению к вам. Его личность вам не известна до тех пор, пока он сам или кто-либо ещё не проявит это. Остановить эту вражду сможет как минимум заклинание исполнение желаний [wish] или божественное вмешательство.
Пустота. Эта чёрная карта предсказывает катастрофу. Ваша душа вырывается из тела и заключается в некоем предмете в месте, выбранном Мастером. Это место охраняет сильное создание или даже группа таких созданий. Пока ваша душа похищена, ваше тело недееспособно. Заклинание исполнение желаний [wish] не может вернуть вашу душу, но раскрывает местонахождение предмета, вмещающего вашу душу. Вы больше не тянете карты.
Равновесие. Ваше сознание претерпевает мучительные изменения, заставляя ваше мировоззрение измениться. Законное становится хаотичным, доброе становится злым, и наоборот. Если у вас истинно нейтральное мировоззрение или у вас нет мировоззрения, эта карта не оказывает никакого эффекта.
Руины. Вы теряете все богатства, которые вы носите или которыми владеете, кроме волшебных предметов. Движимое имущество исчезает. Бизнес, строения и земли, которыми вы владели, пропадают таким способом, который оказывает наименьшее влияние на действительность. Любые документы, подтверждающие ваши права собственности на утерянное имущество, тоже исчезают.
Рыцарь. Вы получаете на службу воина 4-го уровня, который появляется в пределах 30 футов от вас (по вашему выбору). Воин той же расы, что и вы, и будет верно служить вам до смерти, полагая, что судьба привела его к вам. Этим персонажем управляете вы.
Солнце. Вы получаете 50000 опыта и в ваших руках появляется чудесный предмет (на выбор Мастера).
Судьба. Ткань реальности разворачивается и складывается вновь, позволяя вам избежать или стереть один случай, как будто его никогда не было. Вы можете использовать магию карты сразу, как только вытянете её, или в любое другое время, пока не умрёте.
Трон. Вы получаете владение навыком Убеждение и удваиваете бонус мастерства при проверках этого навыка. Кроме того, вы получаете право владения небольшой цитаделью где-то в мире. Однако сейчас эта крепость занята чудовищами, которых предстоит уничтожить, чтобы объявить цитадель своей.
Тюрьма. Вы исчезаете и оказываетесь в состоянии приостановленной жизнедеятельности в межпространственной сфере. Все вещи, которые были у вас или на вас, остаются в том месте, где вы были до исчезновения. Вы остаётесь заключёнными в эту тюрьму до тех пор, пока не будете найдены и освобождены. Вы не можете быть обнаружены с помощью школы Прорицания, но заклинание исполнение желаний [wish] способно определить ваше местонахождение. Вы больше не тянете карты.
Череп. Вы вызываете образ смерти [avatar of death] — призрачного гуманоидного скелета, одетого в изодранную чёрную одежду и вооружённого призрачной косой. Он появляется в пределах 10 футов от вас (в месте по выбору Мастера) и нападает на вас, предупреждая всех, что вы должны выиграть это сражение в одиночку. Образ смерти сражается до тех пор, пока вы не погибнете, или его хиты не опустятся до 0. После этого он исчезает. Если кто-нибудь попытается помочь вам, он вызовет этим собственный образ смерти. Существо, убитое образом смерти, не может быть возвращено к жизни.
Шут. Вы получаете 10000 опыта или можете вытянуть две карты в дополнение к заявленному ранее количеству карт.
Эвриала. Напоминающий медузу образ на карте проклинает вас. Вы получаете штраф −2 к спасброскам, пока на вас лежит это проклятье. Только бог или магия карты Судьба может закончить действие этого проклятья.
Юродивый. Уменьшите ваш Интеллект на 1к4 + 1 (но не ниже 1). Вы можете вытянуть дополнительно ещё одну карту сверх заявленного ранее количества.</t>
  </si>
  <si>
    <t>Колодец многих миров</t>
  </si>
  <si>
    <t>Эту чёрную ткань, гладкую как шёлк, можно свернуть до размеров носового платка. В развёрнутом виде это круг диаметром 6 футов.
Вы можете действием развернуть колодец многих миров и разместить его на твёрдой поверхности, после чего он станет двусторонним порталом в другой мир или план существования. Каждый раз, когда этот предмет открывает портал, Мастер решает, куда он будет вести. Вы можете действием закрыть открытый портал, свернув ткань за края. Колодец многих миров не может повторно открыть портал, пока не пройдёт 1к8 часов.</t>
  </si>
  <si>
    <t>Кольцо командования элементалями</t>
  </si>
  <si>
    <t>Это кольцо связано с одним из четырёх Стихийных Планов. Мастер выбирает один такой план самостоятельно или случайным образом.
Нося это кольцо, вы совершаете с преимуществом броски атаки по элементалям из связанного плана, а они совершают с помехой броски атаки по вам. Кроме того, вы получаете дополнительные преимущества, связанные с планом кольца.
У кольца есть 5 зарядов. Оно ежедневно восстанавливает 1к4 + 1 заряд на рассвете. У заклинаний, наложенных кольцом, Сл спасброска равна 17.
Кольцо командования водяными элементалями. Вы можете потратить 2 заряда кольца, чтобы наложить на водяного элементаля [water elemental] подчинение чудовища [dominate monster]. Кроме того, вы можете стоять на жидких поверхностях и ходить по ним, как если бы они были твёрдыми. Вы также можете говорить на Акване и понимать его.
Если вы поможете убить водяного элементаля [water elemental], будучи настроенным на это кольцо, вы получаете доступ к следующим свойствам:
Вы можете дышать под водой и получаете скорость плавания, равную скорости ходьбы.
Вы можете накладывать кольцом следующие заклинания, тратя соответствующее число зарядов: власть над водами [control water] (3 заряда), град [ice storm](2 заряда), ледяная стена [wall of ice] (3 заряда) или сотворение или уничтожение воды [create or destroy water] (1 заряд).
Кольцо командования воздушными элементалями. Вы можете потратить 2 заряда кольца, чтобы наложить на воздушного элементаля [air elemental] подчинение чудовища [dominate monster]. Кроме того, если вы падаете, вы спускаетесь на 60 футов в раунд и не получаете урон от падения. Вы также можете говорить на Ауране и понимать его.
Если вы поможете убить воздушного элементаля [air elemental], будучи настроенным на это кольцо, вы получаете доступ к следующим свойствам:
Вы получаете сопротивление урону электричеством.
Вы получаете скорость полёта, равную вашей скорости хождения, и можете парить.
Вы можете накладывать кольцом следующие заклинания, тратя соответствующее число зарядов: пляшущая молния [chain lightning] (3 заряда), порыв ветра [gust of wind] (2 заряда) или стена ветров [wind wall] (1 заряд).
Кольцо командования земляными элементалями.Вы можете потратить 2 заряда кольца, чтобы наложить на земляного элементаля [earth elemental] подчинение чудовища [dominate monster]. Кроме того, вы можете перемещаться по труднопроходимой местности, вызванной камнями, валунами или грязью, как если бы это была обычная местность. Вы также можете говорить на Терране и понимать его.
Если вы поможете убить земляного элементаля [earth elemental], будучи настроенным на это кольцо, вы получаете доступ к следующим свойствам:
Вы получаете сопротивление урону кислотой.
Вы можете перемещаться сквозь плотную землю или камень, как если бы они были труднопроходимой местностью. Если вы оканчиваете ход в них, вас выбрасывает в ближайшее свободное пространство, занимаемое вами ранее.
Вы можете накладывать кольцом следующие заклинания, тратя соответствующее число зарядов: изменение формы камня [stone shape] (2 заряда), каменная кожа [stoneskin] (3 заряда) или каменная стена [wall of stone] (3 заряда).
Кольцо командования огненными элементалями. Вы можете потратить 2 заряда кольца, чтобы наложить на огненного элементаля [fire elemental] подчинение чудовища [dominate monster]. Кроме того, вы получаете сопротивление урону огнём. Вы также можете говорить на Игнане и понимать его.
Если вы поможете убить огненного элементаля [fire elemental], будучи настроенным на это кольцо, вы получаете доступ к следующим свойствам:
Вы получаете иммунитет к урону огнём.
Вы можете накладывать кольцом следующие заклинания, тратя соответствующее число зарядов: огненная стена [wall of fire] (3 заряда), огненные ладони [burning hands] (1 заряд) или огненный шар [fireball] (2 заряда).</t>
  </si>
  <si>
    <t>Кольцо невидимости</t>
  </si>
  <si>
    <t>Нося это кольцо, вы можете действием становиться невидимым. Всё, что вы несёте и носите, становится невидимым вместе с вами. Вы остаётесь невидимым, пока не снимете кольцо, пока не атакуете или не наложите заклинание, или пока не станете снова видимым бонусным действием.</t>
  </si>
  <si>
    <t>Кольцо отражения заклинаний</t>
  </si>
  <si>
    <t>Нося это кольцо, вы совершаете с преимуществом спасброски от заклинаний, нацеленных только на вас (не обладающих зонами воздействия). Кроме того, если у вас выпадет «20» при спасброске от заклинания с уровнем не больше 7, заклинание не оказывает на вас никакого эффекта, и вместо этого нацеливается на заклинателя, используя уровень ячейки, Сл спасброска, бонус атаки и базовую характеристику самого заклинателя.</t>
  </si>
  <si>
    <t>Кольцо призыва джинна</t>
  </si>
  <si>
    <t xml:space="preserve">Нося это кольцо, вы можете действием произнести его командное слово, чтобы призвать конкретного джинна [djinni] со Стихийного Плана Воздуха. Джинн появляется в свободном пространстве, выбранном вами в пределах 120 футов от себя. Он остаётся, пока вы концентрируетесь (как при концентрации на заклинании), но не более 1 часа, или пока его хиты не опустятся до 0, после чего он возвращается на домашний план.
Будучи призванным, джинн дружелюбен к вам и вашим спутникам. Он повинуется командам, которые вы отдаёте, вне зависимости от использованного языка. Если вы не отдаёте приказы, джинн защищается от нападающих, но не совершает других действий.
После того как джинн возвращается на родной план, его нельзя призвать повторно, пока не пройдёт 24 часа, и кольцо перестаёт быть магическим, если джинн умирает.
</t>
  </si>
  <si>
    <t>Кольцо трёх желаний</t>
  </si>
  <si>
    <t>Нося это кольцо, вы можете действием использовать 1 из 3 его зарядов, чтобы наложить им заклинание исполнение желаний [wish]. Кольцо перестаёт быть магическим, когда тратится последний заряд.</t>
  </si>
  <si>
    <t>Кольчуга ифритов</t>
  </si>
  <si>
    <t>Пока вы носите этот доспех, вы получаете бонус +3 к КД и иммунитет к урону огнём, а также можете говорить на Первичном и понимаете его. Кроме того, вы можете стоять на расплавленном камне и ходить по нему, как если бы он был твёрдой поверхностью.</t>
  </si>
  <si>
    <t>Корона бехолдеров Белаширры</t>
  </si>
  <si>
    <t>Эта симбиотическая корона вырезана из темно-фиолетового и лилового камня, с десятью остриями, похожими на стебли, украшенные драгоценными камнями, напоминающими глазные стебли бехолдера. Чтобы настроиться на этот предмет, вы должны носить его на голове в течение всего периода настройки, пока скрытые усики короны зарываются в кожу головы, чтобы соединиться с черепом.
Пока вы носите корону, вы можете нормально видеть в темноте, как магической, так и немагической, на расстоянии 120 футов.
Заклинания. Корона имеет 10 зарядов. В то время, пока корона на вас, вы можете использовать Действие, для того чтобы потратить заряды и наложить одно из следующих заклинаний с помощью короны (Сл спасброска 16): замедление [slow] (3 заряда), луч слабости [ray of enfeeblement] (2 заряда), окаменение [flesh to stone] (6 зарядов), очарование личности [charm person] (1 заряд), перст смерти [finger of death](7 зарядов), распад [disintegrate] (6 зарядов), телекинез [telekinesis] (5 зарядов), удержание личности [hold person] (2 заряда), ужас [fear] (3 заряда), усыпление [sleep] (1 заряд). Корона восстанавливает 1к6 + 3 израсходованных заряда ежедневно на рассвете.
Симбиотическая природа. Корона не может быть с вас снята, пока вы на неё настроены, и вы так же не можете добровольно закончить свою настройку на ней. Если на вас используют заклинание, которое снимает проклятие, ваша настройка на короне заканчивается, и она отделяется от вас.
Даэлькир Белаширра [Belashyrra] создала эти короны. Находясь на том же плане существования, что и корона, Белаширра может видеть через её глазные стебли.</t>
  </si>
  <si>
    <t>Крик Жнеца</t>
  </si>
  <si>
    <t>Шипы этой железного моргенштерна светятся болезненным бледным светом. Руна смерти начертана на его древке и инкрустирована жемчугом.
Вы получаете бонус +2 к броскам атаки и урона этим магическим оружием, а атаки этим оружием наносят урон некротической энергией вместо колющего.
Когда вы атакуете существо этим оружием и при броске атаки выпадает «20», вы получаете 10 временных хитов. Любое существо, которое попадает по вам рукопашной атакой, пока у вас есть 1 или более таких временных хитов, получает 10 урона некротической энергией.
Пробуждение руны. Бонусным действием вы можете пробудить руну оружия, выпустив крики каждого существа, убитого этим оружием, одним какофоническим взрывом. Каждое существо по вашему выбору в пределах 60 футов от вас должно преуспеть в спасброске Мудрости Сл 15, иначе оно станет ошеломлённым до начала вашего следующего хода.
После того, как руна была пробуждена , она не может быть пробуждена снова до следующего рассвета.</t>
  </si>
  <si>
    <t>Куб врат</t>
  </si>
  <si>
    <t>Это куб с длиной ребра 3 дюйма, излучающий ощутимую на ощупь магическую энергию. Все шесть граней этого куба связаны с разными планами существования, причём один из них — Материальный План. Остальные планы определяет Мастер.
Вы можете действием нажать на одну из граней куба, чтобы наложить им заклинание врата [gate], создающее портал на план, связанный с этой гранью. В качестве альтернативы, если вы действием нажмёте на одну грань дважды, вы можете наложить кубом заклинание уход в иной мир [plane shift] (Сл спасброска 17), перенося целей на план, связанный с этой гранью.
У этого куба есть 3 заряда. Каждое использование куба тратит 1 заряд. Куб ежедневно восстанавливает 1к3 заряда на рассвете.</t>
  </si>
  <si>
    <t>Латный доспех эфирности</t>
  </si>
  <si>
    <t>Если вы носите этот доспех, вы можете действием произнести его командное слово, чтобы получить эффект заклинания эфирность [etherealness], который длится 10 минут, либо пока вы не снимете доспех, либо пока вы не произнесёте командное слово ещё раз. Вы не можете использовать это свойство повторно до следующего рассвета.</t>
  </si>
  <si>
    <t>Лунный клинок</t>
  </si>
  <si>
    <t>эльфом с нейтрально-добрым мировоззрением, полуэльфом с нейтрально-добрым мировоззрением</t>
  </si>
  <si>
    <t>Из всех магических предметов, созданных эльфами, больше всех ценится и яростнее всех охраняется Лунный клинок. В древние времена практически у каждого эльфийского благородного дома было по одному такому клинку. По прошествии столетий часть клинков затерялась и магия их была утеряна вместе с родословными. Другая часть сгинула вместе с владельцами, отправившимися на выполнение заданий. Таким образом, осталось лишь несколько экземпляров этого оружия.
Лунный клинок переходит от родителя к ребёнку. Он остаётся связанным с ним всю жизнь. Если владелец умирает, меч может достаться другому наследнику. Если достойных наследников нет, меч впадает в спячку. Он действует как обычный длинный меч, пока его не найдёт достойная душа, способная пробудить его силу.
Лунный клинок служит только одному хозяину одновременно. Процесс настройки требует особого ритуала в тронном зале эльфийского правителя или храме эльфийских богов.
Лунный клинок не станет служить тому, кого он посчитает трусливым, непостоянным, порочным или не желающим хранить и защищать эльфов. Если клинок вас отвергает, вы 24 часа совершаете с помехой проверки характеристик, броски атаки и спасброски. Если клинок вас принимает, вы настраиваетесь на него, а на клинке появляется новая руна. Вы остаётесь настроенным на это оружие пока не умрёте или оно не уничтожится.
У Лунного клинка на лезвии есть по одной руне за каждого владельца, которому он служил (обычно их 1к6 + 1). Первая руна всегда предоставляет бонус +1 к броскам атаки и урона, совершённым этим магическим оружием. За каждую последующую руну клинок получает дополнительное свойство. Мастер может сам выбрать каждое свойство, а может определить их случайным образом.
Свойство Лунного клинка
к100        Свойство
01-40        Увеличьте бонус к броскам атаки и урона на 1, до максимума +3. Перебросьте, если у Лунного клинка бонус уже +3.
41-80        Лунный клинок получает случайным образом определённое малое свойство.
81-82        Лунный клинок получает свойство «фехтовальное».
83-84        Лунный клинок получает свойство «метательное» (дистанция 20/60 футов).
85-86        Лунный клинок функционирует как защитник [defender].
87-90        Лунный клинок совершает критическое попадание при выпадении «19» или «20».
91-92        Если вы попадаете атакой, используя Лунный клинок, вы дополнительно наносите 1к6 рубящего урона.
93-94        Если вы попадаете Лунным клинком по существу определённого вида (такому как дракон, исчадие или нежить), цель получает дополнительный урон 1к6 одного из следующих видов: звук, кислота, огонь, холод или электричество.
95-96        Вы можете бонусным действием заставить Лунный клинок ярко вспыхнуть. Все существа, видящие вас и находящиеся в пределах 30 футов от вас, должны преуспеть в спасброске Телосложения Сл 15, иначе они станут ослеплёнными на 1 минуту. Существо может повторять спасбросок в конце каждого своего хода, оканчивая эффект на себе при успехе. Это свойство нельзя повторно использовать, пока вы не совершите короткий отдых, будучи настроенным на это оружие.
97-98        Лунный клинок действует как кольцо хранения заклинаний [ring of spell storing].
99        Вы можете действием призвать эльфийскую тень, при условии, что у вас сейчас нет в услужении такой тени. Эльфийская тень появляется в свободном пространстве в пределах 120 футов от вас. Она использует статистику тени [shadow] из Бестиария, за исключением того, что она нейтральна, обладает иммунитетом к эффектам, изгоняющим нежить, и не создаёт новых теней. Это существо контролируете вы, и вы определяете его действия и перемещения. Оно существует, пока его хиты не опустятся до 0 или вы не отпустите его действием.
00        Лунный клинок действует как меч головоруб [vorpal sword].
Разум. Лунный клинок — разумное нейтральное-доброе оружие с Интеллектом 12, Мудростью 10 и Харизмой 12. Он обладает слухом и тёмным зрением в пределах 120 футов Это оружие общается с владельцем, передавая эмоции, и посылая в руку владельца покалывающее ощущение, когда хочет передать что-то, что оно почувствовало. Клинок может общаться менее завуалированно, через видения и грёзы, когда владелец спит или находится в трансе.
Индивидуальность. Все Лунные клинки стремятся продвигать идеалы эльфов: храбрость, преданность, красоту, музыку и жизнь во всех её проявлениях. Это оружие привязано к роду, которому должно служить. Когда оно связывается с владельцем, разделяющим его идеалы, его преданность будет абсолютной.
Если у Лунного клинка и есть недостаток, то это чрезмерная уверенность. Если он выбрал себе владельца, то будет считать, что только эта личность достойна его носить, даже если владелец позже предаст эльфийские идеалы.</t>
  </si>
  <si>
    <t>Мантия архимага</t>
  </si>
  <si>
    <t>Этот красивый наряд пошит из белой, серой или чёрной ткани и украшен серебристыми рунами. Цвет мантии соответствует мировоззрению, для которого она и создана. Белые мантии делают для добрых, серые для нейтральных, а чёрные для злых. Вы не можете настроиться на мантию архимага, чьё мировоззрение не совпадает с вашим.
Вы получаете следующие преимущества, пока носите мантию:
Если вы не носите доспех, ваш базовый Класс Доспеха равен 15 + ваш модификатор Ловкости.
Вы совершаете с преимуществом спасброски от заклинаний и других магических эффектов.
Сл спасбросков от ваших заклинаний и бонус атаки заклинаниями увеличиваются на 2.</t>
  </si>
  <si>
    <t>Маска Шута</t>
  </si>
  <si>
    <t>бардом, колдуном или чародеем</t>
  </si>
  <si>
    <t>Эта красочная маска-домино «Арлекин» украшенная жемчугом. Пока вы носите эту маску, вы получаете следующие преимущества:
Харизматический фокус. Вы можете использовать маску как магическую фокусировку для заклинаний. Вы получаете бонус +3 к любым броскам атаки заклинаниями и Сл спасбросков заклинаний, которые используют Харизму в качестве базовой характеристики.
Чудесный побег. Когда существо попадает по вам броском атаки, вы можете использовать свою реакцию, чтобы исчезнуть в клубе дыма и разноцветных блестках. Вы не получаете урона и вместо этого телепортируетесь вместе со всем, что на вас надето или несете, в незанятое пространство, которое вы можете видеть в пределах 30 футов от себя. После того, как эта реакция будет использована, её нельзя будет использовать снова до следующего рассвета.
Перевернутое-вывернутое. Когда вы выбрасываете «1» на к20, вы можете заменить результат, на «20». После того, как это свойство будет использовано, его нельзя будет использовать снова до следующего рассвета.</t>
  </si>
  <si>
    <t>Маяк Люксона</t>
  </si>
  <si>
    <t>Этот додекаэдр из слабо светящегося кристалла тяжелее, чем кажется. К его бокам прикреплены ручки и он начинает пульсировать и гудеть, когда к нему прикасаются.
Частица возможностей. Существо, которое касается маяка и концентрируется на нём в течение 1 минуты, получает Частицу возможностей, которая выглядит как Крошечный сероватый шарик энергии, который парит вокруг существа, оставаясь в пределах 1 фута от него все время. Частица существует в течение 8 часов или до тех пор, пока не будет использована. Как только маяк предоставляет Частицу возможностей, он не может предоставить другую до следующего рассвета. Существо с Частицей возможностей от Маяка Люксона не может получить другую Частицу возможностей из любого другого источника.
Когда существо с частицей возможности совершает бросок атаки, проверку характеристики или спасбросок, оно может потратить свою частицу, чтобы бросить дополнительный к20 и выбрать, какой из к20 использовать. В качестве альтернативы, когда бросок атаки совершается против существа, оно может использовать свою частицу, чтобы бросить к20 и выбрать, какой из к20 использовать, тот, который оно бросило, или тот, который бросил нападающий.
Если первоначальный бросок к20 имеет преимущество или помеху, то существо бросает свой к20 после того, как преимущество или помеха были применены к исходному броску.
Ловец душ. Если последователь Люксона, прошедший ритуал посвящения, умирает в радиусе 100 миль от маяка Люксона, его душа попадает в маяк. Эта душа будет реинкарнирована в теле случайного гуманоидного ребенка, рождающегося в радиусе 100 миль от маяка.</t>
  </si>
  <si>
    <t>Меч головоруб</t>
  </si>
  <si>
    <t>Вы получаете бонус +3 к броскам атаки и урона этим магическим оружием. Кроме того, это оружие игнорирует сопротивление рубящему урону.
Если вы атакуете этим оружием существо, у которого есть как минимум одна голова, и при броске атаки у вас выпадает «20», вы отрубаете одну из голов чудовища. Существо умирает, если не может жить без головы. Существо обладает иммунитетом к этому эффекту, если обладает иммунитетом к рубящему урону, не имеет головы или не нуждается в ней, обладает легендарными действиями или Мастер решает, что существо слишком большое, чтобы вы могли отрубить ему голову этим оружием. Такие существа вместо этого получают рубящий урон 6к8.</t>
  </si>
  <si>
    <t>Меч ответа</t>
  </si>
  <si>
    <t>В мире Грейхок известны девять таких мечей. Все они изготовлены по образу легендарного меча, Фрагараха, чьё название часто переводят как «Последнее слово». У каждого из девяти мечей есть своё название и своё мировоззрение, и у всех у них в навершии использованы разные драгоценные камни.
Название        Мировоззрение        Камень
Возразитель        Законно-доброе        Аквамарин
Грубитель        Законно-злое        Гранат
Дерзитель        Хаотично-злое        Агат
Опровергатель        Нейтрально-доброе        Топаз
Ответчик        Хаотично-доброе        Изумруд
Подавитель        Нейтрально-злое        Шпинель
Рассказчик        Нейтральное        Перидот
Решатель        Законно-нейтральное        Аметист
Язвитель        Хаотично-нейтральное        Турмалин
Вы получаете бонус +3 к броскам атаки и урона, совершаемым этим мечом. Кроме того, пока вы держите этот меч, вы можете реакцией совершать им одну рукопашную атаку по существу, находящемуся в пределах вашей досягаемости, которое причиняет вам урон. Вы совершаете этот бросок атаки с преимуществом, и урон, причиняемый этой особой атакой, игнорирует все сопротивления урону и иммунитеты, которые могут быть у цели.</t>
  </si>
  <si>
    <t>Меч Плановых Измерений</t>
  </si>
  <si>
    <t>Вы получаете бонус +3 к броскам атаки и урона, совершённым этим магическим оружием.
Этот меч может разорвать ткань реальности, создав временный разрыв между планами. Вы можете действием выбрать другой план существования, отличный от того, на котором вы находитесь, и прорезать незанятое пространство в пределах 5 футов от себя, создавая разлом в этот другой план. Разлом может достигать 10 футов в высоту и 10 футов в ширину и длится 1 минуту. После того, как это свойство будет использовано, его нельзя будет использовать снова до следующего рассвета.
Вы можете указать целевой пункт назначения, например, Латунный Город на Стихийном Плане Огня или дворец Диспатера на втором уровне Девяти Преисподних, и разлом откроется в этом пункте назначения или рядом с ним (на усмотрение Мастера). Например, если вы пытаетесь добраться до Латунного Города, разлом может появиться на Улице Стали, перед Вратами Пепла или напротив города со стороны Огненного Моря, по усмотрению Мастера.
Все, что попадает в разлом, мгновенно переносится на другой план, оказываясь в незанятом пространстве, ближайшем к разлому.</t>
  </si>
  <si>
    <t>Молот грома</t>
  </si>
  <si>
    <t>Вы получаете бонус +1 к броскам атаки и урона, совершённым этим магическим оружием.
Погибель великанов (требуется настройка). Вы должны носить пояс силы великана [belt of giant strength] (любую разновидность) и рукавицы силы огра [gauntlets of ogre power], чтобы настроиться на это оружие. Настройка окончится, если вы снимаете любой из этих предметов. Если вы настроены на это оружие и держите его, ваше значение Силы увеличивается на 4 и может превышать 20, но не 30. Если у вас выпало «20» на кости при броске атаки этим оружием по великану, великан должен преуспеть в спасброске Телосложения Сл 17, иначе он сразу умрёт.
У этого молота есть 5 зарядов. Если вы настроены на него, вы можете потратить 1 заряд и совершить им дальнобойную атаку оружием, метая его, как если бы у него было свойство метательное с нормальной дистанцией 20 футов и максимальной дистанцией 60 футов. Если эта атака попадает, молот испускает громовой рокот, слышный в пределах 300 футов. Цель и все существа в пределах 30 футов от неё должны преуспеть в спасброске Телосложения Сл 17, иначе станут ошеломлёнными до конца вашего следующего хода. Молот ежедневно восстанавливает 1к4 + 1 заряд на рассвете.</t>
  </si>
  <si>
    <t xml:space="preserve">Непенте </t>
  </si>
  <si>
    <t>VRGR</t>
  </si>
  <si>
    <t>Вы получаете бонус +3 бонуса к атакам и броскам урона, совершённым этим магическим оружием. Когда вы попадаете атакой по исчадию или нежити, оно дополнительно получает 2к10 урона излучением.
Пока вы держите обнаженный меч, он создает вокруг вас ауру радиусом 10 футов. Вы и все дружественные вам существа, находящиеся в ауре, получаете преимущество для спасбросков совершаемых против заклинаний и других магических эффектов. Если вы имеете 17 или более уровней в классе паладина, радиус ауры увеличивается до 30 футов.
Разум. Непенте - это разумное оружие нейтрально злого мировоззрения с Интеллектом 10, Мудростью 8 и Харизмой 18. Оно обладает слухом и тёмным зрение на расстоянии 60 футов. Оно умеет читать и понимает Эльфийский. Оно также может говорить на Эльфийском, но только голосом своего владельца, с которым меч может общаться с помощью телепатии.
Индивидуальность. За свою жизнь меч обезглавил тысячи преступников, не все из которых были виновны в преступлениях, за которые они были осуждены. Меч не может отличить виновного от невинного, и с каждым обезглавливанием он всё больше жаждет справедливости и крови. Меч развращен и неисправим.</t>
  </si>
  <si>
    <t>Пиксида Пандемония</t>
  </si>
  <si>
    <t>Существо, которое касается этой роскошно украшенной деревянной коробочки в течение 1 минуты, получает преимущества короткого отдыха. Это существо также получает эффект заклинания благословение [bless], пока оно не закончит короткий или продолжительный отдых. Существо не может получить эти преимущества снова, пока не закончит продолжительный отдых.
Если коробочка открыта, совершите бросок по таблице «Пиксида Пандемония», чтобы определить, что произойдёт. Любые заклинания, накладываемые ящиком, имеют Сл спасброска 17. Спустя 1 минуту после открытия коробочки она исчезает. Она вновь появляется запечатанной, в случайном месте на том же плане существования 24 часа спустя.
Проклятие. Любое существо, которое получает преимущество от короткого отдыха, даруемого коробочкой, слышит настойчивый телепатический шепот, исходящий от неё. Это существо должно совершить спасбросок Мудрости Сл 17. При провале существо становится очаровано сосудом на 1 час. Очарованное существо делает всё возможное, чтобы как можно скорее открыть сосуд. При успешном спасброске существо становится невосприимчивым к шёпоту сосуда на следующие 24 часа.
Пиксида Пандемония
к8        Бедствие
1        Андрофагия. Каждое существо в пределах 60 футов от коробки должно преуспеть в спасброске Мудрости Сл 17, иначе впадёт в безумие на 1 минуту. Безумец начинает свой ход, совершая действие Атака, чтобы совершить одну рукопашную или дальнобойную атаку (по своему выбору) против ближайшего к нему существа. Безумец может повторять спасбросок в конце своего хода, при успехе оканчивая на себе действие эффекта.
2        Желчная лихорадка. Коробка накладывает заклинание поражение [harm] на каждое существо в пределах 30 футов от него.
3        Наводнение. Коробка накладывает заклинание цунами [tsunami] в точке по выбору Мастера в пределах 120 футов от него.
4        Взгляд медузы. Коробка накладывает заклинание окаменение [flesh to stone] на каждое существо в пределах 30 футов от него.
5        Лабиринт. Коробка накладывает заклинание лабиринт [maze] на каждое существо в пределах 30 футов от него.
6        Ночной кошмар. Теневые щупальца просачиваются из коробки и трансформируются в 1к4 враждебно настроенных теневых демонов [shadow demons], которые появляются в незанятых пространствах в пределах 30 футов от него.
7        Рой насекомых. Коробка накладывает заклинание нашествие насекомых [insect plague] с центром на себе и с радиусом в 30 футов
8        Безудержное веселье. Коробка накладывает заклинание неудержимая пляска Отто [Otto’s irresistible dance] на каждое существо в пределах 30 футов от него.</t>
  </si>
  <si>
    <t>Платиновый шарф</t>
  </si>
  <si>
    <t>Этот шарф изготовлен из прочной ткани и покрыт чешуёй платинового цвета. Действием вы можете снять чешуйку с шарфа и произнести командное слово. Когда вы делаете это, выберите один из следующих эффектов:
Дыхание жизни. Чешуйка исчезает, и вы или существо, к которому вы прикасаетесь, восстанавливаете 10к4 хитов.
Платиновый щит. В течение 1 часа или до тех пор, пока вы не окончите этот эффект (никаких действий не требуется), чешуйка становится щитом +1, который вы или другое существо можете использовать. Существо, использующее щит, получает иммунитет к урону излучением.
Сияющий молот. В течение 1 часа или до тех пор, пока вы не окончите этот эффект (никаких действий не требуется), чешуйка становятся магическим лёгким молотом, который вы или другое существо можете использовать. Оружие наносит 2к4 урона излучением вместо характерного для лёгкого молота дробящего урона. Он дополнительно наносит 2к4 урона излучением по цветным драконам.
Как только с шарфа сняты три чешуйки, с него больше нельзя снять никаких чешуек до следующего рассвета, когда все израсходованные чешуйки отрастут снова. Если вы снимаете чешуйку, но не произносите командное слово, она исчезает через 1 минуту.</t>
  </si>
  <si>
    <t>Если вы носите этот плащ, вы можете надеть на голову капюшон и стать невидимым. Пока вы невидимы, всё, что вы несёте и носите, становится невидимым вместе с вами. Вы видимы, если не надеваете капюшон. Капюшон надевается и снимается действием.
Суммируйте время, в течение которого вы остаётесь невидимы, порциями по 1 минуте. После 2 накопленных часов невидимости плащ перестаёт действовать. За каждые 12 часов, пока плащ не используется, он восстанавливает 1 час использования.</t>
  </si>
  <si>
    <t>Покров вредителей</t>
  </si>
  <si>
    <t>Этот пятнистый плащ был сшит из шкур крыс, которые пировали мертвецами на Губительных берегах, и усеян магическим образом сохранившимися раздутыми трупами насекомых вдоль его швов.
Дремлющий. Пока покров вредителей в дремлющем состоянии, вы получаете следующие преимущества:
Вы получаете преимущество на проверки Мудрости (Восприятие), которые полагаются на запах, вы невосприимчивы к болезням, и вы получаете темное зрение на расстоянии 60 футов. Если у вас уже есть темное зрение, то плащ увеличивает радиус вашего темного зрения на 60 футов
Действием вы можете использовать покров вредителей, чтобы наложить на себя превращение [polymorph], и превратиться в крысу [rat] или гигантскую крысу [giant rat], сохраняя при этом свои значения Интеллекта, Мудрости и Харизмы, а также свойства плаща. Это свойство не может быть использовано снова до следующего рассвета.
Пробуждённый. Когда покров вредителей оказывается в пробуждённом состоянии, вы получаете следующие преимущества:
Вы получаете сопротивление урону ядом.
Вы можете действием наложить заклинание нашествие насекомых [insect plague] (Сл спасброска 15) с помощью покрова вредителей, без затрат материальных компонентов. Это свойство не может быть использовано снова до следующего рассвета.
Когда вы накладываете на себя заклинание превращение, с помощью покрова вредителей, вы можете превратиться в гигантскую осу [giant wasp].
Возвышенный. Когда покров вредителей оказывается в возвышенном состоянии, вы получаете следующие преимущества:
Вы получаете скорость лазания, равную вашей скорости ходьбы.
Ваши зубы становятся острыми как бритва, считаясь природным оружием, которое вы можете использовать для нанесёния безоружных ударов. Если вы попадаете ими, то вы наносите колющий урон, равный 1к6 + ваш модификатор Силы, вместо обычного дробящего урона для безоружного удара. Вы можете совершить эту атаку бонусным действием. Когда вы кусаете существо и наносите ему урон, оно должно преуспеть в спасброске Телосложения Сл 17, иначе на 1 минуту станет отравленным. Цель может повторять спасбросок в конце каждого своего хода, при успехе оканчивая эффект на себе.
Когда вы накладываете на себя заклинание превращение, с помощью покрова вредителей, вы можете превратиться в гигантского скорпиона [giant scorpion].</t>
  </si>
  <si>
    <t>Посох магов</t>
  </si>
  <si>
    <t xml:space="preserve">Этот посох можно использовать как магический боевой посох, предоставляющий бонус +2 к броскам атаки и урона им. Держа его, вы получаете бонус +2 к броскам атаки заклинаниями.
У посоха есть 50 зарядов для описанных ниже свойств. Он ежедневно восстанавливает 4к6 + 2 заряда на рассвете. Если вы истратили последний заряд, бросьте к20. Если выпадет «20», посох восстановит 1к12 + 1 заряд.
Впитывание заклинаний. Пока вы держите посох, вы совершаете спасброски от заклинаний с преимуществом. Кроме того, вы можете использовать реакцию, когда другое существо накладывает заклинание, целью которого являетесь только вы. Если вы это делаете, посох впитывает магию этого заклинания, отменяя его эффект и восстанавливая количество зарядов, равное уровню поглощённого заклинания. Однако если из-за этого сумма зарядов в посохе превысит 50, посох взорвётся, как если бы вы активировали его «карающий удар» (смотрите ниже).
Заклинания. Если вы держите этот посох, вы можете действием потратить часть зарядов, чтобы наложить им одно из следующих заклинаний, используя вашу Сл спасброска против заклинания и базовую характеристику: град [ice storm] (4 заряда), молния [lightning bolt] (версия 7-го уровня, 7 зарядов), невидимость [invisibility] (2 заряда), огненная стена [wall of fire] (4 заряда), огненный шар [fireball] (версия 7-го уровня, 7 зарядов), открывание [knock] (2 заряда), паутина [web] (2 заряда), призыв элементаля [conjure elemental] (7 зарядов), пылающий шар [flaming sphere] (2 заряда), рассеивание магии [dispel magic] (3 заряда), создание прохода [passwall] (5 зарядов), телекинез [telekinesis] (5 зарядов) или уход в иной мир [plane shift] (7 зарядов).
Вы также можете действием наложить посохом одно из следующих заклинаний, не тратя зарядов: волшебная рука [mage hand], волшебный замок [arcane lock], защита от зла и добра [protection from evil and good], обнаружение магии [detect magic], свет [light] или увеличение/уменьшение [enlarge/reduce].
Карающий удар. Вы можете действием сломать посох о колено или твёрдую поверхность, совершая, таким образом, карающий удар. Посох уничтожается, испуская оставшуюся в нём магию взрывом, заполняющим сферу радиусом 30 футов с центром на нём.
У вас есть 50-процентный шанс мгновенно перенестись на случайный план существования, избежав взрыва. Если вы его не избегаете, то получаете урон силовым полем, равный 16 × количество зарядов в посохе. Все другие существа в области взрыва должны совершить спасбросок Ловкости Сл 17. При провале существо получает урон, зависящий от того, как далеко оно находится от исходной точки взрыва, как показано в таблице. При успехе существо получает половину этого урона.
Расстояние от исходной точки        Урон
10 футов или ближе        8 × количество зарядов в посохе
от 11 до 20 футов        6 × количество зарядов в посохе
от 21 до 30 футов        4 × количество зарядов в посохе
</t>
  </si>
  <si>
    <t>Превосходный клей</t>
  </si>
  <si>
    <t>Эта тягучая, молочно-белая субстанция может склеить два любых предмета. Она должна храниться в сосуде или фляге, покрытой изнутри маслом скольжения. В найденном контейнере находится 1к6 + 1 унция клея. Одна унция клея может покрыть 1 квадратный фут поверхности. Клей затвердевает через 1 минуту. После этого связь двух предметов можно разорвать только нанесёнием универсального растворителя [universal solvent] или масла эфирности [oil of etherealness], либо же заклинанием исполнение желаний [wish].</t>
  </si>
  <si>
    <t>Радужный венец</t>
  </si>
  <si>
    <t>Этот обруч из золотых шипов украшен десятками драгоценных камней, представляющих пять цветов Тиамат.
Дремлющий. Пока вы носите венец находящийся в дремлющем состоянии, вы получаете тёмное зрение на расстоянии 60 футов. Если у вас уже есть тёмное зрение, то венец увеличивает радиус вашего темного зрения на 60 футов.
Когда вы попадаете атакой по зверю, дракону или монстру с опасностью 5 или ниже, или когда вы берете его в захват, вы можете использовать венок, чтобы наложить подчинение чудовища [dominate monster] на существо (Сл спасброска 13). При успехе цель невосприимчива к силе венца в течение 24 часов. При провале мерцающее золотое изображение венца появляется как ошейник на шее жертвы или как корона на её голове (по вашему выбору), пока очарование на нём не закончится. Если вы используете венец, чтобы очаровать другое существо, заклинание на первом существе немедленно заканчивается. Когда заклинание заканчивается, цель помнит, что она была очарована вами.
Пробуждённый. Как только радужный венец достигает пробуждённого состояния, он получает следующие преимущества:
Вы можете с помощью венца воздействовать на существ с опасностью 10 или ниже.
Сл спасброска против заклинания венца увеличивается до 15.
Возвышенный. Как только радужный венец достигает возвышенного состояния, он получает следующие преимущества:
Вы можете с помощью венца воздействовать на существ с опасностью 15 или ниже.
Сл спасброска против заклинания венца увеличивается до 17.</t>
  </si>
  <si>
    <t>Ритуальный нож Ракдосов</t>
  </si>
  <si>
    <t>Вы получаете бонус +1 к броскам атаки и урона, совершённым этим магическим оружием. Его лезвие сильно зазубрено, а рукоять напоминает демоническую голову и крылья. Всякий раз, когда вы убиваете существо атакой совершённой с помощью этого кинжала, душа существа заключается в кинжал и оно может быть возвращено к жизни только заклинанием исполнение желаний [wish]. Кинжал может вместить пять душ максимум.
За каждую душу, заключенную в кинжале, совершаемые им атаки наносят дополнительно 1к4 урона некротической энергией при попадании. Пока кинжал находится в пределах 5 футов от вас, ваши сны преследуют шепоты пойманных душ.
Кинжал обладает следующими дополнительными свойствами:
Сифон жизни. Бонусным действием вы можете освободить любое количество хранимых душ из кинжала, чтобы восстановить себе 1к10 хитов за каждую освобождённую душу.
Уничтожение. Если кинжал содержит пять душ, то вы можете использовать данное свойство:
Реакцией сразу после того, как вы попали по существу атакой этим кинжалом и нанесли ему урон, вы можете высвободить все пять душ. Если цель имеет меньше 75 хитов, она должна преуспеть в спасбросоке Телосложения Сл 15, иначе мгновенно умрёт. Если цель умирает, то вы не можете использовать это свойство снова, пока не закончите продолжительный отдых.</t>
  </si>
  <si>
    <t>Рубин плетения</t>
  </si>
  <si>
    <t>Пока вы держите этот драгоценный камень, вы можете использовать его в качестве заклинательной фокусировки. Драгоценный камень имеет 3 заряда и восстанавливает все израсходованные заряды ежедневно на рассвете. Когда вы накладываете заклинание, удерживая этот драгоценный камень, вы можете потратить до 3 зарядов, чтобы игнорировать материальные компоненты этого заклинания, стоимостью до 500 зм за каждый израсходованный заряд.
Когда вы заканчиваете продолжительный отдых, выберите заклинание из любого списка классов. Выбранное вами заклинание должно быть того уровня, что вы можете накладывать. Вы узнаёте выбранное заклинание и можете накладывать его с помощью своих ячеек заклинаний соответствующего уровня до конца вашего следующего продолжительный отдыха.</t>
  </si>
  <si>
    <t>Святой мститель</t>
  </si>
  <si>
    <t>Вы получаете бонус +3 к броскам атаки и урона, совершённым этим магическим оружием. Если вы попадаете им по исчадию или нежити, это существо получает дополнительный урон излучением 2к10.
Пока вы держите в руке этот вынутый из ножен меч, он создаёт ауру с радиусом 10 футов вокруг вас. Вы и все дружественные вам существа в этой ауре совершаете с преимуществом спасброски от заклинаний и других магических эффектов. Если у вас есть 17 уровней в классе паладина, радиус ауры увеличивается до 30 футов.</t>
  </si>
  <si>
    <t>Скарабей защиты</t>
  </si>
  <si>
    <t>Если вы держите в своей руке этот медальон в форме жука в течение 1 раунда, на его поверхности появятся письмена, открывающие его магическую сущность. Он предоставляет два преимущества, пока находится у вас:
Вы совершаете с преимуществом спасброски от заклинаний.
У скарабея есть 12 зарядов. Если вы проваливаете спасбросок от заклинания школы Некромантии или вредоносного эффекта, исходящего от нежити, вы можете реакцией потратить 1 заряд, чтобы превратить проваленный спасбросок в успешный. Скарабей рассыпается в порошок и уничтожается, когда тратится его последний заряд.</t>
  </si>
  <si>
    <t>Сокрушитель</t>
  </si>
  <si>
    <t>Сокрушитель - это мощный боевой молот, выкованный дварфами и утерянный в подземельях горы Белый Шлейф.
Вы получаете бонус +3 к броскам атаки и урона, совершённым этим магическим оружием. На рассвете следующего дня, после того как вы впервые совершите бросок атаки Сокрушителем, у вас развивается боязнь открытого пространства, которая остаётся, пока вы настроены на это оружие. Из-за неё вы совершаете с помехой броски атаки, спасброски и проверки характеристик, если видите дневное небо.
Метательное оружие. У Сокрушителя есть свойство метательное, его нормальная дистанция — 20 футов, а максимальная дистанция — 60 футов. Если вы попадаете дальнобойной атакой оружием, используя его, цель дополнительно получает дробящий урон 1к8 или 2к8, если цель — великан. Каждый раз, когда вы метаете это оружие, оно после атаки возвращается в вашу руку. Если у вас нет свободной руки, оружие падает у ваших ног.
Ударная волна. Вы можете действием ударить Сокрушителем о землю, посылая ударную волну. Все существа на ваш выбор, находящиеся в пределах 60 футов от точки удара, должны преуспеть в спасброске Телосложения Сл 15, иначе они станут ошеломлёнными на 1 минуту. Существо может повторять спасбросок в конце каждого своего хода, оканчивая эффект на себе при успехе. После использования, это свойство недоступно до следующего рассвета.
Сверхъестественная бдительность. Пока вы держите это оружие, оно предупреждает вас о местонахождении всех потайных и скрытых дверей в пределах 30 футов от вас. Кроме того, вы можете действием наложить оружием заклинание обнаружение зла и добра [detect evil and good] или поиск предмета [locate object]. Наложив заклинание, вы до следующего рассвета больше не можете накладывать его этим оружием.
Разум. Сокрушитель — разумное законно нейтральное оружие с Интеллектом 15, Мудростью 12 и Харизмой 15. Он обладает слухом и тёмным зрением в пределах 120 футов Это оружие может понимать Великаний, Гоблинский и Дварфский языки, а также говорить и читать на них и телепатически общаться с владельцем. При использовании в сражении он издаёт боевые кличи на Дварфском.
Индивидуальность. Предназначение Сокрушителя в уничтожении великанов и гоблиноидов. Он также стремится защищать дварфов от всех врагов. Если владелец отказывается уничтожать гоблинов и великанов или же защищать дварфов, возникает конфликт.
Сокрушитель связан с создавшим его кланом Данкил (клан Могучего Молота). Он хочет вернуться в этот клан. Для защиты этих дварфов он готов вообще на всё. У молота есть своя тайна. Несколько веков тому назад им владел дварф по имени Ктенмиир, ставший позже вампиром. Его воля была такой сильной, что он использовал Сокрушитель в злых целях, и даже убивал им членов своего клана.</t>
  </si>
  <si>
    <t>Статуэтка чудесной силы золотой канарейки</t>
  </si>
  <si>
    <t>Эта золотая статуэтка вырезана в виде канарейки и достаточно мала, чтобы поместиться в кармане. Если вы действием произнесёте командное слово и бросите статуэтку на расстояние до 60 футов, статуэтка становится живым существом в одной из двух форм (по вашему выбору). Если пространство, в котором существо должно появиться, занято другим существом или предметом, или если для этого существа просто нет пространства, статуэтка не становится существом. Свойства двух форм заключаются в следующем:
Форма гигантской канарейки. Статуэтка становится гигантской канарейкой на 8 часов, и на ней можно ездить верхом. Как только статуэтка превратится в гигантскую канарейку, её нельзя будет использовать таким образом повторно до следующего рассвета.
Форма золотого дракона. Пока у вас нет половины или более ваших хитов, вы можете произнести другое командное слово, и фигурка станет взрослым золотым драконом на 1 час. Дракон не может использовать какие-либо легендарные действия или действия в логове. Как только фигурка станет взрослым золотым драконом, её нельзя будет использовать таким образом повторно, пока не пройдёт 1 год.
В любой форме это существо дружественно по отношению к вам и вашим спутникам. Оно понимает ваши языки и подчиняется устным командам. Если вы не отдаёте команды, существо обороняется, но других действий не совершает.
Существо существует в течение времени, зависящего от его формы. В конце этого периода существо вновь становится статуэткой. Оно становится статуэткой преждевременно, если его хиты опускаются до 0, или если вы действием произнесёте командное слово, касаясь его. Когда существо становится статуэткой, её свойства нельзя использовать повторно, пока не пройдёт определённое количество времени, специфичное для каждой формы.</t>
  </si>
  <si>
    <t>Сумрачная жемчужина</t>
  </si>
  <si>
    <t>Этот чёрный как смоль шар диаметром 6 дюймов, используемый для вызова ночи, холоден на ощупь. Вы можете потратить 10 минут, чтобы активировать его, в результате чего область в пределах 10 миль от него в момент активации погрузится в ночь, даже если сейчас дневное время. Эта ночь длится 24 часа, пока вы не отмените её действием или пока ваша настройка на жемчужину не закончится. После использования жемчужина не может быть использована снова в течение 24 часов.</t>
  </si>
  <si>
    <t>Сфера аннигиляции</t>
  </si>
  <si>
    <t>Этот чёрный шар диаметром 2 фута является дырой в ткани мультивселенной, стабилизированной окружающим магическим полем и парящей на месте.
Сфера уничтожает всю материю, через которую проходит и всю материю, проходящую сквозь неё. Артефакты — исключение. Если в описании артефакта не сказано, что он подвержен урону от сферы аннигиляции, то он проходит сквозь сферу невредимым. Всё остальное, что касается сферы, но не помещается в неё целиком, получает урон силовым полем 4к10.
Сфера находится в состоянии покоя, пока кто нибудь не начнёт её контролировать. Если вы находитесь в пределах 60 футов от неконтролируемой сферы, вы можете действием совершить проверку Интеллекта (Магия) Сл 25. При успехе сфера левитирует в выбранном вами направлении на расстояние в футах, не превышающее 5 × ваш модификатор Интеллекта (минимум 5 футов). При провале сфера перемещается на 10 футов в вашу сторону. Существа, в чьё пространство входит сфера, должны преуспеть в спасброске Ловкости Сл 13, иначе они коснутся сферы и получат урон силовым полем 4к10.
Если вы пытаетесь контролировать сферу, находящуюся под контролем другого существа, вы совершаете проверку Интеллекта (Магия), противопоставленную проверке Интеллекта (Магия) другого существа. Победитель получает контроль над сферой и может управлять ей как описано выше.
Если сфера вступает в контакт с планарным порталом, например, созданным заклинанием врата [gate], или межпространственным феноменом, таким как переносная дыра, Мастер случайным образом определяет, что произойдёт, используя следующую таблицу:
к100        Результат
01-50        Сфера уничтожается.
51-85        Сфера проходит через портал или оказывается в межпространственном месте.
86-00        Разрыв в пространстве отправляет все существа и предметы, находящиеся в пределах 180 футов от сферы, включая саму сферу, на случайный план существования.</t>
  </si>
  <si>
    <t>Сфера Скориуса</t>
  </si>
  <si>
    <t>Говорят, что эта полированная каменная сфера наполнена мудростью и силой бога Скорауса и украшена переливающимися кристаллами, которые, кажется, светятся изнутри. Шар имеет диаметр 8 дюймов и весит 8 фунтов, что делает его безделушкой размером с ладонь для каменного великана, но более громоздким предметом для существа Среднего размера.
Удерживая эту сферу, вы можете использовать её в качестве магической фокусировки. Вы также получаете следующие преимущества:
Обильные компоненты. Сфера имеет 3 заряда и восстанавливает все израсходованные заряды на рассвете. Когда вы накладываете заклинание, удерживая эту сферу, вы можете потратить до 3 зарядов, чтобы игнорировать материальные компоненты заклинания со стоимостью до 300 зм за каждый израсходованный заряд.
Проницательный разум. Вы получаете бонус +2 к любому спасброску Телосложения, который вы совершаете, чтобы поддерживать концентрацию на заклинании.
Божественное зрение. Вы можете нормально видеть в темноте, как магической, так и немагической, на расстоянии 120 футов.</t>
  </si>
  <si>
    <t>Талисман абсолютного зла</t>
  </si>
  <si>
    <t>существом со злым мировоззрением</t>
  </si>
  <si>
    <t>Этот предмет символизирует чистое зло. Существа, чьё мировоззрение и не доброе и не злое, получают урон некротической энергией 6к6, когда прикасаются к талисману. Доброе существо получает урон некротической энергией 8к6, когда прикасается к талисману. Все эти существа получают такой же урон каждый раз, когда оканчивают ход, держа или неся талисман.
Если вы — злой жрец или паладин, вы можете использовать талисман как святой символ, и вы получаете бонус +2 к броскам атаки заклинаний, пока носите или держите его.
У талисмана есть 6 зарядов. Если вы носите или держите его, вы можете действием потратить 1 заряд и выбрать одно существо, которое видите находящимся на полу в пределах 120 футов от вас. Если у цели доброе мировоззрение, под ней откроется огненная расщелина. Цель должна преуспеть в спасброске Ловкости Сл 20, иначе она упадёт в расщелину и уничтожится, не оставив после себя останков. Расщелина после этого закрывается, не оставляя следов. Когда вы тратите последний заряд, талисман растворяется дурно пахнущей слизью и уничтожается.</t>
  </si>
  <si>
    <t>Талисман сферы</t>
  </si>
  <si>
    <t>Когда вы совершаете проверку Интеллекта (Магия) для контроля сферы аннигиляции, держа этот талисман, вы удваиваете бонус мастерства для этой проверки. Кроме того, если вы начинаете ход, удерживая контроль над сферой аннигиляции [sphere of annihilation], вы можете действием сделать так, что она переместится на 10 футов плюс количество футов, равное 10 × ваш модификатор Интеллекта.</t>
  </si>
  <si>
    <t>Талисман чистого добра</t>
  </si>
  <si>
    <t>существом с добрым мировоззрением</t>
  </si>
  <si>
    <t>Этот талисман — могущественный символ добра. Существа, чьё мировоззрение и не доброе и не злое, получают урон излучением 6к6, когда прикасаются к талисману. Злое существо получает урон излучением 8к6, когда прикасается к талисману. Все эти существа получают такой же урон каждый раз, когда оканчивают ход, держа или неся талисман.
Если вы — добрый жрец или паладин, вы можете использовать талисман как святой символ, и вы получаете бонус +2 к броскам атаки заклинаний, пока носите или держите его.
У талисмана есть 7 зарядов. Если вы носите или держите его, вы можете действием потратить 1 заряд и выбрать одно существо, которое видите находящимся на полу в пределах 120 футов от вас. Если у цели злое мировоззрение, под ней откроется огненная расщелина. Цель должна преуспеть в спасброске Ловкости Сл 20, иначе она упадёт в расщелину и уничтожится, не оставив после себя останков. Расщелина после этого закрывается, не оставляя следов. Когда вы тратите последний заряд, талисман распадается искрами золотистого света и уничтожается.</t>
  </si>
  <si>
    <t>Татуировка кровавой ярости</t>
  </si>
  <si>
    <t>Нанесённая специальной иглой, эта магическая татуировка воплощает ярость своими цветами и формой.
Настройка на татуировку. Чтобы настроиться на этот предмет, вам необходимо на протяжении всего времени настройки нажимать иглой на кожу там, где вы хотите, чтобы татуировка находилась. Когда настройка завершается, игла превращается в чернила, которые принимают очертания нарисованного вами узора на коже.
Если ваша настройка на татуировку заканчивается, она исчезает, а игла снова появляется в вашем пространстве.
Кровожадные удары. Татуировка имеет 10 зарядов, и она ежедневно восстанавливает все заряды на рассвете. Пока эта татуировка находится на вашей коже, вы получаете следующие преимущества:
Когда вы попадаете по существу атакой оружием, вы можете потратить заряд, чтобы нанести цели дополнительные 4к6 урона некротической энергией и восстановить себе количество хитов, равное нанесенному урону некротической энергией.
Когда существо, которое вы можете видеть, наносит вам урон, вы можете потратить заряд и реакцией совершить рукопашную атаку с преимуществом против этого существа.</t>
  </si>
  <si>
    <t>Телескопический транспортёр</t>
  </si>
  <si>
    <t>Этот огромный телескоп позволяет вам наблюдать удаленные небесные объекты, включая звезды, Дикий космос и явления Астрального моря, такие как города божеств или окаменелые останки мертвых богов.
Потратив 1 час на калибровку телескопа, вы можете попытаться отправиться на планету или тело небожителя, на которое в данный момент направлен телескоп. В конце этого часа совершите проверку Интеллекта (Магия) Сл 17. В случае успеха вы и восемь других согласных существ касающихся телескопа, а также всё, что они на себе несут или носят, безопасно телепортируется в незанятые пространства в предполагаемом пункте назначения. При провале вместо этого происходит сбой. Мастер совершает бросок по таблице «Неудачи при путешествиях с помощью телескопа», определяя или выбирая неудачу, что полезна для кампании
Неудачи при путешествиях с помощью телескопа
к6        Неудача
1        Путешественники оказываются дрейфующими в Астральном море.
2        Путешественники появляются на другом плане существования, определяемом случайным образом или выбранном Мастером.
3        Избыток космической энергии перегружает телескоп, в результате чего он взрывается. Каждое существо в пределах 60 футов от телескопа получает 8к6 урона некротической энергией. Любой гуманоид, переживший это повреждение, превращается в существо другого вида, как если бы на него было наложено заклинание реинкарнация [reincarnate].
4        Существо из Астрального моря (например, гитъянки-рыцарь [githyanki knight]) появляется в пределах 60 футов от телескопа. Мастер определяет его поведение.
5        Путешественники оказываются на другой планете или теле небожителя в Диком космосе, ближайшему к месту их назначения.
6        Путешественники прибывают в пункт назначения, но каждый из них кажется покрытым безвредной слизью.</t>
  </si>
  <si>
    <t>Универсальный растворитель</t>
  </si>
  <si>
    <t>В этом тюбике находится молочно-белая жидкость с сильным запахом спирта. Вы можете действием вылить содержимое тюбика на поверхность в пределах досягаемости. Она мгновенно растворяет до 1 квадратного фута клейкой субстанции, которой касается, включая превосходный клей [sovereign glue].</t>
  </si>
  <si>
    <t>Цеп Тиамат</t>
  </si>
  <si>
    <t>Этот магический цеп сделан по образу Тиамат, с пятью зазубренными головами, выполненными в форме пяти голов различных цветных драконов. Вы получаете бонус +3 к броскам атаки и урона, совершенным с помощью этого цепа. Когда вы попадаете по существу атакой совершенной этим магическим оружием, цель дополнительно получает 5к4 урона одним выбранным вами типом: кислота, огонь, холод, электричество или яд.
Удерживая цеп, вы можете использовать действие и произнести командное слово, чтобы заставить головы выдохнуть разноцветное пламя 90-футовым конусом.
Все существа в этой области должны совершить спасбросок Ловкости Сл 18. В случае провала существо получает 14к6 урона одним из следующих типов урона (по вашему выбору): кислота, огонь, холод, электричество или яд. В случае успеха существо получает половину этого урона. Вы не можете повторно использовать это свойство цепа до следующего рассвета.</t>
  </si>
  <si>
    <t>Чёрный клинок</t>
  </si>
  <si>
    <t>существом с любым мировоззрением, кроме законного</t>
  </si>
  <si>
    <t>Скрытый в подземельях горы Белый Шлейф, Чёрный клинок сияет как кусочек ночного неба, заполненный звёздами. Его чёрные ножны украшены кусочками обсидиана.
Вы получаете бонус +3 к броскам атаки и урона, совершённым этим оружием. Оно обладает следующими дополнительными свойствами:
Пожирание души. Каждый раз, когда вы опускаете этим мечом хиты существа до 0, он убивает существо и пожирает его душу, если только это не конструкт и не нежить. Существо, чья душа пожрана Чёрным клинком, может вернуться к жизни только посредством заклинания исполнение желаний [wish].
Пожрав душу, Чёрный клинок дарует вам временные хиты, равные максимуму хитов убитого существа. Эти хиты исчезнут через 24 часа. Пока у вас есть эти временные хиты, и вы держите Чёрный клинок в руке, вы совершаете с преимуществом броски атаки, спасброски и проверки характеристик. Если вы попадаете этим оружием по нежити, вы получаете 1к10 урона некротической энергией, а цель восстанавливает 1к10 хитов. Если этот урон опускает ваши хиты до 0, Чёрный клинок пожирает вашу душу.
Охотник на души. Пока вы держите это оружие в руках, вы знаете о присутствии существ с размером не меньше Крохотного в пределах 60 футов от вас, не являющихся конструктами и нежитью. Кроме того, вы не можете быть очарованными и испуганными. Чёрный клинок может один раз в день наложить на вас заклинание ускорение [haste]. Он сам решает, когда это сделать, и сам поддерживает концентрацию.
Разум. Чёрный клинок — разумное хаотично нейтральное оружие с Интеллектом 17, Мудростью 10 и Харизмой 19. Он обладает слухом и тёмным зрением в пределах 120 футов Это оружие может понимать Общий язык, а также говорить и читать на нём и телепатически общаться с владельцем. У него низкий и раскатистый голос. Пока вы настроены на Чёрный клинок, он также понимает все языки, известные вам.
Индивидуальность. Чёрный клинок разговаривает повелительным тоном, словно привыкнув, что ему подчиняются.
Его предназначение в пожирании душ. Ему всё равно чью душу он пожрёт, даже если это будет владелец. Он считает, что все виды материи и энергии происходят от пустоты негативной энергии, и когда-нибудь туда вернутся. Сам же он лишь ускоряет этот процесс.
Несмотря на весь нигилизм, Чёрный клинок чувствует странное родство с Волной [wave] и Сокрушителем [whelm], двумя другими оружиями, хранящимися под горой Белый Шлейф. Он хочет, чтобы эти три оружия были вместе и совместно использовались в сражениях, несмотря на то, что он не согласен с Сокрушителем и считает Волну занудной.
Жажду душ Чёрного клинка нужно постоянно удовлетворять. Если меч в течение трёх дней не пожрёт ничью душу, на следующем закате у него возникает конфликт с владельцем.</t>
  </si>
  <si>
    <t>Шкура дикого стража</t>
  </si>
  <si>
    <t>Лёгкий</t>
  </si>
  <si>
    <t>Считается, что эти начищенные и прекрасно выделанные кожаные доспехи были подарком Мелоры, дарованным давно забытому верховному друиду и защитнику мира природы перед тем как начались ужасы Катастрофы.
Дремлющий. Пока вы облачены в этот доспех находящийся в дремлющем состоянии, вы получаете следующие преимущества:
Доспех даёт вам бонус +1 к КД.
В то время как вы трансформируетесь с помощью эффекта, заменяющим любую вашу игровую характеристику на характеристику другого существа, вы получаете бонус +1 к броскам атаки ближнего боя и урона, и вы сохраняете преимущества этой брони.
Действием вы можете использовать доспех, чтобы наложить на себя заклинание превращение [polymorph], превращаясь в гигантскую сову [giant owl], сохраняя при этом свои значения Интеллекта, Мудрости и Харизмы. Это свойство не может быть использовано снова до следующего рассвета.
Пробуждённый. Когда доспех достигает пробуждённого состояния, он приобретает следующие свойства:
Бонус к КД увеличивается до +2.
В то время как вы трансформируетесь с помощью эффекта, заменяющим любую вашу игровую характеристику на характеристику другого существа, ваш бонус к атаке в ближнем бою и броскам урона увеличивается на 1 (до +2).
Когда вы произносите заклинание превращение [polymorph], используя этот доспех, вы можете превратиться в пещерного медведя [cave bear].
Возвышенный. Когда доспех достигает возвышенного состояния, он приобретает следующие свойства:
Бонус к КД увеличивается до +3.
В то время как вы трансформируетесь с помощью эффекта, заменяющим любую вашу игровую характеристику на характеристику другого существа, ваш бонус к атаке в ближнем бою и броскам урона увеличивается на 1 (до +3).
Когда вы произносите заклинание превращение [polymorph], используя эту броню, вы можете превратиться в волка-хранителя [guardian wolf].</t>
  </si>
  <si>
    <t>Штормовой пояс</t>
  </si>
  <si>
    <t>Пояс</t>
  </si>
  <si>
    <t>Штормовой пояс - это широкий пояс из толстой кожи с эмблемой Корда. Застежки пояса сделаны из драконьей кости.
Дремлющий. Пока вы носите штормовой пояс находящийся в дремлющем состоянии, вы получаете сопротивление урону электричеством и звуком, а ваше значение Силы становится 21, если оно ещё не 21 или выше.
Кроме того, вы можете использовать Действие, чтобы на 1 минуту стать Воплощением шторма, получая следующие преимущества на протяжении всего этого времени:
Вы получаете иммунитет к урону электричеством и звуком.
Когда вы попадаете атакой оружием, которое обычно наносит дробящий урон, вместо этого оно наносит урон звуком. Когда вы попадаете атакой оружием, которое обычно наносит колющий или рубящий урон, вместо этого оно наносит урон электричеством.
Бонусным действием вы можете выбрать одно существо, которое вы можете видеть в пределах 30 футов от вас, чтобы поразить его молнией. Цель должна совершить спасбросок Ловкости Сл 15, получая 3к6 урона электричеством при провале или вдвое меньше урона при успехе. 
Как только вы используете свойство пояса для трансформации в Воплощение шторма, это свойство не может быть использовано снова до следующего рассвета.
Пробуждённый. Нося штормовой пояс в пробуждённом состоянии, вы получаете следующие преимущества:
Значение вашей Силы становится равным 23, если оно ещё не 23 или выше.
Удар молнии вашего Воплощения шторма наносит 4к6 (вместо 3к6) урона электричеством.
Превращаясь в Воплощение шторма, вы получаете скорость полёта 30 футов и способность парить.
Возвышенный. Нося штормовой пояс в его возвышенном состоянии, вы получаете следующие преимущества:
Значение вашей Силы становится равным 25, если оно ещё не 25 или выше.
Удар молнии вашего Воплощения шторма наносит 5к6 (вместо 3к6) урона электричеством.
Вы можете наложить заклинание власть над погодой [control weather] с помощью пояса. Это свойство не может быть использовано снова до следующего рассвета.</t>
  </si>
  <si>
    <t>Щит пылающего дредноута</t>
  </si>
  <si>
    <t>Созданный по образцу грозных шипастых башенных щитов, которыми владеют некоторые огненные великаны, этот железный щит излучает постоянное тепло.
Вы можете бонусным действием активировать щит, заставляя светящуюся лаву течь через канавки щита в течение 1 минуты. Пока щит активен, вы получаете следующие преимущества:
Пылающая душа. Вы получаете иммунитет к урону огнём.
Очищающий огонь. Вы можете действием заставить щит вспыхнуть очищающим огнём бога Суртура. Выберите одно существо, которое вы можете видеть в пределах 30 футов от себя (вы можете выбрать себя). Одна болезнь или состояние, из списка далее, по вашему выбору, воздействующее на это существо, немедленно оканчивается; состоянием могут быть ослеплённый, очарованный, оглохший или отравленный.
Удар щитом. Когда вы совершаете действие Атака в свой ход, вы можете заменить одну из своих атак ударом щитом, нацеливаясь на одно существо, которое вы можете видеть в пределах 5 футов от себя. Цель должна совершить спасбросок Силы (Сл равен 8 + ваш бонус мастерства + ваш модификатор Силы). При провале цель получает 3к6 дробящего урона плюс 3к6 урона огнём и сбивается с ног. При успешном спасброске цель получает только половину урона. Вы можете использовать Удар щитом только один раз за ход.
После того, как щит был активирован, его нельзя активировать снова до следующего рассвета.</t>
  </si>
  <si>
    <t>Эгида Эвриаллы</t>
  </si>
  <si>
    <t>На этом блестящем латунном щите изображена легендарная медуза-друид Эвриала.
Держа этот щит, вы получаете следующие преимущества:
Благословение Эвриалы. Вы обладаете сопротивлением к урону ядом и иммунитетом к состоянию окаменевший.
Окаменевшая геральдика. Бонусным действием вы можете заставить переднюю часть щита вспыхнуть с помощью окаменевшей магии медузы, причем глаза на рельефе будут ярко светиться. Выберите одно существо, которое вы видите в пределах 30 футов от себя. Существо должно совершить спасбросок Телосложения со Сл 20, иначе оно становиться опутанным начиная превращаться в камень. Опутанное существо должно совершить ещё один спасбросок Телосложения Сл 20 в начале своего следующего хода. При провале существо становится окаменевшим на 24 часа. При успешном спасброске состояние опутанный прекращается. После того, как это бонусное действие будет использовано, его нельзя будет использовать снова до следующего рассвета.
Наложение заклинаний. Держа этот щит, вы можете действием наложить одно из следующих заклинаний: малое восстановление [lesser restoration], поиск существа [locate creature], путешествие через растения [transport via plants]. Как только вы используете щит, чтобы наложить заклинание, оно не может быть наложено с его помощью снова до следующего рассвета.</t>
  </si>
  <si>
    <t>Алхимический сборник</t>
  </si>
  <si>
    <t>Редкий</t>
  </si>
  <si>
    <t>В этот испачканный тяжёлый том въелись едкие запахи. Металлическое обрамление обложки отлито из меди, железа, свинца, серебра и золота, застывших в ходе трансмутации одного металла в другой. Найденная книга содержит следующие заклинания: газообразная форма [gaseous form], магическое оружие [magic weapon], окаменение [flesh to stone], падение пёрышком [feather fall], превращение [polymorph] и увеличение/уменьшение [enlarge/reduce]. Эта книга функционирует для вас как книга заклинаний.
Когда вы держите книгу, вы можете использовать её в качестве заклинательной фокусировки для ваших заклинаний волшебника.
Книга имеет 3 заряда и ежедневно восстанавливает 1к3 заряда на рассвете. Вы можете использовать заряды следующими способами, пока держите книгу:
Если вы потратите 1 минуту на изучение книги, вы можете израсходовать 1 заряд и заменить одно из своих подготовленных заклинаний волшебника на другое заклинание из книги. Новое заклинание должно принадлежать школе Преобразования.
Действием вы можете коснуться немагического предмета, который никто не несёт и не носит, и потратить некоторое количество зарядов, чтобы превратить его в другой предмет. При расходовании 1 заряда каждое из измерений предмета не должно превышать 1 фут; вы можете потратить дополнительные заряды, чтобы увеличить максимальные размеры на 2 фута за каждый последующий заряд. Стоимость нового предмета в золоте не может быть больше, чем стоимость оригинала.</t>
  </si>
  <si>
    <t>Амулет здоровья</t>
  </si>
  <si>
    <t>Пока вы носите этот амулет, значение вашего Телосложения увеличивается на 4, с максимумом в 19.</t>
  </si>
  <si>
    <t>Арбалет звёздострел</t>
  </si>
  <si>
    <t>Арбалет</t>
  </si>
  <si>
    <t>Этот арбалет изготовлен из почерневшего дерева, а его плечи украшены перламутровыми вставками с изображением созвездий. Вы игнорируете свойство перезарядка данного арбалета. Если вы не заряжаете оружие боеприпасами, оно создаёт свои собственные, автоматически создавая один магический боеприпас, когда вы совершаете им дальнобойную атаку. Боеприпасы, создаваемые оружием, исчезают в тот момент, когда они попадают в цель или промахивается мимо неё. Арбалет имеет 3 заряда и восстанавливает 1к3 израсходованных зарядов ежедневно на рассвете.
Созвездия. Арбалет украшен тремя созвездиями. Бонусным действием вы можете нажать на одно из созвездий, чтобы активировать его, расходуя 1 заряд и создавая один из следующих эффектов:
Баланс. В следующий раз, когда вы попадаете по существу броском дальнобойной атаки, совершённой с помощью этого арбалета, до конца вашего следующего хода, вы или другое существо по вашему выбору, находящееся в пределах 30 футов от вас можете восстановить количество хитов, равное 1к8 плюс ваш бонус мастерства.
Пламя. До конца вашего следующего хода, когда вы попадаете по существу броском дальнобойной атаки, совершённой с помощью этого арбалета, атака дополнительно наносит 2к8 урона огнём.
Плут. До конца вашего следующего хода вы становитесь невидимым, и все, что вы носите или несёте, также становится невидимым.</t>
  </si>
  <si>
    <t>Архив астромантии</t>
  </si>
  <si>
    <t>Этот латунный диск из сочленённых концентрических колец разворачивается в армиллярную сферу. Бонусным действием вы можете развернуть диск в сферу или свернуть её обратно в диск. Найденный архив содержит следующие заклинания, которые являются для вас заклинаниями волшебника, пока вы настроены на него: гадание [augury], поиск предмета [locate object], поиск пути [find the path], поиск существа [locate creature], предвидение [foresight] и предсказание [divination]. Он функционирует для вас как книга заклинаний, с заклинаниями, закодированными на кольцах.
Пока вы держите архив, вы можете использовать его в качестве заклинательной фокусировки для ваших заклинаний волшебника.
Архив имеет 3 заряда и ежедневно восстанавливает 1к3 заряда на рассвете. Вы можете использовать заряды следующими способами, пока держите архив:
Если вы потратите 1 минуту на изучение архива, вы можете израсходовать 1 заряд, чтобы заменить одно из своих подготовленных заклинаний волшебника на другое заклинание из архива. Новое заклинание должно принадлежать школе Прорицания.
Когда существо, которое вы можете видеть в пределах 30 футов, совершает бросок атаки, проверку характеристики или спасбросок, вы можете реакцией, израсходовав 1 заряд, заставить существо бросить к4 и добавить результат, в качестве бонуса или штрафа (по вашему выбору), к исходному броску. Вы можете сделать это после того, как увидите результат броска, но до того, как эффекты броска вступят в силу.</t>
  </si>
  <si>
    <t>Астральный осколок</t>
  </si>
  <si>
    <t>чародеем</t>
  </si>
  <si>
    <t>Этот кристалл — затвердевший осколок Астрального плана, окутанный серебристым туманом. Действием вы можете прикрепить осколок к Крошечному предмету (например, оружию или ювелирному изделию) или отсоединить его. Он отпадает самостоятельно, если ваша настройка на него заканчивается. Вы можете использовать осколок в качестве заклинательной фокусировки, пока вы несёте или носите его.
Когда вы используете метамагию для накладывания заклинания, пока несёте или носите осколок, сразу же после накладывания заклинания вы можете телепортироваться в свободное пространство, которое можете видеть в пределах 30 футов.</t>
  </si>
  <si>
    <t>Атлас бесконечных горизонтов</t>
  </si>
  <si>
    <t>Эта толстая книга имеет тёмный кожаный переплёт, инкрустированный пересекающимися серебряными линиями, напоминающими карту или схему. Найденная книга содержит следующие заклинания, которые являются для вас заклинаниями волшебника, пока вы настроены на неё: врата [gate], круг телепортации [teleportation circle], магические врата [arcane gate], переносящая дверь [dimension door], слово возврата [word of recall], туманный шаг [misty step] и уход в иной мир [plane shift]. Эта книга функционирует для вас как книга заклинаний.
Когда вы держите книгу, вы можете использовать её в качестве заклинательной фокусировки для ваших заклинаний волшебника.
Книга имеет 3 заряда и ежедневно восстанавливает 1к3 заряда на рассвете. Вы можете использовать заряды следующими способами, пока держите книгу:
Если вы потратите 1 минуту на изучение книги, вы можете израсходовать 1 заряд и заменить одно из своих подготовленных заклинаний волшебника на другое заклинание из книги. Новое заклинание должно принадлежать школе Вызова.
Когда по вам попадают атакой, вы можете реакцией израсходовать 1 заряд, чтобы телепортироваться в свободное пространство, которое вы можете видеть в пределах 10 футов. Если ваша новая позиция находится вне досягаемости атаки, она промахивается по вам.</t>
  </si>
  <si>
    <t>Боевой рог доблести</t>
  </si>
  <si>
    <t>На этом латунном роге выгравирована руна «Война», которая светится фиолетовым, когда трубят в рог.
Бонусным действием вы можете протрубить в рог. Когда вы это делаете, если вы испуганы, вы немедленно оканчиваете это состояние на себе. Вы также совершаете с преимуществом спасброски от испуга до начала своего следующего хода.
Пробуждение руны. Когда вы трубите в рог, вы также можете пробудить руну, наполняя глубокий зов рога защитной магией, воздействующей на существ по вашему выбору в пределах 30 футов от вас. Вы и все затронутые существа получаете бонус +1 к КД до начала вашего следующего хода.
После того, как руна была пробуждена, она не может быть пробуждена снова до следующего рассвета.</t>
  </si>
  <si>
    <t>Булава распада</t>
  </si>
  <si>
    <t>Если вы попадаете этим магическим оружием по Исчадию или Нежити, это существо получает дополнительные 2к6 урона излучением. Если у цели после получения этого урона 25 или меньше хитов, она должна преуспеть в спасброске Мудрости Сл 15, иначе будет уничтожена. При успешном спасброске существо становится испуганным вами до конца вашего следующего хода.
Пока вы держите это оружие, оно излучает яркий свет в радиусе 20 футов и тусклый свет в радиусе ещё 20 футов.</t>
  </si>
  <si>
    <t>Булава кары</t>
  </si>
  <si>
    <t>Вы получаете бонус +1 к броскам атаки и урона, совершённым этим магическим оружием. Бонус увеличивается до +3, если атакуется Конструкт.
Если у вас выпадает «20» при броске атаки этим оружием, цель получает дополнительный дробящий урон 7 или дополнительный дробящий урон 14, если это был конструкт. Если у конструкта осталось 25 или меньше хитов после получения этого урона, он уничтожается.</t>
  </si>
  <si>
    <t>Булава ужаса</t>
  </si>
  <si>
    <t>У этого оружия есть 3 заряда. Если вы его держите, вы можете действием потратить 1 заряд, чтобы испустить волну ужаса. Все существа на ваш выбор в пределах 30 футов должны преуспеть в спасброске Мудрости Сл 15, иначе станут испуганными вами на 1 минуту. Будучи испуганным таким способом, существо должно тратить ходы на то, чтобы переместиться как можно дальше от вас, и не может добровольно перемещаться в пространство в пределах 30 футов от вас. Оно также не может совершать реакции. Из всех своих действий существо может использовать только Рывок или пытаться освободиться от эффекта, препятствующего его передвижению. Если двигаться некуда, существо может использовать действие Уклонение. В конце каждого своего хода существо может повторять спасбросок, оканчивая эффект при успехе.
Булава ежедневно восстанавливает 1к3 заряда на рассвете.</t>
  </si>
  <si>
    <t>Бусина силы</t>
  </si>
  <si>
    <t>Это маленький чёрный шарик 3/4 дюйма в диаметре и весом в одну унцию. Как правило, 1к4 + 4 бусин силы находят вместе.
Вы можете действием бросить бусину на расстояние до 60 футов. Бусина взрывается при ударе и уничтожается. Все существа, находящиеся в пределах 10 футов от места приземления бусины, должны преуспеть в спасброске Ловкости Сл 15, иначе получат урон силовым полем 5к4. После этого на этой площади образуется прозрачная сфера из силового поля, остающаяся на этом месте в течение 1 минуты. Все существа, провалившие спасбросок и полностью находящиеся в пределах этой площади, оказываются запертыми внутри сферы. Существа, преуспевшие в спасброске, или находящиеся в этой сфере лишь частично, выталкиваются прочь от центра сферы, пока полностью не окажутся за пределами действия силового поля. Никакие атаки и эффекты не могут проникать сквозь сферу — только воздух, пригодный для дыхания.
Запертое внутри существо может действием толкать сферу, перемещая её со своей уменьшенной вдвое скоростью. Сферу можно легко поднять, так как вне зависимости от веса существ, находящихся в ней, она весит всего 1 фунт.</t>
  </si>
  <si>
    <t>Верёвка опутывания</t>
  </si>
  <si>
    <t>Это 30-футовая верёвка, весящая 3 фунта. Если вы держите один конец верёвки и действием произносите командное слово, другой конец устремляется вперёд, чтобы обмотаться вокруг существа, которое вы видите в пределах 20 футов. Цель должна преуспеть в спасброске Ловкости Сл 15, иначе она станет опутанной.
Вы можете отпустить существо, произнеся бонусным действием второе командное слово. Цель, опутанная верёвкой, может действием совершать проверку Силы или Ловкости (на свой выбор) Сл 15. При успехе существо перестаёт быть опутанным верёвкой.
У верёвки КД 20 и 20 хитов. Она восстанавливает 1 хит каждые 5 минут, если у неё есть хотя бы 1 хит. Если хиты верёвки опускаются до 0, она уничтожается.</t>
  </si>
  <si>
    <t>Ветвь с колокольчиками</t>
  </si>
  <si>
    <t>Этот серебряный предмет имеет форму ветви с расположенными на ней маленькими золотыми колокольчиками. Пока вы держите ветвь, она служит заклинательной фокусировкой для ваших заклинаний.
Ветвь имеет 3 заряда и ежедневно восстанавливает 1к3 заряда на рассвете. Вы можете использовать заряды следующими способами, пока держите ветвь:
Бонусным действием вы можете потратить 1 заряд, чтобы обнаружить присутствие Аберраций, Исчадий, Конструктов, Небожителей, Нежити, Фей или Элементалей в пределах 60 футов от вас. Если такие существа присутствуют и не имеют полного укрытия от вас, колокольчики мягко звенят, их тон указывает на вид присутствующих существ.
Вы можете действием потратить 1 заряд, чтобы наложить заклинание защита от зла и добра [protection from evil and good].</t>
  </si>
  <si>
    <t>Волшебная палочка молний</t>
  </si>
  <si>
    <t>У этой волшебной палочки 7 зарядов. Если вы её держите, вы можете действием потратить 1 или несколько зарядов, чтобы наложить ей заклинание молния [lightning bolt] (Сл спасброска 15). За 1 заряд вы накладываете это заклинание 3-го уровня. Вы можете увеличить уровень заклинания на 1 за каждый дополнительный используемый заряд.
Палочка ежедневно восстанавливает 1к6 + 1 заряд на рассвете. Если вы истратили последний заряд в палочке, бросьте к20. Если выпадет «1», палочка рассыплется в пыль и уничтожится.</t>
  </si>
  <si>
    <t>Волшебная палочка обнаружения врагов</t>
  </si>
  <si>
    <t>У этой волшебной палочки 7 зарядов. Если вы её держите, вы можете действием потратить 1 заряд, чтобы сказать командное слово. В течение следующей минуты вы знаете направление к ближайшему существу, враждебному к вам и находящемуся в пределах 60 футов, но не расстояние до него. Палочка может чувствовать присутствие враждебных существ, которые эфирны, невидимы, замаскированы или прячутся, а также тех, кто и так видны. Эффект оканчивается, если вы перестаёте держать палочку.
Палочка ежедневно восстанавливает 1к6 + 1 заряд на рассвете. Если вы истратили последний заряд в палочке, бросьте к20. Если выпадет «1», палочка рассыплется в пыль и уничтожится.</t>
  </si>
  <si>
    <t>Волшебная палочка огненных шаров</t>
  </si>
  <si>
    <t>У этой волшебной палочки 7 зарядов. Если вы её держите, вы можете действием потратить 1 или несколько зарядов, чтобы наложить ей заклинание огненный шар [fireball] (Сл спасброска 15). За 1 заряд вы накладываете это заклинание 3-го уровня. Вы можете увеличить уровень заклинания на 1 за каждый дополнительный используемый заряд.
Палочка ежедневно восстанавливает 1к6 + 1 заряд на рассвете. Если вы истратили последний заряд в палочке, бросьте 1к20. Если выпадет «1», палочка рассыплется в пыль и уничтожится.</t>
  </si>
  <si>
    <t>Волшебная палочка паралича</t>
  </si>
  <si>
    <t>У этой волшебной палочки 7 зарядов. Если вы её держите, вы можете действием потратить 1 заряд, чтобы выпустить из её кончика тонкий синий луч в сторону существа, которое видите в пределах 60 футов. Цель должна преуспеть в спасброске Телосложения Сл 15, иначе она станет парализованной на 1 минуту. В конце каждого своего хода цель может повторять спасбросок, оканчивая эффект на себе при успехе.
Палочка ежедневно восстанавливает 1к6 + 1 заряд на рассвете. Если вы истратили последний заряд в палочке, бросьте к20. Если выпадет «1», палочка рассыплется в пыль и уничтожится.</t>
  </si>
  <si>
    <t>Волшебная палочка сковывания</t>
  </si>
  <si>
    <t>У этой волшебной палочки 7 зарядов для использования описанными ниже свойствами. Она ежедневно восстанавливает 1к6 + 1 заряд на рассвете. Если вы истратили последний заряд в палочке, бросьте к20. Если выпадет «1», палочка рассыплется в пыль и уничтожится.
Заклинания. Если вы держите эту палочку, вы можете действием потратить часть зарядов, чтобы наложить одно из следующих заклинаний (Сл спасброска 17): удержание чудовища [hold monster] (5 зарядов) или удержание личности [hold person] (2 заряда).
Помощь в освобождении: Если вы держите эту палочку, вы можете реакцией потратить 1 заряд, чтобы получить преимущество для спасброска, совершаемого для того, чтобы не быть парализованным или опутанным, или вы можете потратить 1 заряд, чтобы получить преимущество для проверки, совершаемой, чтобы вырваться из захвата.</t>
  </si>
  <si>
    <t>Волшебная палочка страха</t>
  </si>
  <si>
    <t>У этой волшебной палочки 7 зарядов для использования описанными ниже свойствами. Она ежедневно восстанавливает 1к6 + 1 заряд на рассвете. Если вы истратили последний заряд в палочке, бросьте к20. Если выпадет «1», палочка рассыплется в пыль и уничтожится.
Приказ. Если вы держите эту палочку, вы можете действием потратить 1 заряд, чтобы приказать другому существу убежать или упасть, как заклинанием приказ [command] (Сл спасброска 15).
Конус страха. Если вы держите эту палочку, вы можете действием потратить 2 заряда, чтобы кончик палочки испустил 60-футовый конус янтарного света. Все существа в конусе должны преуспеть в спасброске Мудрости Сл 15, иначе они станут испуганными вами на 1 минуту. Будучи испуганным таким образом, существо обязано тратить ходы на то, чтобы переместиться максимально далеко от вас, и оно не может добровольно переместиться в пространство в пределах 30 футов от вас. Оно также не может совершать реакции. Действием существо может использовать только Рывок или пытаться освободиться от эффекта, препятствующего его передвижению. Если двигаться некуда, существо может использовать действие Уклонение. В конце каждого своего хода существо может повторять спасбросок, оканчивая эффект на себе при успехе.</t>
  </si>
  <si>
    <t>Волшебная палочка чудес</t>
  </si>
  <si>
    <t>У этой волшебной палочки 7 зарядов. Если вы её держите, вы можете действием потратить 1 заряд и выбрать цель в пределах 120 футов. Цель должна быть существом, предметом или точкой в пространстве. Бросьте к100 и определите последствия с помощью таблицы.
Если эффект накладывает заклинание, Сл спасброска от него равна 15. Если обычно у этого заклинания есть дистанция в футах, то эта дистанция становится равной 120 футам. Если эффект покрывает площадь, то вы должны сделать центром заклинания цель и включить её в качестве цели заклинания. Если эффект может воздействовать на несколько разных субъектов, Мастер случайным образом выбирает, кто станет целью. Палочка ежедневно восстанавливает 1к6 + 1 заряд на рассвете. Если вы истратили последний заряд в палочке, бросьте к20. Если выпадет «1», палочка рассыплется в пыль и уничтожится.
к100        Эффект
01-05        Вы накладываете заклинание замедление [slow].
06-10        Вы накладываете заклинание огонь фей [faerie fire].
11-15        Вы становитесь ошеломлённым до начала своего следующего хода и считаете, что только что произошло что-то невероятное.
16-20        Вы накладываете заклинание порыв ветра [gust of wind].
21-25        Вы накладываете заклинание обнаружение мыслей [detect thoughts] на выбранную цель. Если вы целились не в существо, то получаете урон психической энергией 1к6.
26-30        Вы накладываете заклинание зловонное облако [stinking cloud].
31-33        Область в пределах 60 футов от цели заполнятся сильным ливнем. Эта область становится слабо заслонённой. Ливень идёт до начала вашего следующего хода.
34-36        В ближайшем свободном пространстве у цели появляется животное. Животное не находится под вашим контролем и действует так, как уместно. Бросьте к100, чтобы определить, кто появился. При результате 01–25 появляется носорог [rhinoceros]; при результате 26–50 появляется слон [elephant]; при результате 51–100 появляется крыса [rat].
37-46        Вы накладываете заклинание молния [lightning bolt].
47-49        Область в пределах 30 футов заполняют 600 огромных бабочек. Это пространство становится сильно заслонённым. Бабочки остаются на 10 минут.
50-53        Вы увеличиваете цель, как если бы наложили заклинание увеличение/уменьшение [enlarge/reduce]. Если на цель не действует это заклинание, или если вы целились не в существо, то целью становитесь вы.
54-58        Вы накладываете заклинание тьма [darkness].
59-62        На земле в пределах 60 футов от цели вырастает трава. Если трава там уже была, то она вырастает в десять раз больше своего обычного размера и остаётся такой 1 минуту.
63-65        Один предмет на выбор Мастера переносится на Эфирный План. Этот предмет никто не должен ни носить, ни нести, он должен находиться в пределах 120 футов от цели, и не должен превышать 10 футов ни по одному из линейных размеров.
66-69        Вы уменьшаетесь, как если бы наложили на себя заклинание увеличение/уменьшение [enlarge/reduce].
70-79        Вы накладываете заклинание огненный шар [fireball].
80-84        Вы накладываете на себя заклинание невидимость [invisibility].
85-87        На цели вырастают листья. Если в качестве цели вы выбрали точку в пространстве, то листья вырастают на ближайшем к этой точке существе. Если листья не оборвать, они побуреют и опадут через 24 часа.
88-90        Из кончика палочки линией длиной 30 футов и шириной 5 футов выстреливают 1к4 × 10 драгоценных камней, стоящих по 1 зм каждый. Каждый камень причиняет дробящий урон 1, и общий урон от камней поровну делится между всеми существами в этой линии
91-95        От вас исходит 30-футовая вспышка переливающегося света. Вы и все существа в этой области, способные видеть, должны преуспеть в спасброске Телосложения Сл 15, иначе вы станете ослеплённым на 1 минуту. Существа могут повторять спасброски в конце каждого своего хода, оканчивая эффект на себе при успехе.
96-97        Кожа цели становится ярко-синей на 1к10 дней. Если вы выбрали точку в пространстве, то эффект действует на ближайшее к этой точке существо.
98-00        Если вы целились в существо, оно должно совершить спасбросок Телосложения Сл 15. Если вы целились не в существо, то сами становитесь целью и должны совершить спасбросок. Если спасбросок провален на 5 или больше единиц, цель мгновенно превращается в камень. При просто проваленном спасброске цель становится опутанной и начинает превращаться в камень. Будучи опутанной этой магией, цель должна повторить спасбросок в конце своего следующего хода, становясь окаменевшей при провале или оканчивая эффект при успехе. Окаменение длится, пока цель не будет освобождена заклинанием высшее восстановление [greater restoration] или подобной магией.</t>
  </si>
  <si>
    <t>Вопящие поножи</t>
  </si>
  <si>
    <t>Каждый из этих черных поножей украшен изображениями чудовищных черепов, вопящих от ужаса.
Поножи имеют 3 заряда. Надевая эти поножи, вы можете бонусным действием потратить 1 заряд, увеличивающий вашу скорость ходьбы на 30 футов, и давая вам преимущество на спасброски Ловкости. Эти эффекты действуют в течение 1 минуты. Ежедневно на рассвете поножи восстанавливают 1к3 израсходованных зарядов.
Проклятие. Эти поножи прокляты, и если вы настроитесь на них, проклятие распространится и на вас. Пока проклятие не будет снято при помощи заклинания снятие проклятия [remove curse] или подобной магией.
Вы с помехой совершаете спасброски против состояния испуганный. Всякий раз, когда вы начинаете свой ход испуганным, поножи издают пронзительный крик. Вы и каждое существо в пределах 10 футов от вас должны совершить спасбросок Телосложения Сл 15, получая 9 (2к8) урона звуком при провале или половину этого урона при успехе.</t>
  </si>
  <si>
    <t>Гремящий трактат</t>
  </si>
  <si>
    <t>Эта толстая обожжённая книга заклинаний пахнет дымом и озоном, а по краям её страниц потрескивают искры энергии. Найденная книга содержит следующие заклинания: волна грома [thunderwave], волшебная стрела [magic missile], Леомундова хижина [Leomund’s tiny hut], огненный шар [fireball], порыв ветра [gust of wind], предосторожность [contingency] и силовая стена [wall of force]. Эта книга функционирует для вас как книга заклинаний.
Когда вы держите книгу, вы можете использовать её в качестве заклинательной фокусировки для ваших заклинаний волшебника.
Книга имеет 3 заряда и ежедневно восстанавливает 1к3 заряда на рассвете. Вы можете использовать заряды следующими способами, пока держите книгу:
Если вы потратите 1 минуту на изучение книги, вы можете израсходовать 1 заряд и заменить одно из своих подготовленных заклинаний волшебника на другое заклинание из книги. Новое заклинание должно принадлежать школе Воплощения.
Когда одно существо, которое вы можете видеть, получает урон от наложенного вами заклинания школы Воплощения, вы можете реакцией потратить 1 заряд, чтобы нанести дополнительно 2к6 урона силовым полем этому существу и сбить его с ног, если оно Большое или меньше.</t>
  </si>
  <si>
    <t>Двойственная рукопись</t>
  </si>
  <si>
    <t>Для вас это магическая книга заклинаний, а для всех остальных эта книга выглядит как книжечка многословной любовной беллетристики. Действием вы можете изменить внешний вид книги и сюжет романа.
Найденная книга содержит следующие заклинания: безмолвный образ [silent image], воображаемая сила [phantasmal force], мираж [hallucinatory terrain], образ [major image], Нистулова ложная аура [nystul's magic aura], отражения [mirror image] и фальшивый двойник [mislead]. Эта книга функционирует для вас как книга заклинаний.
Когда вы держите книгу, вы можете использовать её в качестве заклинательной фокусировки для ваших заклинаний волшебника.
Книга имеет 3 заряда и ежедневно восстанавливает 1к3 заряда на рассвете. Вы можете использовать заряды следующими способами, пока держите книгу:
Если вы потратите 1 минуту на изучение книги, вы можете израсходовать 1 заряд и заменить одно из своих подготовленных заклинаний волшебника на другое заклинание из книги. Новое заклинание должно принадлежать школе Иллюзии.
Когда существо, которое вы можете видеть, совершает проверку Интеллекта (Расследование), чтобы распознать истинную природу заклинания иллюзии, которое вы накладываете, или совершает спасбросок против заклинания иллюзии, которое вы накладываете, вы можете реакцией потратить 1 заряд и создать помеху на бросок.</t>
  </si>
  <si>
    <t>Доспех Зефира</t>
  </si>
  <si>
    <t>Этот прекрасный набор бело-серебряных доспехов украшен руной «Ветер» на груди.
Пока вы носите этот доспех, вы совершаете с преимуществом проверки Ловкости (Акробатика) и спасброски Ловкости, поскольку ваши движения поддерживаются нежными потоками ветра.
Пробуждение руны. Действием вы можете призвать руну брони, чтобы наложить с её помощью заклинание стена ветров [wind wall] (Сл спасброска 15). После того, как руна была пробуждена, она не может быть пробуждена снова до следующего рассвета.</t>
  </si>
  <si>
    <t>Доспех сопротивления</t>
  </si>
  <si>
    <t>Вы получаете сопротивление одному из видов урона, пока носите этот доспех. Мастер выбирает вид урона сам или случайным образом.</t>
  </si>
  <si>
    <t>Доспех странника пустоты</t>
  </si>
  <si>
    <t>Этот чёрный кожаный доспех с шипами имеет красный оттенок. Надевая этот доспех, вы можете бонусным действием призвать свою проекцию в незанятом пространстве находящимся в пределах 30 футов. Проекция, является вашей полупрозрачной копией, обладающей иммунитетом ко всему урону и состояниям, и вы можете совершать атаки и накладывать заклинания, не имеющие дистанции «на себя», как если бы вы находились в пространстве проекции. Проекция исчезает в конце вашего хода. Как только вы совершаете это бонусное действие, его нельзя будет использовать снова до следующего рассвета.
Проклятие. Эти доспехи прокляты, и если вы настроитесь на них, проклятие распространится и на вас. Пока вы прокляты, вы не желаете расставаться с доспехами. Снятие доспеха не оканчивает проклятие. Будучи проклятым таким образом, вы чувствуете себя оторванным от своего тела, постоянно слыша шёпот, призывающий вас присоединиться к ним. Всякий раз, когда вы заканчиваете продолжительный отдых пока вы прокляты, вы должны совершать спасбросок Харизмы Сл 11. При провале ваша душа извлекается из вашего тела и оказывается в ловушке в объекте на другом плане существования. Объект и его местоположение определяются Мастером (но это может быть и карточный домик [house of Cards]). Пока ваша душа находится в данной ловушке, ваше тело входит в состояние приостановленной жизнедеятельности. Время для вас не течёт, и вы не стареете. Уничтожение объекта освобождает вашу душу; в противном случае только заклинание исполнение желаний [wish] может вернуть вашу душу в ваше тело.
Изготовленная из прочной, но гибкой кожи, шипованная кожа усилена плотно расположенными заклепками или шипами.</t>
  </si>
  <si>
    <t>Доспех уязвимости</t>
  </si>
  <si>
    <t>Когда вы надеваете этот доспех, вы получаете сопротивление одному из следующих видов урона: дробящий, колющий или рубящий. Мастер определяет вид урона самостоятельно или случайным образом.
Проклятье. Этот доспех проклят, но это становится понятно только когда на него используется заклинание опознание [identify] или когда вы настраиваетесь на него. Настройка на доспех проклинает вас до тех пор, пока вы не станете целью заклинания снятие проклятья [remove curse] или похожей магии. Снятие доспеха не прекращает проклятье. Пока вы прокляты, вы получаете уязвимость к двум оставшимся видам урона, исключая тот, к которому доспех даёт сопротивление.</t>
  </si>
  <si>
    <t>Доспехи Мрака</t>
  </si>
  <si>
    <t>Эти сложные доспехи в оттенках серого были выкованы в Плане Теней и пропитаны мраком этого измерения.
Нося эту броню, вы получаете преимущество в спасбросках, которые вы совершаете, чтобы избежать или окончить на себе состояние испуган.
Доспехи имеют 3 заряда. Вы можете действием потратить 1 заряд для наложения заклинания умиротворение [calm emotions] (Сл спасброска 15) из этих доспехов. Доспехи восстанавливают 1к3 израсходованных зарядов ежедневно на рассвете.</t>
  </si>
  <si>
    <t>Доспехи фей</t>
  </si>
  <si>
    <t>Эти яркие, цветочные доспехи были выкованы в Царстве Фей и наполнены чарующей магией этого плана.
Нося эту броню, вы получаете преимущество в спасбросках, которые вы совершаете, чтобы избежать или окончить на себе состояние очарован.
Доспехи имеют 3 заряда. Вы можете действием потратить 1 заряд для наложения заклинания принуждение [compulsion] (Сл спасброска 15) из этих доспехов. Доспехи восстанавливают 1к3 израсходованных зарядов ежедневно на рассвете.</t>
  </si>
  <si>
    <t>Жаровня командования огненными элементалями</t>
  </si>
  <si>
    <t>Если в этой латунной жаровне горит огонь, вы можете действием произнести командное слово и призвать огненного элементаля [fire elemental], как если бы наложили заклинание призыв элементаля [conjure elemental]. Жаровню нельзя использовать повторно, пока не наступит следующий рассвет.
Весит жаровня 5 фунтов.</t>
  </si>
  <si>
    <t>Жезл правления</t>
  </si>
  <si>
    <t>Вы можете действием продемонстрировать жезл и потребовать послушания от всех существ на ваш выбор, видимых вами в пределах 120 футов от себя. Каждая цель должна преуспеть в спасброске Мудрости Сл 15, иначе она станет очарованной вами на 8 часов. Будучи очарованным из-за этого эффекта, существо считает вас своим истинным предводителем. Получив урон от вас или ваших спутников, или получив приказ, противоречащий её природе, цель перестаёт быть очарованной этим эффектом. Жезл нельзя использовать повторно до следующего рассвета.</t>
  </si>
  <si>
    <t>Жезл щупалец</t>
  </si>
  <si>
    <t>Этот изготовленный дроу жезл — магическое оружие, оканчивающееся тремя эластичными щупальцами. Держа этот жезл в руке, вы можете действием направить каждое щупальце, чтобы оно атаковало существо в пределах 15 футов от вас. Каждое щупальце совершает бросок рукопашной атаки с бонусом +9. При попадании щупальце причиняет дробящий урон 1к6. Если вы попали по одной цели всеми тремя щупальцами, она должна совершить спасбросок Телосложения Сл 15. При провале на 1 минуту скорость существа уменьшается вдвое, оно получает помеху для спасбросков Ловкости и не может совершать реакции. Более того, в каждом своём ходу оно может или совершать действие или бонусное действие но не то и другое одновременно. В конце каждого своего хода оно повторяет спасбросок, оканчивая эффект на себе при успехе.</t>
  </si>
  <si>
    <t>Жестокое оружие</t>
  </si>
  <si>
    <t>Если у вас при броске атаки этим магическим оружием выпадает «20», цель получает дополнительные 7 урона того вида, который наносит это оружие.</t>
  </si>
  <si>
    <t>Игла починки</t>
  </si>
  <si>
    <t>Это оружие является магическим кинжалом, замаскированным под швейную иглу. Пока вы его держите, вы можете бонусным действием произнести командное слово, превращая его в кинжал или обратно в иглу.
Вы получаете бонус +1 к броскам атаки и урона, совершённым этим кинжалом. Держа его, вы можете с его помощью действием наложить заговор починка [mending].</t>
  </si>
  <si>
    <t>Железные ленты Биларро</t>
  </si>
  <si>
    <t>Это ржавая железная сфера диаметром 3 дюйма, весящая 1 фунт. Вы можете действием произнести командное слово и бросить сферу в существо с размером не больше Огромного, которое видите в пределах 60 футов от себя. В полёте сфера распадается на отдельные металлические ленты.
Совершите бросок дальнобойной атаки с бонусом броска атаки, равным модификатору Ловкости плюс ваш бонус мастерства. При попадании цель становится опутанной, пока вы не произнесёте командное слово ещё раз бонусным действием. После повторного произношения командного слова или промаха атаки ленты сжимаются и снова становятся сферой.
Любое существо, в том числе и опутанное, может действием совершить проверку Силы Сл 20, чтобы порвать ленты. При успехе предмет уничтожается, а удерживаемое существо освобождается. При провале все дальнейшие попытки этого существа автоматически проваливаются в течение 24 часов.
Железные ленты нельзя использовать повторно до следующего рассвета.</t>
  </si>
  <si>
    <t>Кадило контролирования воздушных элементалей</t>
  </si>
  <si>
    <t>Если в этом кадиле горит благовоние, вы можете действием произнести командное слово и призвать воздушного элементаля [air elemental], как если бы наложили заклинание призыв элементаля [conjure elemental]. Кадило нельзя использовать повторно, пока не наступит следующий рассвет.
Этот сосуд 6 дюймов шириной и 1 фут высотой напоминает чашу с декорированной крышкой. Весит кадило 1 фунт.</t>
  </si>
  <si>
    <t>Кадило фанатика</t>
  </si>
  <si>
    <t>жрецом или паладином</t>
  </si>
  <si>
    <t>Закруглённое навершие этого цепа имеет множество крошечных отверстий, расположенных в виде символов и узоров. Цеп считается для вас священным символом. Когда вы попадаете атакой, используя этот магический цеп, цель получает дополнительно 1к8 урона излучением.
Бонусным действием вы можете произнести командное слово, чтобы заставить цеп испускать прозрачное облако ладана в радиусе 10 футов в течение 1 минуты. В начале каждого вашего хода вы и любые другие существа в этом облаке ладана восстанавливаете 1к4 хитов. Это свойство не может быть использовано вновь до следующего рассвета.</t>
  </si>
  <si>
    <t>Камень зрения</t>
  </si>
  <si>
    <t>У этого драгоценного камня есть 3 заряда. Вы можете действием произнести командное слово и потратить 1 заряд. В течение следующих 10 минут вы обладаете истинным зрением в пределах 120 футов, если смотрите через этот драгоценный камень.
Камень ежедневно восстанавливает 1к3 заряда на рассвете.</t>
  </si>
  <si>
    <t>Камень контролирования земляных элементалей</t>
  </si>
  <si>
    <t>Если этот камень касается пола, вы можете действием произнести командное слово и призвать земляного элементаля [earth elemental], как если бы вы наложили заклинание призыв элементаля [conjure elemental]. После этого камень нельзя повторно использовать до следующего рассвета. Весит камень 5 фунтов.</t>
  </si>
  <si>
    <t>Кинжал яда</t>
  </si>
  <si>
    <t>Вы получаете бонус +1 к броскам атаки и урона, совершённым этим магическим оружием.
Вы можете действием заставить этот клинок покрыться густым чёрным ядом. Яд остаётся 1 минуту, или пока атака этим оружием не попадёт по существу. Цель должна преуспеть в спасброске Телосложения Сл 15, иначе она получит урон ядом 2к10 и станет отравленной на 1 минуту. Вы не можете использовать повторно это свойство до следующего рассвета.</t>
  </si>
  <si>
    <t>Клинок разума</t>
  </si>
  <si>
    <t>VGM</t>
  </si>
  <si>
    <t>конкретным индивидом</t>
  </si>
  <si>
    <t>Свежеватели разума [mind flayer] могут превратить любой немагический меч в клинок разума. Только одно существо может на него настроиться: либо конкретный свежеватель разума, либо один из их рабов.
В руках любого другого существа клинок разума действует как обычный меч своего типа. В руках предназначенного ему владельца клинок разума становится магическим оружием и дополнительно наносит 2к6 урона психической энергией любой цели, по которой ударит.</t>
  </si>
  <si>
    <t>Клинок Ахерона</t>
  </si>
  <si>
    <t>Чёрное лезвие этого меча изготовлено из таинственного магического сплава. Вы получаете бонус +1 к броскам атаки и урона, совершённым этим магическим оружием. Пока меч находится у вас, вы невосприимчивы к эффектам, обращающим в нежить.
Темное благословение. Держа меч, действием вы можете даровать себе 1к4 + 4 временных хита. Это свойство не может быть использовано снова до следующих сумерек.
Удручающая атака. Когда вы попадаете по существу атакой совершенной этим оружием, вы можете наполнить сердце цели беспокойством: она получает помеху на следующий спасбросок, который она совершит до конца вашего следующего хода. Существо игнорирует этот эффект, если оно невосприимчиво к состоянию испуган. Как только вы воспользуетесь этим свойством, вы не можете использовать повторно это свойство до следующих сумерек.</t>
  </si>
  <si>
    <t>Кираса Баланса</t>
  </si>
  <si>
    <t>Эта полированная медная кираса выглядит так, как будто она сделана из взаимосвязанных шестерен. На груди красуются весы торговца.
Доспехи имеют 4 зарядов. Пока вы носите эти доспехи, заряды можно использовать следующими способами:
Уравнять. Когда вы или существо, которое вы можете видеть в пределах 60 футов, собираетесь совершить бросок к20 с преимуществом или помехой, вы можете потратить 1 заряд, и совершить реакцию заставив совершить этот бросок без преимущества и помехи.
Устранить дисбаланс. Бонусным действием вы можете потратить 2 заряда, чтобы наложить заклинание малое восстановление [lesser restoration] из этих доспехов.
Доспехи восстанавливают 1к4 израсходованных зарядов ежедневно на рассвете.</t>
  </si>
  <si>
    <t>Книга начинающего сердцееда</t>
  </si>
  <si>
    <t>Эта девственная книга слабо пахнет неопределённым приятным запахом. Найденная книга содержит следующие заклинания: антипатия/симпатия [antipathy/sympathy], внушение [suggestion], гипнотический узор [hypnotic pattern], изменение памяти [modify memory], очарование личности [charm person], подчинение личности [dominate person] и речь златоуста [enthrall]. Эта книга функционирует для вас как книга заклинаний.
Когда вы держите книгу, вы можете использовать её в качестве заклинательной фокусировки для ваших заклинаний волшебника.
Книга имеет 3 заряда и ежедневно восстанавливает 1к3 заряда на рассвете. Вы можете использовать заряды следующими способами, пока держите книгу:
Если вы потратите 1 минуту на изучение книги, вы можете израсходовать 1 заряд и заменить одно из своих подготовленных заклинаний волшебника на другое заклинание из книги. Новое заклинание должно принадлежать школе Очарования.
Когда вы накладываете заклинание школы Очарования, вы можете потратить 1 заряд, чтобы выбранная вами цель совершила следующий спасбросок от заклинания с помехой.</t>
  </si>
  <si>
    <t>Когти Искателя</t>
  </si>
  <si>
    <t>Тыльная сторона этой обветренной кожаной перчатки украшена тремя большими металлическими крючками в форме когтей крота. На ладони перчатки вышита руна «Гора».
Перчатка считается простым рукопашным оружием со свойствами «фехтовальное» и «лёгкое», и наносит 1к4 рубящего урона при попадании. Пока вы настроены на перчатку, вы получаете скорость копания, равную вашей скорости ходьбы, и слепое зрение до 15 футов.
Пробуждение руны. Действием вы можете пробудить руну перчатки, чтобы укрепить себя твердостью земли. Потратьте и бросьте количество неизрасходованных Костей Хитов, с максимумом равным вашему бонусу мастерства. Затем вы восстанавливаете количество хитов, равное результату броска плюс ваш модификатор Телосложения.
После того, как руна была пробуждена, она не может быть пробуждена снова до следующего рассвета.</t>
  </si>
  <si>
    <t>Кольцо защиты +1</t>
  </si>
  <si>
    <t>Необычный</t>
  </si>
  <si>
    <t>Lich</t>
  </si>
  <si>
    <t>Выполнен</t>
  </si>
  <si>
    <t>Вы получаете бонус +1 к КД, пока носите это кольцо.</t>
  </si>
  <si>
    <t>Кольцо защиты +2</t>
  </si>
  <si>
    <t>Вы получаете бонус +2 к КД, пока носите это кольцо.</t>
  </si>
  <si>
    <t>Кольцо защиты +3</t>
  </si>
  <si>
    <t>Вы получаете бонус +3 к КД, пока носите это кольцо.</t>
  </si>
  <si>
    <t>Кольцо временного спасения</t>
  </si>
  <si>
    <t>Если вы умираете, нося это кольцо из серого хрусталя, то вы исчезаете и вновь появляетесь в свободном пространстве в пределах 5 футов от места, где вы исчезли (или в ближайшем свободном пространстве). Вы получаете количество хитов, равное 3к6 + ваш модификатор Телосложения. Если ваш максимум хитов меньше, чем количество хитов, которые вы восстановили, ваш максимум хитов увеличивается до восстановленных значений. Если у вас есть какая-либо степень истощения, уменьшите её на 1. Как только кольцо активируется, оно обращается в пыль и разрушается.</t>
  </si>
  <si>
    <t>Кольцо влияния на животных</t>
  </si>
  <si>
    <t>У этого кольца есть 3 заряда, и оно ежедневно восстанавливает 1к3 заряда на рассвете. Нося это кольцо, вы можете действием потратить 1 заряд, чтобы наложить одно из следующих заклинаний:
Дружба с животными [animal friendship] (Сл спасброска 13).
Ужас [fear] (Сл спасброска 13), нацеливается только на зверей с Интеллектом 3 или ниже.
Разговор с животными [speak with animals].</t>
  </si>
  <si>
    <t>Колокольчик открывания</t>
  </si>
  <si>
    <t>Это полая металлическая трубка длинной 1 фут весит 1 фунт. Вы можете действием ударить по ней и направить на предмет, находящийся в пределах 120 футов от вас, который можно открыть, например, дверь, люк или замок. Трубка издаёт чистый звук, и один замок или засов на предмете отпирается, за исключением тех случаев, когда звук не может достигнуть цели. Если на предмете не остаётся запирающих элементов, то предмет открывается сам по себе.
Этот предмет может быть использован десять раз. После десятого использования он трескается и становится непригодным для использования.</t>
  </si>
  <si>
    <t>Колода оракула</t>
  </si>
  <si>
    <t>Иллюстрации в этой колоде карт оракула слегка перемещаются или изменяются при  непрямом наблюдении. Когда вы заканчиваете продолжительный отдых, вы можете потратить 10 минут на то, чтобы свериться с картами в поисках предзнаменования предстоящего дня. Бросьте к20 и запишите выпавшее значение. Один раз в течение следующих 8 часов, сразу после того, как существо в пределах 60 футов от вас совершает проверку характеристик, бросок атаки или спасбросок, вы можете использовать свою реакцию, чтобы отменить этот бросок к20; и существо должно использовать значение, которое вы выбросили, вместо своего броска.
Кроме того, держа карты в руках, вы можете наложить с их помощью заклинание предсказание [divination]. Как только это свойство будет использовано, оно не сможет быть использовано снова до следующего рассвета.</t>
  </si>
  <si>
    <t>Кодекс планолога</t>
  </si>
  <si>
    <t>Страницы этой книги сделаны из кожи исчадий, а на обложке выгравирована схема Великого Колеса мультивселенной. Найденная книга содержит следующие заклинания: врата [gate], изгнание [banishment], магический круг [magic circle], планарные узы [planar binding], поиск фамильяра [find familiar] и призыв духа стихии [summon elemental]. Эта книга функционирует для вас как книга заклинаний.
Когда вы держите книгу, вы можете использовать её в качестве заклинательной фокусировки для ваших заклинаний волшебника.
Книга имеет 3 заряда и ежедневно восстанавливает 1к3 заряда на рассвете. Вы можете использовать заряды следующими способами, пока держите книгу:
Если вы потратите 1 минуту на изучение книги, вы можете израсходовать 1 заряд и заменить одно из своих подготовленных заклинаний волшебника на другое заклинание из книги. Новое заклинание должно принадлежать школе Вызова.
Когда вы накладываете заклинание школы Вызова, которое вызывает или создает одно существо, вы можете потратить 1 заряд, чтобы предоставить этому существу преимущество на броски атаки на 1 минуту.</t>
  </si>
  <si>
    <t>Кольцо падения пёрышком</t>
  </si>
  <si>
    <t>Если вы падаете, нося это кольцо, вы опускаетесь на 60 футов в раунд и не получаете урон от падения.</t>
  </si>
  <si>
    <t>Кольцо проникающего зрения</t>
  </si>
  <si>
    <t>Нося это кольцо, вы можете действием произнести его командное слово. Сделав это, вы сможете видеть через твёрдую материю в течение 1 минуты. Радиус этого зрения — 30 футов. Для вас твёрдые предметы в этом радиусе выглядят прозрачными и не препятствуют проходить сквозь них свету. Это зрение может проникать сквозь 1 фут камня, 1 дюйм обычного металла или 3 фута дерева или земли. Более толстые препятствия, а также тонкий лист свинца блокируют обзор.
Каждый раз, когда вы используете это кольцо повторно до совершения продолжительного отдыха, вы должны преуспеть в спасброске Телосложения Сл 15, иначе получите одну степень истощения.</t>
  </si>
  <si>
    <t>Кольцо свободных действий</t>
  </si>
  <si>
    <t>Если вы носите это кольцо, труднопроходимая местность не заставляет вас тратить дополнительное перемещение. Кроме того, магия не может ни уменьшить вашу скорость, ни сделать вас парализованным или опутанным.</t>
  </si>
  <si>
    <t>Кольцо сопротивления</t>
  </si>
  <si>
    <t xml:space="preserve">Вы обладаете сопротивлением одному виду урона, пока носите это кольцо. Драгоценный камень в кольце указывает на этот вид урона, который Мастер выбирает самостоятельно или с помощью данной таблицы:
к10        Вид урона        Камень
1        Кислота        Жемчужина
2        Холод        Турмалин
3        Огонь        Гранат
4        Силовое поле        Сапфир
5        Электричество        Цитрин
6        Некротическая энергия        Гагат
7        Яд        Аметист
8        Психическая энергия        Жадеит
9        Излучение        Топаз
10        Звук        Шпинель
</t>
  </si>
  <si>
    <t>Концертина гуляки</t>
  </si>
  <si>
    <t>Держа эту концертину, вы получаете бонус +2 к Сл спасбросков против ваших заклинаний барда.
Действием вы можете использовать концертину, чтобы наложить заклинание неудержимая пляска Отто [Otto’s irresistible dance] с помощью этого предмета. Это свойство концертины не может быть использовано вновь до следующего рассвета.</t>
  </si>
  <si>
    <t>Кольцо хранения заклинаний</t>
  </si>
  <si>
    <t>Это кольцо хранит заклинания, наложенные на него, позволяя использовать их владельцу, настроенному на кольцо. Кольцо может хранить до 5 уровней заклинаний одновременно. Когда кольцо находят, оно хранит 1к6 − 1 уровень заклинаний, которые выбирает Мастер.
Любое существо может наложить заклинание с уровнем от 1 до 5 на кольцо, касаясь его в процессе накладывания. Заклинание не оказывает эффекта сейчас, а просто сохраняется в кольце. Если кольцо не может удержать заклинание, заклинание тратится безо всякого эффекта. Занимаемое пространство определяется уровнем ячейки, использованной для накладывания заклинания.
Нося это кольцо, вы можете накладывать любые хранящиеся в нём заклинания. Заклинание использует уровень ячейки, Сл спасброска, бонус атаки и базовую характеристику исходного заклинателя, но во всём остальном считается, что заклинание наложили вы. Наложенное кольцом заклинание больше не хранится в нём и освобождает пространство.</t>
  </si>
  <si>
    <t>Кольцо уклонения</t>
  </si>
  <si>
    <t>У этого кольца 3 заряда, и оно ежедневно восстанавливает 1к3 заряда на рассвете. Если вы проваливаете спасбросок Ловкости, когда носите его, вы можете реакцией потратить 1 заряд, чтобы спасбросок стал успешным.</t>
  </si>
  <si>
    <t>Кольцо тарана</t>
  </si>
  <si>
    <t>У этого кольца 3 заряда, и оно ежедневно восстанавливает 1к3 заряда на рассвете. Нося это кольцо, вы можете действием потратить от 1 до 3 зарядов, чтобы совершить дальнобойную атаку заклинанием против одного существа, видимого в пределах 60 футов. Кольцо создаёт призрачную голову барана и совершает атаку с бонусом +7. При попадании за каждый использованный вами заряд цель получает урон силовым полем 2к10 и толкается на 5 футов от вас.
В качестве альтернативы, вы может действием потратить от 1 до 3 зарядов, чтобы попытаться сломать предмет, видимый в пределах 60 футов, который никто не несёт и не носит. Кольцо совершает проверку Силы с бонусом +5 за каждый использованный заряд.</t>
  </si>
  <si>
    <t>Корона Несущего Гнев</t>
  </si>
  <si>
    <t>Этот зазубренный железный венец украшен орнаментом в виде руны «Враг». При ношении, корона светится бледным светом, взывая к ярости владельца, чтобы поразить противников ужасом.
Когда вы совершаете бросок атаки против существа и попадаете по нему, будучи облачённым в эту корону, вы можете потратить и бросить одну из своих Костей Хитов. Существо получает дополнительный урон психической энергией, равный выпавшему числу.
Пробуждение руны. Вы можете действием пробудить руну короны, чтобы с её помощью наложить заклинание ужас [fear] (Сл спасброска 15); заклинание имеет продолжительность 1 минуту и не требует концентрации. После того, как руна была пробуждена, она не может быть пробуждена снова до следующего рассвета.</t>
  </si>
  <si>
    <t>Красивый проклёпанный кожаный доспех</t>
  </si>
  <si>
    <t>Пока вы носите этот доспех, вы получаете бонус +1 к КД. Вы также можете бонусным действием произнести его командное слово и заставить доспех принять облик обычной одежды или любого другого доспеха. Вы сами решаете, как он будет выглядеть, включая цвет, стиль и аксессуары, но доспех при этом сохраняет свой объём и вес. Иллюзорный облик длится до тех пор, пока вы не используете это свойство повторно или не снимете доспех.</t>
  </si>
  <si>
    <t>Крыло дракона</t>
  </si>
  <si>
    <t>Плечи этого магического лука имеют форму крыльев дракона, а само оружие пропитано силой дыхания цветного, самоцветного или металлического дракона. Когда вы попадаете по существу атакой совершенной этим магическим луком, цель дополнительно получает 1к6 урона того же типа, что и дыхание находящееся в луке - звуком, излучением, кислотой, некротической энергией, огнём, психической энергией, силовым полем, холодом, электричеством или ядом.
Если вы не вкладываете боеприпас в оружие, оно производит свой собственный, автоматически создавая один магический боеприпас, когда вы натягиваете тетиву.
Боеприпас, создаваемый луком, исчезает в тот момент, когда он попадает в цель или промахивается</t>
  </si>
  <si>
    <t>Крылья полёта</t>
  </si>
  <si>
    <t>Пока вы носите этот плащ, вы можете действием произнести командное слово. Это превратит плащ в пару крыльев летучей мыши, или птицы на вашей спине на 1 час или пока вы не повторите командное слово действием. Крылья дают вам скорость полёта 60 футов. Если они исчезают, вы не можете повторно вызвать их 1к12 часов.</t>
  </si>
  <si>
    <t>Куб силового поля</t>
  </si>
  <si>
    <t>Это кубик с длиной ребра около дюйма. На каждой грани есть характерная метка, на которую можно нажать. Вначале у куба 36 зарядов, и он ежедневно восстанавливает 1к20 зарядов на рассвете.
Вы можете действием нажать на одну из граней куба, тратя при этом указанное в таблице число зарядов. У каждой грани свой эффект. Если в кубе не осталось достаточного числа зарядов, ничего не произойдёт. В противном случае возникает барьер из невидимого силового поля, формирующий куб с длиной ребра 15 футов. Барьер создаётся с центром на вас, перемещается вместе с вами и существует 1 минуту, пока вы не нажмёте действием на шестую грань куба или пока в кубе не кончатся заряды. Вы можете изменить эффект барьера, нажав на другую грань куба и потратив нужное количество зарядов, сбрасывая при этом счётчик длительности.
Если из-за перемещения барьер вступает в контакт с твёрдым предметом, который не может пройти сквозь поле, вы не сможете приблизиться к этому предмету, пока поле существует.
Грань        Заряды        Эффект
1        1        Через барьер не проходят газы, ветер и туман.
2        2        Через барьер не проходит неживая материя. Стены, пол и потолок могут проходить, если вы того пожелаете.
3        3        Через барьер не проходит живая материя.
4        4        Через барьер не проходят эффекты заклинаний.
5        5        Через барьер не проходит ничего. Стены, пол и потолок могут проходить, если вы того пожелаете.
6        0        Барьер исчезает.
Куб теряет заряды, когда барьер становится целью определённых заклинаний или вступает во взаимодействие с эффектами определённых заклинаний или магических предметов, как показано ниже.
Заклинание или предмет        Потеря зарядов
Огненная стена [wall of fire]
1к4
Радужные брызги [prismatic spray]
1к20
Распад [disintegrate]
1к12
Рог взрыва [horn of blasting]
1к10
Создание прохода [passwall]
1к6</t>
  </si>
  <si>
    <t>Летающая колесница</t>
  </si>
  <si>
    <t>Всадники колесницы и существа, тянущие колесницу, получают бонус +1 к своему КД.
Если эта магическая колесница запряжена одним или несколькими летающими существами, она так же способна летать.</t>
  </si>
  <si>
    <t>Лира Кли</t>
  </si>
  <si>
    <t>Существо, пытающееся играть на инструменте, не будучи настроенным на него, должно преуспеть в спасброске Мудрости Сл 15, иначе получит урон психической энергией 2к4.
Вы можете действием сыграть на инструменте и наложить одно из его заклинаний: защита от зла и добра [protection from evil and good], изменение формы камня [stone shape], левитация [levitate], невидимость [invisibility], огненная стена [wall of fire],  полёт [fly], стена ветров [wind wall]. После того как инструмент использован для наложения заклинания, он не может повторно накладывать это заклинание до следующего рассвета. Заклинания используют вашу базовую характеристику и Сл спасбросков от ваших заклинаний.
Вы можете играть на инструменте при наложении заклинания, которое делает цели очарованными при провале спасброска, тем самым давая целям помеху на этот спасбросок. Этот эффект применяется только если заклинание имеет соматический или материальный компонент.</t>
  </si>
  <si>
    <t>Лира песни сирен</t>
  </si>
  <si>
    <t>Действием вы можете начать играть на этой лире и с её помощью наложить одно из следующих заклинаний: внушение [suggestion], дружба с животными [animal friendship], очарование личности [charm person], речь златоуста [enthrall]. Сл спасброска для заклинаний 13.
После того, как вы наложите с помощью инструмента одно из этих заклинаний, вы не можете наложить его повторно с помощью инструмента до следующего рассвета.</t>
  </si>
  <si>
    <t>Лира строительства</t>
  </si>
  <si>
    <t>Держа эту лиру, вы можете накладывать заговор починка [mending] действием. Вы также можете сыграть на лире реакцией и, если объект или строение, которые вы можете видеть в пределах 300 футов должны получить урон, наделить цель иммунитетом к этому урону и любому последующему урону того же типа до начала вашего следующего хода.
Кроме того, вы можете сыграть на лире действием, чтобы наложить заклинание движение почвы [move earth], изготовление [fabricate], призыв духа конструкта [summon construct] или создание прохода [passwall]. Наложенное заклинание не может быть наложено при помощи лиры снова до следующего рассвета.</t>
  </si>
  <si>
    <t>Ловящий стрелы щит</t>
  </si>
  <si>
    <t>Вы получаете бонус +2 к КД от дальнобойных атак, пока носите этот щит. Этот бонус идёт в дополнение к обычному бонусу щита к КД. Кроме того, каждый раз, когда кто-нибудь совершает дальнобойную атаку по цели, находящейся в пределах 5 футов от вас, вы можете реакцией вместо этого сделать целью атаки себя.</t>
  </si>
  <si>
    <t>Лук Воспламенения</t>
  </si>
  <si>
    <t>Боеприпасы, выпущенные из этого лука, ярко сверкают. Когда вы совершаете бросок атаки из этого лука, цель получает дополнительно 1к6 урона огнём . Если целью является легковоспламеняющийся немагический объект, он загорается, получая 1к6 урона огнём в начале каждого вашего хода, пока существо не использует действие для тушения пламени.</t>
  </si>
  <si>
    <t>Мандолина Канаит</t>
  </si>
  <si>
    <t>Существо, пытающееся играть на инструменте, не будучи настроенным на него, должно преуспеть в спасброске Мудрости Сл 15, иначе получит урон психической энергией 2к4.
Вы можете действием сыграть на инструменте и наложить одно из его заклинаний: защита от зла и добра [protection from evil and good], защита от энергии [protection from energy] (только от электричества), левитация [levitate], лечение ран [cure wounds] (3-го уровня), рассеивание магии [dispel magic], невидимость [invisibility], полёт [fly]. После того как инструмент использован для наложения заклинания, он не может повторно накладывать это заклинание до следующего рассвета. Заклинания используют вашу базовую характеристику и Сл спасбросков от ваших заклинаний.
Вы можете играть на инструменте при наложении заклинания, которое делает цели очарованными при провале спасброска, тем самым давая целям помеху на этот спасбросок. Этот эффект применяется только если заклинание имеет соматический или материальный компонент.</t>
  </si>
  <si>
    <t>Мантия глаз</t>
  </si>
  <si>
    <t>Эта мантия украшена узором в виде глаз. Пока вы носите её, вы обладаете следующими преимуществами:
Мантия позволяет вам видеть во всех направлениях, и вы совершаете с преимуществом проверки Мудрости (Восприятие), полагающиеся на зрение.
Вы обладаете тёмным зрением в пределах 120 футов.
Вы можете видеть невидимых существ и предметы, а также ваше зрение простирается на 120 футов на Эфирный План.
Глаза на мантии нельзя закрыть или отвести в сторону. Вы можете закрыть или увести в сторону свои собственные глаза, но пока вы носите эту мантию, считается, что вы этого никогда не делаете.
Заклинание свет [light], наложенное на эту мантию, или заклинание дневной свет [daylight], наложенное в пределах 5 футов от мантии, вызывает у вас ослепление на 1 минуту. В конце каждого своего хода вы можете совершать спасброски Телосложения (Сл 11 для света или 15 для дневного света), оканчивая ослепление при успехе.</t>
  </si>
  <si>
    <t>Мантия плута</t>
  </si>
  <si>
    <t>Эта темная мантия с капюшоном из плотной ткани наполнена таинственной и обманчивой магией. Нося её, вы получаете следующие преимущества:
Тёмное зрение. Вы получаете тёмное зрение в радиусе 60 футов. Если у вас уже было тёмное зрение, мантия увеличивает его дистанцию на 60 футов.
Движение в тенях. Если вы находитесь в темноте или пространстве с тусклым освещением, вы можете бонусным действием телепортироваться на 30 футов в другое тусклое или тёмное свободное пространство, которое видите. Свою первую рукопашную атаку до конца текущего хода вы совершите с преимуществом.
Умышленная вражда. Вы можете наложить заклинание враждебность [antagonize] (Сл спасброска 15) из мантии. После того как мантия наложила заклинание, она не сможет наложить его снова до следующего рассвета.</t>
  </si>
  <si>
    <t>Мантия сопротивления заклинаниям</t>
  </si>
  <si>
    <t>Вы совершаете с преимуществом спасброски от заклинаний, пока носите этот плащ.</t>
  </si>
  <si>
    <t>Мгновенная крепость Даэрн</t>
  </si>
  <si>
    <t>Вы можете действием поместить этот металлический кубик с длиной ребра 1 дюйм на пол и произнести командное слово. Куб быстро вырастет в крепость, которая остаётся, пока вы не произнесёте действием командное слово, которое сработает только если крепость пуста.
Крепость является квадратной башней 20 × 20 футов и 30 футов высотой, с бойницами и зубчатой стеной сверху. Внутри она поделена на два этажа, соединённых лестницей, идущей вдоль одной из стен. Лестница заканчивается наверху люком. После активации в ближайшей к вам стене будет небольшая дверь. Дверь открывается только по вашей команде, которую вы произносите бонусным действием. Она обладает иммунитетом к заклинанию открывание [knock] и подобной магии, например, к колокольчику открывания [chime of opening].
Все существа, находящиеся в области, в которой появляется крепость, должны совершить спасбросок Ловкости Сл 15, получая дробящий урон 10к10 при провале или половину этого урона при успехе. В любом случае, такое существо выталкивается в ближайшее свободное пространство вне крепости. Предметы в этой области, которые никто не несёт и не носит, получают этот же урон и автоматически толкаются.
Башня изготовлена из адамантина, и магия не даёт её опрокинуть. У крыши, двери и стен по 100 хитов, иммунитет к урону от немагического оружия, исключая осадное оружие, и сопротивление ко всем остальным видам урона. Чинить крепость можно только заклинанием исполнение желаний [wish] (это считается дублированием заклинания с уровнем ниже 9). Каждое накладывание этого заклинания восстанавливает крыше, двери или одной из стен 50 хитов.</t>
  </si>
  <si>
    <t>Медальон защиты от яда</t>
  </si>
  <si>
    <t>На этой изысканной серебряной цепочке висит подвеска из чёрного драгоценного камня бриллиантовой огранки. Пока вы её носите, яды не оказывают на вас эффекта. Вы обладаете иммунитетом к состоянию отравленный и к урону ядом.</t>
  </si>
  <si>
    <t>Меч кражи жизни</t>
  </si>
  <si>
    <t>Если вы атакуете этим магическим оружием существо, и при броске атаки выпадает «20», эта цель получает дополнительные 10 урона некротической энергией, если не является ни конструктом ни нежитью. Вы также получаете 10 временных хитов.</t>
  </si>
  <si>
    <t>Меч ранения</t>
  </si>
  <si>
    <t>Хиты, потерянные из-за урона этим оружием, могут восстановиться только за счёт короткого или продолжительного отдыха, а не за счёт регенерации, магии и других средств.
Один раз в ход, когда вы попадаете по существу атакой, используя это магическое оружие, вы можете ранить цель. В начале каждого своего хода раненое существо получает урон некротической энергией 1к4 за каждое ранение, а потом совершает спасбросок Телосложения Сл 15, оканчивая эффекты всех таких ран на себе при успехе. В качестве альтернативы, раненое существо или любое существо в пределах 5 футов от неё может действием совершить проверку Мудрости (Медицина) Сл 15, оканчивая эффект таких ран на нём при успехе.</t>
  </si>
  <si>
    <t>Миззиевый доспех</t>
  </si>
  <si>
    <t>Средний, Тяжёлый</t>
  </si>
  <si>
    <t>Этот доспех усилен магическим сплавом металлов под названием миззий, который производится в литейных цехах Иззета. Пока вы облачены в эти доспехи, все критические попадания по вам считаются обычными попаданиями. Кроме того, когда вы подвергаетесь магическому воздействию, которое позволяет вам совершить спасбросок Силы или Телосложения, чтобы получить только половину урона, вы вместо этого не получаете никакого урона, при успешном спасброске.</t>
  </si>
  <si>
    <t>Наручи защиты</t>
  </si>
  <si>
    <t xml:space="preserve"> DMG14</t>
  </si>
  <si>
    <t>Пока вы носите эти наручи, вы получаете бонус +2 к КД, если не носите доспех и не используете щит.</t>
  </si>
  <si>
    <t>Ожерелье молитвенных чёток</t>
  </si>
  <si>
    <t>У этого ожерелья 1к4 + 2 магические бусины, изготовленные из аквамарина, чёрного жемчуга или топаза. На нём также много немагических бусин, изготовленных из янтаря, кровавика, цитрина, коралла, жадеита, жемчуга или кварца. Если магическую бусину снимут с ожерелья, она теряет свою магию.
Существует шесть видов магических бусин. Мастер сам решает вид каждой бусины или определяет их случайным образом. На ожерелье могут быть бусины одного и того же вида. Для того чтобы использовать одну из них, вы должны носить это ожерелье. В каждой бусине находится заклинание, которое вы можете наложить ей бонусным действием (при необходимости используйте свою Сл спасброска). После того как заклинание магической бусины наложено, эту бусину нельзя использовать повторно до следующего рассвета.
к20        Бусина...        Заклинание
1-6        Благословения        Благословение [Bless]
7-12        Лечения        Лечение ран [cure wounds] (2-й уровень) или малое восстановление [lesser restoration]
13-16        Благоволения        Высшее восстановление [greater restoration]
17-18        Кары        Клеймящая кара [branding smite]
19        Призыва        Планарный союзник [planar ally]
20        Хождения по ветру        Хождение по ветру [Wind walk]</t>
  </si>
  <si>
    <t>Ожерелье огненных шаров</t>
  </si>
  <si>
    <t>На этом ожерелье висят 1к6 + 3 бусины. Вы можете действием оторвать одну бусину и метнуть её на расстояние до 60 футов. Достигнув конечной точки, бусина детонирует как заклинание огненный шар [fireball] 3-го уровня (Сл спасброска 15).
Вы можете метнуть одним действием сразу несколько бусин или даже всё ожерелье. При этом увеличьте уровень огненного шара на 1 за каждую бусину после первой.</t>
  </si>
  <si>
    <t>Оковы измерений</t>
  </si>
  <si>
    <t>Вы можете действием надеть эти оковы на недееспособное существо. Они подходят для существ с размером от Маленького до Большого. Кроме того, что оковы служат как обычные наручники, они не позволяют скованному существу никакие перемещения меж измерениями, включая телепортацию и путешествия на другие планы существования. Они не мешают существу проходить сквозь межпространственные порталы.
Вы и все существа, указанные вами при надевании оков, можете действием снять их. Раз в 30 дней скованное существо может совершить проверку Силы (Атлетика) Сл 30. При успехе существо ломает и уничтожает оковы.</t>
  </si>
  <si>
    <t>Оружие неминуемой гибели</t>
  </si>
  <si>
    <t>Когда вы попадаете атакой по существу и наносите ему урон с помощью этого магического оружия, его хиты не могут быть восстановлены до начала вашего следующего хода.</t>
  </si>
  <si>
    <t>Осколок Дальнего Предела</t>
  </si>
  <si>
    <t>Этот извивающийся кристалл пропитан искажённой сущностью Дальнего Предела. Действием вы можете прикрепить осколок к Крошечному предмету (например, оружию или ювелирному изделию) или отсоединить его. Он отпадает самостоятельно, если ваша настройка на него заканчивается. Вы можете использовать осколок в качестве заклинательной фокусировки, пока несёте или носите его.
Пока вы несёте или носите осколок, и когда вы используете метамагию на заклинание, вы можете заставить скользкое щупальце прорвать ткань реальности и ударить одно существо, которые вы можете видеть в пределах 30 футов. Существо должно преуспеть в спасброске Харизмы против Сл ваших заклинаний, иначе получит 3к6 урона психической энергией и станет испуганным вами до начала вашего следующего хода.</t>
  </si>
  <si>
    <t>Осколок Царства Теней</t>
  </si>
  <si>
    <t>Этот тусклый холодный тяжёлый кристалл пропитан отчаянием Царства Теней. Действием вы можете прикрепить осколок к Крошечному предмету (например, оружию или ювелирному изделию) или отсоединить его. Он отпадает самостоятельно, если ваша настройка на него заканчивается. Вы можете использовать осколок в качестве заклинательной фокусировки, пока несёте или носите его.
Когда вы используете метамагию на заклинание, пока вы несёте или носите осколок, вы можете мгновенно проклясть одно существо, на которое нацелено заклинание: выберите одну характеристику, и до конца вашего следующего хода проклятое существо будет совершать все спасброски и проверки этой характеристики с помехой.</t>
  </si>
  <si>
    <t>Осколок эссенции Внешних Планов</t>
  </si>
  <si>
    <t>Этот мерцающий кристалл содержит сущность Внешних Планов. Действием вы можете прикрепить осколок к Крошечному предмету (например, оружию или ювелирному изделию) или отсоединить его. Он отпадает самостоятельно, если ваша настройка на него заканчивается. Вы можете использовать осколок в качестве заклинательной фокусировки, пока несёте или носите его.
Бросьте к4 и сверьтесь с таблицей «Осколки внешней сущности», чтобы определить сущность и свойства осколка. Пока вы несёте или носите осколок, и используете метамагию на заклинание, вы можете использовать свойство осколка из таблицы.
Осколки внешней сущности
к4        Свойство
1        Законный. Вы можете окончить одно из следующих состояний, влияющих на вас или на одно существо, которое вы можете видеть в пределах 30 футов: испуг, глухота, ослепление, отравление, очарование или ошеломление.
2        Хаотичный. Выберите одно существо, которое получает урон от заклинания. Эта цель совершает все броски атаки и проверки характеристик с помехой до начала вашего следующего хода.
3        Добрый. Вы или одно существо по вашему выбору, которое вы можете видеть в пределах 30 футов, получаете 3к6 временных хитов.
4        Злой. Выберите одно существо, которое получает урон от заклинания. Это существо получает дополнительные 3к6 урона некротической энергией.</t>
  </si>
  <si>
    <t>Осколок эссенции стихийных планов</t>
  </si>
  <si>
    <t>Этот потрескивающий кристалл содержит в себе эссенцию стихийного плана. Действием вы можете прикрепить осколок к Крошечному предмету (например, оружию или ювелирному изделию) или отсоединить его. Он отпадает самостоятельно, если ваша настройка на него заканчивается. Вы можете использовать осколок в качестве заклинательной фокусировки, пока несёте или носите его.
Бросьте к4 и обратитесь к таблице «Осколки эссенции стихийных планов», чтобы определить эссенцию и свойства осколка. Пока вы несёте или носите осколок, использовав метамагию на заклинание, вы можете использовать свойство осколка из таблицы.
Осколки эссенции стихийных планов
к4        Свойство
1        Воздух. Вы можете мгновенно пролететь вплоть до 60 футов, не провоцируя атаки.
2        Земля. Вы получаете сопротивление виду урона по вашему выбору до начала вашего следующего хода.
3        Огонь. Одна из целей заклинания, которую вы можете видеть, загорается. Горящая цель получает 2к10 урона огнём в начале своего следующего хода, после чего пламя гаснет.
4        Вода. Вы создаёте волну воды, которая вырывается из вас в радиусе 10 футов. Каждое существо по вашему выбору, которое вы можете видеть в этой области, получает 2к6 урона холодом и должно преуспеть в спасброске Силы против Сл ваших заклинаний, иначе будет отброшено на 10 футов от вас и сбито с ног.</t>
  </si>
  <si>
    <t>Отмычка воителя</t>
  </si>
  <si>
    <t>Этот серебряный ключ-отмычка теплый на ощупь. Удерживая его в форме ключа, вы можете действием наложить с его помощью заклинание открывание [knock].
Трансформация ключа. Держа ключ, вы можете бонусным действием превратить его в волшебный длинный меч. Считается, что вы владеете мечом, и у вас есть бонус +1 к броскам атаки и урона, совершённым с его помощью. При попадании меч наносит 1к10 урона силовым полем. Предмет остается в форме меча до тех пор, пока он не покинет ваши руки, или вы не воспользуетесь бонусным действием, чтобы вернуть ему форму ключа.
Если вы прекратите настройку на предмет, пока он находится в форме меча, он автоматически вернется в свою форму ключа.</t>
  </si>
  <si>
    <t>Переносная дыра</t>
  </si>
  <si>
    <t>Эта тонкая чёрная ткань, гладкая как шёлк, складывается до размеров носового платка. Она разворачивается в круг диаметром 6 футов.
Вы можете действием развернуть переносную дыру и поместить её на твёрдую поверхность, после чего дыра создаёт межпространственное отверстие глубиной 10 футов. Цилиндрическое пространство внутри дыры находится на другом плане, поэтому с её помощью не получится создавать сквозные проходы. Все существа, находящиеся внутри открытой переносной дыры, могут покинуть её, просто вылезая из неё.
Вы можете действием закрыть переносную дыру, взявшись за края ткани и сложив её. Складывание ткани закрывает дыру, и все существа и предметы, находящиеся в ней, остаются в межпространстве. Что бы в ней ни находилось, дыра практически ничего не весит.
Если дыра сложена, существо, находящееся в её межпространстве, может действием совершить проверку Силы Сл 10. При успехе существо вырывается наружу и появляется в пределах 5 футов от переносной дыры или существа, несущего её. Дышащее существо, находящееся в закрытой переносной дыре, может перетерпеть 10 минут, после чего начинает задыхаться.
Помещение переносной дыры в межпространство, созданное сумкой хранения [bag of holding], удобным рюкзаком Хеварда [heward’s handy haversack] или подобным предметом, мгновенно уничтожает оба предмета и открывает врата в Астральный План. Врата появляются в месте, где один предмет пытались поместить в другой. Все существа в пределах 10 футов от врат затягиваются внутрь и помещаются в случайным образом определённое место на Астральном Плане. После этого врата закрываются. Врата односторонние, и повторно не открываются.</t>
  </si>
  <si>
    <t>Перо Кваля</t>
  </si>
  <si>
    <t>Этот маленький предмет выглядит как перо. Существует несколько разновидностей таких предметов, и каждый из которых обладает своим особым эффектом, используемым один раз. Мастер сам определяет разновидность пера или определяет её случайным образом.
к100        Эффект
01-15        Веер
16-40        Дерево
41-50        Кнут
51-65        Лодка-лебедь
66-80        Птица
81-00        Якорь
Веер. Если вы находитесь на корабле или лодке, то можете действием подбросить веер в воздух на расстояние до 10 футов. Этот предмет исчезнет, и на том месте, где это произошло, появится гигантский машущий веер. Этот веер парит в воздухе и создаёт ветер, достаточный для того, чтобы наполнить паруса корабля, увеличивая его скорость на 5 миль в час в течение 8 часов. Вы можете действием прервать этот эффект.
Дерево. Для использования этого пера вы должны находиться на открытом воздухе. Вы можете действием коснуться свободного пространства на поверхности земли. Перо исчезает, и на том месте, где вы коснулись земли, вырастет дуб, не обладающий никакими магическими свойствами. Высотой дерево будет достигать 60 футов при диаметре ствола 5 футов и радиусе кроны 20 футов.
Кнут. Вы можете действием бросить это перо в любую точку пространства в пределах 10 футов от себя. Перо исчезает, и на его месте появится парящий над землёй кнут. После этого вы можете бонусным действием совершить рукопашную атаку заклинанием по существу, находящемуся в пределах 10 футов от кнута, с бонусом атаки +9. При попадании цель получает урон силовым полем 1к6 + 5.
В свой ход вы можете бонусным действием приказать кнуту переместиться на 20 футов и повторить атаку по существу, находящемуся в пределах 10 футов от него. Кнут исчезает через 1 час, либо после того, как вы действием отпустите его, либо же если вы станете недееспособным или умрёте.
Лодка-лебедь. Вы можете действием прикоснуться этим предметом к водоёму с диаметром как минимум 60 футов. Перо исчезнет, и вместо него появляется лодка в форме лебедя длиной 50 и шириной 20 футов. Эта лодка может самостоятельно двигаться по водной глади со скоростью 6 миль в час. Находясь на лодке, вы можете действием отдавать ей команды двигаться или совершить поворот на 90 градусов. Лодка может перевозить 32 существа Среднего или меньшего размера. Большое существо считается за четыре Средних, а Огромное за девять. Лодка остаётся в вашем распоряжении 24 часа, после чего исчезает. Вы также можете действием прервать действие магии досрочно.
Птица. Вы можете действием подбросить перо в воздух на 5 футов. Перо исчезает, и на его месте появляется огромная, разноцветная птица. Используйте для неё блок статистики рух [roc], но она исполняет ваши простые приказания и не может атаковать. Она может переносить до 500 фунтов, летя со своей максимальной скоростью (16 миль в час при максимуме в 144 мили в день, с часовыми отдыхами через каждые 3 часа), или 1000 фунтов с уменьшенной вдвое скоростью. Птица исчезнет после того, как пролетит свою максимальную дневную дистанцию или, если её хиты опустятся до 0. Вы также можете отпустить её действием.
Якорь. Вы можете действием коснуться этим пером лодки или корабля. В течение следующих 24 часов это судно не может двинуться с места, какие бы средства не использовались для этого. Повторное прикосновение прекращает эффект. Когда эффект заканчивается, перо исчезает.</t>
  </si>
  <si>
    <t>Плащ летучей мыши</t>
  </si>
  <si>
    <t>Пока вы носите этот плащ, вы совершаете с преимуществом проверки Ловкости (Скрытность). В области тусклого освещения или темноте вы можете схватить края плаща обеими руками и использовать его для полёта со скоростью 40 футов. Если вы отпустите плащ во время полёта или перестанете находиться в области тусклого света или тьмы, вы теряете эту скорость полёта.
Если вы носите этот плащ, и находитесь в области тусклого освещения или темноте, вы можете действием наложить на себя превращение [polymorph] и стать летучей мышью. Пока вы находитесь в облике летучей мыши, вы сохраняете свои значения Интеллекта, Мудрости и Харизмы. Это свойство плаща нельзя использовать повторно до следующего рассвета.</t>
  </si>
  <si>
    <t>Плащ ускользания</t>
  </si>
  <si>
    <t>Пока вы носите этот плащ, он создаёт иллюзию, что вы находитесь немного в стороне от настоящего местонахождения, отчего существа совершают броски атаки по вам с помехой. Если вы получаете урон, это свойство перестаёт действовать до начала вашего следующего хода. Это свойство подавляется, пока вы недееспособны, опутаны или не можете перемещаться по другой причине.</t>
  </si>
  <si>
    <t>Плащ шарлатана</t>
  </si>
  <si>
    <t>Этот плащ слабо пахнет серой. Пока вы его носите, вы можете действием наложить заклинание переносящая дверь [dimension door]. Это свойство плаща нельзя использовать повторно до следующего рассвета.
Когда вы исчезаете, вы оставляете после себя облачко дыма, и в пункте назначения появляетесь тоже в клубах дыма. Дым слабо заслоняет покинутое и новое пространство и исчезает в конце вашего следующего хода. Лёгкий или более сильный ветер рассеивает этот дым.</t>
  </si>
  <si>
    <t>Плеть жертвоприношения</t>
  </si>
  <si>
    <t>На рукояти этого кнута из темной кожи нанесена руна «Огонь», а вокруг хвоста кнута танцуют тлеющие угли.
Вы получаете бонус +1 к броскам атаки и урона этим оружием, а при попадании хлыст причиняет дополнительный 1к6 урона огнём. Когда вы совершаете критическое попадание атакой с использованием этого хлыста, цель также становится опутанной до начала вашего следующего хода, поскольку вокруг цели хлещут огненные полосы.
Пробуждение руны. Когда вы совершаете атаку кнутом и попадаете, вы можете реакцией пробудить руну кнута. Это увеличивает дополнительный урон огнём, наносимый кнутом, до 2к6.
После того, как руна была пробуждена, она не может быть пробуждена снова до следующего рассвета.</t>
  </si>
  <si>
    <t>Плеть разума</t>
  </si>
  <si>
    <t>свежевателем разума</t>
  </si>
  <si>
    <t>В руках любого кроме свежевателя разума [mind flayer] плеть разума работает как обычный кнут. В руках иллитида это магическое оружие сдирает с существа волю к жизни и плоть, нанося 2к4 дополнительного урона психической энергией при попадании.
Любое существо, которое получило урон психической энергией от плети разума должно успешно совершить спасбросок Мудрости Сл 15 или получить помеху на спасброски Интеллекта, Мудрости или Харизмы на 1 минуту. Существо может повторить спасбросок в конце каждого своего хода, и прекратить эффект при успехе.</t>
  </si>
  <si>
    <t>Подковы скорости</t>
  </si>
  <si>
    <t>Эти железные подковы изготавливаются комплектом по четыре штуки. Если все четыре прикрепить к копытам лошади или подобного существа, они увеличивают скорость ходьбы этого существа на 30 футов.</t>
  </si>
  <si>
    <t>Посох иссушения</t>
  </si>
  <si>
    <t>друидом, жрецом или колдуном</t>
  </si>
  <si>
    <t>У этого посоха 3 заряда, и он ежедневно восстанавливает 1к3 заряда на рассвете.
Этот посох можно использовать как магический боевой посох. При попадании он причиняет урон как обычный боевой посох, и вы можете потратить 1 заряд, чтобы причинить цели дополнительные 2к10 урона некротической энергией. Кроме того, цель должна преуспеть в спасброске Телосложения Сл 15, иначе она в течение 1 часа будет совершать с помехой проверки характеристик и спасброски, использующие Силу или Телосложение.</t>
  </si>
  <si>
    <t>Посох Корневых Холмов</t>
  </si>
  <si>
    <t>На этом корявом деревянном посохе вырезана руна «Холм». Посох волшебным образом изменяет свои размеры, чтобы соответствовать росту любого существа, которое на него настраивается.
Посох можно использовать как магический боевой посох, который дает бонус +1 к броскам атаки и урона, сделанным с его помощью. В первый раз, когда вы попадаете посохом в какое-либо существо в свой ход, это существо должно преуспеть в спасброске Силы Сл 12, иначе оно будет опутано призрачными лозами до начала вашего следующего хода.
Пробуждение руны. Действием вы можете пробудить руну посоха, чтобы наложить с его помощью удержание личности [hold person] (Сл спасброска 12) или разговор с растениями [speak with plants]. Когда вы накладываете заклинание удержание личности [hold person] с помощью посоха, цель оплетается призрачными лозами.
Как только руна была пробуждена для накладывания любого из этих заклинаний, она не может быть пробуждена снова до следующего рассвета.</t>
  </si>
  <si>
    <t>Посох костяного когтя</t>
  </si>
  <si>
    <t>Этот серо-лазурный посох увенчан маленьким драконьим когтем, вырезанным из слоновой кости. Держа этот посох, вы получаете бонус +1 к броскам атаки заклинаниями. Всякий раз, когда вы совершаете критический удар с помощью атаки заклинанием, цель дополнительно получает 3к6 урона излучением.</t>
  </si>
  <si>
    <t>Посох леса</t>
  </si>
  <si>
    <t>друидом</t>
  </si>
  <si>
    <t>Этот посох можно использовать как магический боевой посох, предоставляющий бонус +2 к броскам атаки и урона им. Держа его, вы получаете бонус +2 к броскам атаки заклинаниями.
У посоха есть 10 зарядов для описанных ниже свойств. Он ежедневно восстанавливает 1к6 + 4 заряда на рассвете. Если вы истратили последний заряд, бросьте к20. Если выпадет «1», посох теряет все свои свойства и становится немагическим боевым посохом.
Заклинания. Вы можете действием потратить 1 или несколько зарядов посоха, чтобы наложить им одно из следующих заклинания, используя свою Сл спасброска от заклинания: дружба с животными [animal friendship] (1 заряд), дубовая кора [barkskin] (2 заряда), поиск животных или растений [locate animals or plants] (2 заряда), пробуждение разума [awaken] (5 зарядов), разговор с животными [speak with animals] (1 заряд), разговор с растениями [speak with plants] (3 заряда) или терновая стена [wall of thorns] (6 зарядов).
Вы также можете действием накладывать посохом заклинание бесследное передвижение [pass without trace], не тратя зарядов.
Древесный облик. Вы можете действием воткнуть посох в плодородную землю и потратить 1 заряд, чтобы превратить посох в здоровое дерево. Высота дерева 60 футов, диаметр ствола — 5 футов, а ветви на макушке раскинуты в радиусе 20 футов. Это дерево выглядит обычным, но излучает слабую магию школы Преобразования, если становится целью обнаружения магии [detect magic]. Прикоснувшись к дереву и произнеся действием командное слово, вы возвращаете посоху его обычный облик. Все находящиеся на дереве существа при этом падают.</t>
  </si>
  <si>
    <t>Посох лечения</t>
  </si>
  <si>
    <t>бардом, друидом или жрецом</t>
  </si>
  <si>
    <t>У этого посоха есть 10 зарядов. Держа его, вы можете действием потратить часть зарядов и наложить им одно из следующих заклинаний, используя свою Сл спасброска от заклинания и базовую характеристику: лечение ран [cure wounds] (1 заряд за каждый уровень заклинания, максимум 4-й уровень), малое восстановление [lesser restoration] (2 заряда) или множественное лечение ран [mass cure wounds] (5 зарядов).
Посох ежедневно восстанавливает 1к6 + 4 заряда на рассвете. Если вы истратили последний заряд, бросьте к20. Если выпадет «1», посох исчезает во вспышке света, теряясь навсегда.</t>
  </si>
  <si>
    <t>Посох очарования</t>
  </si>
  <si>
    <t>бардом, волшебником, друидом, жрецом, колдуном или чародеем</t>
  </si>
  <si>
    <t>Держа этот посох, вы можете действием потратить 1 из его 10 зарядов на то, чтобы наложить им очарование личности [charm person], понимание языков [comprehend languages] или приказ [command], используя свою Сл спасброска от заклинания. Этот посох также может использоваться как магический боевой посох.
Если вы держите этот посох и проваливаете спасбросок от заклинания школы Очарования, нацеленного только на вас, вы можете превратить проваленный спасбросок в успешный. Вы не можете использовать это свойство повторно до следующего рассвета. Если вы преуспели в спасброске от заклинания, нацеленного только на вас, вне зависимости от того, пришлось ли для этого прибегнуть к помощи посоха, вы можете реакцией потратить 1 заряд из посоха и отразить заклинание в того, кто его наложил, как если бы вы сами наложили это заклинание.
Посох ежедневно восстанавливает 1к8 + 2 заряда на рассвете. Если вы истратили последний заряд, бросьте к20. Если выпадет «1», посох становится немагическим боевым посохом.</t>
  </si>
  <si>
    <t>Посох роя насекомых</t>
  </si>
  <si>
    <t>У этого посоха 10 зарядов, и он ежедневно восстанавливает 1к6 + 4 заряда на рассвете. Если вы истратили последний заряд, бросьте к20. Если выпадет «1», рой насекомых пожирает посох, уничтожая его, и рассеивается.
Заклинания. Если вы держите этот посох, вы можете действием потратить часть зарядов, чтобы наложить им одно из следующих заклинаний, используя свою Сл спасброска от заклинания: гигантское насекомое [giant insect] (4 заряда) или нашествие насекомых [insect plague] (5 зарядов).
Облако насекомых. Если вы держите посох, вы можете действием потратить 1 заряд, чтобы окружить себя роем летучих насекомых с 30-футовым радиусом. Насекомые остаются на 10 минут, делая эту область сильно заслонённой для всех существ кроме вас. Рой перемещается с вами, оставаясь с центром на вас. Ветер со скоростью как минимум 10 миль в час (16 километров в час) рассеивает рой и оканчивает этот эффект.</t>
  </si>
  <si>
    <t>Пояс дварфов</t>
  </si>
  <si>
    <t>Пока вы носите этот пояс, вы получаете следующие преимущества:
Ваше Телосложение увеличивается на 2, с максимумом 20.
Вы совершаете с преимуществом проверки Харизмы (Убеждение) при взаимодействии с дварфами.
Кроме того, пока вы настроены на этот пояс, у вас каждый день есть 50-процентный шанс отрастить бороду, если она у вас вообще растёт, или же ваша борода станет гораздо гуще, если она уже есть.
Если вы — не дварф, вы получаете следующие дополнительные преимущества, пока носите этот пояс:
Вы совершаете с преимуществом спасброски от яда и получаете сопротивление урону ядом.
Вы получаете тёмное зрение в пределах 60 футов.
Вы можете говорить, читать и писать на Дварфском языке.</t>
  </si>
  <si>
    <t>Праща двух зайцев</t>
  </si>
  <si>
    <t>Вы получаете бонус +1 к броскам атаки и урона этим оружием. Если совершённая дальнобойная атака этим оружием попадает, вы можете заставить снаряд отскочить в сторону второй цели, находящейся в пределах 10 футов от первоначальной, позволяя вам совершить дальнобойную атаку по второй цели.</t>
  </si>
  <si>
    <t>Разрушающий цеп</t>
  </si>
  <si>
    <t>Этот пепельно-серый цеп холоден на ощупь. Вы получаете бонус +1 к броскам атаки и урона, совершённым этим магическим оружием, и наносит двойной урон по объектам и сооружениям.
Кроме того, когда вы попадаете по существу этим оружием, вы можете заставить существо совершить спасбросок Телосложения со Сл 15. При провале спасброска существо становится отравленным на 1 минуту. Отравленное существо получает 2к4 урона некротической энергией в начале каждого своего хода. Существо может повторять спасбросок в конце каждого своего хода, прекращая эффект на себе в случае успеха. После того как это свойство будет использовано, его нельзя будет использовать снова до следующего рассвета.</t>
  </si>
  <si>
    <t>Расплавленная бронзовая кожа</t>
  </si>
  <si>
    <t>Этот магический доспех представляет собой сосуд с расплавленной бронзой. Когда вы настраиваетесь на него, бронза прилипает и очерчивает контуры вашей кожи. Доспех можно носить под обычной одеждой, однако он не мешает жизнедеятельности организма. Как только вы в него облачаетесь, его нельзя будет снять, против вашей воли.
Пока вы облачены в этот доспех, вы получаете сопротивление урону огнём. Доспех не накладывает помеху на проверки Ловкости (Скрытность).</t>
  </si>
  <si>
    <t>Рог взрыва</t>
  </si>
  <si>
    <t>Вы можете действием произнести командное слово рога и подуть в него, испуская взрыв 30-футовым конусом, слышимый на расстоянии 600 футов. Все существа в конусе должны совершить спасбросок Телосложения Сл 15. При провале существо получает урон звуком 5к6 и становится оглохшим на 1 минуту. При успехе существо получает половину урона и не становится оглохшим. Существа и предметы, изготовленные из стекла или кристаллов, спасбросок совершают с помехой и получают урон звуком 10к6, а не 5к6.
При каждом использовании магии рога существует 20-процентный шанс, что он взорвётся. Взрыв причиняет урон огнём 10к6 тому, кто в него дул, и уничтожает рог.</t>
  </si>
  <si>
    <t>Сапоги левитации</t>
  </si>
  <si>
    <t>Если вы носите эти сапоги, вы можете неограниченно действием накладывать на себя заклинание левитация [levitate].</t>
  </si>
  <si>
    <t>Сапоги скорости</t>
  </si>
  <si>
    <t>Пока вы носите эти сапоги, вы можете бонусным действием щёлкнуть каблуками. Если вы делаете это, то сапоги удваивают вашу скорость ходьбы, а все существа, совершающие по вам провоцированные атаки, совершают броски атаки с помехой. Если вы щёлкнете каблуками повторно, вы прекращаете действие эффекта.
Если свойства этих сапог использовались в общей сложности 10 минут, магия перестаёт работать, пока вы не закончите продолжительный отдых.</t>
  </si>
  <si>
    <t>Сапоги странника</t>
  </si>
  <si>
    <t>Эта пара сапог сделана из прочной ткани, а руна «Путешествие» вышита золотой нитью над каждой пяткой. Пока вы носите этот предмет, ваша скорость ходьбы увеличивается на 10 футов, и вы совершаете с преимуществом проверки Мудрости (Выживание).
Пробуждение рун. Бонусным действием вы можете пробудить руны ботинок, чтобы с их помощью наложить заклинание поспешное отступление [expeditious retreat]. После того, как руны были пробуждены, они не могут быть пробуждены снова до следующего рассвета.</t>
  </si>
  <si>
    <t>Сборник защитных стихов</t>
  </si>
  <si>
    <t>Эта книга заклинаний в кожаном переплёте укреплена железной и серебряной фурнитурой и железным замком (Сл 20 для открытия). Действием вы можете коснуться обложки книги и заставить её закрыться, как если бы вы наложили на неё заклинание волшебный замок [arcane lock]. Найденная книга содержит следующие заклинания: волшебный замок [arcane lock], защита от зла и добра [protection from evil and good], знак [symbol], кабинет Морденкайнена [Mordenkainen’s private sanctum], охранные руны [glyph of warding], рассеивание магии [dispel magic] и сфера неуязвимости [globe of invulnerability]. Эта книга функционирует для вас как книга заклинаний.
Когда вы держите книгу, вы можете использовать её в качестве заклинательной фокусировки для ваших заклинаний волшебника.
Книга имеет 3 заряда и ежедневно восстанавливает 1к3 заряда на рассвете. Вы можете использовать заряды следующими способами, пока держите книгу:
Если вы потратите 1 минуту на изучение книги, вы можете израсходовать 1 заряд и заменить одно из своих подготовленных заклинаний волшебника на другое заклинание из книги. Новое заклинание должно принадлежать школе Ограждения.
Когда вы накладываете заклинание школы Ограждения, вы можете потратить 1 заряд, чтобы дать существу, которое вы можете видеть в пределах 30 футов, 2к10 временных хитов.</t>
  </si>
  <si>
    <t>Сверкающий Лунный Лук</t>
  </si>
  <si>
    <t>На этом серебряно-черном луке выгравированы фазы луны. Вы получаете бонус +1 к броскам атаки и урона, совершённым этим магическим оружием.
Когда вы попадаете по существу атакой совершенной этим магическим луком, цель дополнительно получает 1к6 урона излучением. Если вы не вкладываете боеприпас в оружие, оно производит свой собственный, автоматически создавая один магический боеприпас, когда вы натягиваете тетиву. Боеприпас, создаваемый луком, исчезает в тот момент, когда он попадает в цель или промахивается.
Держа этот волшебный лук, вы можете бонусным действием войти в полубестелесное состояние до начала вашего следующего хода. Будучи полубестелесным, вы получаете сопротивление к дробящему, колющему и рубящему урону. После того, как это бонусное действие будет использовано, его нельзя будет использовать снова до следующего рассвета.</t>
  </si>
  <si>
    <t>Светящийся рунический пигмент</t>
  </si>
  <si>
    <t>Этот набор из 1к4 + 2 маленьких баночек с краской содержит пигменты, смешанные из измельченных люминесцентных драгоценных камней. Эта волшебная краска дарует временные магические дары существам, на коже которых этой краской нанесены руны.
В одном горшке с краской достаточно пигмента, чтобы нарисовать одну руну. Существо может потратить 10 минут, чтобы нарисовать одну из следующих рун на себе или другом существе:
Руна «Путешествие». Труднопроходимая местность не требует дополнительного движения от существа с руной.
Руна «Жизни». Существо получает 10 временных хитов и совершает спасброски от смерти с преимуществом.
Руна «Свет». Существо получает тёмное зрение в радиусе 30 футов. Если существо получившее руну уже имеет темное зрение из другого источника, дальность его темного зрения увеличивается на 30 футов.
Руна «Гора». Существо получает иммунитет к сбиванию с ног и совершает с преимуществом спасброски Силы и Телосложения.
Руна «Щит». Существо совершает с преимуществом спасброски Ловкости против эффектов, наносящих урон.
Существо может получить выгоду только от одной нарисованной руны за раз, поэтому новая руна, нарисованная на существе, не имеет никакого эффекта, если старая не будет удалена первой. Преимущества руны действуют в течение 8 часов или до тех пор, пока нарисованное существо не сотрёт руну действием.</t>
  </si>
  <si>
    <t>Свиток защиты</t>
  </si>
  <si>
    <t>Свиток</t>
  </si>
  <si>
    <t>Каждый свиток защиты работает против какого-то одного определённого вида существ, выбранного Мастером самостоятельно или же случайным образом с помощью приведённой ниже таблицы.
к100        Вид существ
01-10        Аберрации
11-20        Звери
21-45        Исчадия
46-55        Небожители
56-75        Нежить
76-80        Растения
81-90        Феи
91-00        Элементали
Прочитав действием свиток, вы окружаете себя невидимым барьером, формирующим цилиндр с радиусом 5 футов и высотой 10 футов. В течение 5 минут этот барьер препятствует созданиям определённого вида входить в цилиндр и каким-либо образом воздействовать на то, что заключено в него.
Этот цилиндр перемещается вместе с вами, оставаясь с центром на вас. Однако, если вы перемещаетесь так, что существо указанного вида окажется внутри цилиндра, защитный эффект заканчивается.
Существо может попытаться преодолеть барьер, совершив действием проверку Харизмы Сл 15. При успехе барьер на это конкретное существо не действует.</t>
  </si>
  <si>
    <t>Складная лодка</t>
  </si>
  <si>
    <t>Этот предмет выглядит как деревянная коробка 12 дюймов в длину, 6 дюймов в ширину и 6 дюймов в высоту (30×15×15 сантиметров). Коробка весит 4 фунта и держится на плаву. Её можно открывать и хранить внутри вещи. У этого предмета есть три командных слова, и каждое из них произносится действием.
Первое командное слово разворачивает коробку в лодку 10 футов в длину, 4 фута в ширину и 2 фута в высоту (3×1,2×0,6 метров). У лодки есть пара вёсел, якорь, мачта и треугольный парус. В этой лодке с комфортом разместятся четыре существа Среднего размера.
Второе командное слово разворачивает коробку в корабль 24 фута в длину, 8 футов в ширину и 6 футов в высоту (7,3×2,4×1,8 метров). У корабля есть палуба, скамьи для гребли, пять пар вёсел, кормовое весло, якорь, палубная каюта и мачта с прямым парусом. На корабле с комфортом разместятся пятнадцать существ Среднего размера.
Если коробка стала судном, оно весит как обычное судно его размера, а всё, что хранилось в коробке, остаётся на судне.
Третье командное слово превращает судно в коробку, при условии, что на борту нет существ. Все предметы на судне, не помещающиеся в коробке, остаются вне коробки, когда та складывается. Все предметы на судне, которые могут поместиться в коробке, оказываются в коробке.</t>
  </si>
  <si>
    <t>Солнечный клинок</t>
  </si>
  <si>
    <t>Этот предмет выглядит как рукоять длинного меча. Держа эту рукоятку, вы можете бонусным действием заставить появиться или исчезнуть клинок из чистого сияния. Пока клинок существует, этот магический длинный меч обладает свойством «фехтовальное». Если вы владеете коротким или длинным мечом, то вы владеете солнечным клинком.
Вы получаете бонус +2 к броскам атаки и урона, совершённым этим оружием, и причиняете не рубящий урон, а урон излучением. Если вы попадаете им по нежити, цель получает дополнительный 1к8 урона излучением.
Клинок этого меча испускает яркий свет в радиусе 15 футов и тусклый свет в радиусе ещё 15 футов. Это солнечный свет. Пока клинок существует, вы можете действием увеличить или уменьшить радиус и яркого и тусклого света на 5 футов каждый, с максимумом 30 футов и минимумом 10 футов для каждого.</t>
  </si>
  <si>
    <t>Солнечный молот</t>
  </si>
  <si>
    <t>Вы получаете бонус +2 к броскам атаки и урона, совершённым этим магическим оружием.
Действием вы можете метнуть оружие на расстояние до 120 футов в точку, которую вы можете видеть. Когда молот достигает этой точки, он самоуничтожится, взрываясь, каждое существо в сфере с радиусом 20 футов, центрированной в этой точке, должно совершить спасбросок Ловкости Сл 15, получая 6к6 урона огнём при провале или вдвое меньше урона при успехе. После этого вы можете действием заставить оружие снова появиться в вашей пустой руке. Вы не можете заставить его взорваться снова, пока не закончите короткий или продолжительный отдых.
Если вы не вызываете его обратно в свою руку, то молот появляется в том месте, где он взорвался, когда ваша настройка на него заканчивается или по прошествии 24 часов.</t>
  </si>
  <si>
    <t>Солнечный посох</t>
  </si>
  <si>
    <t>Жрецом, Друидом или Волшебником</t>
  </si>
  <si>
    <t>По этому деревянному посоху проходят прожилки солнечного камня. Этот посох можно использовать как магический боевой посох, предоставляющий бонус +1 к броскам атаки и урона им. Когда вы попадаете броском атаки, совершённой с помощью этого посоха, цель дополнительно получает 1к8 урона огнём.
Солнечная фокусировка. Вы можете использовать этот посох в качестве заклинательной фокусировки. Держа посох, вы можете перебросить количество костей урона равное вашему бонусу мастерства, когда используете ячейку заклинаний, чтобы наложить заклинание, наносящее урон огнем или излучением. Вы обязаны использовать новые результаты. Как только это свойство будет использовано, его нельзя будет использовать снова до следующего рассвета.
Солнечное сияние. Бонусным действием вы можете заставить посох сиять солнечным светом. Пока посох сияет, он излучает яркий свет в пределах 15 футов и тусклый свет еще на 15 футов. Посох сияет  до тех пор, пока вы бонусным действием не погасите его.</t>
  </si>
  <si>
    <t>Сумка с бобами</t>
  </si>
  <si>
    <t>Внутри этой тяжёлой тканой сумки находятся 3к4 сухих боба. Сумка весит 1/2 фунта, плюс 1/4 фунта за каждый боб, находящийся внутри.
Если вы высыпаете содержимое сумки на землю, то они взрываются с радиусом 10 футов. Все существа в этой зоне, включая вас, должно совершить спасбросок Ловкости Сл 15, получая урон огнём 5к4 при провале или половину этого урона, если спасбросок был успешен. Этот огонь также поджигает легковоспламеняющиеся объекты в зоне поражения, которые никто не несёт и не носит.
Если вы извлечёте боб из сумки, посадите его в землю или песок и затем польёте его, то боб спустя 1 минуту после того, как вы посадили его, произведёт некоторый эффект. Мастер может сам выбрать эффект из таблицы, может определить эффект случайным образом, или же придумать свой вариант.
к100        Эффект
01        Вырастают 5к4 поганок. Если существо съедает поганку, то необходимо бросить любую кость для определения эффекта. При выпадении нечётного числа существо должно преуспеть в спасброске Телосложения Сл 15, иначе оно получит урон ядом 5к6 и становится отравленным на 1 час. Если же выпадет чётное число, то существо получает 5к6 временных хитов на 1 час.
02-10        Появляется гейзер, фонтанирующий на высоту 30 футов потоками воды, пива, ягодного сока, чая, уксуса или масла (по выбору Мастера) в течение 1к12 раундов.
11-20        Появляется трент [treant]. Существует 50-процентный шанс, что появившийся трент будет обладать хаотично-злым мировоззрением и нападёт.
21-30        Появляется ожившая, но неподвижная каменная статуя, похожая на вас и выкрикивающая в ваш адрес угрозы. Если вы уходите от неё, а кто-то другой приближается к ней, статуя описывает вас как самого гнусного злодея и побуждает новоприбывших найти и атаковать вас. Если вы находитесь с ней на одном плане существования, то статуя знает ваше местоположение. По прошествии 24 часов статуя перестаёт быть ожившей.
31-40        Появляется походный костёр с синими языками пламени ,который горит в течение 24 часов (или пока не будет погашен).
41-50        Вырастают 1к6 + 6 визгунов [shrieker].
51-60        Наружу выползают 1к4 + 8 ярко-розовых жаб. Всякий раз, когда кто-либо прикасается к жабе, та превращается в монстра (размером вплоть до Большого) по выбору Мастера. Этот монстр существует в течение минуты, после чего исчезает в клубах ярко-розового дыма.
61-70        Из норы выползает голодная панцирница [bulette] и немедленно нападает.
71-80        Вырастает фруктовое дерево. На дереве растёт 1к10 + 20 фруктов, 1к8 из которых действуют как магические зелья (определяются случайным образом), в то время, как один из фруктов, будучи съеденным, действует как пищевой яд на выбор Мастера. Дерево исчезает спустя 1 час. Сорванные фрукты остаются, сохраняя свои магические свойства в течение 30 дней.
81-90        Появляется гнездо, содержащее 1к4 + 3 яиц. Существо, съедающее одно из этих яиц, должно совершить спасбросок Телосложения Сл 20. При успехе существо навсегда увеличивает на единицу значение своей самой низкой характеристики. Если две или более характеристики имеют минимальное значение, то случайно выбирается какая-либо одна. При провале существо получает урон силовым полем 10к6 от внутреннего взрыва магической природы.
91-99        Вверх возносится пирамида с квадратным основанием 60 × 60 футов. Внутри неё находится саркофаг с покоящейся в нём лордом-мумией [mummy lord]. Эта пирамида считается логовом лорда-мумии, а в саркофаге находится сокровище на усмотрение Мастера.
00        Вырастает гигантский бобовый стебель такой высоты, какой будет угодно Мастеру. Мастер также решает, что ждёт добравшегося до его вершины персонажа: ему откроется величественный вид, он окажется в замке облачного великана [cloud giant] или же вершина стебля приведёт его на другой план существования.</t>
  </si>
  <si>
    <t>Сфера разрыва донжона</t>
  </si>
  <si>
    <t>Эта хрустальная сфера размером чуть меньше дюйма светится экстрапланарной энергией.
В рамках настройки на этот предмет вы прижимаете хрустальную сферу к рукоятке немагического рукопашного оружия по вашему выбору, магически прикрепляя сферу к оружию. Оружие становится магическим с бонусом +1 к броскам атаки и урона. Владея этим оружием, вы получаете следующие преимущества:
Якорь измерений. Вы совершаете с преимуществом спасброски против заклинаний и эффектов, которые могут переместить вас в межпространство, демиплан или другой план существования против вашей воли.
Изолирующий удар. Когда вы попадаете по существу этим оружием, вы можете заставить его совершить спасбросок Харизмы со Сл 16. В случае провала существо изгоняется в безобидный демиплан до конца своего следующего хода. Когда изгнанное существо возвращается, оно снова появляется в том месте, которое оно покинуло, или в ближайшем незанятом месте, если это место занято. Как только это свойство будет использовано, его нельзя будет использовать снова до следующего рассвета.
Когда вы прекращаете настройку на сферу, сфера безвредно отделяется от оружия, и оружие снова становится немагическим предметом снаряжения.</t>
  </si>
  <si>
    <t>Таранный щит</t>
  </si>
  <si>
    <t>Держа этот железный башенный щит, вы получаете бонус +1 к КД. Этот бонус является дополнением к обычному бонусу щита к КД.
Кроме того, щит имеет 3 заряда, и он восстанавливает 1к3 израсходованных заряда ежедневно на рассвете. Если вы держите щит и толкаете существо в пределах вашей досягаемости по крайней мере на 5 футов, то вы можете потратить 1 заряд, чтобы оттолкнуть это существо ещё на 10 футов, сбить его с ног или и то, и другое вместе.</t>
  </si>
  <si>
    <t>Татуировка с клеймом Царства Теней</t>
  </si>
  <si>
    <t>Нанесённая специальной иглой, эта магическая татуировка имеет абстрактный внешний вид в тёмных тонах.
Настройка на татуировку. Чтобы настроиться на этот предмет, вам необходимо на протяжении всего времени настройки нажимать иглой на кожу там, где вы хотите, чтобы татуировка находилась. Когда настройка завершается, игла превращается в чернила, которые принимают очертания нарисованного вами узора на коже.
Если ваша настройка на татуировку заканчивается, она исчезает, а игла снова появляется в вашем пространстве.
Теневая сущность. Вы получаете тёмное зрение в пределах 60 футов и совершаете проверки Ловкости (Скрытность) с преимуществом.
Теневая защита. Когда вы получаете урон, вы можете реакцией стать бесплотным на мгновение, уменьшив вдвое урон, который вы получаете. Эта реакция не может быть совершена вновь до следующего заката.</t>
  </si>
  <si>
    <t>Топор берсерка</t>
  </si>
  <si>
    <t>Вы получаете бонус +1 к броскам атаки и урона, совершённым этим магическим оружием. Кроме того, пока вы настроены на это оружие, максимум ваших хитов увеличивается на 1 за каждый полученный уровень.
Проклятье. Этот топор проклят, и это проклятье простирается и на того, кто настраивается на него. Пока вы остаётесь прокляты, вы не хотите расставаться с топором, и всегда держите его под рукой. Вы также совершаете с помехой броски атаки другим оружием, кроме случаев, когда в пределах 60 футов нет врагов, которых вы можете видеть или слышать.
Каждый раз, когда враждебное существо причиняет вам урон, а топор при этом находится при вас, вы должны преуспеть в спасброске Мудрости Сл 15, иначе станете берсерком. Будучи берсерком, вы обязаны своим действием в каждом раунде атаковать этим топором ближайшее существо. Если вы можете совершать дополнительные атаки частью действия Атака, вы совершаете эти атаки, переходя к следующему ближайшему существу, после того как расправитесь с текущей целью. Если у вас есть несколько возможных целей, вы атакуете того, кого выберете случайным образом. Вы остаётесь берсерком, пока не получится так, что в начале вашего хода в пределах 60 футов от вас не останется существ, которых вы можете видеть или слышать.</t>
  </si>
  <si>
    <t>Убийца великанов</t>
  </si>
  <si>
    <t>Вы получаете бонус +1 к броскам атаки и урона, совершённым этим магическим оружием.
Если вы попадаете им по великану, великан получает дополнительный урон 2к6, соответствующий виду оружия, и должен преуспеть в спасброске Силы Сл 15, иначе он будет сбит с ног. Для этого оружия «великан» означает любое существо с видом «великан», включая эттинов и троллей.</t>
  </si>
  <si>
    <t xml:space="preserve">Убийца драконов </t>
  </si>
  <si>
    <t>Вы получаете бонус +1 к броскам атаки и урона, совершённым этим магическим оружием.
Если вы попадаете этим оружием по дракону, он получит дополнительный урон 3к6, соответствующий виду оружия. Для этого оружия «дракон» означает любое существо с видом «дракон», включая виверн и дракочерепах.</t>
  </si>
  <si>
    <t>Убийца мертвецов</t>
  </si>
  <si>
    <t>Вы получаете бонус +1 к броскам атаки и урона, совершённым этим магическим оружием.
Если вы попадаете этим магическим оружием по нежити, то она дополнительно получает 1к8 урона оружия, и совершает с помехой спасброски против эффектов, которые изгоняют нежить до начала вашего следующего хода.</t>
  </si>
  <si>
    <t>Удобный рюкзак Хеварда</t>
  </si>
  <si>
    <t>У этого рюкзака есть центральный карман и два боковых кармана, и все они являются межпространственными местами. В каждом боковом кармане помещается по 20 фунтов материи, не превышающей в объёме 2 кубических фута. В центральном кармане помещается до 8 кубических футов материи, весящей не больше 80 фунтов. Этот рюкзак всегда весит 5 фунтов, что бы в нём ни хранилось.
Помещение предмета в рюкзак использует обычные правила взаимодействия с предметами. Достаются предметы из рюкзака действием. Если вы достаёте из рюкзака конкретную вещь, она магическим образом всегда оказывается на самом верху.
У рюкзака есть несколько ограничений. Если он будет переполнен или если острый предмет проткнёт или разорвёт его, рюкзак разрывается и уничтожается. Если рюкзак уничтожается, всё его содержимое навсегда теряется, но артефакты появляются в новых местах. Если рюкзак вывернуть наизнанку, его содержимое выпадет наружу, но рюкзак придётся вывернуть обратно, чтобы его снова можно было использовать. Если в рюкзак поместить дышащее существо, оно может выжить 10 минут, после чего начнёт задыхаться.
Помещение рюкзака в межпространство, созданное сумкой хранения, переносной дырой или подобным предметом, мгновенно уничтожает оба предмета и открывает врата в Астральный План. Врата появляются в месте, где один предмет пытались поместить в другой. Все существа в пределах 10 футов от врат затягиваются внутрь и помещаются в случайным образом определённое место на Астральном Плане. После этого врата закрываются. Врата односторонние, и повторно не открываются.</t>
  </si>
  <si>
    <t>Фартук мясника</t>
  </si>
  <si>
    <t>Этот чёрный кожаный фартук постоянно покрыт кровью, даже после того, как его почистят. Надевая фартук, вы получаете следующие преимущества:
Один раз за ход, когда вы совершаете бросок урона для атаки рукопашным оружием, вы можете перебросить кость урона оружия. Когда вы это делаете, вы должны использовать второй результат.
Ваши атаки оружием, наносящим рубящий урон, совершают критическое попадание при выпадении «19» или «20» на кости атаки.</t>
  </si>
  <si>
    <t>Фолиант души и плоти</t>
  </si>
  <si>
    <t>Этот том с обложкой из кожи и костяной фурнитурой холоден на ощупь и едва заметно шепчет. Найденная книга содержит следующие заклинания, которые являются для вас заклинаниями волшебника, пока вы настроены на неё: восставший труп [animate dead], круг смерти [circle of death], перст смерти [finger of death], призыв духа нежити [summon undead], прикосновение вампира [vampiric touch], псевдожизнь [false life], разговор с мёртвыми [speak with dead]. Эта книга функционирует для вас как книга заклинаний.
Когда вы держите книгу, вы можете использовать её в качестве заклинательной фокусировки для ваших заклинаний волшебника. Книга имеет 3 заряда и ежедневно восстанавливает 1к3 заряда на рассвете. Вы можете использовать заряды следующими способами, пока держите книгу:
Если вы потратите 1 минуту на изучение книги, вы можете израсходовать 1 заряд и заменить одно из своих подготовленных заклинаний волшебника на другое заклинание из книги. Новое заклинание должно принадлежать школе Некромантии.
Действием вы можете потратить 1 заряд, чтобы стать похожим на нежить на 10 минут. В течение этого времени вы имеете внешний вид мертвеца, и нежить безразлична к вам, пока вы не нанесёте ей урон. Вы также выглядите нежитью для любого внешнего осмотра и заклинаний, определяющих состояние цели. Эффект заканчивается, если вы наносите урон или заставляете существо совершить спасбросок.</t>
  </si>
  <si>
    <t>Хватающий кнут</t>
  </si>
  <si>
    <t>Вы получаете бонус +1 к броскам атаки и урона, совершённым этим магическим оружием.
Когда вы попадаете этим кнутом по существу или объекту Большого размера или меньше, вы можете притянуть это существо или объект на 5 футов к себе вместо нанесения урона.</t>
  </si>
  <si>
    <t>Хрустальный клинок</t>
  </si>
  <si>
    <t>Клинок этого магического меча сделан из рога или хребта хрустального дракона. Когда вы попадаете по существу атакой, совершённой этим мечом, цель получает 1к8 дополнительного урона излучением.
Меч имеет 3 заряда и восстанавливает 1к3 зарядов на каждом рассвете. Когда вы попадаете по существу атакой, совершённой этим мечом, вы можете потратить 1 заряд, чтобы восстановить себе хиты в количестве, равном дополнительному урону излучением, нанесённому этим мечом в этой атаке.
Пока вы держите меч, вы можете бонусным действием заставить его излучать яркий свет в радиусе 30 футов и тусклый свет ещё на 30 футов, излучать тусклый свет в радиусе 10 футов или погасить свет.</t>
  </si>
  <si>
    <t>Чаша командования водяными элементалями</t>
  </si>
  <si>
    <t>Если эта чаша наполнена водой, вы можете действием произнести командное слово и призвать водяного элементаля [water elemental], как если бы наложили заклинание призыв элементаля [conjure elemental]. Чашу нельзя использовать повторно, пока не наступит следующий рассвет. Чаша диаметром примерно 1 фут, а в высоту она в два раза меньше. Она весит 3 фунта и вмещает 3 галлона.</t>
  </si>
  <si>
    <t>Шлем богов</t>
  </si>
  <si>
    <t>Нося этот шлем, вы знаете, есть ли в 30 футах от вас Небожитель или Исчадие, а также его местоположение, при условии, что оно не находится за полным укрытием.
Каждый раз, когда вы заканчиваете продолжительный отдых и надеваете шлем, вы можете помолиться одному из богов, перечисленных в таблице «Шлем богов», и сохранить указанное заклинание в шлеме, заменяя любое заклинание, которое уже хранится в нем. Сл спасброска для этих заклинаний 13.
У шлема есть 3 заряда. Чтобы наложить заклинание с помощью шлема, вы должны израсходовать 1 заряд. Шлем восстанавливает 1к3 заряда ежедневно на рассвете.
Шлем богов
Бог        Заклинание
Атрей        защита от зла и добра [protection from evil and good]
Гелиод        направленный снаряд [guiding bolt]
Ирой        героизм [heroism]
Караметра        чудо-ягоды [goodberry]
Керан        громовая кара [thunderous smite]
Клотида        опутывание [entangle]
Круфикс        диссонирующий шёпот [dissonant whispers]
Могий        адское возмездие [hellish rebuke]
Нилея        огонь фей [faerie fire]
Пирфор        палящая кара [searing smite]
Тасса        опознание [identify]
Фарика        малое восстановление [lesser restoration]
Фенакс        очарование личности [charm person]
Эреб        нанесение ран [inflict wounds]
Эфара        убежище [sanctuary]</t>
  </si>
  <si>
    <t>Шлем телепортации</t>
  </si>
  <si>
    <t>У этого шлема есть 3 заряда. Если вы его носите, вы можете действием потратить 1 заряд, чтобы наложить им заклинание телепортация [teleport]. Шлем ежедневно восстанавливает 1к3 заряда на рассвете.</t>
  </si>
  <si>
    <t>Щит Дальнего Взора</t>
  </si>
  <si>
    <t>Свежеватель разума [mind flayer], сведущий в создании магических предметов, создает щит дальнего взора, взяв глаз разумного гуманоида и магически вставив его во внешнюю поверхность немагического щита. Щит становится магическим предметом после вставления глаза, после чего свежеватель разума может отдать щит рабу или повесить его на стену в логове. Пока щит находится в одном плане существования с его создателем свежеватель разума может видеть глазом на щите, который обладает тёмным зрением на 60 футов. Смотря через магический глаз, свежеватель разума может использовать свое действие Взрыв разума [Mind Blast] так, как будто бы он стоял за щитом.
Если щит дальнего взора уничтожен, то свежеватель разума, который его создал, слепнет на 2к12 часов.</t>
  </si>
  <si>
    <t>Щит Парии</t>
  </si>
  <si>
    <t>Солдаты Легиона Бороса считают честью носить этот щит, даже зная, что это может быть последняя честь, которую они получают. На лицевой части щита изображено скорбящее человеческое лицо.
Вы получаете бонус +1 к КД за каждых двух союзников в пределах 5 футов от вас (максимум +3), пока вы носите этот щит. Этот бонус является дополнением к обычному бонусу щита к КД.
Когда существо, которое вы видите в пределах 5 футов от вас, получает урон, вы можете использовать свою Реакцию, чтобы получить этот урон вместо него. Когда вы это делаете, тип урона меняется на силовое поле.</t>
  </si>
  <si>
    <t>Щит притягивания снарядов</t>
  </si>
  <si>
    <t>Вы получаете сопротивление урону от дальнобойных атак оружием, пока держите этот щит.
Проклятье.Этот щит проклят. Если вы настраиваетесь на него, вы становитесь проклятым, пока не станете целью заклинания снятие проклятья [remove curse] или другой подобной магии. Простое снятие щита не оканчивает проклятье на вас. Каждый раз, когда по цели, находящейся в пределах 10 футов от вас, совершается дальнобойная атака оружием, проклятье заставляет стать целью вас.</t>
  </si>
  <si>
    <t>Эльфийская кольчуга</t>
  </si>
  <si>
    <t>Вы получаете бонус +1 к КД, когда носите этот доспех. Считается, что вы владеете навыком ношения этого доспеха, даже если не владеете навыком ношения средних доспехов.</t>
  </si>
  <si>
    <t>Вы можете бонусным действием произнести командное слово этого магического меча, отчего из него вырвутся языки пламени. Это пламя испускает яркий свет в радиусе 40 футов и тусклый свет в радиусе ещё 40 футов. Пока меч пылает, он причиняет дополнительно 2к6 урона огнём целям, по которым попадает. Пламя остаётся, пока вы не произнесёте ещё раз командное слово бонусным действием, или пока не уберёте меч в ножны.</t>
  </si>
  <si>
    <t>Алхимический сосуд</t>
  </si>
  <si>
    <t>Чудесный предмет</t>
  </si>
  <si>
    <t>Этот керамический кувшин, кажется способным вместить 1 галлон жидкости и весит 12 фунтов вне зависимости от того, полный он или пустой. Если его потрясти, то можно услышать звуки плескающийся жидкости, даже если кувшин пуст.
Вы можете действием назвать одну жидкость из приведённой ниже таблицы, отчего кувшин начнёт её производить. После этого вы можете ещё одним действием откупорить кувшин и вылить эту жидкость из сосуда со скоростью до 2 галлонов в минуту. Максимальное количество жидкости, которое может произвести кувшин, зависит от вида жидкости, названной вами.
После того, как кувшин начинает производить выбранную жидкость, он не может производить другую, или произвести названную жидкость в объёме больше её максимума, пока не наступит следующий рассвет.
Жидкость        Макс. объём
Вино        1 галлон
Вода пресная        8 галлонов
Вода солёная        12 галлонов
Кислота        8 унций
Майонез        2 галлона
Масло        1 кварта
Мёд        1 галлон
Пиво        4 галлона
Уксус        2 галлона
Яд, простой        1/2 унции</t>
  </si>
  <si>
    <t>Пока вы носите этот амулет, вы скрыты от магии школы Прорицания. Вы не можете быть целью подобной магии, и вас не воспринимают магические сенсоры слежения.</t>
  </si>
  <si>
    <t>Амулет пьяницы</t>
  </si>
  <si>
    <t>Этот амулет пахнет старым, пропитанным элем деревом. Пока вы его носите, вы можете восстановить себе 4к4 + 4 хита, после того как выпьете пинту пива, эля, медовухи или вина. Как только амулет восстановит хиты, он не может сделать это снова до следующего рассвета.</t>
  </si>
  <si>
    <t>Бандура Фоклучан</t>
  </si>
  <si>
    <t>Существо, пытающееся играть на инструменте, не будучи настроенным на него, должно преуспеть в спасброске Мудрости Сл 15, иначе получит урон психической энергией 2к4.
Вы можете действием сыграть на инструменте и наложить одно из его заклинаний: дубинка [shillelagh], защита от зла и добра [protection from evil and good], левитация [levitate], невидимость [invisibility], огонь фей [faerie fire], опутывание [entangle], полёт [fly], разговор с животными [speak with animals]. После того как инструмент использован для наложения заклинания, он не может повторно накладывать это заклинание до следующего рассвета. Заклинания используют вашу базовую характеристику и Сл спасбросков от ваших заклинаний.
Вы можете играть на инструменте при наложении заклинания, которое делает цели очарованными при провале спасброска, тем самым давая целям помеху на этот спасбросок. Этот эффект применяется только если заклинание имеет соматический или материальный компонент.</t>
  </si>
  <si>
    <t>Брошь живого существа</t>
  </si>
  <si>
    <t>Пока вы носите эту невзрачную брошь, заклинания и всё остальное, что может обнаружить или определить ваш вид существа, воспринимают вас как Гуманоида, а те, что определяют ваше мировоззрение, определяют вас как нейтрального.</t>
  </si>
  <si>
    <t>Брошь защиты</t>
  </si>
  <si>
    <t>Пока вы носите эту брошь, вы обладаете сопротивлением урону силовым полем и иммунитетом к урону от заклинания волшебная стрела [magic missile].</t>
  </si>
  <si>
    <t>Веер ветра</t>
  </si>
  <si>
    <t>Если вы держите этот веер, вы можете действием наложить им заклинание порыв ветра [gust of wind] (Сл спасброска 13). До следующего рассвета веером лучше не пользоваться. За каждое повторное использование до рассвета существует накопительный 20-процентный шанс, что веер не сработает и превратится в бесполезные немагические обрывки.</t>
  </si>
  <si>
    <t>Верёвка лазания</t>
  </si>
  <si>
    <t>Эта 60-футовая шёлковая верёвка весит 3 фунта и способна выдержать до 3000 фунтов веса. Если вы удерживаете один конец верёвки, вы можете действием произнести командное слово, чтобы оживить верёвку. Бонусным действием вы можете отдать приказ другому концу двигаться к какому-либо месту на ваш выбор. Этот конец будет продвигаться в сторону указанного места со скоростью 10 футов за раунд, пока не достигнет его, или пока верёвка не размотается на свою полную длину, или же пока вы не прикажете ей остановиться. Вы также можете приказать верёвке крепко обвязаться вокруг какого-либо предмета, отвязаться, навязать или развязать узлы по всей длине или самостоятельно скрутиться кольцом для удобства переноски.
Если вы приказываете верёвке навязать узлы, то они появляются через каждый фут по всей её длине. При этом верёвка становится короче на 10 футов, но зато проверки, совершённые для лазания по ней, совершаются с преимуществом.
У верёвки КД 20 и 20 хитов. Она восстанавливает 1 хит каждые 5 минут, если у неё есть хотя бы 1 хит. Если хиты верёвки опускаются до 0, она уничтожается.</t>
  </si>
  <si>
    <t>Вечнодымящаяся бутылка</t>
  </si>
  <si>
    <t>Из этой закупоренной свинцовой пробкой латунной бутылки, весящей 1 фунт, постоянно сочится тонкая струйка дыма. Если вы действием вынете пробку, из бутылки вырвется облако густого дыма с радиусом 60 футов. Пространство в облаке считается сильно заслонённой местностью. За каждую минуту, пока бутылка стоит открытой и находится внутри облака, его радиус увеличивается на 10 футов, пока не достигнет максимального радиуса 120 футов.
Облако остаётся, пока бутылка открыта. Для закрывания бутылки нужно действием произнести её командное слово. Когда бутылку закроют, дым рассеется за 10 минут. Умеренный ветер (от 11 до 20 миль в час) рассеивает дым за 1 минуту, а сильный ветер (21 миля в час и больше) сделает это за 1 раунд.</t>
  </si>
  <si>
    <t>Взрывные очки</t>
  </si>
  <si>
    <t>Эти очки ремонтника имеют 3 заряда. Действием вы можете потратить 1 заряд, чтобы выстрелить лучом пылающего света из очков в существо, которое вы можете видеть в пределах 120 футов от себя. Цель должна преуспеть в спасброске Ловкости Сл 15, иначе получит 3к6 урона огнём. Очки восстанавливают 1к3 израсходованного заряда ежедневно на рассвете.
Проклятие. Эти очки прокляты, и если вы настроитесь на них, проклятие распространится и на вас. Пока проклятие не будет снято при помощи заклинания снятие проклятия [remove curse] или подобной магией.
Всякий раз, когда вы выстреливаете пылающим лучом из очков и цель выбрасывает "20" на к20 при спасброске, очки ослепляют вас вспышкой очень яркого света. В результате чего вы становитесь ослеплённым на 24 часа.</t>
  </si>
  <si>
    <t>Волшебная палочка обнаружения магии</t>
  </si>
  <si>
    <t>У этой волшебной палочки 3 заряда. Если вы её держите, вы можете действием потратить 1 заряд, чтобы наложить ей заклинание обнаружение магии [detect magic]. Палочка ежедневно восстанавливает 1к3 заряда на рассвете.</t>
  </si>
  <si>
    <t>Волшебная палочка паутины</t>
  </si>
  <si>
    <t>Заклинатель</t>
  </si>
  <si>
    <t>У этой волшебной палочки 7 зарядов. Если вы её держите, вы можете действием потратить 1 заряд, чтобы наложить ей заклинание паутина [web] (Сл спасброска 15).
Палочка ежедневно восстанавливает 1к6 + 1 заряд на рассвете. Если вы истратили последний заряд в палочке, бросьте к20. Если выпадет «1», палочка рассыплется в пыль и уничтожится.</t>
  </si>
  <si>
    <t>Волшебная палочка секретов</t>
  </si>
  <si>
    <t>У этой волшебной палочки 3 заряда. Если вы держите её, вы можете действием потратить 1 заряд, и если в пределах 30 футов от вас есть потайные двери или ловушки, то палочка завибрирует и укажет на ту, что находится ближе всего к вам.
Палочка ежедневно восстанавливает 1к3 ? заряда на рассвете.</t>
  </si>
  <si>
    <t>Волшебная палочка снарядов</t>
  </si>
  <si>
    <t>У этой волшебной палочки 7 зарядов. Если вы её держите, вы можете действием потратить 1 или несколько зарядов, чтобы наложить с её помощью заклинание волшебная стрела [magic missile]. За 1 заряд вы накладываете это заклинание 1-го уровня. Вы можете увеличить уровень заклинания на 1 за каждый дополнительный используемый заряд.
Палочка ежедневно восстанавливает 1к6 + 1 заряд на рассвете. Если вы истратили последний заряд в палочке, бросьте к20. Если выпадет «1», палочка рассыплется в пыль и уничтожится.</t>
  </si>
  <si>
    <t>Графин бесконечной воды</t>
  </si>
  <si>
    <t>Эта закупоренная ёмкость булькает, если её потрясти, как будто в ней находится вода. Весит графин 2 фунта.
Вы можете действием откупорить графин и произнести одно из трёх ключевых слов, после чего из графина выливается указанное количество пресной или солёной воды (на ваш выбор). Вода прекращает литься в начале вашего следующего хода. У вас есть следующие варианты:
«Ручей» производит 1 галлон (4 литра) воды.
«Фонтан» производит 5 галлонов (19 литров) воды.
«Гейзер» производит 30 галлонов (114 литров) воды, которая вырывается струёй 30 футов длиной и 1 фут шириной. Держа графин, вы можете бонусным действием нацелиться графином на существо, которое видите в пределах 30 футов от себя. Цель должна преуспеть в спасброске Силы Сл 13, иначе получит 1к4 дробящего урона и будет сбита с ног. Вместо существа вы можете нацелиться на предмет, который никто не несёт и не носит, и который весит не больше 200 фунтов. Предмет или падает или толкается на 15 футов от вас.</t>
  </si>
  <si>
    <t>Доспех грибковых спор</t>
  </si>
  <si>
    <t>Пока вы носите эти доспехи, вы можете бонусным действием заставить броню испускать ядовитые споры, которые заполняют сферу радиусом 10 футов с центром на вас. Каждое существо в этой области должно преуспеть в спасброске Телосложения Сл 15, иначе оно будет отравлено до конца вашего следующего хода. После того, как это свойство будет использовано, его нельзя будет использовать снова до следующего рассвета.</t>
  </si>
  <si>
    <t>Доспех моряка</t>
  </si>
  <si>
    <t>Пока вы носите этот доспех, вы обладаете скоростью плавания, равной скорости вашей ходьбы. Кроме того, каждый раз, когда вы начинаете ход, находясь под водой и с 0 хитов, вы поднимаетесь к поверхности на 60 футов. Данный доспех искусно декорирован различными мотивами с изображениями рыб и морских раковин.</t>
  </si>
  <si>
    <t>Доспехи невесомости</t>
  </si>
  <si>
    <t>Доспехи имеют 5 зарядов. Пока вы носите эти доспехи, вы можете бонусным действием потратить 1 или несколько зарядов, чтобы наложить из доспехов одно из следующих заклинаний, нацеленных на себя: прыжок [jump] (1 заряд) или левитация [levitate] (2 заряда).
Доспехи восстанавливают 1к4+1 израсходованных зарядов ежедневно на рассвете.</t>
  </si>
  <si>
    <t>Доспехи падшего</t>
  </si>
  <si>
    <t>Пока вы носите эти доспехи, вы можете использовать их для наложения заклинаний разговор с мёртвыми [speak with dead] или восставший труп [animate dead]. Если доспехи использовались для наложения заклинания таким образом, они не смогут использоваться для наложения ни одного из заклинаний до следующего рассвета.
Ваша душа поддерживает эту броню. Если вы умрете, будучи настроенным на доспехи, доспехи будут разрушены.</t>
  </si>
  <si>
    <t>Драгоценный камень баснописца</t>
  </si>
  <si>
    <t>Этот сверкающий красный драгоценный камень обычно вставляют в кольцо или брошь.
Нося драгоценный камень, вы получаете следующие преимущества.
Фальшивые монеты. Действием вы можете волшебным образом создать кучу монет общей стоимостью не более 100 зм в незанятом пространстве в пределах 10 футов от себя. Куча должна располагаться на поверхности, способной выдержать ее. Через 1 час монеты исчезают независимо от того, где они находятся. После того, как это действие будет использовано, его нельзя будет использовать снова до следующего рассвета.
Иллюзорная мода. Бонусным действием вы можете волшебным образом изменить внешний вид своей одежды и доспехов. Вы можете изменить стиль, цвет и внешнее качество того, что вы носите, или можете создать впечатление, будто вы носите совершенно другую одежду. В любом случае изменения, вызванные этой магией, не проходят физическую проверку.</t>
  </si>
  <si>
    <t>Жезл возмездия</t>
  </si>
  <si>
    <t>Этот адамантовый жезл увенчан светящимся кристаллическим глазом. Жезл имеет 3 заряда и восстанавливает все свои израсходованные заряды ежедневно на рассвете.
Когда существо, которое вы видите в пределах 60 футов, наносит вам урон, пока вы держите этот жезл, вы можете реакцией израсходовать 1 заряд жезла и заставить существо совершить спасбросок Ловкости Сл 13. Существо получает 2к10 урона электричеством при провале или вдвое меньше урона при успехе.</t>
  </si>
  <si>
    <t>Жемчужина силы</t>
  </si>
  <si>
    <t>Если эта жемчужина находится у вас, вы можете действием произнести командное слово и восстановить одну использованную ячейку заклинания. Если уровень потраченной ячейки 4-го или больше, вы получите ячейку 3-го уровня. Вы не можете повторно использовать жемчужину до следующего рассвета.</t>
  </si>
  <si>
    <t>Живые перчатки</t>
  </si>
  <si>
    <t>В этих симбиотических перчатках из тонкого хитина и сухожилий пульсирует жизнь. Чтобы настроиться на них, вы должны носить их в течение всего периода настройки, пока перчатки врастают в вашу кожу.
Настроившись на эти перчатки, вы приобретаете одно из следующих владений (по вашему выбору, когда вы настраиваетесь на перчатки):
Ловкость рук;
Воровские инструменты;
Один вид ремесленных инструментов по вашему выбору;
Один вид музыкальных инструментов по вашему выбору.
Когда вы совершаете проверку характеристики, используя выбранное владение, вы добавляете к ней удвоенный Бонус мастерства вместо обычного Бонуса мастерства.
Симбиотическая природа. Перчатки не могут быть сняты с вас, пока вы настроены на них, и вы не можете добровольно окончить свою настройку на них. Если на вас используют заклинание, которое снимает проклятие, то ваша настройка на перчатках заканчивается, и их можно снять.</t>
  </si>
  <si>
    <t>Заполярные сапоги</t>
  </si>
  <si>
    <t>Эти меховые сапоги очень плотные и тёплые. Пока вы их носите, вы получаете следующие преимущества:
Вы получаете сопротивление урону холодом.
Вы игнорируете труднопроходимую местность, созданную льдом или снегом.
Вы нормально переносите температуру до -50 °F (-45 °C) без тёплой одежды. Если вы одеты в теплую одежду, то можете переносить температуру до -100 °F (-73 °C).</t>
  </si>
  <si>
    <t>Изумрудное перо</t>
  </si>
  <si>
    <t>Это перо с изумрудным наконечником, не требующее чернил для письма. Держа это перо, вы можете неограниченно накладывать невидимое письмо [illusory script], без использования материальных компонентов.</t>
  </si>
  <si>
    <t>Камень сияния</t>
  </si>
  <si>
    <t>У этой призмы есть 50 зарядов. Если вы её держите, вы можете действием произнести одно из трёх командных слов, чтобы вызвать один из следующих эффектов:
Первое командное слово заставляет камень испускать яркий свет в радиусе 30 футов и тусклый свет в радиусе ещё 30 футов. Этот эффект не тратит заряд. Он длится, пока вы не повторите командное слово бонусным действием, или пока не воспользуетесь другой функцией камня.
Второе командное слово тратит 1 заряд и заставляет камень испустить сверкающий луч в одно существо, которое вы видите в пределах 60 футов. Существо должно преуспеть в спасброске Телосложения Сл 15, иначе станет ослеплённым на 1 минуту. Существо может повторять спасбросок в конце каждого своего хода, оканчивая эффект при успехе.
Третье командное слово тратит 5 зарядов и заставляет камень испускать ослепляющий свет 30-футовым конусом. Все существа в конусе должны совершить спасброски, как если бы по ним попал луч, созданный вторым командным словом.
Когда все заряды этого камня кончатся, он становится немагической драгоценностью, стоящей 50 зм.</t>
  </si>
  <si>
    <t xml:space="preserve">Камень удачи </t>
  </si>
  <si>
    <t>Пока этот полированный агат находится у вас, вы получаете бонус +1 к проверкам характеристик и спасброскам.</t>
  </si>
  <si>
    <t>Камень элементаля</t>
  </si>
  <si>
    <t xml:space="preserve">Этот камень содержит частичку стихийной энергии. Если вы действием разбиваете камень, призывается элементаль, как если бы вы наложили заклинание призыв элементаля [conjure elemental], и магия, заключённая в камне, исчезает. Вид камня определяет вид призываемого элементаля.
Камень        Призываемый элементаль
Изумруд        водяной элементаль [water elemental]
Синий сапфир        воздушный элементаль [air elemental]
Жёлтый бриллиант        земляной элементаль [earth elemental]
Красный корунд        огненный элементаль [fire elemental]
</t>
  </si>
  <si>
    <t>Камни послания</t>
  </si>
  <si>
    <t>Карточный домик</t>
  </si>
  <si>
    <t>Камни послания изготавливаются парами. На их гладкой поверхности есть парные символы, по которым их можно отличать от других таких камней. Пока вы касаетесь одного камня, вы можете действием наложить им заклинание послание [sending]. Целью является владелец парного камня. Если второй камень никто не несёт, вы это узнаёте в момент использования камня и заклинание не накладываете.
После того как камни наложат заклинание послание [sending], они не могут сделать это повторно до следующего утра. Если один из камней уничтожается, второй перестаёт быть магическим.</t>
  </si>
  <si>
    <t>Колода иллюзий</t>
  </si>
  <si>
    <t>В этой коробке находится набор пергаментных карт. В полной колоде 34 карты. В колоде, которую находят как сокровище, чаще всего не хватает 1к20 − 1 карт.
Магия колоды работает только если карту тянуть случайным образом (можете заранее приготовить модифицированную колоду игральных карт). Вы можете действием вынуть из колоды случайным образом выбранную карту и бросить её на расстояние до 30 футов.
Над брошенной картой появляется иллюзия одного или нескольких существ, присутствующая, пока не будет рассеяна. Иллюзорное существо выглядит реальным, у него соответствующий размер, и ведёт себя оно как настоящее существо (как описано в Бестиарии), за исключением того, что оно не может причинять вред. Если вы находитесь в пределах 120 футов от иллюзорного существа и видите его, вы можете действием переместить его с помощью магии в любое место в пределах 30 футов от карты. Любое физическое взаимодействие с иллюзорным существом даст понять, что это иллюзия, потому что предметы проходят сквозь него. Тот, кто действием осмотрит существо, распознает в нём иллюзию при успешной проверке Интеллекта (Расследование) Сл 15. После этого существо выглядит полупрозрачным.
Иллюзия существует, пока карту не переместят или иллюзию не рассеют. Когда иллюзия оканчивается, изображение на карте исчезает, и её уже больше нельзя использовать.
Карта        Иллюзия
Туз червей        Красный дракон
Король червей        Рыцарь и четыре стража
Дама червей        Суккуб / инкуб [succubus / Incubus]
Валет червей        Друид
10 червей        Облачный великан
9 червей        Эттин
8 червей        Багбир
2 червей        Гоблин
Туз бубен        Бехолдер
Король бубен        Архимаг и ученик волшебника
Дама бубен        Ночная карга
Валет бубен        Наёмный убийца
10 бубен        Огненный великан
9 бубен        Огр маг
8 бубен        Гнолл
2 бубен        Кобольд
Туз пик        Лич
Король пик        Священник и два прислужника
Дама пик        Медуза
Валет пик        Ветеран
10 пик        Ледяной великан
9 пик        Тролль
8 пик        Хобгоблин
2 пик        Гоблин
Туз треф        Железный голем
Король треф        Капитан разбойников и три разбойника
Дама треф        Эриния
Валет треф        Берсерк
10 треф        Холмовой великан
9 треф        Огр
8 треф        Орк
2 треф        Кобольд
Джокеры (2)        Вы (владелец колоды)</t>
  </si>
  <si>
    <t>Колода карточного шулера</t>
  </si>
  <si>
    <t xml:space="preserve">Карты этой колоды переливаются по краям. Держа эту колоду в руках, вы можете использовать следующие свойства:
Смертельная сдача. Действием вы можете использовать эту колоду для дальнобойной атаки заклинанием, метнув спектральную карту и используя Ловкость для броска атаки. Карта имеет дистанцию 120 футов и наносит 1к8 урона силовым полем при попадании.
Разбрасывание карт. Действием вы можете перетасовать колоду и наложить заклинание разбрасывание карт [spray of cards] (вариант 3-го уровня) с помощью колоды (Сл спасброска 15). Как только вы используете колоду, чтобы наложить заклинание, оно не может быть наложено с его помощью снова до следующего рассвета.
</t>
  </si>
  <si>
    <t>Кольцо защиты разума</t>
  </si>
  <si>
    <t>Нося это кольцо, вы обладаете иммунитетом к магии, позволяющей другим существам читать ваши мысли, определять, лжёте ли вы, определять ваше мировоззрение и ваш вид существа. Существа могут телепатически общаться с вами только если вы позволяете это.
Вы можете действием сделать кольцо невидимым, пока вновь не сделаете его видимым другим действием, пока не снимете его, или пока не умрёте.
Если вы умрёте, нося это кольцо, ваша душа входит в него, если только оно уже не занято душой. Вы можете остаться в кольце, а можете отправиться навстречу посмертию. Пока ваша душа находится в кольце, вы можете телепатически общаться с любым существом, которое носит его. Владелец не может отказаться от этого телепатического общения.</t>
  </si>
  <si>
    <t>Кольцо затуманивания</t>
  </si>
  <si>
    <t>Эта железная лента холодная на ощупь и напоминает череп. Она имеет 3 заряда и восстанавливает 1к3 израсходованных зарядов ежедневно на рассвете. Действием, пока вы носите кольцо вы можете потратить 1 заряд, чтобы наложить заклинание туманное облако [fog cloud] с помощью кольца, со следующими изменениями: когда облако появляется, оно центрируется на вас, и заклинание длится 1 минуту (концентрация не требуется).</t>
  </si>
  <si>
    <t>Колчан Элонны</t>
  </si>
  <si>
    <t>Все три отделения этого колчана соединены с межпространственным местом, что позволяет ему вмещать множество предметов, но весит он всегда не более 2 фунтов. В самом коротком отделении может поместиться до шестидесяти стрел, арбалетных болтов или подобных предметов. В среднем отделении помещается до восемнадцати метательных копий или подобных предметов. В самом длинном отделении помещается до шести длинных предметов, таких как луки, боевые посохи и копья.
Вы можете вынуть любой предмет из колчана, как если бы это был обычный колчан или ножны.</t>
  </si>
  <si>
    <t>Кольцо остроумия Головоломщика</t>
  </si>
  <si>
    <t>Это золотое кольцо украшено флюоритовым камнем и околдовано для улучшения ума носителя.
У кольца 3 заряда и оно восстанавливает ежедневно на рассвете 1к4 – 1 зарядов. Когда вы совершаете проверку Интеллекта, вы можете потратить 1 заряд, чтобы совершить эту проверку с преимуществом.</t>
  </si>
  <si>
    <t>Кольцо плавания</t>
  </si>
  <si>
    <t>Вы получаете скорость плавания 40 футов, пока носите это кольцо.</t>
  </si>
  <si>
    <t>Кольцо прыжков</t>
  </si>
  <si>
    <t>Нося это кольцо, вы можете бонусным действием накладывать заклинание прыжок [jump], но нацеливаясь при этом только на себя.</t>
  </si>
  <si>
    <t>Кольцо тепла</t>
  </si>
  <si>
    <t>Нося это кольцо, вы обладаете сопротивлением урону холодом. Кроме того, вы и всё, что вы несёте и носите, не получают вреда от температур не ниже -50 °F.</t>
  </si>
  <si>
    <t>Крылатые сапоги</t>
  </si>
  <si>
    <t>Пока вы носите эти сапоги, вы обладаете скоростью полёта, равной вашей скорости ходьбы. С помощью сапогов вы можете лететь до 4 часов, за раз или по частям, но каждое использование считается как минимум за 1 минуту. Если вы летите, когда 4 часа заканчиваются, вы спускаетесь со скоростью 30 футов в раунд, пока не приземлитесь.
Сапоги восстанавливают 2 часа полёта за каждые 12 часов, пока не используются.</t>
  </si>
  <si>
    <t>Крылатые боеприпасы</t>
  </si>
  <si>
    <t>Ваши дальнобойные атаки оружием, совершённые с использованием этого боеприпаса, игнорируют укрытие на половину и укрытие на три четверти. Кроме того, ваши дальнобойные атаки оружием не получают помеху на броски атаки максимальной дистанции, совершённые с использованием этого боеприпаса.</t>
  </si>
  <si>
    <t>Кольцо хождения по воде</t>
  </si>
  <si>
    <t>Нося это кольцо, вы можете стоять на жидких поверхностях и ходить по ним, как если бы они были твёрдыми.</t>
  </si>
  <si>
    <t>Латы Рыцарского Братства</t>
  </si>
  <si>
    <t>Этот блестящий комплект серебряных и золотых пластинчатых доспехов никогда не тускнеет.
Пока вы носите эти доспехи, вы можете использовать бонусное действие, чтобы призвать на помощь дух воина. Телесная форма духа проявляется в свободном пространстве по вашему выбору в пределах 30 футов от вас и использует блок характеристик рыцаря [knight]. Дух исчезает, когда его хиты опускаются до 0 или через 1 минуту, в зависимости от того, что наступит раньше.
Дух — союзник вас и ваших спутников. В бою дух имеет такую же инициативу, как и вы, и ходит сразу после вас. Дух подчиняется вашим командам (от вас не требуется никаких действий); если вы не отдаете никаких команд, дух выполняет действие «Уклонение» и использует свое движение, чтобы избежать опасности.
После того, как это бонусное действие будет использовано, его нельзя будет использовать снова до следующего рассвета.</t>
  </si>
  <si>
    <t xml:space="preserve">Лютня Досс </t>
  </si>
  <si>
    <t xml:space="preserve">Существо, пытающееся играть на инструменте, не будучи настроенным на него, должно преуспеть в спасброске Мудрости Сл 15, иначе получит урон психической энергией 2к4.
Вы можете действием сыграть на инструменте и наложить одно из его заклинаний: дружба с животными [animal friendship], защита от энергии [protection from energy] (только от огня), защита от яда [protection from poison], защита от зла и добра [protection from evil and good], левитация [levitate], невидимость [invisibility], полёт [fly]. После того как инструмент использован для наложения заклинания, он не может повторно накладывать это заклинание до следующего рассвета. Заклинания используют вашу базовую характеристику и Сл спасбросков от ваших заклинаний.
Вы можете играть на инструменте при наложении заклинания, которое делает цели очарованными при провале спасброска, тем самым давая целям помеху на этот спасбросок. Этот эффект применяется только если заклинание имеет соматический или материальный компонент.
</t>
  </si>
  <si>
    <t>Мантия полезных предметов</t>
  </si>
  <si>
    <t>Эта мантия покрыта множеством цветных заплат различных размеров и форм. Пока вы носите эту мантию, вы можете действием оторвать одну из заплаток, вследствие чего она превращается в тот предмет, который символизировала. В тот момент, когда будет оторвана последняя заплатка, мантия превращается в обычную одежду.
Мантия содержит по две штуки каждой из заплат, представленных ниже:
Кинжал
Направленный фонарь (заправленный и зажжённый)
Стальное зеркальце
10-футовый шест
Пеньковая верёвка (50 футов, собранная в бухту)
Мешок
Кроме того, на мантии также есть 4к4 других заплат. Мастер может самостоятельно выбрать, что именно это за заплатки, или же определить их случайным образом.
к100        Заплатка
01-08        Сумка со 100 зм
09-15        Серебряный сундучок (1 фут в длину и 6 дюймов в ширину и высоту) стоимостью 500 зм
16-22        Железная дверь (до 10 футов в ширину и высоту, имеющая запор с одной стороны), которую вы можете установить в проём, до которого можете дотронуться. Дверь самостоятельно приспосабливается под нужный размер и навешивается на петли
23-30        10 драгоценных камней стоимостью 100 зм каждый
31-44        Деревянная лестница (24 фута длиной)
45-51        Ездовая лошадь с притороченными седельными сумками.
52-59        Яма (куб с длиной грани 10 футов, который вы можете разместить на полу в пределах 10 футов от себя)
60-68        4 зелья лечения
69-75        Шлюпка (12 футов в длину)
76-83        Свиток заклинания, содержащий заклинание 1–3 уровня
84-90        2 мастифа
91-96        Окно (4 на 2 фута и глубиной до 2 футов), устанавливаемое на вертикальную поверхность, до которой можете дотронуться.
97-00        Портативный таран</t>
  </si>
  <si>
    <t>Мантия природы</t>
  </si>
  <si>
    <t>друидом или следопытом</t>
  </si>
  <si>
    <t>Этот плащ меняет цвет и текстуру для смешения с окружающей вас местностью. Пока вы носите плащ, вы можете использовать его в качестве заклинательной фокусировки для ваших заклинаний друида и следопыта.
Пока вы находитесь в слабо заслонённой области, вы можете использовать действие Засада бонусным действием, даже если за вами непосредственно наблюдают.</t>
  </si>
  <si>
    <t>Медальон затягивающихся ран</t>
  </si>
  <si>
    <t>Пока вы носите этот медальон, ваше состояние стабилизируется каждый раз, когда вы находитесь в умирающем состоянии в начале своего хода. Кроме того, каждый раз, когда вы бросаете Кость хитов для восстановления своих хитов, вы удваиваете число хитов, восстанавливаемых этой Костью.</t>
  </si>
  <si>
    <t>Медальон здоровья</t>
  </si>
  <si>
    <t>Вы обладаете иммунитетом ко всем болезням, пока носите этот медальон. Если вы уже болеете, эффект болезни подавляются на время, пока вы носите этот медальон.</t>
  </si>
  <si>
    <t>Медальон мыслей</t>
  </si>
  <si>
    <t>У этого медальона есть 3 заряда. Пока вы его носите, вы можете действием потратить 1 заряд, чтобы наложить им заклинание обнаружение мыслей [detect thoughts] (Сл спасброска 13). Медальон ежедневно восстанавливает 1к3 заряда на рассвете.</t>
  </si>
  <si>
    <t>Метательное копьё молнии</t>
  </si>
  <si>
    <t>Это метательное копьё — магическое оружие. Если вы метнёте его и произнесёте его командное слово, оно превратится в молнию, формируя линию шириной 5 футов и простирающуюся от вас до цели, находящейся в пределах 120 футов. Все существа в этой линии, исключая вас и цель, должны совершить спасбросок Ловкости Сл 13, получая 4к6 урона электричеством при провале или половину этого урона при успехе.
Молния снова становится копьём, когда достигает цели. Совершите дальнобойную атаку оружием по цели. При попадании цель получает урон от метательного копья плюс 4к6 урона электричеством.
Это свойство метательного копья нельзя использовать повторно до следующего рассвета. Однако оно всё равно может использоваться как магическое оружие.</t>
  </si>
  <si>
    <t>Меч мести</t>
  </si>
  <si>
    <t>Вы получаете бонус +1 к броскам атаки и урона этим магическим оружием.
Проклятье. Этот меч проклят и одержим мстительным духом. Настроившись на него, вы тоже становитесь проклятым. Пока вы прокляты, вы не желаете расставаться с этим мечом, и всегда держите его при себе. Пока вы настроены на это оружие, вы совершаете с помехой все броски атаки другим оружием.
Кроме того, пока меч находится у вас, вы должны совершать спасбросок Мудрости Сл 15 каждый раз, когда получаете урон в сражении. При провале вы должны атаковать существо, причинившее вам урон, пока хиты одного из вас не опустятся до 0, или пока вы не сможете дотянуться до существа, чтобы совершить по нему рукопашную атаку.
Вы можете избавиться от проклятья как обычно. В качестве альтернативы, накладывание изгнания на меч заставляет мстительный дух покинуть его. После этого меч становится обычным оружием +1 без особых свойств.</t>
  </si>
  <si>
    <t>Наручи стрельбы из лука</t>
  </si>
  <si>
    <t>Пока вы носите эти наручи, вы получаете владение длинным луком и коротким луком, а также бонус +2 к броскам урона дальнобойными атаками этим оружием.</t>
  </si>
  <si>
    <t>Неподвижный жезл</t>
  </si>
  <si>
    <t>У этого прямого железного жезла есть кнопка на одном торце. Вы можете действием нажать эту кнопку, после чего жезл становится магическим образом зафиксирован в текущей точке пространства. Пока вы или другое существо не нажмёте эту кнопку ещё раз, жезл не может быть сдвинут с места, игнорируя при этом даже гравитацию. Жезл может выдержать до 8000 фунтов веса (3,6 тонны). Больший вес деактивирует жезл, и тогда тот падает. Существо может действием совершить проверку Силы Сл 30, сдвигая зафиксированный жезл на 10 футов в случае успеха.</t>
  </si>
  <si>
    <t>Ночные очки</t>
  </si>
  <si>
    <t>Пока вы носите эти тёмные очки, вы получаете тёмное зрение в радиусе 60 футов. Если у вас уже было тёмное зрение, очки увеличивают его радиус на 60 футов.</t>
  </si>
  <si>
    <t>Обруч сжигания</t>
  </si>
  <si>
    <t>Пока вы носите этот обруч, вы можете действием наложить им заклинание палящий луч [scorching ray]. Вы совершаете бросок атаки этого заклинания с бонусом +5. Обруч не может использоваться повторно до следующего рассвета.</t>
  </si>
  <si>
    <t>Ожерелье адаптации</t>
  </si>
  <si>
    <t>Нося это ожерелье, вы можете нормально дышать в любой окружающей среде и совершаете с преимуществом спасброски от вредоносных газов и испарений (таких как эффекты облака смерти [cloudkill] и зловонного облака [stinking cloud], вдыхаемые яды и оружие дыхания некоторых драконов).</t>
  </si>
  <si>
    <t>Оружие предупреждения</t>
  </si>
  <si>
    <t>любое</t>
  </si>
  <si>
    <t>Это магическое оружие предупреждает вас об опасности. Пока это оружие находится у вас, вы совершаете с преимуществом проверки инициативы. Кроме того, вы и все ваши спутники в пределах 30 футов не можете быть захвачены врасплох, кроме случаев, когда недееспособны из-за чего угодно кроме немагического сна. Это оружие с помощью магии будит вас и ваших спутников, если кто-то из вас спит, когда начинается сражение.</t>
  </si>
  <si>
    <t>Осколок Страны Фей</t>
  </si>
  <si>
    <t>Этот тёплый кристалл переливается цветами закатного неба Страны Фей и вызывает шёпот эмоциональной памяти. Действием вы можете прикрепить осколок к Крошечному предмету (например, оружию или ювелирному изделию) или отсоединить его. Он отпадает самостоятельно, если ваша настройка на него заканчивается. Вы можете использовать осколок в качестве заклинательной фокусировки, пока несёте или носите его.
Пока вы несёте или носите осколок, и когда используете метамагию на заклинание, вы можете совершить бросок кости по таблице «Волна дикой магии» из «Книги игрока». Если эффект волны является заклинанием, то он слишком непредсказуем, чтобы его можно было модифицировать метамагией: если заклинание-эффект в обычных обстоятельствах требует концентрации, то в данном случае оно её не требует и длится свою максимальную длительность.
Если вы не обладаете происхождением чародея «Дикая магия», то, однажды использовав это свойство осколка для броска по таблице «Дикая магия», вы больше не сможете использовать его вновь до следующего рассвета.</t>
  </si>
  <si>
    <t>Очки детального зрения</t>
  </si>
  <si>
    <t>Эти кристаллические линзы размещаются напротив глаз. Пока вы их носите, вы видите лучше, чем обычно, в пределах 1 фута. Вы совершаете с преимуществом проверки Интеллекта (Расследование), полагающиеся на исследование местности или предмета в пределах 1 фута.</t>
  </si>
  <si>
    <t>Очки орлиного зрения</t>
  </si>
  <si>
    <t>Эти кристаллические линзы размещаются напротив глаз. Пока вы их носите, вы совершаете с преимуществом проверки Мудрости (Восприятие), полагающиеся на зрение. В условиях хорошей видимости вы можете разглядеть подробности даже у экстремально далёких существ и предметов, с размером не меньше 2 футов в поперечнике.</t>
  </si>
  <si>
    <t>Очки очарования</t>
  </si>
  <si>
    <t>Эти кристаллические линзы размещаются напротив глаз. У них есть 3 заряда. Если вы их носите, вы можете действием потратить 1 заряд, чтобы наложить заклинание очарование личности [сharm person] (Сл спасброска 13) на Гуманоида в пределах 30 футов от себя при условии, что вы с ним видите друг друга. Линзы ежедневно на рассвете восстанавливают все потраченные заряды.</t>
  </si>
  <si>
    <t>Очки распознавания объектов</t>
  </si>
  <si>
    <t>Очки в кожаной оправе с фиолетовыми хрустальными линзами. Пока вы носите эти очки, вы получаете преимущество на проверки Интеллекта (Магия), чтобы считать информацию о существе или объекте, который вы можете видеть.
Кроме того, вы можете наложить заклинание опознание [Identify] с помощью этих очков. Это свойство не может быть использовано снова до следующего рассвета.</t>
  </si>
  <si>
    <t>Панцирный доспех разума</t>
  </si>
  <si>
    <t>Любой немагический комплект тяжелых доспехов свежеватели разума [mind flayer] могут превратить в панцирный доспех разума. Только одно существо может на него настроиться: либо конкретный свежеватель разума, либо один из их рабов.
Если его носит любое другое существо, то доспех работает как любой обычный доспех своего типа. Для предназначенного ему владельца доспех даёт преимущество на спасброски Интеллекта, Мудрости и Харизмы и даёт владельцу иммунитет к состоянию испуганный.</t>
  </si>
  <si>
    <t>Парящая сфера</t>
  </si>
  <si>
    <t>Эта небольшая сфера толстого стекла весит 1 фунт. Находясь в пределах 60 футов от неё, вы можете произнести командное слово и проявить заклинания свет [light] или дневной свет [daylight]. Эффект, дублирующий заклинание дневной свет [daylight], нельзя использовать повторно до следующего рассвета.
Вы можете действием произнести второе командное слово, заставив светящуюся сферу подняться в воздух и парить на высоте не более 5 футов от земли. Сфера может парить пока вы или другое существо не схватите её. Если вы передвигаетесь более чем на 60 футов от парящей сферы, она следует за вами, оставаясь в пределах 60 футов от вас, выбирая при этом кратчайший маршрут. Если что-либо препятствует перемещению сферы, она мягко опускается на землю, становясь неактивной, и её свет тухнет.</t>
  </si>
  <si>
    <t>Перчатки воровства</t>
  </si>
  <si>
    <t>Эти перчатки невидимы, пока вы носите их. Пока вы носите их, вы получаете бонус +5 к проверкам Ловкости (Ловкость рук) и проверкам Ловкости, совершённым для вскрывания замков.</t>
  </si>
  <si>
    <t>Перчатки ловли снарядов</t>
  </si>
  <si>
    <t>Эти перчатки практически сливаются с вашими руками, когда вы их надеваете. Если по вам попадает дальнобойная атака оружием, когда вы их носите, вы можете реакцией уменьшить урон на 1к10 + ваш модификатор Ловкости, при условии, что у вас есть одна свободная рука. Если вы уменьшили урон до 0, вы можете поймать снаряд, если он достаточно маленький, чтобы его можно было держать одной рукой.</t>
  </si>
  <si>
    <t>Перчатки плавания и лазания</t>
  </si>
  <si>
    <t>Пока вы носите эти перчатки, лазание и плавание не требует от вас траты дополнительного перемещения, и вы получаете бонус +5 к проверкам Силы (Атлетика), совершённым, чтобы лазать или плавать.</t>
  </si>
  <si>
    <t>Печатка гильдии Азориус</t>
  </si>
  <si>
    <t>Это кольцо, украшенное символом Азориусов, позволяет вам накладывать опутывающий удар [ensnaring strike]. Печатка гильдии иногда вручается члену гильдии, чей рейтинг известности в этой гильдии составляет 5 или выше, в качестве награды за оказание особых услуг для гильдии. Помимо своих магических свойств, кольцо также является показателем признания и благосклонности Азориуса.
Печатка имеет 3 заряда, и она восстанавливает 1к3 израсходованных заряда ежедневно на рассвете. Пока вы её носите, вы можете потратить 1 заряд на накладывание соответствующего заклинания (Сл спасброска 13).</t>
  </si>
  <si>
    <t>Печатка гильдии Бороса</t>
  </si>
  <si>
    <t>Это кольцо, украшенное символом Боросов, позволяет накладывать героизм [heroism]. Печатка гильдии иногда вручается члену гильдии, чей рейтинг известности в этой гильдии составляет 5 или выше, в качестве награды за оказание особых услуг для гильдии. Помимо своих магических свойств, кольцо так-же является показателем признания и благосклонности Бороса.
Печатка имеет 3 заряда, и она восстанавливает 1к3 израсходованных заряда ежедневно на рассвете. Пока вы её носите, вы можете потратить 1 заряд на накладывание соответствующего заклинания.</t>
  </si>
  <si>
    <t>Печатка гильдии Голгари</t>
  </si>
  <si>
    <t>Это кольцо, украшенное символом Голгари, позволяет накладывать опутывание [entangle]. Печатка гильдии иногда вручается члену гильдии, чей рейтинг известности в этой гильдии составляет 5 или выше, в качестве награды за оказание особых услуг для гильдии. Помимо своих магических свойств, кольцо также является показателем признания и благосклонности Голгари.
Печатка имеет 3 заряда, и она восстанавливает 1к3 израсходованных заряда ежедневно на рассвете. Пока вы её носите, вы можете потратить 1 заряд на накладывание соответствующего заклинания (Сл спасброска 13).</t>
  </si>
  <si>
    <t>Печатка гильдии Груул</t>
  </si>
  <si>
    <t>Это кольцо, украшенное символом Груул, позволяет накладывать вызов на дуэль [compelled duel]. Печатка гильдии иногда вручается члену гильдии, чей рейтинг известности в этой гильдии составляет 5 или выше, в качестве награды за оказание особых услуг для гильдии. Помимо своих магических свойств, кольцо также является показателем признания и благосклонности Груул.
Печатка имеет 3 заряда, и она восстанавливает 1к3 израсходованных заряда ежедневно на рассвете. Пока вы её носите, вы можете потратить 1 заряд на накладывание соответствующего заклинания (Сл спасброска 13).</t>
  </si>
  <si>
    <t>Печатка гильдии Димир</t>
  </si>
  <si>
    <t>Это кольцо, украшенное символом Димир, позволяет накладывать маскировку [disguise self]. Печатка гильдии иногда вручается члену гильдии, чей рейтинг известности в этой гильдии составляет 5 или выше, в качестве награды за оказание особых услуг для гильдии. Помимо своих магических свойств, кольцо также является показателем признания и благосклонности Димир.
Печатка имеет 3 заряда, и она восстанавливает 1к3 израсходованных заряда ежедневно на рассвете. Пока вы её носите, вы можете потратить 1 заряд на накладывание соответствующего заклинания (Сл спасброска 13)</t>
  </si>
  <si>
    <t>Печатка гильдии Иззет</t>
  </si>
  <si>
    <t>Это кольцо, украшенное символом Иззет, позволяет накладывать снаряд хаоса [chaos bolt]. Печатка гильдии иногда вручается члену гильдии, чей рейтинг известности в этой гильдии составляет 5 или выше, в качестве награды за оказание особых услуг для гильдии. Помимо своих магических свойств, кольцо также является показателем признания и благосклонности Иззет.
Печатка имеет 3 заряда, и она восстанавливает 1к3 израсходованных заряда ежедневно на рассвете. Пока вы её носите, вы можете потратить 1 заряд на накладывание соответствующего заклинания.</t>
  </si>
  <si>
    <t>Печатка гильдии Орзова</t>
  </si>
  <si>
    <t>Это кольцо, украшенное символом Орзова, позволяет накладывать приказ [command]. Печатка гильдии иногда вручается члену гильдии, чей рейтинг известности в этой гильдии составляет 5 или выше, в качестве награды за оказание особых услуг для гильдии. Помимо своих магических свойств, кольцо также является показателем признания и благосклонности Орзова.
Печатка имеет 3 заряда, и она восстанавливает 1к3 израсходованных заряда ежедневно на рассвете. Пока вы её носите, вы можете потратить 1 заряд на накладывание соответствующего заклинания (Сл спасброска 13).</t>
  </si>
  <si>
    <t>Печатка гильдии Ракдоса</t>
  </si>
  <si>
    <t>Это кольцо, украшенное символом Ракдоса, позволяет накладывать адское возмездие [hellish rebuke]. Печатка гильдии иногда вручается члену гильдии, чей рейтинг известности в этой гильдии составляет 5 или выше, в качестве награды за оказание особых услуг для гильдии. Помимо своих магических свойств, кольцо также является показателем признания и благосклонности Ракдоса.
Печатка имеет 3 заряда, и она восстанавливает 1к3 израсходованных заряда ежедневно на рассвете. Пока вы её носите, вы можете потратить 1 заряд на накладывание соответствующего заклинания.</t>
  </si>
  <si>
    <t>Печатка гильдии Селезнии</t>
  </si>
  <si>
    <t>Это кольцо, украшенное символом Селезнии, позволяет накладывать очарование личности [charm person]. Печатка гильдии иногда вручается члену гильдии, чей рейтинг известности в этой гильдии составляет 5 или выше, в качестве награды за оказание особых услуг для гильдии. Помимо своих магических свойств, кольцо также является показателем признания и благосклонности Селезнии.
Печатка имеет 3 заряда, и она восстанавливает 1к3 израсходованных заряда ежедневно на рассвете. Пока вы её носите, вы можете потратить 1 заряд на накладывание соответствующего заклинания (Сл спасброска 13).</t>
  </si>
  <si>
    <t>Печатка гильдии Симиков</t>
  </si>
  <si>
    <t>Это кольцо, украшенное символом Симиков, позволяет накладывать поспешное отступление [expeditious retreat]. Печатка гильдии иногда вручается члену гильдии, чей рейтинг известности в этой гильдии составляет 5 или выше, в качестве награды за оказание особых услуг для гильдии. Помимо своих магических свойств, кольцо также является показателем признания и благосклонности Симиков.
Печатка имеет 3 заряда, и она восстанавливает 1к3 израсходованных заряда ежедневно на рассвете. Пока вы её носите, вы можете потратить 1 заряд на накладывание соответствующего заклинания.</t>
  </si>
  <si>
    <t>Пирослияние</t>
  </si>
  <si>
    <t>Пирослияние — это огнемёт производства Иззетов. Оно несёт в себе риск неисправности каждый раз, когда вы его используете.
Действием вы можете заставить Пирослияние изрыгать огонь в 10-футовый конусе. Каждое существо в этой области должно совершить спасбросок Ловкости Сл 13, получая 4к6 урона огнём при провале или вдвое меньше урона при успехе.
Каждый раз, когда вы используете Пирослияние, бросьте к10 и прибавьте количество раз, его использования с момента вашего последнего продолжительного отдыха. Если общий результат равен 11 и больше, то Пирослияние выходит из строя: вы получаете 4к6 урона огнём и не можете использовать Пирослияние, пока не закончите продолжительный отдых.</t>
  </si>
  <si>
    <t>Плащ защиты +1</t>
  </si>
  <si>
    <t>Вы получаете бонус +1 к спасброскам, пока носите этот плащ.</t>
  </si>
  <si>
    <t>Плащ защиты +2</t>
  </si>
  <si>
    <t>Вы получаете бонус +2 к спасброскам, пока носите этот плащ.</t>
  </si>
  <si>
    <t>Плащ защиты +3</t>
  </si>
  <si>
    <t>Вы получаете бонус +3 к спасброскам, пока носите этот плащ.</t>
  </si>
  <si>
    <t>Плащ ската</t>
  </si>
  <si>
    <t>Пока вы носите этот плащ с накинутым капюшоном, вы можете дышать под водой и у вас появляется скорость плавания 60 футов. Накидывание и снятие капюшона совершается действием.</t>
  </si>
  <si>
    <t>Повязка интеллекта</t>
  </si>
  <si>
    <t>Пока вы носите эту тиару, значение вашего Интеллекта увеличивается на 3, с максимумом в 19.</t>
  </si>
  <si>
    <t>Великая повязка интеллекта</t>
  </si>
  <si>
    <t>Мажор</t>
  </si>
  <si>
    <t>Пока вы носите эту тиару, значение вашего Интеллекта увеличивается на 3, с максимумом в 25.</t>
  </si>
  <si>
    <t>Помело полёта</t>
  </si>
  <si>
    <t xml:space="preserve">Это деревянное помело весит 3 фунта и действует как обычная метла, пока вы не сядете на неё верхом и не произнесёте командное слово. После этого она начинает парить и может подняться в воздух. У неё скорость полёта 50 футов. Она может поднимать до 400 фунтов, но при весе 200 фунтов её скорость уже уменьшается до 30 футов. Помело перестаёт парить, когда вы приземляетесь.
Вы можете отправить помело в другое место, находящееся в пределах 1 мили, если произнесёте командное слово и назовёте место, знакомое вам. Помело вернётся к вам, когда вы произнесёте второе командное слово, при условии, что помело всё ещё находится в пределах 1 мили.
</t>
  </si>
  <si>
    <t>Порошок исчезновения</t>
  </si>
  <si>
    <t>Найденный в маленьком мешочке, этот порошок выглядит как очень мелкий песок, но его количества будет достаточно для разового применения. Если вы действием развеете порошок в воздухе вокруг себя, то вы и все существа и предметы в пределах 10 футов от вас становитесь невидимыми на 2к4 минуты. Эта продолжительность одинакова для всех существ и предметов. Как только магический эффект начинает действовать, порошок исчезает. Если существо, находящееся под действием порошка, совершает атаку или накладывает заклинание, невидимость для него заканчивается.</t>
  </si>
  <si>
    <t>Порошок наслаждения</t>
  </si>
  <si>
    <t>Этим красновато-коричневым порошком можно посыпать любое съедобное вещество, чтобы значительно улучшить его вкус. Порошок также притупляет чувства едока: любой, кто съест пищу, обработанную этим порошком, получает помеху на проверки Мудрости и спасброски Мудрости совершаемых в течение 1 часа. Порошка хватает на шесть порций.</t>
  </si>
  <si>
    <t>Порошок сухости</t>
  </si>
  <si>
    <t>Этот небольшой мешочек содержит 1к6 + 4 щепоток порошка. Вы можете действием распылить щепотку этого порошка над водой. Порошок превращает куб воды с длиной ребра 15 футов в крошечную гранулу, которая плавает на поверхности воды, где был просыпан порошок, или лежит рядом с ней. Вес гранулы незначителен.
Впоследствии кто угодно может действием разбить гранулу об твёрдую поверхность, в результате чего она разрушается и высвобождает воду, заключённую в ней, после чего действие магии заканчивается.
Элементали, состоящие преимущественно из воды, и не защищённые от попадания этого порошка, должны совершить спасбросок Телосложения Сл 13, получая урон некротической энергией 10к6 при провале или половину этого урона при успехе.</t>
  </si>
  <si>
    <t>Порошок чихания и удушья</t>
  </si>
  <si>
    <t>Этот порошок, хранящийся в маленьком контейнере, напоминает очень мелкий песок. Он похож на порошок исчезновения, и даже заклинание опознание [identify] показывает, что он им является. Его количества достаточно для одного применения. Если вы действием бросаете горсть этого порошка в воздух, вы и все дышащие существа в пределах 30 футов от вас должны преуспеть в спасброске Телосложения Сл 15, иначе они не смогут дышать и начнут безудержно чихать. Существо, попавшее под действие этого порошка, становится недееспособным и начинает задыхаться. Пока существо находится в сознании, оно может повторять спасбросок в конце каждого своего хода, оканчивая эффект на себе при успехе. Заклинание малое восстановление [lesser restoration] тоже оканчивает этот эффект на существе.</t>
  </si>
  <si>
    <t>Посох гадюки</t>
  </si>
  <si>
    <t>Вы можете бонусным действием произнести командное слово посоха, чтобы сделать на 1 минуту его навершие головой ядовитой змеи. Произнеся бонусным действием командное слово ещё раз, вы делаете посох обычным.
Вы можете совершить рукопашную атаку головой змеи, у которой досягаемость 5 футов. К броску атаки применяется ваш бонус мастерства. При попадании цель получает колющий урон 1к6 и должна преуспеть в спасброске Телосложения Сл 15, иначе получит урон ядом 3к6.
Голову змеи можно атаковать, пока она жива. У неё Класс Доспеха 15 и 20 хитов. Если хиты головы уменьшатся до 0, посох уничтожается. Если посох пока не уничтожен, и вы делаете его неоживлённым, он восстанавливает все свои хиты.</t>
  </si>
  <si>
    <t>Посох питона</t>
  </si>
  <si>
    <t>Вы можете действием произнести командное слово и бросить посох на пол в пределах 10 футов от себя. Посох становится гигантским удавом [giant constrictor snake] под вашим контролем и у него есть своё место в порядке инициативы. Произнеся бонусным действием командное слово ещё раз, вы возвращаете посоху его естественный облик, и он будет лежать в пространстве, ранее занимаемом удавом.
В свой ход вы можете мысленно отдавать команды удаву, если он находится в пределах 60 футов от вас и дееспособен. Вы определяете, какие действия ему совершать и куда перемещаться в следующем ходу, или же можете отдать общую команду, такую как «нападай на врагов» или «охраняй место». Если хиты змеи опустятся до 0, она умирает и становится посохом.
Посох при этом раскалывается на куски и уничтожается. Если змея становится посохом до того как потеряет все хиты, она их тут же восстанавливает.</t>
  </si>
  <si>
    <t>Посох, ослепляющий небеса</t>
  </si>
  <si>
    <t>Вы получаете бонус +1 к броскам атаки и урона, совершённым этим магическим посохом. Пока вы его держите, вы получаете бонус +1 к броскам атаки заклинанием.
Если летающее существо, которое вы видите в пределах 30 футов от вас, совершает бросок атаки против вас, вы можете использовать свою реакцию, чтобы поднять посох в воздух и заставить его вспыхнуть светом. Атакующий получает помеху на бросок атаки, и он должен преуспеть в спасброске Телосложения Сл 15, иначе станет ослеплённым до начала своего следующего хода.</t>
  </si>
  <si>
    <t>Праща ниспровержения великанов</t>
  </si>
  <si>
    <t>Когда вы попадаете по существу с видом Великан броском дальнобойной атаки с помощью этой магической пращи, существо должно преуспеть в спасброске Телосложения Сл 18, иначе оно упадёт ничком.</t>
  </si>
  <si>
    <t>Рукавицы силы огра</t>
  </si>
  <si>
    <t>Ваша Сила равна 19, когда вы носите эти латные рукавицы. Они не оказывают на вас эффект, если ваша Сила без них уже 19 или выше.</t>
  </si>
  <si>
    <t xml:space="preserve">Рунный ключ Ракдоса </t>
  </si>
  <si>
    <t>Этот темный гранитный рунный ключ украшен мрамором с алыми прожилками и вырезан с хитрым лицом озорного демона. При активации он превращается в зубоскала [cackler] на 1 часа.
Действием, вы можете произнести командное слово и поместить рунный ключ на землю в свободное пространство в пределах 5 футов от вас, рунный ключ превращается в зубоскала. Если для зубоскала недостаточно места, рунный ключ не трансформируется.
Существо дружелюбно относится к вам, вашим союзникам и другим членам вашей гильдии (если только эти члены гильдии не враждебны к вам). Он понимает ваши языки и подчиняется вашим устным командам. Если вы не отдаете никаких команд, зубоскал совершает действие Уклонения и перемещается, чтобы избегать опасности.
По истечении 1 часа зубоскал возвращается в свою форму рунного ключа. Он возвращается в неё раньше, если его хиты опускаются до 0 хитов или если вы используете Действие, чтобы снова произнести командное слово, прикасаясь к нему. Когда существо возвращается к своей форме рунного ключа, оно не может трансформироваться снова, пока не пройдет 36 часов.</t>
  </si>
  <si>
    <t>Рунный ключ Симиков</t>
  </si>
  <si>
    <t>Этот рунный ключ собран из кораллов, перламутра и хрома, и украшен спиралями и изгибами, характерными для орнамента Симиков. Один из концов напоминает раковину морского существа. По команде рунный ключ превращается в красиса 1-й категории [category 1 krasis], который имеет адаптации «Краболов» и «Опорные ноги». Трансформация длится до 5 часов.
Действием, вы можете произнести командное слово и поместить рунный ключ на землю в свободное пространство в пределах 5 футов от вас, рунный ключ превращается в красиса 1-й категории. Если для красиса недостаточно места, рунный ключ не трансформируется.
Существо дружелюбно относится к вам, вашим союзникам и другим членам вашей гильдии (если только эти члены гильдии не враждебны к вам). Он понимает ваши языки и подчиняется вашим устным командам. Если вы не отдаете никаких команд, красис 1-й категории совершает действие Уклонения и перемещается, чтобы избегать опасности.
По истечении 8 часов красис 1-й категории. возвращается в свою форму рунного ключа. Он возвращается в неё раньше, если его хиты опускаются до 0 хитов или если вы используете Действие, чтобы снова произнести командное слово, прикасаясь к нему. Когда существо возвращается к своей форме рунного ключа, оно не может трансформироваться снова, пока не пройдет 36 часов.</t>
  </si>
  <si>
    <t>Сапоги ходьбы и прыжков</t>
  </si>
  <si>
    <t>Пока вы носите эти сапоги, ваша скорость ходьбы становится равной 30 футов, если она не выше, и ваша скорость не уменьшается, когда вы перегружены или носите тяжёлый доспех. Кроме того, вы можете совершать прыжки в три раза дальше, чем обычно, но вы всё равно не можете прыгнуть дальше, чем осталось у вас перемещения.</t>
  </si>
  <si>
    <t>Свирель канализации</t>
  </si>
  <si>
    <t>Вы должны владеть духовыми музыкальными инструментами, чтобы использовать эту свирель. Пока вы настроены на неё, обычные и гигантские крысы безразличны к вам и не будут вас атаковать, если вы им не угрожаете и не вредите им.
У свирели есть 3 заряда. Если вы играете на ней действием, вы можете бонусным действием потратить от 1 до 3 зарядов, призывая по одному рою крыс за каждый потраченный заряд, при условии, что в пределах полумили от вас есть достаточное количество крыс, которых можно призвать свирелью (на усмотрение Мастера). Если достаточного количества крыс нет, заряд тратится впустую. Призванные рои движутся к источнику музыки кратчайшим возможным маршрутом, но во всём остальном не находятся под вашим контролем. Свирель ежедневно восстанавливает 1к3 заряда на рассвете.
Каждый раз, когда рой крыс, не находящийся под контролем другого существа, оказывается в пределах 30 футов от вас, пока вы играете на этой свирели, вы можете совершить проверку Харизмы, противопоставленную проверке Мудрости крыс. Если вы проигрываете состязание, рой действует как обычно, и не может становиться одержимым музыки этой свирели в течение 24 часов. Если вы выиграете состязание, рой становится одержимым музыкой свирели и становится дружественным к вам и вашим спутникам, пока вы каждый раунд продолжаете играть на свирели действием. Дружественный рой подчиняется вашим командам. Если вы не отдаёте команды дружественному рою, он защищается, но других действий не совершает. Если дружественный рой начинает ход, и при этом не слышит музыки свирели, ваш контроль над этим роем заканчивается, рой действует как обычно, и не может быть одержим музыкой свирели в течение следующих 24 часов.</t>
  </si>
  <si>
    <t>Свирель ужаса</t>
  </si>
  <si>
    <t>кальными инструментами, чтобы использовать эту свирель. У неё есть 3 заряда. Вы можете действием поиграть на ней и потратить 1 заряд, чтобы издать жуткую мелодию. Все существа в пределах 30 футов от вас, слышащие вашу мелодию, должны преуспеть в спасброске Мудрости Сл 15, иначе они станут испуганными вами на 1 минуту. Если хотите, все существа в этой области, не враждебные по отношению к вам, автоматически преуспеют в этом спасброске. Существа, провалившие спасбросок, могут повторять его в конце каждого своего хода, оканчивая эффект на себе при успехе. Существо, преуспевшее в спасброске, получает иммунитет к этой свирели на 24 часа. Свирель ежедневно восстанавливает 1к3 заряда на рассвете.</t>
  </si>
  <si>
    <t>Седло кавалериста</t>
  </si>
  <si>
    <t>Если вы находитесь в этом седле на ездовом животном, и вы в сознании, вы не можете быть спешены против вашей воли, и броски атаки по вашему ездовому животному совершаются с помехой.</t>
  </si>
  <si>
    <t>Секира кровавой ярости</t>
  </si>
  <si>
    <t>Вы получаете бонус +2 к броскам атаки и урона, совершённым этой магическим секирой, пока у вас половина или меньше ваших хитов.</t>
  </si>
  <si>
    <t>Сумка фокусов</t>
  </si>
  <si>
    <t>Эта обычная с виду сумка, изготовленная из серой, рыжей или коричневой ткани, выглядит пустой. Однако если засунуть в неё руку, можно нащупать маленький пушистый предмет. Весит сумка половину фунта.
Вы можете действием вынуть из сумки пушистый предмет и бросить его на 20 футов. Когда предмет приземляется, он превращается в существо, которое вы выбираете броском к8, консультируясь с приведённой таблицей, соответствующей цвету сумки. Характеристики существ смотрите в Бестиарии. Существо исчезает на следующем рассвете или когда его хиты будут уменьшены до 0.
Существо дружественно к вам и вашим спутникам, и действует в ваш ход. Вы можете бонусным действием отдать команду, как существу перемещаться, и какое действие ему совершать в следующем ходу, или можете отдать общий приказ, такой как «атакуй врагов». Если приказов нет, существо действует сообразно своей природе.
Как только из сумки достанут три пушистых предмета, её нельзя будет использовать до следующего рассвета.
Серая сумка фокусов.
к8        Существо
1        Куница [weasel]
2        Гигантская крыса [giant rat]
3        Барсук [badger]
4        Кабан [boar]
5        Пантера [panther]
6        Гигантский барсук [giant badger]
7        Лютый волк [dire wolf]
8        Гигантский лось [giant elk]
Рыжая сумка фокусов.
к8        Существо
1        Крыса [rat]
2        Сова [owl]
3        Мастиф [mastiff]
4        Козёл [goat]
5        Гигантский козёл [giant goat]
6        Гигантский кабан [giant boar]
7        Лев [lion]
8        Бурый медведь [brown bear]
Коричневая сумка фокусов.
к8        Существо
1        Шакал [jaсkal]
2        Человекообразная обезьяна [ape]
3        Бабуин [baboon]
4        Топороклюв [axe beak]
5        Чёрный медведь [black bear]
6        Гигантская куница [giant weasel]
7        Гигантская гиена [giant hyena]
8        Тигр [tiger]</t>
  </si>
  <si>
    <t>Сумка хранения</t>
  </si>
  <si>
    <t>Эта сумка внутри гораздо больше, чем её внешние размеры, примерно 2 фута в диаметре у отверстия и 4 фута в глубину. Сумка может вместить до 500 фунтов, не превышающих в объёме 64 кубических фута. Сумка весит 15 фунтов, независимо от ее содержимого. Извлечение чего-либо из сумки совершается действием.
Если сумка перегружена, проткнута, или порвана, она рвётся окончательно, уничтожается, и её содержимое разбрасывается по Астральному Плану. Если сумка оказывается вывернутой наизнанку, то её содержимое вываливается наружу невредимым, но прежде, чем её можно будет снова использовать, сумку необходимо вывернуть обратно. Дышащие существа, помещенные внутрь мешка, способны оставаться в живых в течение времени, равного десяти минутам, поделённым на количество существ (минимум 1 минута), после чего они начинают задыхаться.
При помещении сумки хранения в межпространство, созданное с помощью удобного рюкзака Хеварда [heward’s handy haversack], переносной дыры [portable hole] или подобного предмета, оба предмета мгновенно уничтожаются и открываются врата, ведущие на Астральный План. Врата появляются в месте, где один предмет пытались поместить в другой. Все существа в пределах 10 футов от врат затягиваются внутрь и помещаются в случайным образом определённое место на Астральном Плане. После этого врата закрываются. Врата односторонние, и повторно не открываются.</t>
  </si>
  <si>
    <t>Сушёная пиявка</t>
  </si>
  <si>
    <t>Эта пиявка была высушена и наделена частицей оживляющей магии. Если вы попадаете по существу броском дальнобойной атаки, используя этот боеприпас, пиявка оживает и вонзает зубы в цель, нанося 1к4 колющего урона в начале каждого хода цели. Если цель умирает или пиявка наносит хотя бы 10 урона, она отпадает. Существо, включая цель, может действием отлепить пиявку. Как только пиявка больше не прикреплена к своей цели, она умирает и перестаёт быть магической.</t>
  </si>
  <si>
    <t>Татуировка жутких когтей</t>
  </si>
  <si>
    <t>Нанесённая специальной иглой, эта магическая татуировка изображает когтистые и зазубренные формы.
Настройка на татуировку. Чтобы настроиться на этот предмет, вам необходимо на протяжении всего времени настройки нажимать иглой на кожу там, где вы хотите, чтобы татуировка находилась. Когда настройка завершается, игла превращается в чернила, которые принимают очертания нарисованного вами узора на коже.
Если ваша настройка на татуировку заканчивается, она исчезает, а игла снова появляется в вашем пространстве.
Магические удары. Пока татуировка находится на вашей коже, ваши безоружные удары считаются магическими при определении преодоления сопротивления и иммунитета к немагическим атакам, и вы получаете бонус +1 к броскам атаки и урона безоружными ударами.
Жуткие удары. Бонусным действием вы можете расширить возможности татуировки на 1 минуту. В течение этого времени все ваши рукопашные атаки оружием или безоружные удары могут достать цели в пределах 15 футов от вас благодаря выпускаемым в сторону цели чернильным отросткам. Кроме того, ваши рукопашные атаки наносят дополнительные 1к6 урона силовым полем при попадании. Это бонусное действие не может быть совершено вновь до следующего рассвета.</t>
  </si>
  <si>
    <t>Татуировка обвивающей хватки</t>
  </si>
  <si>
    <t>Нанесённая специальной иглой, эта магическая татуировка изображает длинные переплетающиеся узоры.
Настройка на татуировку. Чтобы настроиться на этот предмет, вам необходимо на протяжении всего времени настройки нажимать иглой на кожу там, где вы хотите, чтобы татуировка находилась. Когда настройка завершается, игла превращается в чернила, которые принимают очертания нарисованного вами узора на коже.
Если ваша настройка на татуировку заканчивается, она исчезает, а игла снова появляется в вашем пространстве.
Хватательные усики. Пока татуировка находится на вашей коже, вы можете действием заставить татуировку вытянуться в чернильные усики, которые попытаются схватить существо, которое вы можете видеть в пределах 15 футов. Существо должно преуспеть в спасброске Силы Сл 14, иначе получит 3к6 урона силовым полем и станет схваченым вами. Действием существо может попытаться высвободиться, преуспев в проверке Силы (Атлетика) или Ловкости (Акробатика) Сл 14. Захват также заканчивается, если вы отпустите существо (никаких действий не требуется), если существо окажется дальше 15 футов от вас или если вы используете эту татуировку на другом существе.</t>
  </si>
  <si>
    <t>Трезубец командования рыбами</t>
  </si>
  <si>
    <t xml:space="preserve">Оружие </t>
  </si>
  <si>
    <t>Этот трезубец — магическое оружие. У него есть 3 заряда. Если вы его держите, вы можете действием потратить 1 заряд, чтобы наложить им заклинание подчинение зверя [dominate beast] (Сл спасброска 15) на зверя, у которого есть врождённая скорость плавания. Трезубец ежедневно восстанавливает 1к3 заряда на рассвете.</t>
  </si>
  <si>
    <t>Укус Харкона</t>
  </si>
  <si>
    <t>Жуткий волчий зуб свисает с этого простого шнуркового ожерелья. Пока вы его носите, оно даёт вам бонус +1 к проверкам характеристик и спасброскам.
Проклятие. Настройка на укус Харкона проклинает вас до тех пор, пока либо Харкон Лукас не снимет с вас это ожерелье, либо пока проклятие не будет снято при помощи заклинания снятие проклятия [remove curse] или подобной магии. Пока вы остаётесь проклятым, вы не можете снять это ожерелье.
Надевание или снятие ожерелья, в независимости от того, настраиваетесь вы на него или нет, вы поражаетесь ликантропией вервольфа, как описано в «Бестиарии». Это проклятие действует до рассвета после следующего полнолуния. Если после этого вы всё ещё будете в ожерелье, то вы снова поражаетесь ликантропией.</t>
  </si>
  <si>
    <t>Ушной червь</t>
  </si>
  <si>
    <t>Чтобы настроиться на этого симбионта, вы должны держать его у кожи за ухом в течение всего периода настройки, в то время, пока он проникает в вашу голову и прикрепляется к вашему черепу. Пока ушной червь находится внутри вас, вы можете говорить, читать и писать на Глубинной речи.
Заклинания. Ушной червь имеет 4 заряда. Вы можете использовать следующие заклинания, затратив необходимое количество зарядов (Сл спасброска 15): обнаружение мыслей [detect thoughts] (2 заряда) или диссонирующий шёпот [dissonant whisper] (1 заряд). Каждый раз, когда вы накладываете заклинание обнаружение мыслей с помощью ушного червя, он посылает собранную информацию ближайшему даэлькиру или следующему ближайшему ушному червю, пока она не достигнет даэлькира. Ушной червь восстанавливает 1к4 израсходованных зарядов ежедневно на рассвете.
Симбиотическая природа. Ушной червь не может быть извлечён из вас, пока вы настроены на него, и вы не можете добровольно окончить свою настройку на нём. Если на вас используют заклинание, которое снимает проклятие, ваша настройка на черве заканчивается, и он отделяется от вас.</t>
  </si>
  <si>
    <t>Фонарь обнаружения</t>
  </si>
  <si>
    <t>Этот закрытый фонарь способен гореть в течение шести часов на одной пинте масла, распространяя яркий свет в радиусе 30 футов и тусклый свет в радиусе ещё 30 футов. Все невидимые предметы и существа становятся видимыми, если они находятся в ярком свете этого фонаря. Вы можете действием опустить козырёк, уменьшив освещение до тусклого света в пределах 5 футов.</t>
  </si>
  <si>
    <t>Цитра Мак-Фуирми</t>
  </si>
  <si>
    <t>Существо, пытающееся играть на инструменте, не будучи настроенным на него, должно преуспеть в спасброске Мудрости Сл 15, иначе получит урон психической энергией 2к4.
Вы можете действием сыграть на инструменте и наложить одно из его заклинаний: дубовая кора [barkskin], защита от зла и добра [protection from evil and good], левитация [levitate], лечение ран [cure wounds], невидимость [invisibility], полёт [fly], туманное облако [fog cloud]. После того как инструмент использован для наложения заклинания, он не может повторно накладывать это заклинание до следующего рассвета. Заклинания используют вашу базовую характеристику и Сл спасбросков от ваших заклинаний.
Вы можете играть на инструменте при наложении заклинания, которое делает цели очарованными при провале спасброска, тем самым давая целям помеху на этот спасбросок. Этот эффект применяется только если заклинание имеет соматический или материальный компонент</t>
  </si>
  <si>
    <t>Шапка маскировки</t>
  </si>
  <si>
    <t>Пока вы носите эту шапку, вы можете неограниченно действием накладывать ей заклинание маскировка [disguise self]. Это заклинание оканчивается, если снять шапку.</t>
  </si>
  <si>
    <t xml:space="preserve">Шапка подводного дыхания </t>
  </si>
  <si>
    <t>Если вы находитесь под водой и на вас надета эта шапка, вы можете действием произнести командное слово, после чего вокруг вашей головы возникнет воздушный пузырь. Это позволит вам свободно дышать под водой. Пузырь остаётся до тех пор, пока вы не произнесёте командное слово ещё раз, или не выберетесь из-под воды.</t>
  </si>
  <si>
    <t>Шлем понимания языков</t>
  </si>
  <si>
    <t>Пока вы носите этот шлем, вы можете неограниченно действием накладывать заклинание понимание языков [comprehend languages].</t>
  </si>
  <si>
    <t>Шлем телепатии</t>
  </si>
  <si>
    <t>Пока вы носите этот шлем, вы можете действием накладывать им заклинание обнаружение мыслей [detect thoughts] (Сл спасброска 13). Пока вы поддерживаете концентрацию на этом заклинании, вы можете бонусным действием отправить телепатическое послание существу, на котором вы сосредоточились. Оно может ответить бонусным действием, если вы продолжите сосредотачиваться на нём.
Сосредоточившись на существе обнаружением мыслей, вы можете действием наложить шлемом на него заклинание внушение [suggestion] (Сл спасброска 13). Вы не можете использовать свойство внушения повторно до следующего рассвета.</t>
  </si>
  <si>
    <t>Шпионский шёпот</t>
  </si>
  <si>
    <t>Это устройство, изготовленное из тёмного металла, носится изогнутым вокруг уха. Если вы знаете существо, носящее другой шпионский шёпот, и это существо находится в пределах 1 мили от вас, то вы можете телепатически общаться друг с другом. Бонусным действием вы можете позволить этому существу слышать всё, что вы слышите в течение 1 часа. Бонусным действием вы можете закончить этот эффект раньше, и он так же заканчивается, если вы окажитесь недееспособны.</t>
  </si>
  <si>
    <t>Штурвал ветра и воды</t>
  </si>
  <si>
    <t>Являясь штурвалом элементального галеона или воздушного корабля этот предмет позволяет существу, обладающему Меткой Бури, телепатически управлять элементалем, запечатанным внутри судна.
Если штурвал ветра и воды устанавливается на обычном парусном судне, то существо с Меткой Бури, использующее этот штурвал, может создать вокруг судна зону с идеальными условиями, увеличивая скорость судна на 5 миль в час.</t>
  </si>
  <si>
    <t>Щит часового</t>
  </si>
  <si>
    <t>Пока вы держите этот щит, вы совершаете с преимуществом проверки инициативы и проверки Мудрости (Восприятие). Сам щит украшен символом глаза.</t>
  </si>
  <si>
    <t>Щит черепахи</t>
  </si>
  <si>
    <t>Держа этот щит, вы получаете бонус +1 к КД. Этот бонус является дополнением к обычному бонусу щита к КД.
Проклятие. Этот предмет проклят. Настроившись на него, вы тоже становитесь проклятым, пока на вас не используют заклинание снятие проклятия [remove curse] или подобную магию. Вы не можете сбросить щит и оставаться настроенным на него, пока вы прокляты. Пока вы прокляты, вы медлительны. Ваша скорость уменьшается вдвое. Когда вы бросаете инициативу, считайте результат на своем к20 равным «1». Вы не можете изменить свою инициативу никакими способами.</t>
  </si>
  <si>
    <t>Щит-бумеранг</t>
  </si>
  <si>
    <t>С помощью этого магического щита вы можете совершать дальнобойные атаки оружием. Он имеет нормальную дистанцию в 20 футов и максимальную дистанцию в 60 футов, и для броска атаки он использует вашу Силу или Ловкость (на ваш выбор). Если вы владеете щитом, вы владеете атаками, совершаемыми с использованием этого щита. При попадании он наносит 1к6 рубящего урона. Если вы бросите щит, он снова появится в вашей руке сразу после того, как попадет в цель или промахнется.</t>
  </si>
  <si>
    <t>Эльфийские сапоги</t>
  </si>
  <si>
    <t>Пока вы носите эти сапоги, ваши шаги не издают звука, вне зависимости от поверхности, по которой вы идёте. Вы также совершаете с преимуществом проверки Ловкости (Скрытность), которые полагаются на бесшумное передвижение.</t>
  </si>
  <si>
    <t>Пока вы носите этот плащ с накинутым капюшоном, проверки Мудрости (Восприятие), совершённые чтобы увидеть вас, совершаются с помехой, а вы совершаете с преимуществом проверки Ловкости (Скрытность), когда прячетесь — плащ способен изменять свой цвет, обеспечивая вам камуфляж. Накидывание и снятие капюшона совершается действием.</t>
  </si>
  <si>
    <t xml:space="preserve">Эмблема стража </t>
  </si>
  <si>
    <t>священный символ</t>
  </si>
  <si>
    <t>Эта эмблема является символом божества или духовной традиции. Действием вы можете прикрепить эмблему к доспехам или щиту или снять её.
Эмблема имеет 3 заряда. Когда по вам или существу, которое вы можете видеть в пределах 30 футов, попадают критическим ударом, а вы носите броню или щит с эмблемой, вы можете реакцией израсходовать 1 заряд и превратить критическое попадание в обычное.
Эмблема ежедневно восстанавливает все заряды на рассвете.</t>
  </si>
  <si>
    <t>Амулет тёмного осколка</t>
  </si>
  <si>
    <t>Обычный</t>
  </si>
  <si>
    <t>колдуном</t>
  </si>
  <si>
    <t>Этот амулет выполнен из цельного осколка упругого экстрапланарного материала, происходящего из царства покровителя вашего колдуна. Пока он надет на вас, вы получаете следующие преимущества:
Вы можете использовать этот амулет как магическую фокусировку для своих заклинаний колдуна.
Вы можете попробовать наложить заговор, которого не знаете. Этот заговор должен быть в списке заклинаний колдуна, и вы должны преуспеть в проверке Интеллекта (Магия) Сл 10. При успехе вы накладываете заклинание. При провале и заклинание, и действие, которое было предназначено для накладывания заклинания, теряется. В любом случае вы не можете снова использовать это свойство, пока не завершите продолжительный отдых.</t>
  </si>
  <si>
    <t>Бусина насыщения</t>
  </si>
  <si>
    <t>Эта пористая безвкусная студенистая бусина растворяется у вас на языке и насыщает вас на 1 день.</t>
  </si>
  <si>
    <t>Вечно горящий фонарь</t>
  </si>
  <si>
    <t>Этот фонарь типа «бычий глаз» содержит драконий осколок Эберрона, который испускает свет, сравнимый с тем, который создает заклинание вечный огонь [continual flame]. Вечно горящий фонарь испускает свет в 120-футовом конусе; ближайшие 60 футов — это яркий свет, а дальние 60 футов — тусклый свет.</t>
  </si>
  <si>
    <t>Говорящая кукла</t>
  </si>
  <si>
    <t>XGE</t>
  </si>
  <si>
    <t>Пока кукла находится в пределах 5 футов от вас, вы можете во время короткого отдыха сказать ей до шести фраз, ни одна из которых не может быть длиннее шести слов, и установить условия, при которых кукла будет говорить каждую фразу. Каким бы ни было условие, оно должно совершиться в пределах 5 футов от куклы, чтобы она заговорила. Например, когда кто-то поднимет куклу, она может сказать: «Я хочу конфетку». Фразы куклы теряются, когда ваша настройка на неё заканчивается.</t>
  </si>
  <si>
    <t>Горшок пробуждения</t>
  </si>
  <si>
    <t>Если вы посадите обычный куст в этот 10-фунтовый глиняный горшок и будете выращивать его в течение 30 дней, к концу этого времени куст магическим образом превратится в пробуждённый куст [awakened shrub]. При пробуждении куст ломает корнями горшок, уничтожая его. Пробуждённый куст дружественен к вам. Куст ничего не делает в отсутствие команд от вас.</t>
  </si>
  <si>
    <t>Дирижёрская палочка</t>
  </si>
  <si>
    <t>У этой волшебной палочки 3 заряда. Если вы её держите, вы можете действием потратить 1 заряд, чтобы создать оркестровую музыку, размахивая ею. Музыку слышно на расстоянии 60 футов, и она заканчивается, когда вы перестанете размахивать палочкой.
Палочка ежедневно восстанавливает все заряды на рассвете. Если вы потратили последний заряд, бросьте к20. Если выпадет 1, играет грустный тромбон, а палочка рассыпается в пыль и уничтожается.</t>
  </si>
  <si>
    <t>Доспех быстрого снятия</t>
  </si>
  <si>
    <t>Вы можете снять этот доспех действием.</t>
  </si>
  <si>
    <t>Дымящий доспех</t>
  </si>
  <si>
    <t>Когда этот доспех надет, он источает клубы не имеющего запаха безвредного дыма.</t>
  </si>
  <si>
    <t>Дыхательный пузырь</t>
  </si>
  <si>
    <t>Эта полупрозрачная, похожая на пузырь сфера имеет слегка липкую внешнюю поверхность, и вы получаете преимущества предмета только тогда, когда носите его на голове, как шлем.
Пузырь содержит количество пригодного для дыхания воздуха, которым вы можете дышать в течении 1 часа. Пузырь ежедневно на рассвете восстанавливает весь израсходованный воздух.</t>
  </si>
  <si>
    <t>Жетон с перышком</t>
  </si>
  <si>
    <t>На этом маленьком металлическом диске выгравировано изображение пера. Когда вы падаете по крайней мере на 20 футов, а жетон находится при вас, то скорость падения уменьшается на 60 футов в раунд и вы не получаете никакого урона от падения. Магия жетона исчезает сразу после того, как вы приземляетесь, после чего диск становится немагическим.</t>
  </si>
  <si>
    <t>Защитная сфера</t>
  </si>
  <si>
    <t>Защитная сфера — это полированный сферический кусок кристалла или камня, связанный с одним из планов существования.
Если вы заклинатель, то можете использовать эту сферу в качестве заклинательной фокусировки. Если вы держите сферу, когда получаете урон вида, связанного с материалом сферы, вы можете реакцией уменьшить получаемый урон на 1к4 (минимум до 0). Материалы и связанные с ними виды урона перечислены в таблице «Защитная сфера».
Защитная Сфера
Планарный Материал        Вид урона
Фернийский Базальт        Огонь
Ирийский Кварц        Излучение
Кутрийский Скарн        Кислота и яд
Ламанийский Кремень        Электричество и звук
Мабарийский Обсидиан        Некротическая энергия
Рисийский Сланец        Холод
Шаваратский Известняк        Силовое поле
Ксориатский Мрамор        Психическая энергия</t>
  </si>
  <si>
    <t>Изменяющаяся ткань</t>
  </si>
  <si>
    <t>При создании костюма из изменяющейся ткани, в него может быть встроено до пяти различных нарядов. Пока вы облачены в эту одежду, вы можете бонусным действием произнести командное слово, чтобы превратить ваш наряд в другой из встроенных нарядов по вашему выбору. Независимо от внешнего вида, наряд не может быть ничем кроме одежды. Хоть он может дублировать внешний вид другой магической одежды, он не приобретает её магических свойств.</t>
  </si>
  <si>
    <t>Износостойкая книга заклинаний</t>
  </si>
  <si>
    <t>Эта книга заклинаний, включая все в ней записанное, не может быть повреждена огнём или погружением в воду. Кроме того, она не портится со временем.</t>
  </si>
  <si>
    <t>Инструмент иллюзий</t>
  </si>
  <si>
    <t>Когда вы играете на этом музыкальном инструменте, вы можете создавать безвредные иллюзорные визуальные эффекты в пределах сферы радиусом 5 футов с центром на инструменте. Если вы бард, радиус возрастает до 15 футов. Примеры визуальных эффектов: светящиеся ноты в воздухе, призрачная танцовщица, бабочки или медленно падающие хлопья снега. Магические эффекты неосязаемы и не издают звуков, кроме того, их иллюзорность очевидна. Эффекты заканчиваются, когда вы перестаёте играть.</t>
  </si>
  <si>
    <t>Инструмент надписей</t>
  </si>
  <si>
    <t>У этого инструмента 3 заряда. Играя на нём, вы можете действием потратить один заряд инструмента, чтобы написать магическое послание на немагическом предмете или поверхности, которые вы можете видеть в пределах 30 футов от вас.
Послание не может превышать 6 слов и должно быть написано на известном вам языке. Если вы бард, то можете увеличить длину сообщения ещё на 7 слов, и по вашему выбору слова могут слабо светиться, что позволит прочесть их в немагической темноте. Применение заклинания рассеивание магии [dispel magic] на слова стирает их. В противном случае сообщение пропадает через 24 часа.
Инструмент восстанавливает все потраченные заряды ежедневно на рассвете.</t>
  </si>
  <si>
    <t>Искатель голоса</t>
  </si>
  <si>
    <t>Этот заводной механизм напоминает металлического краба размером с обеденную тарелку. Каждое Действие, используемое для его заведения, позволяет ему работать в течение 1 минуты, при максимуме в 10 минут. Во время работы он использует соответствующий статблок искатель голоса [vox seeker]. Этот механизм находится под контролем Мастера. Если хиты искателя голоса опускаются до 0, он уничтожается.</t>
  </si>
  <si>
    <t>Ключ-брелок</t>
  </si>
  <si>
    <t>существом с Меткой Опеки</t>
  </si>
  <si>
    <t>Этот маленький стилизованный ключ играет жизненно важную роль в работе дома Кундарак. Если вы используете заклинание: сигнал тревоги [alarm], волшебный замок [arcane lock] или охранные руны [glyph of warding], то вы можете привязать эффект к амулету так, чтобы тот, кто держит его, получал уведомление при срабатывании сигнала тревоги, вскрытии волшебного замка или деактивации руны, созданной заклинанием охранные руны.
Кроме того, носитель (которому не нужно быть настроенным на предмет) может использовать Действие, чтобы окончить любое заклинание, привязанное к ключу, при условии, что хранитель знает командное слово, которое вы установили для окончания привязанных заклинаний. Ключ-брелок может иметь до трех привязанных к нему заклинаний одновременно.</t>
  </si>
  <si>
    <t>Кость шарлатана</t>
  </si>
  <si>
    <t>Когда вы бросаете эту 6-гранную кость, вы можете выбрать, какой гранью она выпадет.</t>
  </si>
  <si>
    <t>Краска узоров настроения</t>
  </si>
  <si>
    <t>Эта густая чёрная краска хранится в маленькой баночке, содержащей достаточно краски, чтобы нанести узоры настроения на одно существо. Краска наносится на лицо пятнами или отметинами, которые часто напоминают глаза насекомых или пауков. Нанесение краски подобным образом занимает 1 минуту.
В течение следующих 8 часов узоры изменяются, отражая ваше психическое состояние. Существо, которое может видеть вас и совершает успешную проверку Мудрости (Проницательность) Сл 10, может понять, счастливы ли вы, опечалены, сердиты, возмущены, удивлены или напуганы, а также осознает главный источник этой эмоции. Например, вы можете сообщить о страхе, вызванном монстром, которого вы только что видели за углом, горе от потери друга или радости, вызванной гордостью за свои боевые заслуги. Тёмные эльфы совершают данную проверку с преимуществом.</t>
  </si>
  <si>
    <t>Кружка трезвости</t>
  </si>
  <si>
    <t>На одной стороне этой кружки изображено суровое лицо. Вы можете пить из этой кружки эль, вино или любой другой немагический алкоголь и не пьянеть. Кружка не оказывает никакого эффекта на магический алкоголь и вредные вещества, такие как яд.</t>
  </si>
  <si>
    <t>Механистический амулет</t>
  </si>
  <si>
    <t>Этот медный амулет содержит очень маленькие шестерёнки, находящиеся в постоянном движении и заряженные магией Механуса — плана механической предопределённости. Существо, которое прикладывает амулет к уху, может услышать тихое тиканье и шуршание шестерёнок. Когда вы носите этот амулет и совершаете бросок атаки, вы можете не бросать к20 и просто выбрать значение «10» на кости. Это свойство нельзя использовать повторно до следующего рассвета.</t>
  </si>
  <si>
    <t>Монета спуска</t>
  </si>
  <si>
    <t>Эта сверкающая медная монета излучает тусклый свет в радиусе 5 футов. При падении с высоты более 5 футов монета издает мелодичный громкий звук при ударе о поверхность. Любое существо, которое слышит этот звук, может определить расстояние, которое пролетела монета, основываясь на этом звуке.</t>
  </si>
  <si>
    <t>Несломимая стрела</t>
  </si>
  <si>
    <t>Эта стрела не может быть сломана, кроме как в области действия преграды магии [antimagic field].</t>
  </si>
  <si>
    <t>Опрокидывающий боеприпас</t>
  </si>
  <si>
    <t>Любой боеприпас</t>
  </si>
  <si>
    <t>Этот боеприпас содержит в себе скрытый сильный удар. Существо, в которое попал такой боеприпас, должно преуспеть в спасброске Силы Сл 10, иначе будет сбито с ног.</t>
  </si>
  <si>
    <t>Освежающая бусина</t>
  </si>
  <si>
    <t>Эта пористая безвкусная студенистая бусина растворяется в жидкости, превращая до пинты жидкости в свежую чистую холодную воду. Бусина не оказывает эффект на магические жидкости или опасные вещества типа яда.</t>
  </si>
  <si>
    <t>Осенённый луной меч</t>
  </si>
  <si>
    <t>В темноте обнажённое лезвие этого меча излучает лунный свет, создавая яркий свет в радиусе 15 футов и тусклый свет в радиусе ещё 15 футов.</t>
  </si>
  <si>
    <t>Осколок чар</t>
  </si>
  <si>
    <t>Этот отполированный драконий осколок Эберрона помещается в руке и хранит информацию, подобно книге. Осколок может вместить эквивалент одной книги длиной не более 320 страниц. Осколок может быть создан пустым или уже заполненным информацией. Когда осколок создаётся, создатель может установить пароль, который должен быть произнесён, чтобы получить доступ к хранящейся внутри информации.
Держа осколок чар, вы можете действием открыть ему свой разум, просматривая его содержимое в своей голове. В последующих раундах чтение текста или запись нового текста на пустых «страницах» осколка требует концентрации (как если бы вы концентрировались на заклинании) и занимает столько же времени, сколько требуется для обычного чтения и записи. Размышление о конкретной фразе или теме приводит вас к основному разделу в осколке, в котором она упоминается.
Волшебник может использовать осколок чар в качестве книги заклинаний с обычными затратами золота и времени для «записывания» заклинаний в осколок.</t>
  </si>
  <si>
    <t>Очищающий камень</t>
  </si>
  <si>
    <t>Очищающий камень представляет собой сферу диаметром 1 фут (30 сантиметров), на которой выгравированы волшебные символы. При прикосновении к камню вы можете действием его активировать и удалить пятна и грязь с вашей одежды и тела.
Такие камни можно найти в пьедесталах на общественных площадях в Аундаире или в элитных гостиницах Галланда.</t>
  </si>
  <si>
    <t>Палочка пиротехники</t>
  </si>
  <si>
    <t>У этой волшебной палочки 3 заряда. Если вы её держите, вы можете действием потратить 1 заряд и выбрать в качестве цели гуманоида, которого видите в пределах 30 футов. Цель должна преуспеть в спасброске Харизмы Сл 10, иначе она будет улыбаться 1 минуту. Палочка восстанавливает все заряды на рассвете. Если вы потратили последний заряд, бросьте к20. Если выпадет 1, палочка превращается в палочку хмурых взглядов [Wand of Scowls].</t>
  </si>
  <si>
    <t>Палочка улыбок</t>
  </si>
  <si>
    <t>Палочка хмурых взглядов</t>
  </si>
  <si>
    <t>У этой волшебной палочки 3 заряда. Если вы её держите, вы можете действием потратить 1 заряд и выбрать в качестве цели гуманоида, которого видите в пределах 30 футов. Цель должна преуспеть в спасброске Харизмы Сл 10, иначе она будет хмуриться 1 минуту.
Палочка восстанавливает все заряды на рассвете. Если вы потратили последний заряд, бросьте к20. Если выпадет 1, палочка превращается в палочку улыбок [Wand of Smiles].</t>
  </si>
  <si>
    <t>Парфюм очарования</t>
  </si>
  <si>
    <t>Этот крошечный пузырёк содержит магический парфюм в количестве, достаточном для одного использования. Действием вы можете нанести парфюм на себя, и его эффект будет длиться один час. В течение этого времени вы совершаете с преимуществом все проверки Харизмы, направленные на Гуманоидов с показателем опасности 1 или ниже. Те, на кого воздействует эффект парфюма, не понимают, что подверглись воздействию магии.</t>
  </si>
  <si>
    <t>существом с Меткой Письма</t>
  </si>
  <si>
    <t>Этим пером можно писать на любой поверхности. Вы сами решаете, является ли надпись видимой или невидимой, но надпись всегда видна носителю Метки Письма.
Любой носитель Метки Письма может действием коснуться невидимой надписи, сделав её видимой для всех.
Если вы используете перо, чтобы писать на существе, которое не является конструктом, то надпись исчезает через 7 дней.</t>
  </si>
  <si>
    <t>Плащ множества стилей</t>
  </si>
  <si>
    <t>Когда вы носите этот плащ, вы можете бонусным действием заставить его изменить стиль, цвет и видимое качество. Вес плаща не меняется. Независимо от внешнего вида, он может быть только плащом.
Хотя он может принимать вид других магических плащей, их свойств он не получает.</t>
  </si>
  <si>
    <t>Плутовской замок</t>
  </si>
  <si>
    <t>Этот замок выглядит как обычный замок, и к нему прилагается один ключ. Внутренний механизм замка магическим образом двигается, чтобы предотвратить попытки взлома. Проверки Ловкости с целью вскрыть этот замок совершаются с помехой.</t>
  </si>
  <si>
    <t>Посох птичьего щебета</t>
  </si>
  <si>
    <t>Этот деревянный посох украшен резьбой в виде птиц. У него 10 зарядов. Держа посох, вы можете действием потратить один заряд и создать на расстоянии до 60 футов один из следующих звуков: чириканье вьюрка, карканье ворона, кряканье утки, кудахтанье курицы, гогот гуся, клич гагары, кулдыканье индюка, плач чайки, уханье совы или крик орла. Посох ежедневно восстанавливает 1к6 +4 заряда на рассвете. Если вы потратили последний заряд, бросьте к20. Если выпадет 1, посох взрывается безвредным облаком птичьих перьев и пропадает навсегда.</t>
  </si>
  <si>
    <t>Посох украшения</t>
  </si>
  <si>
    <t>Если вы размещаете объект, весящий не более 1 фунта (такой как осколок кристалла, яйцо или камень) выше навершия посоха, пока держите его, объект поднимается на дюйм от навершия посоха и остаётся там до тех пор, пока не будет перемещён или пока посох находится у вас. Посох может одновременно удерживать до трёх таких объектов плавающими над его навершием. Пока вы держите посох, вы можете заставить один или несколько объектов медленно вращаться вокруг своей оси или вокруг друг друга.</t>
  </si>
  <si>
    <t>Посох цветов</t>
  </si>
  <si>
    <t>У этого деревянного посоха 10 зарядов. Держа посох, вы можете действием потратить один заряд. Пробуждённый силой посоха цветок вырастет на почве или грязи в пределах 5 футов от вас или на самом посохе. Если вы не выбрали тип цветка, посох создаёт маргаритку с лёгким запахом. Цветок безвредный и немагический. Он растёт и увядает как обычный цветок.
Посох ежедневно восстанавливает 1к6 +4 заряда на рассвете. Если вы потратили последний заряд, бросьте к20. Если выпадет 1, посох превращается в лепестки цветов и пропадает навсегда.</t>
  </si>
  <si>
    <t>Пропитанная древесная фокусировка</t>
  </si>
  <si>
    <t>Пропитанная древесная фокусировка — это жезл, посох или палочка, вырезанные из дерева и наполненные экстрапланарной энергией. Если вы заклинатель, то вы можете использовать этот предмет в качестве заклинательной фокусировки.
Когда вы накладываете заклинание, наносящее урон, используя этот предмет в качестве заклинательной фокусировки, вы получаете бонус +1 к одному из бросков урона заклинанием, при условии, что урон имеет тот же вид, что и связанная с ним древесина. Тип древесины и связанный с ним вид урона описаны в таблице «Пропитанная древесная фокусировка».
Пропитанная древесная фокусировка
Древесина        Вид урона
Фернийский ясень        Огонь
Ирийское розовое дерево        Излучение
Кутрийская манцинелла        Кислота или яд
Ламаннийский дуб        Электричество или звук
Мабарское чёрное дерево        Некротическая энергия
Ризийская сосна        Холод
Шаваратская берёза        Силовое поле
Зориатская венге        Психическая энергия</t>
  </si>
  <si>
    <t>Развевающийся плащ</t>
  </si>
  <si>
    <t>Когда вы носите этот плащ, вы можете бонусным действием заставить его драматично развеваться.</t>
  </si>
  <si>
    <t>Рог беззвучного сигнала</t>
  </si>
  <si>
    <t>У этого рога 4 заряда. Когда вы используете действие, чтобы подуть в него, одно существо по вашему выбору может слышать трубный звук рога, при условии, что оно находится не более, чем в 600 футах от рога, и не оглохшее. Никакие другие существа не слышат звук рога. Рог восстанавливает 1к4 потраченных зарядов ежедневно на рассвете.</t>
  </si>
  <si>
    <t>Рубин боевого мага</t>
  </si>
  <si>
    <t>Испещрённый магическими рунами, этот рубин диаметром 1 дюйм (2,5 см) позволяет использовать простое или воинское оружие в качестве заклинательной фокусировки. Чтобы это сделать, вы должны прикрепить рубин к оружию, прижимая его к оружию не менее 10 минут. После этого удалить рубин можно будет только действием или уничтожив оружие. Даже преграда магии [antimagic field] не заставит его отсоединиться. Рубин падает с оружия, если ваша настройка на него оканчивается.</t>
  </si>
  <si>
    <t>Самочинящаяся одежда</t>
  </si>
  <si>
    <t>Эта элегантная одежда путешественника волшебным образом восстанавливает износ и разрывы. Куски ткани, которые были уничтожены, не могут самостоятельно восстановиться.</t>
  </si>
  <si>
    <t>Сапоги ложных следов</t>
  </si>
  <si>
    <t>Только Гуманоиды могут носить эти сапоги. Когда вы их носите, то можете их заставить оставлять следы других Гуманоидов вашего размера.</t>
  </si>
  <si>
    <t>Сверкающий доспех</t>
  </si>
  <si>
    <t>Этот доспех никогда не покрывается грязью.</t>
  </si>
  <si>
    <t>Свеча глубин</t>
  </si>
  <si>
    <t>Пламя этой свечи не гаснет при погружении в воду. Она излучает свет и тепло как обычная свеча.</t>
  </si>
  <si>
    <t>Складной шест</t>
  </si>
  <si>
    <t>Держа этот 10-футовый шест, вы можете действием произнести командное слово и сложить шест в 1-футовый жезл для удобства хранения. Вес шеста не меняется. Вы можете действием произнести другое командное слово и заставить жезл снова превратиться в шест, однако шест удлинится только настолько, насколько позволяет окружающее пространство.</t>
  </si>
  <si>
    <t>Слуховой рог</t>
  </si>
  <si>
    <t>Будучи поднесённым к уху, этот рог подавляет на вас эффекты состояния «оглохший» и позволяет слышать нормально.</t>
  </si>
  <si>
    <t>Срастающаяся верёвка</t>
  </si>
  <si>
    <t>Вы можете разрезать этот 50-футовый моток верёвки на любое количество частей, а затем действием сказать командное слово и заставить их соединиться обратно. Части должны соприкасаться друг с другом и не должны использоваться в данный момент. Срастающаяся верёвка навсегда укорачивается если её часть потеряна или уничтожена.</t>
  </si>
  <si>
    <t>Сфера времени</t>
  </si>
  <si>
    <t>Держа эту сферу, вы можете действием определить время суток на улице (утро, день, вечер или ночь). Это свойство работает только на Материальном плане.</t>
  </si>
  <si>
    <t>Сфера направления</t>
  </si>
  <si>
    <t>Держа эту сферу, вы можете действием определить направление на север. Это свойство работает только на Материальном плане.</t>
  </si>
  <si>
    <t>Таинственный ключ</t>
  </si>
  <si>
    <t>Головка этого ключа выполнена в виде вопросительного знака. Существует шанс 5%, что ключ откроет любой замок, в который был вставлен. Однажды открыв что либо, ключ пропадает.</t>
  </si>
  <si>
    <t>Татуировка маскарада</t>
  </si>
  <si>
    <t>Нанесённая специальной иглой, эта магическая татуировка появляется на вашем теле в виде того, что вы пожелаете.
Настройка на татуировку. Чтобы настроиться на этот предмет, вам необходимо на протяжении всего времени настройки нажимать иглой на кожу там, где вы хотите, чтобы татуировка находилась. Когда настройка завершается, игла превращается в чернила, которые принимают очертания нарисованного вами узора на коже.
Если ваша настройка на татуировку заканчивается, она исчезает, а игла снова появляется в вашем пространстве.
Текучие чернила. Бонусным действием вы можете изменять цвет и узор татуировки, а также перемещать её на любой участок кожи. Какую бы форму она ни принимала, это всегда очевидная татуировка. Она может варьироваться в размерах от медяка до замысловатого произведения искусства, покрывающего всю вашу кожу.
Маскировка. Действием вы можете использовать татуировку, чтобы наложить заклинание маскировка [disguise self] (Сл 13, чтобы различить маскировку). Как только заклинание будет наложено татуировкой, оно не может быть наложено таким образом снова до следующего рассвета.</t>
  </si>
  <si>
    <t>Татуировка просветителя</t>
  </si>
  <si>
    <t>Чудесный предмет (татуировка), обычный (требуется настройка)
Рекомендованная стоимость: 50-100 зм
Нанесённая специальной иглой, эта магическая татуировка содержит красивую каллиграфию, изображения письменных принадлежностей и тому подобное.
Настройка на татуировку. Чтобы настроиться на этот предмет, вам необходимо на протяжении всего времени настройки нажимать иглой на кожу там, где вы хотите, чтобы татуировка находилась. Когда настройка завершается, игла превращается в чернила, которые принимают очертания нарисованного вами узора на коже.
Если ваша настройка на татуировку заканчивается, она исчезает, а игла снова появляется в вашем пространстве.
Магическое письмо. Пока эта татуировка находится на вашей коже, вы можете писать кончиком пальца, как если бы это была чернильная ручка, у которой никогда не кончаются чернила.
Действием вы можете коснуться фрагмента текста размером до одной страницы и произнести имя существа. Текст становится невидимым для всех кроме вас и названного существа в течение следующих 24 часов. Любой из вас может отменить невидимость, коснувшись написанного (действие не требуется). Это действие не может быть совершено вновь до следующего рассвета.</t>
  </si>
  <si>
    <t>Трость ветерана</t>
  </si>
  <si>
    <t>Когда вы сжимаете эту трость и бонусным действием произносите командное слово, трость превращается в обычный длинный меч и перестаёт быть магической.</t>
  </si>
  <si>
    <t>Трубка дымных чудовищ</t>
  </si>
  <si>
    <t>Куря эту трубку, вы можете действием выдохнуть облако дыма, которое принимает форму одного существа, например, дракона, фламфа или лягемота. Эта форма должна быть достаточно маленькой, чтобы уместиться в 1-футовый куб, и теряет очертания спустя несколько секунд, превращаясь в обычное облако дыма.</t>
  </si>
  <si>
    <t>Удобный мешочек специй Хеварда</t>
  </si>
  <si>
    <t>Этот мешочек пуст, и у него 10 зарядов. Держа его в руке, вы можете действием потратить один заряд, назвать любую немагическую пищевую приправу (например, соль, перец, шафран или кинза), и вытащить щепотку приправы из мешочка. Щепотки достаточно, чтобы приправить одну порцию еды. Мешок ежедневно восстанавливает 1к6+4 потраченных зарядов на рассвете.</t>
  </si>
  <si>
    <t>Шест рыболовства</t>
  </si>
  <si>
    <t>Держа этот 10-футовый шест, вы можете произнести командное слово и трансформировать его в рыболовную удочку с крючком, леской и поплавком. Повторное произнесение слова снова превращает его в 10-футовый шест.</t>
  </si>
  <si>
    <t>Шлем ужаса</t>
  </si>
  <si>
    <t>Этот жуткий стальной шлем заставляет ваши глаза светиться красным, когда вы его носите.</t>
  </si>
  <si>
    <t>Шляпа волшебства</t>
  </si>
  <si>
    <t>Эта старинная конусообразная шляпа украшена золотыми полумесяцами и звёздами. Пока она надета на вас, вы получаете следующие преимущества:
Вы можете использовать эту шляпу как заклинательную фокусировку для своих заклинаний волшебника.
Вы можете попытаться наложить заговор, которого не знаете. Заговор должен присутствовать в списке заклинаний волшебника, и вы должны преуспеть в проверке Интеллекта (Магия) Сл 10. При успехе вы накладываете заклинание. При провале и заклинание, и действие, которое было предназначено для накладывания заклинания, теряется. В любом случае вы не можете снова использовать это свойство, пока не завершите продолжительный отдых.</t>
  </si>
  <si>
    <t>Шляпа вредителей</t>
  </si>
  <si>
    <t>У этой шляпы три заряда. Держа шляпу, вы можете действием потратить один заряд и произнести командное слово, которое по вашему выбору вызовет летучую мышь [bat], лягушку [frog] или крысу [rat]. Вызванное существо появляется в шляпе и пытается уйти от вас с максимально возможной скоростью. Существо ни дружественно, ни враждебно, и не находится под вашим контролем. Оно ведёт себя как обычное существо своего вида и исчезает через 1 час или, когда его хиты опускаются до 0. Шляпа восстанавливает все израсходованные заряды ежедневно на рассвете.</t>
  </si>
  <si>
    <t>Щит экспрессии</t>
  </si>
  <si>
    <t>Передняя сторона щита имеет форму лица. Когда вы носите щит, вы можете бонусным действием поменять выражение лица на нём.</t>
  </si>
  <si>
    <t>Амулет благочестия +1</t>
  </si>
  <si>
    <t>На этом амулете изображен символ божества в виде инкрустированных драгоценных камней или металлов. Пока вы носите этот священный символ, вы получаете бонус к броскам атаки заклинаниями и Сл спасбросков ваших заклинаний жреца. Бонус определяется редкостью амулета.
Пока вы носите этот амулет, вы можете использовать умение «Божественный канал» без затрат использований. Это свойство не может быть использовано вновь до следующего рассвета.</t>
  </si>
  <si>
    <t>Амулет благочестия +2</t>
  </si>
  <si>
    <t>Амулет благочестия +3</t>
  </si>
  <si>
    <t>Барабан задающего ритм +1</t>
  </si>
  <si>
    <t>Держа этот барабан, вы получаете бонус к броскам атаки заклинанием и Сл спасбросков против ваших заклинаний барда. Бонус определяется редкостью барабана.
Действием вы можете сыграть на барабане, чтобы восстановить одну кость бардовского вдохновения. Это свойство барабана не может быть использовано вновь до следующего рассвета.</t>
  </si>
  <si>
    <t>Барабан задающего ритм +2</t>
  </si>
  <si>
    <t>Барабан задающего ритм +3</t>
  </si>
  <si>
    <t>Боеприпас +1</t>
  </si>
  <si>
    <t>Вы получаете бонус к броскам атаки и урона, совершённым при использовании этого магического боеприпаса. Размер бонуса определяется показателем редкости боеприпаса. Попав в цель, боеприпас перестаёт быть магическим.</t>
  </si>
  <si>
    <t>Боеприпас +2</t>
  </si>
  <si>
    <t>Боеприпас +3</t>
  </si>
  <si>
    <t>Волшебная палочка боевого мага +1</t>
  </si>
  <si>
    <t>Держа эту палочку в руке, вы получаете бонус к броскам атаки заклинаний, определяемый редкостью волшебной палочки. Кроме того, вы игнорируете укрытие на половину, когда совершаете атаки заклинаниями.</t>
  </si>
  <si>
    <t>Волшебная палочка боевого мага +2</t>
  </si>
  <si>
    <t>Волшебная палочка боевого мага +3</t>
  </si>
  <si>
    <t>Доспех +1</t>
  </si>
  <si>
    <t>Вы получаете бонус к КД, пока носите этот доспех. Бонус определяется редкостью доспеха.</t>
  </si>
  <si>
    <t>Доспех +2</t>
  </si>
  <si>
    <t>Доспех +3</t>
  </si>
  <si>
    <t>Вы получаете бонус к броскам атаки и урона, совершённым этим магическим оружием. Размер бонуса определяется редкостью оружия.</t>
  </si>
  <si>
    <t>Оружие +3</t>
  </si>
  <si>
    <t>Жезл хранителя договора +1</t>
  </si>
  <si>
    <t>Держа этот жезл, вы получаете бонус к броскам атаки заклинаниями колдуна и Сл спасбросков от ваших заклинаний колдуна. Размер бонуса определяется редкостью жезла.
Кроме того, вы можете действием восстановить одну ячейку заклинания колдуна, если держите этот жезл. Вы не можете использовать это свойство повторно, пока не окончите продолжительный отдых.</t>
  </si>
  <si>
    <t>Жезл хранителя договора +2</t>
  </si>
  <si>
    <t>Жезл хранителя договора +3</t>
  </si>
  <si>
    <t>Лунный серп +1</t>
  </si>
  <si>
    <t>Этот серп с серебряным лезвием мягко мерцает в лунном свете. Держа это магическое оружие, вы получаете бонус к броскам атаки и урона, совершаемым с его помощью, и получаете бонус к броскам атаки заклинанием и Сл спасбросков против ваших заклинаний друида и следопыта. Бонус определяется редкостью оружия. Кроме того, вы можете использовать серп в качестве заклинательной фокусировки для ваших заклинаний друида и следопыта.
Когда вы накладываете заклинание, восстанавливающее хиты, вы можете бросить к4 и добавить результат броска к количеству восстановленных хитов при условии, что держите серп.</t>
  </si>
  <si>
    <t>Лунный серп +2</t>
  </si>
  <si>
    <t>Лунный серп +3</t>
  </si>
  <si>
    <t>Обмотки безоружного мастерства +1</t>
  </si>
  <si>
    <t>Пока вы носите эти тканевые обмотки, ваши безоружные удары считаются магическими при определении преодоления сопротивления и иммунитета к немагическим атакам и урону, и вы получаете бонус к броскам атаки и урона ваших безоружных ударов. Размер бонуса определяется редкостью обмоток.</t>
  </si>
  <si>
    <t>Обмотки безоружного мастерства +2</t>
  </si>
  <si>
    <t>Обмотки безоружного мастерства +3</t>
  </si>
  <si>
    <t>Универсальный инструмент +1</t>
  </si>
  <si>
    <t>Эта простая отвёртка может трансформироваться в различные инструменты: действием вы можете коснуться её и превратить в любой тип инструментов ремесленника по вашему выбору (список инструментов находится в главе «Снаряжение» в «Книге игрока»). В какие бы инструменты отвёртка ни превращалась, вы имеете владение этим инструментом.
Держа этот инструмент, вы получаете бонус к броскам атаки и Сл спасбросков ваших заклинаний изобретателя. Бонус определяется редкостью инструмента.
Действием вы можете сосредоточиться на инструменте, чтобы пропустить через него свои творческие силы. Выберите заговор, который вы не знаете, из списка заклинаний любого класса. В течение 8 часов вы можете использовать этот заговор, и он является для вас заговором изобретателя. Это свойство не может быть использовано вновь до следующего рассвета.</t>
  </si>
  <si>
    <t>Универсальный инструмент +2</t>
  </si>
  <si>
    <t>Универсальный инструмент +3</t>
  </si>
  <si>
    <t>Оружие драконьего гнева спящее</t>
  </si>
  <si>
    <t>Это оружие декорировано головами драконов, когтями, крыльями, чешуей или буквами Драконьего алфавита. Когда он находится в сокровищнице дракона, он поглощает энергию оружия дыхания и наносит урон данного типа с его особыми свойствами.
Спящий (Необычный). Всякий раз, когда вы выбрасываете «20» на броске атаки совершаемой этим оружием, каждое существо по вашему выбору в пределах 5 футов от цели получает 5 урона того же типа, что и оружие дыхания дракона.</t>
  </si>
  <si>
    <t>Оружие драконьего гнева Пробуждающийся</t>
  </si>
  <si>
    <t>Это оружие декорировано головами драконов, когтями, крыльями, чешуей или буквами Драконьего алфавита. Когда он находится в сокровищнице дракона, он поглощает энергию оружия дыхания и наносит урон данного типа с его особыми свойствами.
Спящий (Необычный). Всякий раз, когда вы выбрасываете «20» на броске атаки совершаемой этим оружием, каждое существо по вашему выбору в пределах 5 футов от цели получает 5 урона того же типа, что и оружие дыхания дракона.
Пробуждающийся (Редкий). Пробуждающееся оружие обладает свойствами Спящего. Кроме того, вы получаете бонус +1 к броскам атаки и урона, совершаемым с помощью этого магического оружия. При попадании, это оружие дополнительно наносит 1к6 урона того же типа, что и оружие дыхания дракона.</t>
  </si>
  <si>
    <t>Оружие драконьего гнева Пробуждённый</t>
  </si>
  <si>
    <t>Это оружие декорировано головами драконов, когтями, крыльями, чешуей или буквами Драконьего алфавита. Когда он находится в сокровищнице дракона, он поглощает энергию оружия дыхания и наносит урон данного типа с его особыми свойствами.
Спящий (Необычный). Всякий раз, когда вы выбрасываете «20» на броске атаки совершаемой этим оружием, каждое существо по вашему выбору в пределах 5 футов от цели получает 5 урона того же типа, что и оружие дыхания дракона.
Пробуждающийся (Редкий). Пробуждающееся оружие обладает свойствами Спящего. Кроме того, вы получаете бонус +1 к броскам атаки и урона, совершаемым с помощью этого магического оружия. При попадании, это оружие дополнительно наносит 1к6 урона того же типа, что и оружие дыхания дракона.
Пробуждённый (Очень редкий). Пробуждённое оружие обладает свойствами Спящего, и оно улучшает свойство Пробуждающегося. Бонус к броскам атаки и урона увеличивается до +2, а дополнительный урон, наносимый оружием, увеличивается до 2к6.
Действием вы можете высвободить 30-футовый конус разрушительной энергии из оружия. Каждое существо в этой области должно совершить спасбросок Ловкости Сл 16, в случая провала получая 8к6 урона того же типа, что и оружие дыхания дракона, или половину этого урона в случае успеха. Это действие нельзя повторно совершать до следующего рассвета.</t>
  </si>
  <si>
    <t>Оружие драконьего гнева Восходящий</t>
  </si>
  <si>
    <t>Это оружие декорировано головами драконов, когтями, крыльями, чешуей или буквами Драконьего алфавита. Когда он находится в сокровищнице дракона, он поглощает энергию оружия дыхания и наносит урон данного типа с его особыми свойствами.
Спящий (Необычный). Всякий раз, когда вы выбрасываете «20» на броске атаки совершаемой этим оружием, каждое существо по вашему выбору в пределах 5 футов от цели получает 5 урона того же типа, что и оружие дыхания дракона.
Пробуждающийся (Редкий). Пробуждающееся оружие обладает свойствами Спящего. Кроме того, вы получаете бонус +1 к броскам атаки и урона, совершаемым с помощью этого магического оружия. При попадании, это оружие дополнительно наносит 1к6 урона того же типа, что и оружие дыхания дракона.
Пробуждённый (Очень редкий). Пробуждённое оружие обладает свойствами Спящего, и оно улучшает свойство Пробуждающегося. Бонус к броскам атаки и урона увеличивается до +2, а дополнительный урон, наносимый оружием, увеличивается до 2к6.
Действием вы можете высвободить 30-футовый конус разрушительной энергии из оружия. Каждое существо в этой области должно совершить спасбросок Ловкости Сл 16, в случая провала получая 8к6 урона того же типа, что и оружие дыхания дракона, или половину этого урона в случае успеха. Это действие нельзя повторно совершать до следующего рассвета.
Восходящий (Легендарный). Восходящее оружие обладает свойствами Спящего, и оно улучшает свойства Пробуждающегося и Пробуждённого. Бонус к броскам атаки и урона увеличивается до +3, а дополнительный урон, наносимый оружием, увеличивается до 3к6.
Конус разрушительной энергии, создаваемый оружием, увеличивается до 60-футового конуса, Сл спасброска увеличивается до 18, а урон увеличивается до 12к6.</t>
  </si>
  <si>
    <t>Пока вы держите этот щит, вы получаете бонус к КД, зависящий от редкости щита. Этот бонус идёт в дополнение к обычному бонусу щита к КД.</t>
  </si>
  <si>
    <t>Щит +2</t>
  </si>
  <si>
    <t>Щит +3</t>
  </si>
  <si>
    <t>Пояс силы холмового великана</t>
  </si>
  <si>
    <t>выполнен</t>
  </si>
  <si>
    <t>Пока вы носите этот пояс, значение вашей Силы увеличивается на 3, с максимумом в 21.</t>
  </si>
  <si>
    <t>Пояс силы каменного великана</t>
  </si>
  <si>
    <t>Пока вы носите этот пояс, значение вашей Силы увеличивается на 4, с максимумом в 23.</t>
  </si>
  <si>
    <t>Пояс силы огненного великана</t>
  </si>
  <si>
    <t>Пока вы носите этот пояс, значение вашей Силы увеличивается на 5, с максимумом в 25.</t>
  </si>
  <si>
    <t>Пояс силы облачного великана</t>
  </si>
  <si>
    <t>Пока вы носите этот пояс, значение вашей Силы увеличивается на 7, с максимумом в 27.</t>
  </si>
  <si>
    <t>Пояс силы громового великана</t>
  </si>
  <si>
    <t>Пока вы носите этот пояс, значение вашей Силы увеличивается на 7, с максимумом в 29.</t>
  </si>
  <si>
    <t>Уровень</t>
  </si>
  <si>
    <t>Школа магии</t>
  </si>
  <si>
    <t>Время накладывания</t>
  </si>
  <si>
    <t>Компоненты</t>
  </si>
  <si>
    <t>Длительность</t>
  </si>
  <si>
    <t>Классы</t>
  </si>
  <si>
    <t>Подклассы</t>
  </si>
  <si>
    <t>На больших уровнях</t>
  </si>
  <si>
    <t>Рассеивание магии</t>
  </si>
  <si>
    <t>PH14+</t>
  </si>
  <si>
    <t>ограждение</t>
  </si>
  <si>
    <t>1 действие</t>
  </si>
  <si>
    <t>В, С</t>
  </si>
  <si>
    <t>бард, волшебник, друид, жрец, изобретатель, колдун, паладин, чародей</t>
  </si>
  <si>
    <t>домен магии (жрец), домен обмана (жрец), клятва преданности (паладин), странник фей (следопыт), заводная душа (чародей), лунное чародейство (чародей)</t>
  </si>
  <si>
    <r>
      <rPr>
        <rFont val="Merriweather"/>
        <color theme="1"/>
        <sz val="9.0"/>
      </rPr>
      <t xml:space="preserve">Вы можете наложить заклинание рассеивания магии, чтобы завершить действие активных заклинаний, наложенных на существо или объект. Рассеянное заклинание заканчивается так, как если бы истекло его время действия. Некоторые заклинания, как подробно описано в их описании, нельзя рассеять заклинанием рассеивания магии.
Выберите целью заклинания один объект, существо или магический эффект в пределах дистанции. Вы совершаете проверку рассеивания (1к20 + ваш уровень заклинателя, максимум +10) против заклинания или против каждого заклинания действующего на этот объект или существо, или магический эффект. Сложность этой проверки рассеивания составляет 11 + уровень заклинателя, наложившего это заклинание. </t>
    </r>
    <r>
      <rPr>
        <rFont val="Merriweather"/>
        <b/>
        <color theme="1"/>
        <sz val="9.0"/>
      </rPr>
      <t>Успех:</t>
    </r>
    <r>
      <rPr>
        <rFont val="Merriweather"/>
        <color theme="1"/>
        <sz val="9.0"/>
      </rPr>
      <t xml:space="preserve"> заклинание рассеивается. </t>
    </r>
    <r>
      <rPr>
        <rFont val="Merriweather"/>
        <b/>
        <color theme="1"/>
        <sz val="9.0"/>
      </rPr>
      <t>Провал:</t>
    </r>
    <r>
      <rPr>
        <rFont val="Merriweather"/>
        <color theme="1"/>
        <sz val="9.0"/>
      </rPr>
      <t xml:space="preserve"> заклинание продолжает действовать как обычно.
</t>
    </r>
    <r>
      <rPr>
        <rFont val="Merriweather"/>
        <b/>
        <color theme="1"/>
        <sz val="9.0"/>
      </rPr>
      <t>Примечание:</t>
    </r>
    <r>
      <rPr>
        <rFont val="Merriweather"/>
        <color theme="1"/>
        <sz val="9.0"/>
      </rPr>
      <t xml:space="preserve"> Эффект заклинания с длительность «Мгновенно» нельзя рассеять, поскольку магический эффект уже был наложен до того, как заклинание рассеивания магии сможет подействовать.</t>
    </r>
  </si>
  <si>
    <t>Великое рассеивание магии</t>
  </si>
  <si>
    <t>бард, волшебник, друид, жрец, колдун, чародей</t>
  </si>
  <si>
    <t>Это заклинание действует также как и Рассеивание магии за исключанием того, что максимальнуй бонус за уровень заклинателя составляет  +20, а не +10</t>
  </si>
  <si>
    <t>Тип транспорта</t>
  </si>
  <si>
    <t>Цена аренды</t>
  </si>
  <si>
    <t>Хиты</t>
  </si>
  <si>
    <t>КД</t>
  </si>
  <si>
    <t>Скорость (сражение)</t>
  </si>
  <si>
    <t>Разгон (футы)</t>
  </si>
  <si>
    <t>Скорость путешествия</t>
  </si>
  <si>
    <t>Граница поломки (к20)</t>
  </si>
  <si>
    <t>Потребление топлива или корма</t>
  </si>
  <si>
    <t>Экипаж</t>
  </si>
  <si>
    <t>Пассажиры</t>
  </si>
  <si>
    <t>Размер</t>
  </si>
  <si>
    <t>Грузоподъемность</t>
  </si>
  <si>
    <t>Боевой конь</t>
  </si>
  <si>
    <t>Скакун</t>
  </si>
  <si>
    <t>Большой</t>
  </si>
  <si>
    <t>540 фнт</t>
  </si>
  <si>
    <t>Болотник</t>
  </si>
  <si>
    <t>70 футов</t>
  </si>
  <si>
    <t>Верблюд</t>
  </si>
  <si>
    <t>50 футов</t>
  </si>
  <si>
    <t>480 фнт</t>
  </si>
  <si>
    <t>Ездовая собака</t>
  </si>
  <si>
    <t>40 футов</t>
  </si>
  <si>
    <t>Средний</t>
  </si>
  <si>
    <t>180 фнт</t>
  </si>
  <si>
    <t>Лошадь, ездовая</t>
  </si>
  <si>
    <t>Лошадь, тягловая</t>
  </si>
  <si>
    <t>Мастиф</t>
  </si>
  <si>
    <t>195 фнт</t>
  </si>
  <si>
    <t>Мул</t>
  </si>
  <si>
    <t>210 фнт</t>
  </si>
  <si>
    <t>Пони</t>
  </si>
  <si>
    <t>225 фнт</t>
  </si>
  <si>
    <t>Слон</t>
  </si>
  <si>
    <t>Огромный</t>
  </si>
  <si>
    <t>1320 фнт</t>
  </si>
  <si>
    <t>Топороклюв</t>
  </si>
  <si>
    <t>420 фнт</t>
  </si>
  <si>
    <t>80 футов</t>
  </si>
  <si>
    <t>Гиганский скорпион</t>
  </si>
  <si>
    <t>450 фнт</t>
  </si>
  <si>
    <t>Гиганский краб</t>
  </si>
  <si>
    <t>390 фнт</t>
  </si>
  <si>
    <t>Лютый волк</t>
  </si>
  <si>
    <t>510 фнт</t>
  </si>
  <si>
    <t>Носорог</t>
  </si>
  <si>
    <t>630 фнт</t>
  </si>
  <si>
    <t>Саблезубый тигр</t>
  </si>
  <si>
    <t>Шлюпка</t>
  </si>
  <si>
    <t>Водный транспорт</t>
  </si>
  <si>
    <t>100 фнт</t>
  </si>
  <si>
    <t>1500 фнт</t>
  </si>
  <si>
    <t>Килевая лодка</t>
  </si>
  <si>
    <t>300 фнт</t>
  </si>
  <si>
    <t>3500 фнт</t>
  </si>
  <si>
    <t>Ладья</t>
  </si>
  <si>
    <t>10 тонн</t>
  </si>
  <si>
    <t>Парусный корабль</t>
  </si>
  <si>
    <t>5000 фнт</t>
  </si>
  <si>
    <t>20 футов</t>
  </si>
  <si>
    <t>30 тонн</t>
  </si>
  <si>
    <t>Военный корабль</t>
  </si>
  <si>
    <t>10000 фнт</t>
  </si>
  <si>
    <t>25 футов</t>
  </si>
  <si>
    <t>18 тонн</t>
  </si>
  <si>
    <t>Галера</t>
  </si>
  <si>
    <t>250 тонн</t>
  </si>
  <si>
    <t>25 тонн</t>
  </si>
  <si>
    <t>Транспортный пароход</t>
  </si>
  <si>
    <t>50000 зм</t>
  </si>
  <si>
    <t>1000 тонн</t>
  </si>
  <si>
    <t>Уголь 40 фнт</t>
  </si>
  <si>
    <t>60 тонн</t>
  </si>
  <si>
    <t>Монитор</t>
  </si>
  <si>
    <t>950 тонн</t>
  </si>
  <si>
    <t>Уголь 50 фнт</t>
  </si>
  <si>
    <t>20 тонн</t>
  </si>
  <si>
    <t>Броненосец</t>
  </si>
  <si>
    <t>500000 зм</t>
  </si>
  <si>
    <t>10000 тонн</t>
  </si>
  <si>
    <t>100 футов</t>
  </si>
  <si>
    <t>Уголь 70 фнт</t>
  </si>
  <si>
    <t>Дредноут</t>
  </si>
  <si>
    <t>1000000 зм</t>
  </si>
  <si>
    <t>20000 тонн</t>
  </si>
  <si>
    <t>150 футов</t>
  </si>
  <si>
    <t>Уголь 90 фнт</t>
  </si>
  <si>
    <t>40 тонн</t>
  </si>
  <si>
    <t>Линкор</t>
  </si>
  <si>
    <t>2500000 зм</t>
  </si>
  <si>
    <t>50000 тонн</t>
  </si>
  <si>
    <t>200 футов</t>
  </si>
  <si>
    <t>Уголь 120 фнт</t>
  </si>
  <si>
    <t>50 тонн</t>
  </si>
  <si>
    <t>Боевой воздушный шар</t>
  </si>
  <si>
    <t>Воздушный транспорт</t>
  </si>
  <si>
    <t>1000 фнт</t>
  </si>
  <si>
    <t>3 тонны</t>
  </si>
  <si>
    <t>Воздушный корабль</t>
  </si>
  <si>
    <t>3000 фнт</t>
  </si>
  <si>
    <t>6 тонн</t>
  </si>
  <si>
    <t>Небесный корабль</t>
  </si>
  <si>
    <t>100000 зм</t>
  </si>
  <si>
    <t>6000 фнт</t>
  </si>
  <si>
    <t>Уголь 35 фнт</t>
  </si>
  <si>
    <t>Транспортный дирижабль</t>
  </si>
  <si>
    <t>250 футов</t>
  </si>
  <si>
    <t>Уголь 45 фнт</t>
  </si>
  <si>
    <t>Воздушный рейдер</t>
  </si>
  <si>
    <t>900000 зм</t>
  </si>
  <si>
    <t>100 тонн</t>
  </si>
  <si>
    <t>400 футов</t>
  </si>
  <si>
    <t>8 тонн</t>
  </si>
  <si>
    <t>Авиакрейсер</t>
  </si>
  <si>
    <t>1500000 зм</t>
  </si>
  <si>
    <t>200 тонн</t>
  </si>
  <si>
    <t>450 футов</t>
  </si>
  <si>
    <t>Жидкий уголь 1 галлон</t>
  </si>
  <si>
    <t>12 тонн</t>
  </si>
  <si>
    <t>Воздушный дредноут</t>
  </si>
  <si>
    <t>4000000 зм</t>
  </si>
  <si>
    <t>300 тонн</t>
  </si>
  <si>
    <t>300 футов</t>
  </si>
  <si>
    <t>Жидкий уголь 2 галлона</t>
  </si>
  <si>
    <t>Воздушный линкор</t>
  </si>
  <si>
    <t>9000000 зм</t>
  </si>
  <si>
    <t>5000 тонн</t>
  </si>
  <si>
    <t>Жидкий уголь 5 галлонов</t>
  </si>
  <si>
    <t>Паровой вертолёт</t>
  </si>
  <si>
    <t>800 футов</t>
  </si>
  <si>
    <t>Жидкий уголь 3 галлона</t>
  </si>
  <si>
    <t>2000 фнт</t>
  </si>
  <si>
    <t>Транспортный вертолёт</t>
  </si>
  <si>
    <t>20000 фнт</t>
  </si>
  <si>
    <t>2400 футов</t>
  </si>
  <si>
    <t>Жидкий уголь 1/2 галлона</t>
  </si>
  <si>
    <t>8000 фнт</t>
  </si>
  <si>
    <t>Военный вертолёт</t>
  </si>
  <si>
    <t>1600 футов</t>
  </si>
  <si>
    <t>Паровой самолёт</t>
  </si>
  <si>
    <t>2500 фнт</t>
  </si>
  <si>
    <t>Военный самолёт</t>
  </si>
  <si>
    <t>1000 футов</t>
  </si>
  <si>
    <t>Транспортный самолёт</t>
  </si>
  <si>
    <t>400000 зм</t>
  </si>
  <si>
    <t>500 футов</t>
  </si>
  <si>
    <t>Педальный велосипед</t>
  </si>
  <si>
    <t>Механический транспорт</t>
  </si>
  <si>
    <t>40/80 футов</t>
  </si>
  <si>
    <t>Паровой велосипед</t>
  </si>
  <si>
    <t>50/100 футов</t>
  </si>
  <si>
    <t>Жидкий уголь 1/32 галлона</t>
  </si>
  <si>
    <t>600 фнт</t>
  </si>
  <si>
    <t>Паровой мотоцикл</t>
  </si>
  <si>
    <t>80/160 футов</t>
  </si>
  <si>
    <t>Уголь 2 фнт</t>
  </si>
  <si>
    <t>Автомобиль «Кипятильник»</t>
  </si>
  <si>
    <t>4000 фнт</t>
  </si>
  <si>
    <t>100/200 футов</t>
  </si>
  <si>
    <t>Жидкий уголь 1/8 галлона</t>
  </si>
  <si>
    <t>1600 фнт</t>
  </si>
  <si>
    <t>Гражданский автомобиль</t>
  </si>
  <si>
    <t>250/500 футов</t>
  </si>
  <si>
    <t>Жидкий уголь 1/16 галлона</t>
  </si>
  <si>
    <t>1800 фнт</t>
  </si>
  <si>
    <t>Тяжёлый гражданский фургон</t>
  </si>
  <si>
    <t>120/240 футов</t>
  </si>
  <si>
    <t>5  тонн</t>
  </si>
  <si>
    <t>Современный автомобиль</t>
  </si>
  <si>
    <t>300/600 футов</t>
  </si>
  <si>
    <t>Военный фургон</t>
  </si>
  <si>
    <t>Городкой автобус</t>
  </si>
  <si>
    <t>Жидкий уголь 1/4 галлона</t>
  </si>
  <si>
    <t>Малый локомотив</t>
  </si>
  <si>
    <t>80 тонн</t>
  </si>
  <si>
    <t>Уголь 80 фнт</t>
  </si>
  <si>
    <t>5/500 тонн</t>
  </si>
  <si>
    <t>Локомотив</t>
  </si>
  <si>
    <t>10/1000 тонн</t>
  </si>
  <si>
    <t>Массивный локомотив</t>
  </si>
  <si>
    <t>120 тонн</t>
  </si>
  <si>
    <t>Уголь 180 фнт</t>
  </si>
  <si>
    <t>20/2000 тонн</t>
  </si>
  <si>
    <t xml:space="preserve">Вагон локомотива пассажирский </t>
  </si>
  <si>
    <t>10 фнт к потреблению локомотива</t>
  </si>
  <si>
    <t>Вагон локомотива грузовой</t>
  </si>
  <si>
    <t>12 фнт к потреблению локомотива</t>
  </si>
  <si>
    <t>Бронеавтомобиль</t>
  </si>
  <si>
    <t>Внедорожный автомобиль</t>
  </si>
  <si>
    <t>7500 зм</t>
  </si>
  <si>
    <t>150/300 футов</t>
  </si>
  <si>
    <t>Самоходная установка</t>
  </si>
  <si>
    <t>При попадании вызывает кровотечение 1d4, которое можно вылечить лишь перевязав его действием. Существо будет получить этот урон в начале своего хода. Кроме этого если атака с использованием такой пули совершает критическое попадание, то цель до конца своего следующего хода может совершить только одну атаку независимо от положеного числа и её скорость падает до 5-ти фт</t>
  </si>
  <si>
    <t>При выстреле таким патроном цель не умирает, а падает без сознания от болевого шока</t>
  </si>
  <si>
    <t>Средний урон оружия</t>
  </si>
  <si>
    <t>Автоматическое</t>
  </si>
  <si>
    <t>Разброс</t>
  </si>
  <si>
    <t>0.5</t>
  </si>
  <si>
    <t>В</t>
  </si>
  <si>
    <t>С</t>
  </si>
  <si>
    <r>
      <rPr>
        <rFont val="Arial"/>
        <color theme="1"/>
      </rPr>
      <t xml:space="preserve">Мушкетный патрон (20) </t>
    </r>
    <r>
      <rPr>
        <rFont val="Arial"/>
        <b/>
        <color theme="1"/>
      </rPr>
      <t>Колющий урон</t>
    </r>
  </si>
  <si>
    <r>
      <rPr>
        <rFont val="Arial"/>
        <color theme="1"/>
      </rPr>
      <t xml:space="preserve">Винтовочный патрон (10) </t>
    </r>
    <r>
      <rPr>
        <rFont val="Arial"/>
        <b/>
        <color theme="1"/>
      </rPr>
      <t>Колющий урон</t>
    </r>
  </si>
  <si>
    <t>Винтовки, карабины, пистолеты</t>
  </si>
  <si>
    <r>
      <rPr>
        <rFont val="Arial"/>
        <color theme="1"/>
      </rPr>
      <t xml:space="preserve">Картечный патрон (20) </t>
    </r>
    <r>
      <rPr>
        <rFont val="Arial"/>
        <b/>
        <color theme="1"/>
      </rPr>
      <t>дробящий урон</t>
    </r>
  </si>
  <si>
    <r>
      <rPr>
        <rFont val="Arial"/>
        <color theme="1"/>
      </rPr>
      <t xml:space="preserve">Пулевой патрон* (10) </t>
    </r>
    <r>
      <rPr>
        <rFont val="Arial"/>
        <b/>
        <color theme="1"/>
      </rPr>
      <t>Колющий урон</t>
    </r>
  </si>
  <si>
    <t>Топливный бай (1)</t>
  </si>
  <si>
    <t>Ракетный выстрел (3)</t>
  </si>
  <si>
    <t>*Пулевой патрон также снимает с оружия свойство разброс.</t>
  </si>
  <si>
    <t>Примитивное огнестрельное оружие</t>
  </si>
  <si>
    <t>Цена ЗМ</t>
  </si>
  <si>
    <t>1d8 колющий</t>
  </si>
  <si>
    <t>боеприпас, (30/90), перезарядка, лёгкое, осечка 3</t>
  </si>
  <si>
    <t>Боеприпас, (20/60), смена магазина 1, легкое, осечка 3</t>
  </si>
  <si>
    <t>1d10 дробящий</t>
  </si>
  <si>
    <t>Боеприпас (10/30), перезарядка, разброс (1d4), осечка 3</t>
  </si>
  <si>
    <t>1d10 колющий</t>
  </si>
  <si>
    <t>Боеприпас (40/120), безмагазинное 1, осечка 1,</t>
  </si>
  <si>
    <t>1d12 колющий</t>
  </si>
  <si>
    <t>Боеприпас (70/200), двуручное, перезарядка, осечка 2</t>
  </si>
  <si>
    <t>6d4 колющий</t>
  </si>
  <si>
    <t>Боеприпас (50/150) Двуручное, громоздкое, долгая смена магазина 1, тяжелое, осечка 4</t>
  </si>
  <si>
    <t>Боеприпас (15/45), долгая смена магазина 1, разброс (1d6), осечка 3</t>
  </si>
  <si>
    <t>Боеприпас (40/160), двуручное, долгая смена магазина 1, осечка 2</t>
  </si>
  <si>
    <t>Боевое дальнебойное оружие</t>
  </si>
  <si>
    <t>Боеприпас (дис. 100/400), Тяжелое, Двуручное, Долгая смена магазина 4</t>
  </si>
  <si>
    <t>Автоматический арбалет</t>
  </si>
  <si>
    <t>19 фнт</t>
  </si>
  <si>
    <t>Боеприпас (дис. 100/400), Тяжелый, Двуручное, Автоматическое (1d10), Долгая смена магазина 4</t>
  </si>
  <si>
    <t>Магазинный ручной арбалет</t>
  </si>
  <si>
    <t>1d6 колющий</t>
  </si>
  <si>
    <t>Боеприпас (дис. 30/120), Легкое, Смена магазина 4</t>
  </si>
  <si>
    <t>Сложность оружейного чертежа = 4 + максимальный урон оружия / 2</t>
  </si>
  <si>
    <t>Продвинутое огнестрельное оружие</t>
  </si>
  <si>
    <t>Боеприпас (40/120), смена магазина 6, легкое</t>
  </si>
  <si>
    <t>2d6 колющий</t>
  </si>
  <si>
    <t>Боеприпас (40/140), смена магазина 8</t>
  </si>
  <si>
    <t>2d6 дробящий</t>
  </si>
  <si>
    <t>Боеприпас (20/40), безмагазиное 4, разброс (1d6)</t>
  </si>
  <si>
    <t>2d10 колющий</t>
  </si>
  <si>
    <t>Боеприпас (90/300), двуручное, смена магазина 6</t>
  </si>
  <si>
    <t>2d12 колющий</t>
  </si>
  <si>
    <t>Боеприпас (40/160), двуручное, смена магазина 4</t>
  </si>
  <si>
    <t>2d8 колющий</t>
  </si>
  <si>
    <t>Боеприпас (30/60), двуручное, разброс (1d6), безмагазинное 6</t>
  </si>
  <si>
    <t>3d8 колющий</t>
  </si>
  <si>
    <t>Боеприпас (200/1000), двуручное, долгая перезарядка 4, тяжелое, громоздкое</t>
  </si>
  <si>
    <t>Особое огнестрельное оружие</t>
  </si>
  <si>
    <t>Боеприпас (дис. 40/120), Легкое, Смена магазина 18, Автоматическое (6d4)</t>
  </si>
  <si>
    <t>Полуавтоматический пистолет</t>
  </si>
  <si>
    <t>Боеприпас (дис. 30/90), Легкое, Смена магазина 15, Полуавтоматическое (3d8)</t>
  </si>
  <si>
    <t>Боеприпас (дис. 50/180), Легкое, Безмагазинное 6</t>
  </si>
  <si>
    <t>Боеприпас (дис. 60/200), Тяжелое, Безмагазинное 6</t>
  </si>
  <si>
    <t>Боеприпас (дис. 90/300), Двуручное, Смена магазина 24, Автоматическое (6d6)</t>
  </si>
  <si>
    <t>Боеприпас (дис. 90/300), Двуручное, Смена магазина 18, Полуавтоматическое (3d12)</t>
  </si>
  <si>
    <t>3d6 огнём</t>
  </si>
  <si>
    <t>Боеприпас (Топливный бак(особое )), Тяжелое, Двуручное, Долгая перезарядка 6, перегрев 3, Громоздкое</t>
  </si>
  <si>
    <t>Боеприпас (дис. 90/300), Двуручное, Разброс (1d8), Безмагазинное 2, Особое</t>
  </si>
  <si>
    <t>2d12 дробящий</t>
  </si>
  <si>
    <t>Боеприпас (дис. 60/200), Двуручное, Перезарядка, Громоздкое, Особое</t>
  </si>
  <si>
    <t>2d8 электричеством</t>
  </si>
  <si>
    <t>Боеприпас (дис. 40/120), Полуавтоматическое (4d6), Долгая перезарядка 10, Двуручное</t>
  </si>
  <si>
    <t>3d12 колющий</t>
  </si>
  <si>
    <t>Боеприпас (дис. 300/1,800), Двуручное, Долгая перезарядка 4, Затворное, Тяжелое, Громоздкое</t>
  </si>
  <si>
    <t>Боеприпас (дис. 90/300), Двуручное, Смена магазина 6, Короткий меч (1к6 колющий), Особое</t>
  </si>
  <si>
    <t>16 фнт</t>
  </si>
  <si>
    <t>Боеприпас (дис. 70/230), Двуручное, Долгая перезарядка 3, Копье (1к12 колющий), Особое</t>
  </si>
  <si>
    <t>Боеприпас (дис. 70/210), Двуручное, Безмагазинное 7, Громоздкое, Особое</t>
  </si>
  <si>
    <t>Боеприпас (дис, 50/200), Двуручное, Тяжелое,  Долгая перезарядка(100), пулемёт, Автоматическое(7d8)</t>
  </si>
  <si>
    <t>2d8 огнём</t>
  </si>
  <si>
    <t>2000 ЗМ</t>
  </si>
  <si>
    <t>90 фнт</t>
  </si>
  <si>
    <t>Боеприпас (200/800), двуручное, длительная перезарядка 1, взрывное, громоздкий, осечка 5</t>
  </si>
  <si>
    <t>Современное огнестрельное оружие // Неактивно</t>
  </si>
  <si>
    <t>Пистолет пулемёт</t>
  </si>
  <si>
    <t>3d4 колющий</t>
  </si>
  <si>
    <t>7500 ЗМ</t>
  </si>
  <si>
    <t>Боеприпас (30/120), перезарядка 60, Автоматическое (12d4),  пистолет-пулемёт, неточное</t>
  </si>
  <si>
    <t>Свойство - вы можете принять штраф на атаку и совершить её, отняв бонус мастерства и получить количество дополнительных костей урона оружия  равное вашему БМ. Эта атака использует в три раза больше боеприпасов (20)</t>
  </si>
  <si>
    <t>РПУ</t>
  </si>
  <si>
    <t>5d8 огнём</t>
  </si>
  <si>
    <t>15000 ЗМ</t>
  </si>
  <si>
    <t>60 фнт</t>
  </si>
  <si>
    <t>Боеприпас (400/1200), двуручное, длительная перезарядка 1, взрывное, громоздкий</t>
  </si>
  <si>
    <t>Затворный гранатомёт</t>
  </si>
  <si>
    <t>1d12 огнём</t>
  </si>
  <si>
    <t>Боеприпас (60/180), двуручное, перезарядка 6, затворное, взрывное</t>
  </si>
  <si>
    <t>1d10 огнём</t>
  </si>
  <si>
    <t>4000 ЗМ</t>
  </si>
  <si>
    <t>Боеприпас (90/210), двуручное, перезарядка 6, взрывное</t>
  </si>
  <si>
    <t>Штурмовая винтовка</t>
  </si>
  <si>
    <t>10000 ЗМ</t>
  </si>
  <si>
    <t>Боеприпас (300/600), двуручное Смена магазина 30, автоматическое (8d6), нержавеющее</t>
  </si>
  <si>
    <t>Крупнокалиберная винтовка</t>
  </si>
  <si>
    <t>25000 ЗМ</t>
  </si>
  <si>
    <t>Боеприпас (300/3000), двуручное, Долгая смена магазина 5, громоздкое, тяжёлое</t>
  </si>
  <si>
    <t>Тяжелый пулемет</t>
  </si>
  <si>
    <t>40000 ЗМ</t>
  </si>
  <si>
    <t>Боеприпас (50/200), Двуручное, Тяжелое, Долгая перезарядка(150), пулемёт, Автоматическое (10d10)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</si>
</sst>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 m"/>
    <numFmt numFmtId="165" formatCode="d-m-yyyy"/>
    <numFmt numFmtId="166" formatCode="[$р.-419]#,##0.00"/>
    <numFmt numFmtId="167" formatCode="d.m"/>
  </numFmts>
  <fonts count="73">
    <font>
      <sz val="10.0"/>
      <color rgb="FF000000"/>
      <name val="Arial"/>
      <scheme val="minor"/>
    </font>
    <font>
      <b/>
      <sz val="20.0"/>
      <color theme="1"/>
      <name val="Alegreya SC"/>
    </font>
    <font/>
    <font>
      <color theme="1"/>
      <name val="Arial"/>
      <scheme val="minor"/>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b/>
      <sz val="18.0"/>
      <color theme="1"/>
      <name val="Times New Roman"/>
    </font>
    <font>
      <color theme="1"/>
      <name val="Times New Roman"/>
    </font>
    <font>
      <b/>
      <sz val="14.0"/>
      <color theme="1"/>
      <name val="Times New Roman"/>
    </font>
    <font>
      <b/>
      <sz val="11.0"/>
      <color theme="1"/>
      <name val="Times New Roman"/>
    </font>
    <font>
      <sz val="11.0"/>
      <color theme="1"/>
      <name val="Times New Roman"/>
    </font>
    <font>
      <sz val="11.0"/>
      <color theme="1"/>
      <name val="Arial"/>
      <scheme val="minor"/>
    </font>
    <font>
      <b/>
      <sz val="11.0"/>
      <color theme="1"/>
      <name val="Arial"/>
      <scheme val="minor"/>
    </font>
    <font>
      <b/>
      <color theme="1"/>
      <name val="Arial"/>
      <scheme val="minor"/>
    </font>
    <font>
      <b/>
      <sz val="11.0"/>
      <color rgb="FF000000"/>
      <name val="&quot;Times New Roman&quot;"/>
    </font>
    <font>
      <b/>
      <sz val="13.0"/>
      <color theme="1"/>
      <name val="Open Sans"/>
    </font>
    <font>
      <color theme="1"/>
      <name val="Open Sans"/>
    </font>
    <font>
      <u/>
      <color rgb="FF0000FF"/>
      <name val="Open Sans"/>
    </font>
    <font>
      <sz val="10.0"/>
      <color theme="1"/>
      <name val="Open Sans"/>
    </font>
    <font>
      <u/>
      <color rgb="FF0000FF"/>
      <name val="Open Sans"/>
    </font>
    <font>
      <u/>
      <color rgb="FF0000FF"/>
      <name val="Open Sans"/>
    </font>
    <font>
      <color rgb="FF000000"/>
      <name val="Open Sans"/>
    </font>
    <font>
      <b/>
      <sz val="15.0"/>
      <color theme="1"/>
      <name val="Open Sans"/>
    </font>
    <font>
      <u/>
      <color rgb="FF0000FF"/>
      <name val="Open Sans"/>
    </font>
    <font>
      <u/>
      <color rgb="FF0000FF"/>
      <name val="Open Sans"/>
    </font>
    <font>
      <b/>
      <sz val="10.0"/>
      <color theme="1"/>
      <name val="Open Sans"/>
    </font>
    <font>
      <b/>
      <sz val="12.0"/>
      <color theme="1"/>
      <name val="Open Sans"/>
    </font>
    <font>
      <b/>
      <sz val="12.0"/>
      <color theme="1"/>
      <name val="Alegreya SC"/>
    </font>
    <font>
      <b/>
      <sz val="14.0"/>
      <color theme="1"/>
      <name val="Arial"/>
      <scheme val="minor"/>
    </font>
    <font>
      <b/>
      <sz val="11.0"/>
      <color theme="1"/>
      <name val="Open Sans"/>
    </font>
    <font>
      <b/>
      <sz val="11.0"/>
      <color rgb="FF000000"/>
      <name val="Open Sans"/>
    </font>
    <font>
      <b/>
      <sz val="10.0"/>
      <color rgb="FF000000"/>
      <name val="Open Sans"/>
    </font>
    <font>
      <b/>
      <sz val="14.0"/>
      <color theme="1"/>
      <name val="Alegreya SC"/>
    </font>
    <font>
      <b/>
      <sz val="14.0"/>
      <color rgb="FF000000"/>
      <name val="Alegreya SC"/>
    </font>
    <font>
      <sz val="10.0"/>
      <color rgb="FF000000"/>
      <name val="Open Sans"/>
    </font>
    <font>
      <b/>
      <sz val="17.0"/>
      <color theme="1"/>
      <name val="Open Sans"/>
    </font>
    <font>
      <b/>
      <sz val="13.0"/>
      <color rgb="FF000000"/>
      <name val="Open Sans"/>
    </font>
    <font>
      <sz val="10.0"/>
      <color rgb="FF141414"/>
      <name val="Open Sans"/>
    </font>
    <font>
      <b/>
      <sz val="13.0"/>
      <color theme="1"/>
      <name val="Arial"/>
      <scheme val="minor"/>
    </font>
    <font>
      <b/>
      <sz val="11.0"/>
      <color theme="1"/>
      <name val="Arial"/>
    </font>
    <font>
      <b/>
      <color theme="1"/>
      <name val="Arial"/>
    </font>
    <font>
      <b/>
      <sz val="14.0"/>
      <color theme="1"/>
      <name val="Open Sans"/>
    </font>
    <font>
      <color theme="1"/>
      <name val="Arial"/>
    </font>
    <font>
      <b/>
      <sz val="16.0"/>
      <color rgb="FF000000"/>
      <name val="Alegreya SC"/>
    </font>
    <font>
      <b/>
      <sz val="16.0"/>
      <color theme="1"/>
      <name val="Alegreya SC"/>
    </font>
    <font>
      <sz val="16.0"/>
      <color theme="1"/>
      <name val="Alegreya SC"/>
    </font>
    <font>
      <sz val="9.0"/>
      <color rgb="FF000000"/>
      <name val="Open Sans"/>
    </font>
    <font>
      <sz val="9.0"/>
      <color theme="1"/>
      <name val="Open Sans"/>
    </font>
    <font>
      <sz val="9.0"/>
      <color theme="1"/>
      <name val="Merriweather"/>
    </font>
    <font>
      <u/>
      <sz val="9.0"/>
      <color rgb="FF0000FF"/>
      <name val="Open Sans"/>
    </font>
    <font>
      <u/>
      <sz val="9.0"/>
      <color rgb="FF0000FF"/>
      <name val="Open Sans"/>
    </font>
    <font>
      <sz val="9.0"/>
      <color rgb="FF000000"/>
      <name val="Merriweather"/>
    </font>
    <font>
      <b/>
      <sz val="12.0"/>
      <color rgb="FF000000"/>
      <name val="Alegreya SC"/>
    </font>
    <font>
      <u/>
      <sz val="10.0"/>
      <color rgb="FF0000FF"/>
      <name val="Open Sans"/>
    </font>
    <font>
      <u/>
      <sz val="10.0"/>
      <color rgb="FF0000FF"/>
      <name val="Open Sans"/>
    </font>
    <font>
      <u/>
      <sz val="10.0"/>
      <color rgb="FF0000FF"/>
      <name val="Open Sans"/>
    </font>
    <font>
      <u/>
      <sz val="10.0"/>
      <color rgb="FF0000FF"/>
      <name val="Open Sans"/>
    </font>
    <font>
      <u/>
      <sz val="10.0"/>
      <color rgb="FF0000FF"/>
      <name val="Open Sans"/>
    </font>
    <font>
      <sz val="10.0"/>
      <color rgb="FF000000"/>
      <name val="'Open Sans'"/>
    </font>
    <font>
      <u/>
      <sz val="10.0"/>
      <color rgb="FF0000FF"/>
      <name val="Open Sans"/>
    </font>
    <font>
      <u/>
      <sz val="10.0"/>
      <color rgb="FF0000FF"/>
      <name val="Open Sans"/>
    </font>
    <font>
      <b/>
      <sz val="9.0"/>
      <color theme="1"/>
      <name val="Open Sans"/>
    </font>
    <font>
      <b/>
      <sz val="15.0"/>
      <color rgb="FF000000"/>
      <name val="Open Sans"/>
    </font>
    <font>
      <b/>
      <sz val="12.0"/>
      <color theme="1"/>
      <name val="Arial"/>
      <scheme val="minor"/>
    </font>
    <font>
      <b/>
      <sz val="11.0"/>
      <color rgb="FF000000"/>
      <name val="Roboto"/>
    </font>
  </fonts>
  <fills count="28">
    <fill>
      <patternFill patternType="none"/>
    </fill>
    <fill>
      <patternFill patternType="lightGray"/>
    </fill>
    <fill>
      <patternFill patternType="solid">
        <fgColor rgb="FF93C47D"/>
        <bgColor rgb="FF93C47D"/>
      </patternFill>
    </fill>
    <fill>
      <patternFill patternType="solid">
        <fgColor rgb="FFD9EAD3"/>
        <bgColor rgb="FFD9EAD3"/>
      </patternFill>
    </fill>
    <fill>
      <patternFill patternType="solid">
        <fgColor rgb="FFD9D9D9"/>
        <bgColor rgb="FFD9D9D9"/>
      </patternFill>
    </fill>
    <fill>
      <patternFill patternType="solid">
        <fgColor rgb="FFFCE5CD"/>
        <bgColor rgb="FFFCE5CD"/>
      </patternFill>
    </fill>
    <fill>
      <patternFill patternType="solid">
        <fgColor rgb="FFB7B7B7"/>
        <bgColor rgb="FFB7B7B7"/>
      </patternFill>
    </fill>
    <fill>
      <patternFill patternType="solid">
        <fgColor rgb="FFD0E0E3"/>
        <bgColor rgb="FFD0E0E3"/>
      </patternFill>
    </fill>
    <fill>
      <patternFill patternType="solid">
        <fgColor rgb="FFFFF2CC"/>
        <bgColor rgb="FFFFF2CC"/>
      </patternFill>
    </fill>
    <fill>
      <patternFill patternType="solid">
        <fgColor rgb="FFD9D2E9"/>
        <bgColor rgb="FFD9D2E9"/>
      </patternFill>
    </fill>
    <fill>
      <patternFill patternType="solid">
        <fgColor theme="9"/>
        <bgColor theme="9"/>
      </patternFill>
    </fill>
    <fill>
      <patternFill patternType="solid">
        <fgColor theme="8"/>
        <bgColor theme="8"/>
      </patternFill>
    </fill>
    <fill>
      <patternFill patternType="solid">
        <fgColor rgb="FFC9DAF8"/>
        <bgColor rgb="FFC9DAF8"/>
      </patternFill>
    </fill>
    <fill>
      <patternFill patternType="solid">
        <fgColor rgb="FFF4CCCC"/>
        <bgColor rgb="FFF4CCCC"/>
      </patternFill>
    </fill>
    <fill>
      <patternFill patternType="solid">
        <fgColor rgb="FFEAD1DC"/>
        <bgColor rgb="FFEAD1DC"/>
      </patternFill>
    </fill>
    <fill>
      <patternFill patternType="solid">
        <fgColor rgb="FFFFFFFF"/>
        <bgColor rgb="FFFFFFFF"/>
      </patternFill>
    </fill>
    <fill>
      <patternFill patternType="solid">
        <fgColor theme="5"/>
        <bgColor theme="5"/>
      </patternFill>
    </fill>
    <fill>
      <patternFill patternType="solid">
        <fgColor rgb="FFCFE2F3"/>
        <bgColor rgb="FFCFE2F3"/>
      </patternFill>
    </fill>
    <fill>
      <patternFill patternType="solid">
        <fgColor rgb="FFE6B8AF"/>
        <bgColor rgb="FFE6B8AF"/>
      </patternFill>
    </fill>
    <fill>
      <patternFill patternType="solid">
        <fgColor rgb="FFF1C232"/>
        <bgColor rgb="FFF1C232"/>
      </patternFill>
    </fill>
    <fill>
      <patternFill patternType="solid">
        <fgColor rgb="FFBF9000"/>
        <bgColor rgb="FFBF9000"/>
      </patternFill>
    </fill>
    <fill>
      <patternFill patternType="solid">
        <fgColor rgb="FFFFD966"/>
        <bgColor rgb="FFFFD966"/>
      </patternFill>
    </fill>
    <fill>
      <patternFill patternType="solid">
        <fgColor theme="6"/>
        <bgColor theme="6"/>
      </patternFill>
    </fill>
    <fill>
      <patternFill patternType="solid">
        <fgColor rgb="FFFBBC04"/>
        <bgColor rgb="FFFBBC04"/>
      </patternFill>
    </fill>
    <fill>
      <patternFill patternType="solid">
        <fgColor theme="7"/>
        <bgColor theme="7"/>
      </patternFill>
    </fill>
    <fill>
      <patternFill patternType="solid">
        <fgColor rgb="FFFF9900"/>
        <bgColor rgb="FFFF9900"/>
      </patternFill>
    </fill>
    <fill>
      <patternFill patternType="solid">
        <fgColor theme="0"/>
        <bgColor theme="0"/>
      </patternFill>
    </fill>
    <fill>
      <patternFill patternType="solid">
        <fgColor rgb="FFB6D7A8"/>
        <bgColor rgb="FFB6D7A8"/>
      </patternFill>
    </fill>
  </fills>
  <borders count="108">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top style="thin">
        <color rgb="FF000000"/>
      </top>
      <bottom style="thin">
        <color rgb="FF000000"/>
      </bottom>
    </border>
    <border>
      <top style="thin">
        <color rgb="FF000000"/>
      </top>
    </border>
    <border>
      <left style="thin">
        <color rgb="FF000000"/>
      </left>
      <right style="thin">
        <color rgb="FF000000"/>
      </right>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bottom style="thin">
        <color rgb="FF000000"/>
      </bottom>
    </border>
    <border>
      <right style="thin">
        <color rgb="FF000000"/>
      </right>
    </border>
    <border>
      <left style="thin">
        <color rgb="FF000000"/>
      </left>
    </border>
    <border>
      <right style="thick">
        <color rgb="FF000000"/>
      </right>
      <top style="thin">
        <color rgb="FF000000"/>
      </top>
    </border>
    <border>
      <left style="thin">
        <color rgb="FF000000"/>
      </left>
      <right style="thin">
        <color rgb="FFF1C232"/>
      </right>
      <bottom style="double">
        <color rgb="FF000000"/>
      </bottom>
    </border>
    <border>
      <left style="thin">
        <color rgb="FFF1C232"/>
      </left>
      <right style="thin">
        <color rgb="FFF1C232"/>
      </right>
      <bottom style="double">
        <color rgb="FF000000"/>
      </bottom>
    </border>
    <border>
      <left style="thin">
        <color rgb="FFF1C232"/>
      </left>
      <right style="thin">
        <color rgb="FFF1C232"/>
      </right>
      <top style="double">
        <color rgb="FF000000"/>
      </top>
      <bottom style="double">
        <color rgb="FF000000"/>
      </bottom>
    </border>
    <border>
      <left style="thin">
        <color rgb="FFF1C232"/>
      </left>
      <right style="thin">
        <color rgb="FFF1C232"/>
      </right>
    </border>
    <border>
      <left style="thin">
        <color rgb="FFF1C232"/>
      </left>
    </border>
    <border>
      <bottom style="thin">
        <color rgb="FF000000"/>
      </bottom>
    </border>
    <border>
      <right style="thick">
        <color rgb="FF000000"/>
      </right>
      <bottom style="thin">
        <color rgb="FF000000"/>
      </bottom>
    </border>
    <border>
      <right style="thick">
        <color rgb="FF000000"/>
      </right>
      <top style="thin">
        <color rgb="FF000000"/>
      </top>
      <bottom style="thin">
        <color rgb="FF000000"/>
      </bottom>
    </border>
    <border>
      <left style="thin">
        <color rgb="FF000000"/>
      </left>
      <right style="thin">
        <color rgb="FFF1C232"/>
      </right>
      <top style="double">
        <color rgb="FF000000"/>
      </top>
      <bottom style="double">
        <color rgb="FF000000"/>
      </bottom>
    </border>
    <border>
      <left style="thin">
        <color rgb="FF000000"/>
      </left>
      <top style="double">
        <color rgb="FF000000"/>
      </top>
      <bottom style="double">
        <color rgb="FF000000"/>
      </bottom>
    </border>
    <border>
      <right style="thin">
        <color rgb="FF93C47D"/>
      </right>
      <top style="double">
        <color rgb="FF000000"/>
      </top>
      <bottom style="double">
        <color rgb="FF000000"/>
      </bottom>
    </border>
    <border>
      <left style="thin">
        <color rgb="FF93C47D"/>
      </left>
      <right style="thin">
        <color rgb="FF93C47D"/>
      </right>
      <top style="double">
        <color rgb="FF000000"/>
      </top>
      <bottom style="double">
        <color rgb="FF000000"/>
      </bottom>
    </border>
    <border>
      <left style="thin">
        <color rgb="FF93C47D"/>
      </left>
      <right style="thick">
        <color rgb="FF000000"/>
      </right>
      <top style="double">
        <color rgb="FF000000"/>
      </top>
      <bottom style="double">
        <color rgb="FF000000"/>
      </bottom>
    </border>
    <border>
      <left style="thin">
        <color rgb="FF000000"/>
      </left>
      <right style="thin">
        <color rgb="FF93C47D"/>
      </right>
      <top style="double">
        <color rgb="FF000000"/>
      </top>
      <bottom style="double">
        <color rgb="FF000000"/>
      </bottom>
    </border>
    <border>
      <right style="thick">
        <color rgb="FF000000"/>
      </right>
    </border>
    <border>
      <left style="thick">
        <color rgb="FF000000"/>
      </left>
      <right style="thin">
        <color rgb="FF000000"/>
      </right>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top style="double">
        <color rgb="FF000000"/>
      </top>
      <bottom style="thin">
        <color rgb="FF000000"/>
      </bottom>
    </border>
    <border>
      <top style="double">
        <color rgb="FF000000"/>
      </top>
      <bottom style="thin">
        <color rgb="FF000000"/>
      </bottom>
    </border>
    <border>
      <right style="thick">
        <color rgb="FF000000"/>
      </right>
      <top style="double">
        <color rgb="FF000000"/>
      </top>
      <bottom style="thin">
        <color rgb="FF000000"/>
      </bottom>
    </border>
    <border>
      <left style="thick">
        <color rgb="FF000000"/>
      </left>
      <right style="thin">
        <color rgb="FF000000"/>
      </right>
      <top style="thin">
        <color rgb="FF000000"/>
      </top>
      <bottom style="thin">
        <color rgb="FF000000"/>
      </bottom>
    </border>
    <border>
      <left style="thick">
        <color rgb="FF000000"/>
      </left>
      <right style="thin">
        <color rgb="FF000000"/>
      </right>
      <top style="thin">
        <color rgb="FF000000"/>
      </top>
    </border>
    <border>
      <left style="thick">
        <color rgb="FF000000"/>
      </left>
      <right style="thin">
        <color rgb="FFF1C232"/>
      </right>
      <top style="double">
        <color rgb="FF000000"/>
      </top>
      <bottom style="double">
        <color rgb="FF000000"/>
      </bottom>
    </border>
    <border>
      <right style="thin">
        <color rgb="FFF1C232"/>
      </right>
      <top style="double">
        <color rgb="FF000000"/>
      </top>
      <bottom style="double">
        <color rgb="FF000000"/>
      </bottom>
    </border>
    <border>
      <left style="thick">
        <color rgb="FF000000"/>
      </left>
      <top style="double">
        <color rgb="FF000000"/>
      </top>
      <bottom style="thin">
        <color rgb="FF000000"/>
      </bottom>
    </border>
    <border>
      <top style="double">
        <color rgb="FF000000"/>
      </top>
    </border>
    <border>
      <right style="thick">
        <color rgb="FF000000"/>
      </right>
      <top style="double">
        <color rgb="FF000000"/>
      </top>
    </border>
    <border>
      <left style="thick">
        <color rgb="FF000000"/>
      </left>
      <top style="thin">
        <color rgb="FF000000"/>
      </top>
      <bottom style="double">
        <color rgb="FF000000"/>
      </bottom>
    </border>
    <border>
      <bottom style="double">
        <color rgb="FF000000"/>
      </bottom>
    </border>
    <border>
      <right style="thick">
        <color rgb="FF000000"/>
      </right>
      <bottom style="double">
        <color rgb="FF000000"/>
      </bottom>
    </border>
    <border>
      <left style="thick">
        <color rgb="FF000000"/>
      </left>
      <right style="thin">
        <color rgb="FF000000"/>
      </right>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ck">
        <color rgb="FF000000"/>
      </left>
      <bottom style="double">
        <color rgb="FF000000"/>
      </bottom>
    </border>
    <border>
      <top style="double">
        <color rgb="FF000000"/>
      </top>
      <bottom style="double">
        <color rgb="FF000000"/>
      </bottom>
    </border>
    <border>
      <right style="thick">
        <color rgb="FF000000"/>
      </right>
      <top style="double">
        <color rgb="FF000000"/>
      </top>
      <bottom style="double">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right style="thin">
        <color rgb="FF000000"/>
      </right>
      <top style="double">
        <color rgb="FF000000"/>
      </top>
      <bottom style="double">
        <color rgb="FF000000"/>
      </bottom>
    </border>
    <border>
      <left style="medium">
        <color rgb="FF000000"/>
      </left>
      <bottom style="double">
        <color rgb="FF000000"/>
      </bottom>
    </border>
    <border>
      <right style="medium">
        <color rgb="FF000000"/>
      </right>
      <bottom style="double">
        <color rgb="FF000000"/>
      </bottom>
    </border>
    <border>
      <left style="medium">
        <color rgb="FF000000"/>
      </left>
      <top style="double">
        <color rgb="FF000000"/>
      </top>
      <bottom style="double">
        <color rgb="FF000000"/>
      </bottom>
    </border>
    <border>
      <right style="medium">
        <color rgb="FF000000"/>
      </right>
      <top style="double">
        <color rgb="FF000000"/>
      </top>
      <bottom style="double">
        <color rgb="FF000000"/>
      </bottom>
    </border>
    <border>
      <right style="thin">
        <color rgb="FF000000"/>
      </right>
      <top style="thick">
        <color rgb="FF000000"/>
      </top>
    </border>
    <border>
      <left style="double">
        <color rgb="FF000000"/>
      </left>
    </border>
    <border>
      <left style="thick">
        <color rgb="FF000000"/>
      </left>
      <right style="thin">
        <color rgb="FF000000"/>
      </right>
      <bottom style="thick">
        <color rgb="FF000000"/>
      </bottom>
    </border>
    <border>
      <right style="thin">
        <color rgb="FF000000"/>
      </right>
      <bottom style="thick">
        <color rgb="FF000000"/>
      </bottom>
    </border>
    <border>
      <left style="medium">
        <color rgb="FF000000"/>
      </left>
      <right style="medium">
        <color rgb="FF000000"/>
      </right>
      <top style="medium">
        <color rgb="FF000000"/>
      </top>
    </border>
    <border>
      <left style="medium">
        <color rgb="FF000000"/>
      </left>
      <right style="medium">
        <color rgb="FF000000"/>
      </right>
      <bottom style="thin">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68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2" fontId="3" numFmtId="0" xfId="0" applyAlignment="1" applyBorder="1" applyFont="1">
      <alignment horizontal="center" readingOrder="0" shrinkToFit="0" wrapText="1"/>
    </xf>
    <xf borderId="5" fillId="0" fontId="2" numFmtId="0" xfId="0" applyBorder="1" applyFont="1"/>
    <xf borderId="6" fillId="0" fontId="2" numFmtId="0" xfId="0" applyBorder="1" applyFont="1"/>
    <xf borderId="7" fillId="3" fontId="3" numFmtId="0" xfId="0" applyAlignment="1" applyBorder="1" applyFill="1" applyFont="1">
      <alignment horizontal="right" readingOrder="0" vertical="center"/>
    </xf>
    <xf borderId="8" fillId="3" fontId="3" numFmtId="0" xfId="0" applyAlignment="1" applyBorder="1" applyFont="1">
      <alignment horizontal="center" readingOrder="0" shrinkToFit="0" vertical="center" wrapText="1"/>
    </xf>
    <xf borderId="9" fillId="0" fontId="2" numFmtId="0" xfId="0" applyBorder="1" applyFont="1"/>
    <xf borderId="10" fillId="3" fontId="4" numFmtId="0" xfId="0" applyAlignment="1" applyBorder="1" applyFont="1">
      <alignment horizontal="center" readingOrder="0" shrinkToFit="0" vertical="center" wrapText="1"/>
    </xf>
    <xf borderId="11" fillId="3" fontId="5" numFmtId="0" xfId="0" applyAlignment="1" applyBorder="1" applyFont="1">
      <alignment horizontal="center" readingOrder="0" shrinkToFit="0" vertical="center" wrapText="1"/>
    </xf>
    <xf borderId="12" fillId="3" fontId="3" numFmtId="0" xfId="0" applyAlignment="1" applyBorder="1" applyFont="1">
      <alignment horizontal="right" readingOrder="0" vertical="center"/>
    </xf>
    <xf borderId="13" fillId="3" fontId="3" numFmtId="0" xfId="0" applyAlignment="1" applyBorder="1" applyFont="1">
      <alignment horizontal="center" readingOrder="0" shrinkToFit="0" vertical="center" wrapText="1"/>
    </xf>
    <xf borderId="14" fillId="0" fontId="2" numFmtId="0" xfId="0" applyBorder="1" applyFont="1"/>
    <xf borderId="15" fillId="3" fontId="6" numFmtId="0" xfId="0" applyAlignment="1" applyBorder="1" applyFont="1">
      <alignment horizontal="center" readingOrder="0" shrinkToFit="0" vertical="center" wrapText="1"/>
    </xf>
    <xf borderId="16" fillId="3" fontId="7" numFmtId="0" xfId="0" applyAlignment="1" applyBorder="1" applyFont="1">
      <alignment horizontal="center" readingOrder="0" shrinkToFit="0" vertical="center" wrapText="1"/>
    </xf>
    <xf borderId="16" fillId="3" fontId="3" numFmtId="0" xfId="0" applyAlignment="1" applyBorder="1" applyFont="1">
      <alignment horizontal="center" readingOrder="0" shrinkToFit="0" vertical="center" wrapText="1"/>
    </xf>
    <xf borderId="17" fillId="3" fontId="3" numFmtId="0" xfId="0" applyAlignment="1" applyBorder="1" applyFont="1">
      <alignment horizontal="right" readingOrder="0" vertical="center"/>
    </xf>
    <xf borderId="18" fillId="3" fontId="3" numFmtId="0" xfId="0" applyAlignment="1" applyBorder="1" applyFont="1">
      <alignment horizontal="center" readingOrder="0" shrinkToFit="0" vertical="center" wrapText="1"/>
    </xf>
    <xf borderId="19" fillId="0" fontId="2" numFmtId="0" xfId="0" applyBorder="1" applyFont="1"/>
    <xf borderId="20" fillId="3" fontId="8" numFmtId="0" xfId="0" applyAlignment="1" applyBorder="1" applyFont="1">
      <alignment horizontal="center" readingOrder="0" shrinkToFit="0" vertical="center" wrapText="1"/>
    </xf>
    <xf borderId="21" fillId="3" fontId="9" numFmtId="0" xfId="0" applyAlignment="1" applyBorder="1" applyFont="1">
      <alignment horizontal="center" readingOrder="0" shrinkToFit="0" vertical="center" wrapText="1"/>
    </xf>
    <xf borderId="15" fillId="3" fontId="10" numFmtId="0" xfId="0" applyAlignment="1" applyBorder="1" applyFont="1">
      <alignment horizontal="center" readingOrder="0" vertical="center"/>
    </xf>
    <xf borderId="16" fillId="3" fontId="3" numFmtId="0" xfId="0" applyAlignment="1" applyBorder="1" applyFont="1">
      <alignment horizontal="center" readingOrder="0" vertical="center"/>
    </xf>
    <xf borderId="12" fillId="3" fontId="3" numFmtId="0" xfId="0" applyAlignment="1" applyBorder="1" applyFont="1">
      <alignment horizontal="right" readingOrder="0" shrinkToFit="0" vertical="center" wrapText="1"/>
    </xf>
    <xf borderId="22" fillId="3" fontId="3" numFmtId="0" xfId="0" applyAlignment="1" applyBorder="1" applyFont="1">
      <alignment horizontal="right" readingOrder="0" shrinkToFit="0" vertical="center" wrapText="1"/>
    </xf>
    <xf borderId="23" fillId="3" fontId="3" numFmtId="0" xfId="0" applyAlignment="1" applyBorder="1" applyFont="1">
      <alignment horizontal="center" readingOrder="0" shrinkToFit="0" vertical="center" wrapText="1"/>
    </xf>
    <xf borderId="24" fillId="0" fontId="2" numFmtId="0" xfId="0" applyBorder="1" applyFont="1"/>
    <xf borderId="25" fillId="3" fontId="11" numFmtId="0" xfId="0" applyAlignment="1" applyBorder="1" applyFont="1">
      <alignment horizontal="center" readingOrder="0" shrinkToFit="0" vertical="center" wrapText="1"/>
    </xf>
    <xf borderId="26" fillId="3" fontId="12" numFmtId="0" xfId="0" applyAlignment="1" applyBorder="1" applyFont="1">
      <alignment horizontal="center" readingOrder="0" shrinkToFit="0" vertical="center" wrapText="1"/>
    </xf>
    <xf borderId="0" fillId="4" fontId="3" numFmtId="0" xfId="0" applyAlignment="1" applyFill="1" applyFont="1">
      <alignment horizontal="center" readingOrder="0" shrinkToFit="0" vertical="center" wrapText="1"/>
    </xf>
    <xf borderId="0" fillId="4" fontId="13" numFmtId="0" xfId="0" applyAlignment="1" applyFont="1">
      <alignment horizontal="center" readingOrder="0" shrinkToFit="0" vertical="center" wrapText="1"/>
    </xf>
    <xf borderId="13" fillId="0" fontId="14" numFmtId="0" xfId="0" applyAlignment="1" applyBorder="1" applyFont="1">
      <alignment horizontal="center" readingOrder="0" shrinkToFit="0" vertical="center" wrapText="1"/>
    </xf>
    <xf borderId="27" fillId="0" fontId="2" numFmtId="0" xfId="0" applyBorder="1" applyFont="1"/>
    <xf borderId="0" fillId="0" fontId="15" numFmtId="0" xfId="0" applyFont="1"/>
    <xf borderId="0" fillId="0" fontId="14" numFmtId="0" xfId="0" applyAlignment="1" applyFont="1">
      <alignment horizontal="center" readingOrder="0"/>
    </xf>
    <xf borderId="15" fillId="0" fontId="16" numFmtId="0" xfId="0" applyAlignment="1" applyBorder="1" applyFont="1">
      <alignment horizontal="center" readingOrder="0" shrinkToFit="0" vertical="center" wrapText="1"/>
    </xf>
    <xf borderId="15" fillId="0" fontId="16" numFmtId="0" xfId="0" applyAlignment="1" applyBorder="1" applyFont="1">
      <alignment horizontal="center" readingOrder="0" vertical="center"/>
    </xf>
    <xf borderId="0" fillId="0" fontId="17" numFmtId="0" xfId="0" applyAlignment="1" applyFont="1">
      <alignment horizontal="center" readingOrder="0" vertical="center"/>
    </xf>
    <xf borderId="0" fillId="0" fontId="18" numFmtId="0" xfId="0" applyAlignment="1" applyFont="1">
      <alignment horizontal="center" readingOrder="0" shrinkToFit="0" vertical="center" wrapText="1"/>
    </xf>
    <xf borderId="0" fillId="0" fontId="18" numFmtId="0" xfId="0" applyAlignment="1" applyFont="1">
      <alignment horizontal="center" shrinkToFit="0" vertical="center" wrapText="1"/>
    </xf>
    <xf borderId="15" fillId="5" fontId="18" numFmtId="0" xfId="0" applyAlignment="1" applyBorder="1" applyFill="1" applyFont="1">
      <alignment horizontal="center" readingOrder="0" shrinkToFit="0" vertical="center" wrapText="1"/>
    </xf>
    <xf borderId="15" fillId="6" fontId="18" numFmtId="0" xfId="0" applyAlignment="1" applyBorder="1" applyFill="1" applyFont="1">
      <alignment horizontal="center" readingOrder="0" shrinkToFit="0" vertical="center" wrapText="1"/>
    </xf>
    <xf borderId="15" fillId="7" fontId="18" numFmtId="0" xfId="0" applyAlignment="1" applyBorder="1" applyFill="1" applyFont="1">
      <alignment horizontal="center" readingOrder="0" shrinkToFit="0" vertical="center" wrapText="1"/>
    </xf>
    <xf borderId="15" fillId="8" fontId="18" numFmtId="0" xfId="0" applyAlignment="1" applyBorder="1" applyFill="1" applyFont="1">
      <alignment horizontal="center" readingOrder="0" shrinkToFit="0" vertical="center" wrapText="1"/>
    </xf>
    <xf borderId="15" fillId="9" fontId="18" numFmtId="0" xfId="0" applyAlignment="1" applyBorder="1" applyFill="1" applyFont="1">
      <alignment horizontal="center" readingOrder="0" shrinkToFit="0" vertical="center" wrapText="1"/>
    </xf>
    <xf borderId="15" fillId="0" fontId="18" numFmtId="0" xfId="0" applyAlignment="1" applyBorder="1" applyFont="1">
      <alignment horizontal="center" readingOrder="0" shrinkToFit="0" vertical="center" wrapText="1"/>
    </xf>
    <xf borderId="15" fillId="10" fontId="18" numFmtId="0" xfId="0" applyAlignment="1" applyBorder="1" applyFill="1" applyFont="1">
      <alignment horizontal="center" readingOrder="0" shrinkToFit="0" vertical="center" wrapText="1"/>
    </xf>
    <xf borderId="15" fillId="11" fontId="18" numFmtId="0" xfId="0" applyAlignment="1" applyBorder="1" applyFill="1" applyFont="1">
      <alignment horizontal="center" readingOrder="0" shrinkToFit="0" vertical="center" wrapText="1"/>
    </xf>
    <xf borderId="15" fillId="12" fontId="18" numFmtId="0" xfId="0" applyAlignment="1" applyBorder="1" applyFill="1" applyFont="1">
      <alignment horizontal="center" readingOrder="0" shrinkToFit="0" vertical="center" wrapText="1"/>
    </xf>
    <xf borderId="15" fillId="13" fontId="18" numFmtId="0" xfId="0" applyAlignment="1" applyBorder="1" applyFill="1" applyFont="1">
      <alignment horizontal="center" readingOrder="0" shrinkToFit="0" vertical="center" wrapText="1"/>
    </xf>
    <xf borderId="15" fillId="14" fontId="18" numFmtId="0" xfId="0" applyAlignment="1" applyBorder="1" applyFill="1" applyFont="1">
      <alignment horizontal="center" readingOrder="0" shrinkToFit="0" vertical="center" wrapText="1"/>
    </xf>
    <xf borderId="15" fillId="3" fontId="18" numFmtId="0" xfId="0" applyAlignment="1" applyBorder="1" applyFont="1">
      <alignment horizontal="center" readingOrder="0" shrinkToFit="0" vertical="center" wrapText="1"/>
    </xf>
    <xf borderId="15" fillId="0" fontId="18" numFmtId="0" xfId="0" applyAlignment="1" applyBorder="1" applyFont="1">
      <alignment horizontal="center" shrinkToFit="0" vertical="center" wrapText="1"/>
    </xf>
    <xf borderId="15" fillId="15" fontId="18" numFmtId="0" xfId="0" applyAlignment="1" applyBorder="1" applyFill="1" applyFont="1">
      <alignment horizontal="center" readingOrder="0" shrinkToFit="0" vertical="center" wrapText="1"/>
    </xf>
    <xf borderId="15" fillId="0" fontId="15" numFmtId="0" xfId="0" applyAlignment="1" applyBorder="1" applyFont="1">
      <alignment horizontal="center" shrinkToFit="0" wrapText="1"/>
    </xf>
    <xf borderId="20" fillId="0" fontId="15" numFmtId="0" xfId="0" applyAlignment="1" applyBorder="1" applyFont="1">
      <alignment horizontal="center" shrinkToFit="0" wrapText="1"/>
    </xf>
    <xf borderId="20" fillId="9" fontId="18" numFmtId="0" xfId="0" applyAlignment="1" applyBorder="1" applyFont="1">
      <alignment horizontal="center" readingOrder="0" shrinkToFit="0" vertical="center" wrapText="1"/>
    </xf>
    <xf borderId="20" fillId="0" fontId="18" numFmtId="0" xfId="0" applyAlignment="1" applyBorder="1" applyFont="1">
      <alignment horizontal="center" shrinkToFit="0" vertical="center" wrapText="1"/>
    </xf>
    <xf borderId="28" fillId="0" fontId="15" numFmtId="0" xfId="0" applyAlignment="1" applyBorder="1" applyFont="1">
      <alignment horizontal="center" shrinkToFit="0" wrapText="1"/>
    </xf>
    <xf borderId="15" fillId="16" fontId="18" numFmtId="0" xfId="0" applyAlignment="1" applyBorder="1" applyFill="1" applyFont="1">
      <alignment horizontal="center" readingOrder="0" shrinkToFit="0" vertical="center" wrapText="1"/>
    </xf>
    <xf borderId="28" fillId="0" fontId="18" numFmtId="0" xfId="0" applyAlignment="1" applyBorder="1" applyFont="1">
      <alignment horizontal="center" shrinkToFit="0" vertical="center" wrapText="1"/>
    </xf>
    <xf borderId="27" fillId="0" fontId="15" numFmtId="0" xfId="0" applyAlignment="1" applyBorder="1" applyFont="1">
      <alignment horizontal="center" shrinkToFit="0" wrapText="1"/>
    </xf>
    <xf borderId="27" fillId="0" fontId="18" numFmtId="0" xfId="0" applyAlignment="1" applyBorder="1" applyFont="1">
      <alignment horizontal="center" readingOrder="0" shrinkToFit="0" vertical="center" wrapText="1"/>
    </xf>
    <xf borderId="27" fillId="0" fontId="18" numFmtId="0" xfId="0" applyAlignment="1" applyBorder="1" applyFont="1">
      <alignment horizontal="center" shrinkToFit="0" vertical="center" wrapText="1"/>
    </xf>
    <xf borderId="29" fillId="6" fontId="15" numFmtId="0" xfId="0" applyAlignment="1" applyBorder="1" applyFont="1">
      <alignment horizontal="center" readingOrder="0" shrinkToFit="0" wrapText="1"/>
    </xf>
    <xf borderId="29" fillId="8" fontId="18" numFmtId="0" xfId="0" applyAlignment="1" applyBorder="1" applyFont="1">
      <alignment horizontal="center" readingOrder="0" shrinkToFit="0" vertical="center" wrapText="1"/>
    </xf>
    <xf borderId="29" fillId="5" fontId="18" numFmtId="0" xfId="0" applyAlignment="1" applyBorder="1" applyFont="1">
      <alignment horizontal="center" readingOrder="0" shrinkToFit="0" vertical="center" wrapText="1"/>
    </xf>
    <xf borderId="29" fillId="14" fontId="18" numFmtId="0" xfId="0" applyAlignment="1" applyBorder="1" applyFont="1">
      <alignment horizontal="center" readingOrder="0" shrinkToFit="0" vertical="center" wrapText="1"/>
    </xf>
    <xf borderId="29" fillId="13" fontId="18" numFmtId="0" xfId="0" applyAlignment="1" applyBorder="1" applyFont="1">
      <alignment horizontal="center" readingOrder="0" shrinkToFit="0" vertical="center" wrapText="1"/>
    </xf>
    <xf borderId="29" fillId="17" fontId="18" numFmtId="0" xfId="0" applyAlignment="1" applyBorder="1" applyFill="1" applyFont="1">
      <alignment horizontal="center" readingOrder="0" shrinkToFit="0" vertical="center" wrapText="1"/>
    </xf>
    <xf borderId="29" fillId="3" fontId="18" numFmtId="0" xfId="0" applyAlignment="1" applyBorder="1" applyFont="1">
      <alignment horizontal="center" readingOrder="0" shrinkToFit="0" vertical="center" wrapText="1"/>
    </xf>
    <xf borderId="29" fillId="18" fontId="18" numFmtId="0" xfId="0" applyAlignment="1" applyBorder="1" applyFill="1" applyFont="1">
      <alignment horizontal="center" readingOrder="0" shrinkToFit="0" vertical="center" wrapText="1"/>
    </xf>
    <xf borderId="29" fillId="9" fontId="18" numFmtId="0" xfId="0" applyAlignment="1" applyBorder="1" applyFont="1">
      <alignment horizontal="center" readingOrder="0" shrinkToFit="0" vertical="center" wrapText="1"/>
    </xf>
    <xf borderId="29" fillId="7" fontId="18" numFmtId="0" xfId="0" applyAlignment="1" applyBorder="1" applyFont="1">
      <alignment horizontal="center" readingOrder="0" shrinkToFit="0" vertical="center" wrapText="1"/>
    </xf>
    <xf borderId="29" fillId="10" fontId="18" numFmtId="0" xfId="0" applyAlignment="1" applyBorder="1" applyFont="1">
      <alignment horizontal="center" readingOrder="0" shrinkToFit="0" vertical="center" wrapText="1"/>
    </xf>
    <xf borderId="0" fillId="11" fontId="18" numFmtId="0" xfId="0" applyAlignment="1" applyFont="1">
      <alignment readingOrder="0"/>
    </xf>
    <xf borderId="0" fillId="16" fontId="18" numFmtId="0" xfId="0" applyAlignment="1" applyFont="1">
      <alignment horizontal="center" readingOrder="0" vertical="center"/>
    </xf>
    <xf borderId="0" fillId="0" fontId="15" numFmtId="0" xfId="0" applyAlignment="1" applyFont="1">
      <alignment horizontal="center" shrinkToFit="0" wrapText="1"/>
    </xf>
    <xf borderId="15" fillId="0" fontId="15" numFmtId="0" xfId="0" applyAlignment="1" applyBorder="1" applyFont="1">
      <alignment horizontal="center" readingOrder="0" shrinkToFit="0" vertical="center" wrapText="1"/>
    </xf>
    <xf borderId="0" fillId="0" fontId="15" numFmtId="0" xfId="0" applyAlignment="1" applyFont="1">
      <alignment horizontal="center" shrinkToFit="0" vertical="center" wrapText="1"/>
    </xf>
    <xf borderId="0" fillId="0" fontId="15" numFmtId="0" xfId="0" applyAlignment="1" applyFont="1">
      <alignment horizontal="center" readingOrder="0" shrinkToFit="0" vertical="center" wrapText="1"/>
    </xf>
    <xf borderId="15" fillId="0" fontId="15" numFmtId="0" xfId="0" applyAlignment="1" applyBorder="1" applyFont="1">
      <alignment horizontal="center" shrinkToFit="0" vertical="center" wrapText="1"/>
    </xf>
    <xf borderId="0" fillId="0" fontId="18" numFmtId="0" xfId="0" applyAlignment="1" applyFont="1">
      <alignment horizontal="center" readingOrder="0" vertical="center"/>
    </xf>
    <xf borderId="0" fillId="0" fontId="18" numFmtId="0" xfId="0" applyAlignment="1" applyFont="1">
      <alignment horizontal="center" vertical="center"/>
    </xf>
    <xf borderId="0" fillId="0" fontId="17" numFmtId="0" xfId="0" applyAlignment="1" applyFont="1">
      <alignment horizontal="center" readingOrder="0" shrinkToFit="0" vertical="center" wrapText="1"/>
    </xf>
    <xf borderId="0" fillId="0" fontId="15" numFmtId="0" xfId="0" applyAlignment="1" applyFont="1">
      <alignment readingOrder="0"/>
    </xf>
    <xf borderId="0" fillId="0" fontId="19" numFmtId="0" xfId="0" applyAlignment="1" applyFont="1">
      <alignment horizontal="center" shrinkToFit="0" vertical="center" wrapText="1"/>
    </xf>
    <xf borderId="0" fillId="0" fontId="19" numFmtId="0" xfId="0" applyFont="1"/>
    <xf borderId="0" fillId="0" fontId="19" numFmtId="0" xfId="0" applyAlignment="1" applyFont="1">
      <alignment horizontal="center" readingOrder="0" shrinkToFit="0" vertical="center" wrapText="1"/>
    </xf>
    <xf borderId="30" fillId="19" fontId="20" numFmtId="0" xfId="0" applyAlignment="1" applyBorder="1" applyFill="1" applyFont="1">
      <alignment horizontal="center" readingOrder="0" shrinkToFit="0" vertical="center" wrapText="1"/>
    </xf>
    <xf borderId="31" fillId="19" fontId="20" numFmtId="0" xfId="0" applyAlignment="1" applyBorder="1" applyFont="1">
      <alignment horizontal="center" readingOrder="0" shrinkToFit="0" vertical="center" wrapText="1"/>
    </xf>
    <xf borderId="32" fillId="19" fontId="20" numFmtId="0" xfId="0" applyAlignment="1" applyBorder="1" applyFont="1">
      <alignment horizontal="center" readingOrder="0" shrinkToFit="0" vertical="center" wrapText="1"/>
    </xf>
    <xf borderId="33" fillId="0" fontId="2" numFmtId="0" xfId="0" applyBorder="1" applyFont="1"/>
    <xf borderId="34" fillId="0" fontId="2" numFmtId="0" xfId="0" applyBorder="1" applyFont="1"/>
    <xf borderId="35" fillId="20" fontId="2" numFmtId="0" xfId="0" applyBorder="1" applyFill="1" applyFont="1"/>
    <xf borderId="10" fillId="20" fontId="2" numFmtId="0" xfId="0" applyBorder="1" applyFont="1"/>
    <xf borderId="20" fillId="19" fontId="21" numFmtId="0" xfId="0" applyAlignment="1" applyBorder="1" applyFont="1">
      <alignment horizontal="center" readingOrder="0" shrinkToFit="0" vertical="center" wrapText="1"/>
    </xf>
    <xf borderId="36" fillId="19" fontId="22" numFmtId="0" xfId="0" applyAlignment="1" applyBorder="1" applyFont="1">
      <alignment horizontal="center" readingOrder="0" shrinkToFit="0" vertical="center" wrapText="1"/>
    </xf>
    <xf borderId="29" fillId="19" fontId="22" numFmtId="0" xfId="0" applyAlignment="1" applyBorder="1" applyFont="1">
      <alignment horizontal="center" readingOrder="0" shrinkToFit="0" vertical="center" wrapText="1"/>
    </xf>
    <xf borderId="37" fillId="19" fontId="22" numFmtId="0" xfId="0" applyAlignment="1" applyBorder="1" applyFont="1">
      <alignment horizontal="center" readingOrder="0" shrinkToFit="0" vertical="center" wrapText="1"/>
    </xf>
    <xf borderId="18" fillId="19" fontId="21" numFmtId="0" xfId="0" applyAlignment="1" applyBorder="1" applyFont="1">
      <alignment horizontal="center" readingOrder="0" shrinkToFit="0" vertical="center" wrapText="1"/>
    </xf>
    <xf borderId="28" fillId="20" fontId="2" numFmtId="0" xfId="0" applyBorder="1" applyFont="1"/>
    <xf borderId="38" fillId="20" fontId="2" numFmtId="0" xfId="0" applyBorder="1" applyFont="1"/>
    <xf borderId="0" fillId="0" fontId="3" numFmtId="0" xfId="0" applyAlignment="1" applyFont="1">
      <alignment shrinkToFit="0" wrapText="1"/>
    </xf>
    <xf borderId="39" fillId="21" fontId="23" numFmtId="0" xfId="0" applyAlignment="1" applyBorder="1" applyFill="1" applyFont="1">
      <alignment horizontal="left" readingOrder="0" shrinkToFit="0" vertical="center" wrapText="1"/>
    </xf>
    <xf borderId="40" fillId="21" fontId="24" numFmtId="0" xfId="0" applyAlignment="1" applyBorder="1" applyFont="1">
      <alignment horizontal="center" shrinkToFit="0" vertical="center" wrapText="1"/>
    </xf>
    <xf borderId="41" fillId="21" fontId="24" numFmtId="0" xfId="0" applyAlignment="1" applyBorder="1" applyFont="1">
      <alignment horizontal="center" readingOrder="0" shrinkToFit="0" vertical="center" wrapText="1"/>
    </xf>
    <xf borderId="41" fillId="21" fontId="24" numFmtId="0" xfId="0" applyAlignment="1" applyBorder="1" applyFont="1">
      <alignment horizontal="center" shrinkToFit="0" vertical="center" wrapText="1"/>
    </xf>
    <xf borderId="41" fillId="21" fontId="24" numFmtId="0" xfId="0" applyAlignment="1" applyBorder="1" applyFont="1">
      <alignment vertical="center"/>
    </xf>
    <xf borderId="42" fillId="0" fontId="3" numFmtId="0" xfId="0" applyBorder="1" applyFont="1"/>
    <xf borderId="43" fillId="0" fontId="3" numFmtId="0" xfId="0" applyBorder="1" applyFont="1"/>
    <xf borderId="10" fillId="2" fontId="24" numFmtId="0" xfId="0" applyAlignment="1" applyBorder="1" applyFont="1">
      <alignment horizontal="right" readingOrder="0" shrinkToFit="0" vertical="center" wrapText="1"/>
    </xf>
    <xf borderId="10" fillId="2" fontId="24" numFmtId="0" xfId="0" applyAlignment="1" applyBorder="1" applyFont="1">
      <alignment horizontal="center" readingOrder="0" shrinkToFit="0" vertical="center" wrapText="1"/>
    </xf>
    <xf borderId="10" fillId="2" fontId="25" numFmtId="0" xfId="0" applyAlignment="1" applyBorder="1" applyFont="1">
      <alignment horizontal="center" readingOrder="0" shrinkToFit="0" vertical="center" wrapText="1"/>
    </xf>
    <xf borderId="10" fillId="2" fontId="26" numFmtId="0" xfId="0" applyAlignment="1" applyBorder="1" applyFont="1">
      <alignment horizontal="center" readingOrder="0" shrinkToFit="0" vertical="center" wrapText="1"/>
    </xf>
    <xf borderId="15" fillId="2" fontId="24" numFmtId="0" xfId="0" applyAlignment="1" applyBorder="1" applyFont="1">
      <alignment horizontal="center" readingOrder="0" shrinkToFit="0" vertical="center" wrapText="1"/>
    </xf>
    <xf borderId="8" fillId="2" fontId="24" numFmtId="0" xfId="0" applyAlignment="1" applyBorder="1" applyFont="1">
      <alignment horizontal="center" readingOrder="0" shrinkToFit="0" vertical="center" wrapText="1"/>
    </xf>
    <xf borderId="8" fillId="2" fontId="24" numFmtId="0" xfId="0" applyAlignment="1" applyBorder="1" applyFont="1">
      <alignment horizontal="left" readingOrder="0" shrinkToFit="0" vertical="center" wrapText="1"/>
    </xf>
    <xf borderId="44" fillId="2" fontId="2" numFmtId="0" xfId="0" applyBorder="1" applyFont="1"/>
    <xf borderId="45" fillId="2" fontId="2" numFmtId="0" xfId="0" applyBorder="1" applyFont="1"/>
    <xf borderId="15" fillId="21" fontId="24" numFmtId="0" xfId="0" applyAlignment="1" applyBorder="1" applyFont="1">
      <alignment horizontal="right" readingOrder="0" shrinkToFit="0" vertical="center" wrapText="1"/>
    </xf>
    <xf borderId="15" fillId="21" fontId="24" numFmtId="0" xfId="0" applyAlignment="1" applyBorder="1" applyFont="1">
      <alignment horizontal="center" readingOrder="0" shrinkToFit="0" vertical="center" wrapText="1"/>
    </xf>
    <xf borderId="15" fillId="21" fontId="27" numFmtId="0" xfId="0" applyAlignment="1" applyBorder="1" applyFont="1">
      <alignment horizontal="center" readingOrder="0" shrinkToFit="0" vertical="center" wrapText="1"/>
    </xf>
    <xf borderId="15" fillId="21" fontId="26" numFmtId="0" xfId="0" applyAlignment="1" applyBorder="1" applyFont="1">
      <alignment horizontal="center" readingOrder="0" shrinkToFit="0" vertical="center" wrapText="1"/>
    </xf>
    <xf borderId="13" fillId="21" fontId="24" numFmtId="0" xfId="0" applyAlignment="1" applyBorder="1" applyFont="1">
      <alignment horizontal="center" readingOrder="0" shrinkToFit="0" vertical="center" wrapText="1"/>
    </xf>
    <xf borderId="13" fillId="21" fontId="24" numFmtId="0" xfId="0" applyAlignment="1" applyBorder="1" applyFont="1">
      <alignment horizontal="left" readingOrder="0" shrinkToFit="0" vertical="center" wrapText="1"/>
    </xf>
    <xf borderId="27" fillId="21" fontId="2" numFmtId="0" xfId="0" applyBorder="1" applyFont="1"/>
    <xf borderId="46" fillId="21" fontId="2" numFmtId="0" xfId="0" applyBorder="1" applyFont="1"/>
    <xf borderId="15" fillId="2" fontId="24" numFmtId="0" xfId="0" applyAlignment="1" applyBorder="1" applyFont="1">
      <alignment horizontal="right" readingOrder="0" shrinkToFit="0" vertical="center" wrapText="1"/>
    </xf>
    <xf borderId="15" fillId="2" fontId="28" numFmtId="0" xfId="0" applyAlignment="1" applyBorder="1" applyFont="1">
      <alignment horizontal="center" readingOrder="0" shrinkToFit="0" vertical="center" wrapText="1"/>
    </xf>
    <xf borderId="15" fillId="2" fontId="26" numFmtId="0" xfId="0" applyAlignment="1" applyBorder="1" applyFont="1">
      <alignment horizontal="center" readingOrder="0" shrinkToFit="0" vertical="center" wrapText="1"/>
    </xf>
    <xf borderId="13" fillId="2" fontId="24" numFmtId="0" xfId="0" applyAlignment="1" applyBorder="1" applyFont="1">
      <alignment horizontal="center" readingOrder="0" shrinkToFit="0" vertical="center" wrapText="1"/>
    </xf>
    <xf borderId="13" fillId="2" fontId="24" numFmtId="0" xfId="0" applyAlignment="1" applyBorder="1" applyFont="1">
      <alignment horizontal="left" readingOrder="0" shrinkToFit="0" vertical="center" wrapText="1"/>
    </xf>
    <xf borderId="27" fillId="2" fontId="2" numFmtId="0" xfId="0" applyBorder="1" applyFont="1"/>
    <xf borderId="46" fillId="2" fontId="2" numFmtId="0" xfId="0" applyBorder="1" applyFont="1"/>
    <xf borderId="15" fillId="21" fontId="29" numFmtId="0" xfId="0" applyAlignment="1" applyBorder="1" applyFont="1">
      <alignment horizontal="center" readingOrder="0" vertical="center"/>
    </xf>
    <xf borderId="15" fillId="2" fontId="24" numFmtId="0" xfId="0" applyAlignment="1" applyBorder="1" applyFont="1">
      <alignment horizontal="center" readingOrder="0" vertical="center"/>
    </xf>
    <xf borderId="0" fillId="0" fontId="3" numFmtId="0" xfId="0" applyAlignment="1" applyFont="1">
      <alignment horizontal="center" vertical="center"/>
    </xf>
    <xf borderId="14" fillId="21" fontId="24" numFmtId="0" xfId="0" applyAlignment="1" applyBorder="1" applyFont="1">
      <alignment horizontal="center" readingOrder="0" shrinkToFit="0" vertical="center" wrapText="1"/>
    </xf>
    <xf borderId="14" fillId="2" fontId="24" numFmtId="0" xfId="0" applyAlignment="1" applyBorder="1" applyFont="1">
      <alignment horizontal="center" readingOrder="0" shrinkToFit="0" vertical="center" wrapText="1"/>
    </xf>
    <xf borderId="20" fillId="2" fontId="24" numFmtId="0" xfId="0" applyAlignment="1" applyBorder="1" applyFont="1">
      <alignment horizontal="right" readingOrder="0" shrinkToFit="0" vertical="center" wrapText="1"/>
    </xf>
    <xf borderId="20" fillId="2" fontId="24" numFmtId="0" xfId="0" applyAlignment="1" applyBorder="1" applyFont="1">
      <alignment horizontal="center" readingOrder="0" shrinkToFit="0" vertical="center" wrapText="1"/>
    </xf>
    <xf borderId="18" fillId="2" fontId="24" numFmtId="0" xfId="0" applyAlignment="1" applyBorder="1" applyFont="1">
      <alignment horizontal="center" readingOrder="0" shrinkToFit="0" vertical="center" wrapText="1"/>
    </xf>
    <xf borderId="18" fillId="2" fontId="24" numFmtId="0" xfId="0" applyAlignment="1" applyBorder="1" applyFont="1">
      <alignment horizontal="left" readingOrder="0" shrinkToFit="0" vertical="center" wrapText="1"/>
    </xf>
    <xf borderId="28" fillId="2" fontId="2" numFmtId="0" xfId="0" applyBorder="1" applyFont="1"/>
    <xf borderId="38" fillId="2" fontId="2" numFmtId="0" xfId="0" applyBorder="1" applyFont="1"/>
    <xf borderId="47" fillId="21" fontId="30" numFmtId="0" xfId="0" applyAlignment="1" applyBorder="1" applyFont="1">
      <alignment horizontal="left" readingOrder="0" shrinkToFit="0" vertical="center" wrapText="1"/>
    </xf>
    <xf borderId="13" fillId="21" fontId="24" numFmtId="0" xfId="0" applyAlignment="1" applyBorder="1" applyFont="1">
      <alignment horizontal="left" shrinkToFit="0" vertical="center" wrapText="1"/>
    </xf>
    <xf borderId="13" fillId="2" fontId="24" numFmtId="0" xfId="0" applyAlignment="1" applyBorder="1" applyFont="1">
      <alignment horizontal="left" shrinkToFit="0" vertical="center" wrapText="1"/>
    </xf>
    <xf borderId="20" fillId="21" fontId="24" numFmtId="0" xfId="0" applyAlignment="1" applyBorder="1" applyFont="1">
      <alignment horizontal="right" readingOrder="0" shrinkToFit="0" vertical="center" wrapText="1"/>
    </xf>
    <xf borderId="20" fillId="21" fontId="24" numFmtId="0" xfId="0" applyAlignment="1" applyBorder="1" applyFont="1">
      <alignment horizontal="center" readingOrder="0" shrinkToFit="0" vertical="center" wrapText="1"/>
    </xf>
    <xf borderId="20" fillId="21" fontId="31" numFmtId="0" xfId="0" applyAlignment="1" applyBorder="1" applyFont="1">
      <alignment horizontal="center" readingOrder="0" shrinkToFit="0" vertical="center" wrapText="1"/>
    </xf>
    <xf borderId="18" fillId="21" fontId="24" numFmtId="0" xfId="0" applyAlignment="1" applyBorder="1" applyFont="1">
      <alignment horizontal="center" readingOrder="0" shrinkToFit="0" vertical="center" wrapText="1"/>
    </xf>
    <xf borderId="18" fillId="21" fontId="24" numFmtId="0" xfId="0" applyAlignment="1" applyBorder="1" applyFont="1">
      <alignment horizontal="left" shrinkToFit="0" vertical="center" wrapText="1"/>
    </xf>
    <xf borderId="28" fillId="21" fontId="2" numFmtId="0" xfId="0" applyBorder="1" applyFont="1"/>
    <xf borderId="38" fillId="21" fontId="2" numFmtId="0" xfId="0" applyBorder="1" applyFont="1"/>
    <xf borderId="48" fillId="2" fontId="30" numFmtId="0" xfId="0" applyAlignment="1" applyBorder="1" applyFont="1">
      <alignment horizontal="left" readingOrder="0" shrinkToFit="0" vertical="center" wrapText="1"/>
    </xf>
    <xf borderId="49" fillId="2" fontId="24" numFmtId="0" xfId="0" applyAlignment="1" applyBorder="1" applyFont="1">
      <alignment horizontal="center" shrinkToFit="0" vertical="center" wrapText="1"/>
    </xf>
    <xf borderId="50" fillId="2" fontId="24" numFmtId="0" xfId="0" applyAlignment="1" applyBorder="1" applyFont="1">
      <alignment horizontal="center" shrinkToFit="0" vertical="center" wrapText="1"/>
    </xf>
    <xf borderId="51" fillId="2" fontId="24" numFmtId="0" xfId="0" applyAlignment="1" applyBorder="1" applyFont="1">
      <alignment vertical="center"/>
    </xf>
    <xf borderId="36" fillId="21" fontId="24" numFmtId="0" xfId="0" applyAlignment="1" applyBorder="1" applyFont="1">
      <alignment horizontal="right" readingOrder="0" shrinkToFit="0" vertical="center" wrapText="1"/>
    </xf>
    <xf borderId="9" fillId="21" fontId="24" numFmtId="0" xfId="0" applyAlignment="1" applyBorder="1" applyFont="1">
      <alignment horizontal="center" readingOrder="0" shrinkToFit="0" vertical="center" wrapText="1"/>
    </xf>
    <xf borderId="10" fillId="21" fontId="24" numFmtId="0" xfId="0" applyAlignment="1" applyBorder="1" applyFont="1">
      <alignment horizontal="center" readingOrder="0" shrinkToFit="0" vertical="center" wrapText="1"/>
    </xf>
    <xf borderId="10" fillId="21" fontId="32" numFmtId="0" xfId="0" applyAlignment="1" applyBorder="1" applyFont="1">
      <alignment horizontal="center" readingOrder="0" shrinkToFit="0" vertical="center" wrapText="1"/>
    </xf>
    <xf borderId="8" fillId="21" fontId="24" numFmtId="0" xfId="0" applyAlignment="1" applyBorder="1" applyFont="1">
      <alignment horizontal="center" readingOrder="0" shrinkToFit="0" vertical="center" wrapText="1"/>
    </xf>
    <xf borderId="8" fillId="21" fontId="24" numFmtId="0" xfId="0" applyAlignment="1" applyBorder="1" applyFont="1">
      <alignment horizontal="left" readingOrder="0" shrinkToFit="0" vertical="center" wrapText="1"/>
    </xf>
    <xf borderId="44" fillId="21" fontId="2" numFmtId="0" xfId="0" applyBorder="1" applyFont="1"/>
    <xf borderId="45" fillId="21" fontId="2" numFmtId="0" xfId="0" applyBorder="1" applyFont="1"/>
    <xf borderId="8" fillId="21" fontId="29" numFmtId="0" xfId="0" applyAlignment="1" applyBorder="1" applyFont="1">
      <alignment readingOrder="0" vertical="center"/>
    </xf>
    <xf borderId="9" fillId="2" fontId="24" numFmtId="0" xfId="0" applyAlignment="1" applyBorder="1" applyFont="1">
      <alignment horizontal="center" readingOrder="0" shrinkToFit="0" vertical="center" wrapText="1"/>
    </xf>
    <xf borderId="8" fillId="2" fontId="29" numFmtId="0" xfId="0" applyAlignment="1" applyBorder="1" applyFont="1">
      <alignment readingOrder="0" vertical="center"/>
    </xf>
    <xf borderId="8" fillId="2" fontId="24" numFmtId="0" xfId="0" applyAlignment="1" applyBorder="1" applyFont="1">
      <alignment horizontal="left" shrinkToFit="0" vertical="center" wrapText="1"/>
    </xf>
    <xf borderId="44" fillId="21" fontId="29" numFmtId="0" xfId="0" applyAlignment="1" applyBorder="1" applyFont="1">
      <alignment readingOrder="0" vertical="center"/>
    </xf>
    <xf borderId="15" fillId="2" fontId="24" numFmtId="0" xfId="0" applyAlignment="1" applyBorder="1" applyFont="1">
      <alignment horizontal="right" shrinkToFit="0" vertical="center" wrapText="1"/>
    </xf>
    <xf borderId="14" fillId="2" fontId="24" numFmtId="0" xfId="0" applyAlignment="1" applyBorder="1" applyFont="1">
      <alignment horizontal="center" shrinkToFit="0" vertical="center" wrapText="1"/>
    </xf>
    <xf borderId="14" fillId="2" fontId="24" numFmtId="0" xfId="0" applyAlignment="1" applyBorder="1" applyFont="1">
      <alignment horizontal="center" readingOrder="0" vertical="center"/>
    </xf>
    <xf borderId="44" fillId="2" fontId="24" numFmtId="0" xfId="0" applyAlignment="1" applyBorder="1" applyFont="1">
      <alignment readingOrder="0" shrinkToFit="0" vertical="center" wrapText="1"/>
    </xf>
    <xf borderId="15" fillId="21" fontId="24" numFmtId="0" xfId="0" applyAlignment="1" applyBorder="1" applyFont="1">
      <alignment horizontal="center" shrinkToFit="0" vertical="center" wrapText="1"/>
    </xf>
    <xf borderId="27" fillId="2" fontId="24" numFmtId="0" xfId="0" applyAlignment="1" applyBorder="1" applyFont="1">
      <alignment horizontal="right" readingOrder="0" shrinkToFit="0" vertical="center" wrapText="1"/>
    </xf>
    <xf borderId="27" fillId="21" fontId="24" numFmtId="0" xfId="0" applyAlignment="1" applyBorder="1" applyFont="1">
      <alignment horizontal="right" readingOrder="0" shrinkToFit="0" vertical="center" wrapText="1"/>
    </xf>
    <xf borderId="14" fillId="21" fontId="24" numFmtId="0" xfId="0" applyAlignment="1" applyBorder="1" applyFont="1">
      <alignment horizontal="right" readingOrder="0" shrinkToFit="0" vertical="center" wrapText="1"/>
    </xf>
    <xf borderId="14" fillId="2" fontId="24" numFmtId="0" xfId="0" applyAlignment="1" applyBorder="1" applyFont="1">
      <alignment horizontal="right" readingOrder="0" shrinkToFit="0" vertical="center" wrapText="1"/>
    </xf>
    <xf borderId="0" fillId="15" fontId="3" numFmtId="0" xfId="0" applyFont="1"/>
    <xf borderId="19" fillId="21" fontId="24" numFmtId="0" xfId="0" applyAlignment="1" applyBorder="1" applyFont="1">
      <alignment horizontal="right" readingOrder="0" shrinkToFit="0" vertical="center" wrapText="1"/>
    </xf>
    <xf borderId="20" fillId="21" fontId="24" numFmtId="0" xfId="0" applyAlignment="1" applyBorder="1" applyFont="1">
      <alignment horizontal="center" readingOrder="0" shrinkToFit="0" vertical="center" wrapText="1"/>
    </xf>
    <xf borderId="52" fillId="2" fontId="30" numFmtId="0" xfId="0" applyAlignment="1" applyBorder="1" applyFont="1">
      <alignment horizontal="left" readingOrder="0" shrinkToFit="0" vertical="center" wrapText="1"/>
    </xf>
    <xf borderId="8" fillId="21" fontId="24" numFmtId="0" xfId="0" applyAlignment="1" applyBorder="1" applyFont="1">
      <alignment horizontal="right" readingOrder="0" shrinkToFit="0" vertical="center" wrapText="1"/>
    </xf>
    <xf borderId="13" fillId="2" fontId="24" numFmtId="0" xfId="0" applyAlignment="1" applyBorder="1" applyFont="1">
      <alignment horizontal="right" readingOrder="0" shrinkToFit="0" vertical="center" wrapText="1"/>
    </xf>
    <xf borderId="13" fillId="21" fontId="24" numFmtId="0" xfId="0" applyAlignment="1" applyBorder="1" applyFont="1">
      <alignment horizontal="right"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20" fillId="19" fontId="20" numFmtId="0" xfId="0" applyAlignment="1" applyBorder="1" applyFont="1">
      <alignment horizontal="center" readingOrder="0" shrinkToFit="0" vertical="center" wrapText="1"/>
    </xf>
    <xf borderId="20" fillId="19" fontId="33" numFmtId="0" xfId="0" applyAlignment="1" applyBorder="1" applyFont="1">
      <alignment horizontal="center" readingOrder="0" shrinkToFit="0" vertical="center" wrapText="1"/>
    </xf>
    <xf borderId="13" fillId="19" fontId="20" numFmtId="0" xfId="0" applyAlignment="1" applyBorder="1" applyFont="1">
      <alignment horizontal="center" readingOrder="0" shrinkToFit="0" vertical="center" wrapText="1"/>
    </xf>
    <xf borderId="0" fillId="0" fontId="3" numFmtId="0" xfId="0" applyAlignment="1" applyFont="1">
      <alignment vertical="center"/>
    </xf>
    <xf borderId="10" fillId="19" fontId="2" numFmtId="0" xfId="0" applyBorder="1" applyFont="1"/>
    <xf borderId="15" fillId="19" fontId="21" numFmtId="0" xfId="0" applyAlignment="1" applyBorder="1" applyFont="1">
      <alignment horizontal="center" readingOrder="0" shrinkToFit="0" vertical="center" wrapText="1"/>
    </xf>
    <xf borderId="13" fillId="19" fontId="21" numFmtId="0" xfId="0" applyAlignment="1" applyBorder="1" applyFont="1">
      <alignment horizontal="center" readingOrder="0" shrinkToFit="0" vertical="center" wrapText="1"/>
    </xf>
    <xf borderId="27" fillId="19" fontId="2" numFmtId="0" xfId="0" applyBorder="1" applyFont="1"/>
    <xf borderId="14" fillId="19" fontId="2" numFmtId="0" xfId="0" applyBorder="1" applyFont="1"/>
    <xf borderId="0" fillId="21" fontId="30" numFmtId="0" xfId="0" applyAlignment="1" applyFont="1">
      <alignment horizontal="left" readingOrder="0" vertical="center"/>
    </xf>
    <xf borderId="0" fillId="21" fontId="24" numFmtId="0" xfId="0" applyAlignment="1" applyFont="1">
      <alignment vertical="center"/>
    </xf>
    <xf borderId="0" fillId="21" fontId="24" numFmtId="0" xfId="0" applyAlignment="1" applyFont="1">
      <alignment horizontal="center" vertical="center"/>
    </xf>
    <xf borderId="53" fillId="21" fontId="24" numFmtId="0" xfId="0" applyAlignment="1" applyBorder="1" applyFont="1">
      <alignment vertical="center"/>
    </xf>
    <xf borderId="0" fillId="2" fontId="34" numFmtId="0" xfId="0" applyAlignment="1" applyFont="1">
      <alignment horizontal="left" readingOrder="0" vertical="center"/>
    </xf>
    <xf borderId="0" fillId="2" fontId="24" numFmtId="0" xfId="0" applyAlignment="1" applyFont="1">
      <alignment vertical="center"/>
    </xf>
    <xf borderId="0" fillId="2" fontId="24" numFmtId="0" xfId="0" applyAlignment="1" applyFont="1">
      <alignment horizontal="center" vertical="center"/>
    </xf>
    <xf borderId="53" fillId="2" fontId="24" numFmtId="0" xfId="0" applyAlignment="1" applyBorder="1" applyFont="1">
      <alignment vertical="center"/>
    </xf>
    <xf borderId="54" fillId="21" fontId="24" numFmtId="0" xfId="0" applyAlignment="1" applyBorder="1" applyFont="1">
      <alignment horizontal="right" readingOrder="0" vertical="center"/>
    </xf>
    <xf borderId="55" fillId="21" fontId="24" numFmtId="0" xfId="0" applyAlignment="1" applyBorder="1" applyFont="1">
      <alignment horizontal="center" readingOrder="0" shrinkToFit="0" vertical="center" wrapText="1"/>
    </xf>
    <xf borderId="56" fillId="21" fontId="24" numFmtId="0" xfId="0" applyAlignment="1" applyBorder="1" applyFont="1">
      <alignment horizontal="center" readingOrder="0" shrinkToFit="0" vertical="center" wrapText="1"/>
    </xf>
    <xf borderId="56" fillId="21" fontId="24" numFmtId="0" xfId="0" applyAlignment="1" applyBorder="1" applyFont="1">
      <alignment horizontal="center" shrinkToFit="0" vertical="center" wrapText="1"/>
    </xf>
    <xf borderId="57" fillId="21" fontId="24" numFmtId="0" xfId="0" applyAlignment="1" applyBorder="1" applyFont="1">
      <alignment horizontal="center" readingOrder="0" shrinkToFit="0" vertical="center" wrapText="1"/>
    </xf>
    <xf borderId="56" fillId="21" fontId="24" numFmtId="0" xfId="0" applyAlignment="1" applyBorder="1" applyFont="1">
      <alignment horizontal="right" readingOrder="0" shrinkToFit="0" vertical="center" wrapText="1"/>
    </xf>
    <xf borderId="58" fillId="21" fontId="24" numFmtId="0" xfId="0" applyAlignment="1" applyBorder="1" applyFont="1">
      <alignment horizontal="left" readingOrder="0" shrinkToFit="0" vertical="center" wrapText="1"/>
    </xf>
    <xf borderId="58" fillId="21" fontId="2" numFmtId="0" xfId="0" applyBorder="1" applyFont="1"/>
    <xf borderId="59" fillId="21" fontId="2" numFmtId="0" xfId="0" applyBorder="1" applyFont="1"/>
    <xf borderId="60" fillId="2" fontId="24" numFmtId="0" xfId="0" applyAlignment="1" applyBorder="1" applyFont="1">
      <alignment horizontal="right" readingOrder="0" shrinkToFit="0" vertical="center" wrapText="1"/>
    </xf>
    <xf borderId="15" fillId="2" fontId="24" numFmtId="0" xfId="0" applyAlignment="1" applyBorder="1" applyFont="1">
      <alignment horizontal="center" shrinkToFit="0" vertical="center" wrapText="1"/>
    </xf>
    <xf borderId="27" fillId="2" fontId="24" numFmtId="0" xfId="0" applyAlignment="1" applyBorder="1" applyFont="1">
      <alignment horizontal="left" readingOrder="0" shrinkToFit="0" vertical="center" wrapText="1"/>
    </xf>
    <xf borderId="60" fillId="21" fontId="24" numFmtId="0" xfId="0" applyAlignment="1" applyBorder="1" applyFont="1">
      <alignment horizontal="right" readingOrder="0" shrinkToFit="0" vertical="center" wrapText="1"/>
    </xf>
    <xf borderId="0" fillId="21" fontId="24" numFmtId="0" xfId="0" applyAlignment="1" applyFont="1">
      <alignment horizontal="center" readingOrder="0" vertical="center"/>
    </xf>
    <xf borderId="27" fillId="21" fontId="24" numFmtId="0" xfId="0" applyAlignment="1" applyBorder="1" applyFont="1">
      <alignment horizontal="left" readingOrder="0" shrinkToFit="0" vertical="center" wrapText="1"/>
    </xf>
    <xf borderId="61" fillId="2" fontId="24" numFmtId="0" xfId="0" applyAlignment="1" applyBorder="1" applyFont="1">
      <alignment horizontal="right" readingOrder="0" shrinkToFit="0" vertical="center" wrapText="1"/>
    </xf>
    <xf borderId="19" fillId="2" fontId="24" numFmtId="0" xfId="0" applyAlignment="1" applyBorder="1" applyFont="1">
      <alignment horizontal="center" readingOrder="0" shrinkToFit="0" vertical="center" wrapText="1"/>
    </xf>
    <xf borderId="20" fillId="2" fontId="24" numFmtId="0" xfId="0" applyAlignment="1" applyBorder="1" applyFont="1">
      <alignment horizontal="center" shrinkToFit="0" vertical="center" wrapText="1"/>
    </xf>
    <xf borderId="28" fillId="2" fontId="24" numFmtId="0" xfId="0" applyAlignment="1" applyBorder="1" applyFont="1">
      <alignment horizontal="left" readingOrder="0" shrinkToFit="0" vertical="center" wrapText="1"/>
    </xf>
    <xf borderId="62" fillId="21" fontId="34" numFmtId="0" xfId="0" applyAlignment="1" applyBorder="1" applyFont="1">
      <alignment horizontal="left" readingOrder="0" vertical="center"/>
    </xf>
    <xf borderId="63" fillId="21" fontId="24" numFmtId="0" xfId="0" applyAlignment="1" applyBorder="1" applyFont="1">
      <alignment horizontal="center" shrinkToFit="0" vertical="center" wrapText="1"/>
    </xf>
    <xf borderId="41" fillId="21" fontId="24" numFmtId="0" xfId="0" applyAlignment="1" applyBorder="1" applyFont="1">
      <alignment horizontal="left" shrinkToFit="0" vertical="center" wrapText="1"/>
    </xf>
    <xf borderId="42" fillId="0" fontId="3" numFmtId="0" xfId="0" applyAlignment="1" applyBorder="1" applyFont="1">
      <alignment vertical="center"/>
    </xf>
    <xf borderId="43" fillId="0" fontId="3" numFmtId="0" xfId="0" applyAlignment="1" applyBorder="1" applyFont="1">
      <alignment vertical="center"/>
    </xf>
    <xf borderId="35" fillId="2" fontId="24" numFmtId="0" xfId="0" applyAlignment="1" applyBorder="1" applyFont="1">
      <alignment horizontal="right" readingOrder="0" shrinkToFit="0" vertical="center" wrapText="1"/>
    </xf>
    <xf borderId="10" fillId="2" fontId="24" numFmtId="0" xfId="0" applyAlignment="1" applyBorder="1" applyFont="1">
      <alignment horizontal="center" readingOrder="0" shrinkToFit="0" vertical="center" wrapText="0"/>
    </xf>
    <xf borderId="27" fillId="2" fontId="24" numFmtId="0" xfId="0" applyAlignment="1" applyBorder="1" applyFont="1">
      <alignment readingOrder="0" shrinkToFit="0" vertical="center" wrapText="1"/>
    </xf>
    <xf borderId="15" fillId="21" fontId="24" numFmtId="0" xfId="0" applyAlignment="1" applyBorder="1" applyFont="1">
      <alignment horizontal="center" readingOrder="0" shrinkToFit="0" vertical="center" wrapText="0"/>
    </xf>
    <xf borderId="13" fillId="21" fontId="24" numFmtId="0" xfId="0" applyAlignment="1" applyBorder="1" applyFont="1">
      <alignment readingOrder="0" shrinkToFit="0" vertical="center" wrapText="1"/>
    </xf>
    <xf borderId="15" fillId="2" fontId="24" numFmtId="0" xfId="0" applyAlignment="1" applyBorder="1" applyFont="1">
      <alignment horizontal="center" readingOrder="0" shrinkToFit="0" vertical="center" wrapText="0"/>
    </xf>
    <xf borderId="19" fillId="21" fontId="24" numFmtId="0" xfId="0" applyAlignment="1" applyBorder="1" applyFont="1">
      <alignment horizontal="center" readingOrder="0" shrinkToFit="0" vertical="center" wrapText="1"/>
    </xf>
    <xf borderId="20" fillId="21" fontId="24" numFmtId="0" xfId="0" applyAlignment="1" applyBorder="1" applyFont="1">
      <alignment horizontal="center" shrinkToFit="0" vertical="center" wrapText="1"/>
    </xf>
    <xf borderId="20" fillId="21" fontId="24" numFmtId="0" xfId="0" applyAlignment="1" applyBorder="1" applyFont="1">
      <alignment horizontal="center" readingOrder="0" shrinkToFit="0" vertical="center" wrapText="0"/>
    </xf>
    <xf borderId="18" fillId="21" fontId="24" numFmtId="0" xfId="0" applyAlignment="1" applyBorder="1" applyFont="1">
      <alignment readingOrder="0" shrinkToFit="0" vertical="center" wrapText="1"/>
    </xf>
    <xf borderId="64" fillId="2" fontId="30" numFmtId="0" xfId="0" applyAlignment="1" applyBorder="1" applyFont="1">
      <alignment horizontal="left" readingOrder="0" shrinkToFit="0" vertical="center" wrapText="1"/>
    </xf>
    <xf borderId="65" fillId="2" fontId="24" numFmtId="0" xfId="0" applyAlignment="1" applyBorder="1" applyFont="1">
      <alignment horizontal="center" shrinkToFit="0" vertical="center" wrapText="1"/>
    </xf>
    <xf borderId="65" fillId="2" fontId="24" numFmtId="0" xfId="0" applyAlignment="1" applyBorder="1" applyFont="1">
      <alignment horizontal="center" readingOrder="0" shrinkToFit="0" vertical="center" wrapText="1"/>
    </xf>
    <xf borderId="65" fillId="2" fontId="24" numFmtId="0" xfId="0" applyAlignment="1" applyBorder="1" applyFont="1">
      <alignment horizontal="center" readingOrder="0" vertical="center"/>
    </xf>
    <xf borderId="65" fillId="2" fontId="24" numFmtId="0" xfId="0" applyAlignment="1" applyBorder="1" applyFont="1">
      <alignment vertical="center"/>
    </xf>
    <xf borderId="65" fillId="2" fontId="24" numFmtId="0" xfId="0" applyAlignment="1" applyBorder="1" applyFont="1">
      <alignment horizontal="left" shrinkToFit="0" vertical="center" wrapText="1"/>
    </xf>
    <xf borderId="66" fillId="2" fontId="24" numFmtId="0" xfId="0" applyAlignment="1" applyBorder="1" applyFont="1">
      <alignment vertical="center"/>
    </xf>
    <xf borderId="67" fillId="21" fontId="34" numFmtId="0" xfId="0" applyAlignment="1" applyBorder="1" applyFont="1">
      <alignment horizontal="left" readingOrder="0" vertical="center"/>
    </xf>
    <xf borderId="68" fillId="21" fontId="24" numFmtId="0" xfId="0" applyAlignment="1" applyBorder="1" applyFont="1">
      <alignment horizontal="center" shrinkToFit="0" vertical="center" wrapText="1"/>
    </xf>
    <xf borderId="68" fillId="21" fontId="24" numFmtId="0" xfId="0" applyAlignment="1" applyBorder="1" applyFont="1">
      <alignment horizontal="center" vertical="center"/>
    </xf>
    <xf borderId="68" fillId="21" fontId="24" numFmtId="0" xfId="0" applyAlignment="1" applyBorder="1" applyFont="1">
      <alignment horizontal="center" readingOrder="0" vertical="center"/>
    </xf>
    <xf borderId="68" fillId="21" fontId="24" numFmtId="0" xfId="0" applyAlignment="1" applyBorder="1" applyFont="1">
      <alignment vertical="center"/>
    </xf>
    <xf borderId="68" fillId="21" fontId="24" numFmtId="0" xfId="0" applyAlignment="1" applyBorder="1" applyFont="1">
      <alignment horizontal="left" shrinkToFit="0" vertical="center" wrapText="1"/>
    </xf>
    <xf borderId="69" fillId="21" fontId="24" numFmtId="0" xfId="0" applyAlignment="1" applyBorder="1" applyFont="1">
      <alignment vertical="center"/>
    </xf>
    <xf borderId="35" fillId="2" fontId="24" numFmtId="0" xfId="0" applyAlignment="1" applyBorder="1" applyFont="1">
      <alignment horizontal="right" shrinkToFit="0" vertical="center" wrapText="1"/>
    </xf>
    <xf borderId="10" fillId="2" fontId="24" numFmtId="0" xfId="0" applyAlignment="1" applyBorder="1" applyFont="1">
      <alignment horizontal="center" shrinkToFit="0" vertical="center" wrapText="1"/>
    </xf>
    <xf borderId="13" fillId="2" fontId="24" numFmtId="0" xfId="0" applyAlignment="1" applyBorder="1" applyFont="1">
      <alignment readingOrder="0" shrinkToFit="0" vertical="center" wrapText="1"/>
    </xf>
    <xf borderId="35" fillId="21" fontId="24" numFmtId="0" xfId="0" applyAlignment="1" applyBorder="1" applyFont="1">
      <alignment horizontal="right" shrinkToFit="0" vertical="center" wrapText="1"/>
    </xf>
    <xf borderId="10" fillId="21" fontId="24" numFmtId="0" xfId="0" applyAlignment="1" applyBorder="1" applyFont="1">
      <alignment horizontal="center" shrinkToFit="0" vertical="center" wrapText="1"/>
    </xf>
    <xf borderId="60" fillId="2" fontId="24" numFmtId="0" xfId="0" applyAlignment="1" applyBorder="1" applyFont="1">
      <alignment horizontal="right" shrinkToFit="0" vertical="center" wrapText="1"/>
    </xf>
    <xf borderId="70" fillId="21" fontId="24" numFmtId="0" xfId="0" applyAlignment="1" applyBorder="1" applyFont="1">
      <alignment horizontal="right" readingOrder="0" vertical="center"/>
    </xf>
    <xf borderId="71" fillId="21" fontId="24" numFmtId="0" xfId="0" applyAlignment="1" applyBorder="1" applyFont="1">
      <alignment horizontal="center" readingOrder="0" vertical="center"/>
    </xf>
    <xf borderId="72" fillId="21" fontId="24" numFmtId="0" xfId="0" applyAlignment="1" applyBorder="1" applyFont="1">
      <alignment horizontal="center" readingOrder="0" vertical="center"/>
    </xf>
    <xf borderId="20" fillId="21" fontId="24" numFmtId="0" xfId="0" applyAlignment="1" applyBorder="1" applyFont="1">
      <alignment horizontal="center" readingOrder="0" vertical="center"/>
    </xf>
    <xf borderId="20" fillId="21" fontId="24" numFmtId="0" xfId="0" applyAlignment="1" applyBorder="1" applyFont="1">
      <alignment horizontal="center" vertical="center"/>
    </xf>
    <xf borderId="73" fillId="2" fontId="34" numFmtId="0" xfId="0" applyAlignment="1" applyBorder="1" applyFont="1">
      <alignment horizontal="left" readingOrder="0" vertical="center"/>
    </xf>
    <xf borderId="68" fillId="2" fontId="24" numFmtId="0" xfId="0" applyAlignment="1" applyBorder="1" applyFont="1">
      <alignment vertical="center"/>
    </xf>
    <xf borderId="74" fillId="2" fontId="24" numFmtId="0" xfId="0" applyAlignment="1" applyBorder="1" applyFont="1">
      <alignment vertical="center"/>
    </xf>
    <xf borderId="74" fillId="2" fontId="24" numFmtId="0" xfId="0" applyAlignment="1" applyBorder="1" applyFont="1">
      <alignment horizontal="center" vertical="center"/>
    </xf>
    <xf borderId="74" fillId="2" fontId="24" numFmtId="0" xfId="0" applyAlignment="1" applyBorder="1" applyFont="1">
      <alignment horizontal="center" shrinkToFit="0" vertical="center" wrapText="1"/>
    </xf>
    <xf borderId="75" fillId="2" fontId="24" numFmtId="0" xfId="0" applyAlignment="1" applyBorder="1" applyFont="1">
      <alignment vertical="center"/>
    </xf>
    <xf borderId="60" fillId="21" fontId="24" numFmtId="0" xfId="0" applyAlignment="1" applyBorder="1" applyFont="1">
      <alignment horizontal="right" shrinkToFit="0" vertical="center" wrapText="1"/>
    </xf>
    <xf borderId="60" fillId="2" fontId="24" numFmtId="0" xfId="0" applyAlignment="1" applyBorder="1" applyFont="1">
      <alignment horizontal="right" readingOrder="0" vertical="center"/>
    </xf>
    <xf borderId="46" fillId="2" fontId="24" numFmtId="0" xfId="0" applyAlignment="1" applyBorder="1" applyFont="1">
      <alignment readingOrder="0" shrinkToFit="0" vertical="center" wrapText="1"/>
    </xf>
    <xf borderId="60" fillId="21" fontId="24" numFmtId="0" xfId="0" applyAlignment="1" applyBorder="1" applyFont="1">
      <alignment horizontal="right" readingOrder="0" vertical="center"/>
    </xf>
    <xf borderId="61" fillId="2" fontId="24" numFmtId="0" xfId="0" applyAlignment="1" applyBorder="1" applyFont="1">
      <alignment horizontal="right" shrinkToFit="0" vertical="center" wrapText="1"/>
    </xf>
    <xf borderId="18" fillId="2" fontId="24" numFmtId="0" xfId="0" applyAlignment="1" applyBorder="1" applyFont="1">
      <alignment readingOrder="0" shrinkToFit="0" vertical="center" wrapText="1"/>
    </xf>
    <xf borderId="13" fillId="21" fontId="24" numFmtId="0" xfId="0" applyAlignment="1" applyBorder="1" applyFont="1">
      <alignment horizontal="left" readingOrder="0" vertical="center"/>
    </xf>
    <xf borderId="29" fillId="2" fontId="24" numFmtId="0" xfId="0" applyAlignment="1" applyBorder="1" applyFont="1">
      <alignment horizontal="center" readingOrder="0" shrinkToFit="0" vertical="center" wrapText="1"/>
    </xf>
    <xf borderId="14" fillId="21" fontId="24" numFmtId="0" xfId="0" applyAlignment="1" applyBorder="1" applyFont="1">
      <alignment horizontal="center" readingOrder="0" vertical="center"/>
    </xf>
    <xf borderId="15" fillId="21" fontId="24" numFmtId="0" xfId="0" applyAlignment="1" applyBorder="1" applyFont="1">
      <alignment horizontal="center" readingOrder="0" vertical="center"/>
    </xf>
    <xf borderId="15" fillId="21" fontId="24" numFmtId="0" xfId="0" applyAlignment="1" applyBorder="1" applyFont="1">
      <alignment horizontal="center" vertical="center"/>
    </xf>
    <xf borderId="60" fillId="2" fontId="24" numFmtId="0" xfId="0" applyAlignment="1" applyBorder="1" applyFont="1">
      <alignment horizontal="right" vertical="center"/>
    </xf>
    <xf borderId="15" fillId="2" fontId="24" numFmtId="0" xfId="0" applyAlignment="1" applyBorder="1" applyFont="1">
      <alignment horizontal="center" vertical="center"/>
    </xf>
    <xf borderId="13" fillId="2" fontId="24" numFmtId="0" xfId="0" applyAlignment="1" applyBorder="1" applyFont="1">
      <alignment horizontal="left" readingOrder="0" vertical="center"/>
    </xf>
    <xf borderId="29" fillId="21" fontId="24" numFmtId="0" xfId="0" applyAlignment="1" applyBorder="1" applyFont="1">
      <alignment horizontal="center" readingOrder="0" shrinkToFit="0" vertical="center" wrapText="1"/>
    </xf>
    <xf borderId="61" fillId="21" fontId="24" numFmtId="0" xfId="0" applyAlignment="1" applyBorder="1" applyFont="1">
      <alignment horizontal="right" vertical="center"/>
    </xf>
    <xf borderId="19" fillId="21" fontId="24" numFmtId="0" xfId="0" applyAlignment="1" applyBorder="1" applyFont="1">
      <alignment horizontal="center" readingOrder="0" vertical="center"/>
    </xf>
    <xf borderId="18" fillId="21" fontId="24" numFmtId="0" xfId="0" applyAlignment="1" applyBorder="1" applyFont="1">
      <alignment horizontal="left" readingOrder="0" shrinkToFit="0" vertical="center" wrapText="1"/>
    </xf>
    <xf borderId="15" fillId="21" fontId="24" numFmtId="0" xfId="0" applyAlignment="1" applyBorder="1" applyFont="1">
      <alignment horizontal="right" readingOrder="0" vertical="center"/>
    </xf>
    <xf borderId="20" fillId="2" fontId="24" numFmtId="0" xfId="0" applyAlignment="1" applyBorder="1" applyFont="1">
      <alignment horizontal="right" readingOrder="0" vertical="center"/>
    </xf>
    <xf borderId="25" fillId="2" fontId="24" numFmtId="0" xfId="0" applyAlignment="1" applyBorder="1" applyFont="1">
      <alignment horizontal="center" readingOrder="0" vertical="center"/>
    </xf>
    <xf borderId="25" fillId="2" fontId="24" numFmtId="0" xfId="0" applyAlignment="1" applyBorder="1" applyFont="1">
      <alignment horizontal="center" vertical="center"/>
    </xf>
    <xf borderId="76" fillId="2" fontId="24" numFmtId="0" xfId="0" applyAlignment="1" applyBorder="1" applyFont="1">
      <alignment horizontal="left" readingOrder="0" shrinkToFit="0" vertical="center" wrapText="1"/>
    </xf>
    <xf borderId="76" fillId="2" fontId="2" numFmtId="0" xfId="0" applyBorder="1" applyFont="1"/>
    <xf borderId="77" fillId="2" fontId="2" numFmtId="0" xfId="0" applyBorder="1" applyFont="1"/>
    <xf borderId="15" fillId="21" fontId="30" numFmtId="0" xfId="0" applyAlignment="1" applyBorder="1" applyFont="1">
      <alignment horizontal="left" readingOrder="0" shrinkToFit="0" vertical="center" wrapText="1"/>
    </xf>
    <xf borderId="0" fillId="21" fontId="24" numFmtId="0" xfId="0" applyAlignment="1" applyFont="1">
      <alignment horizontal="center" readingOrder="0" vertical="center"/>
    </xf>
    <xf borderId="36" fillId="21" fontId="24" numFmtId="0" xfId="0" applyAlignment="1" applyBorder="1" applyFont="1">
      <alignment horizontal="center" readingOrder="0" vertical="center"/>
    </xf>
    <xf borderId="0" fillId="21" fontId="24" numFmtId="0" xfId="0" applyAlignment="1" applyFont="1">
      <alignment horizontal="left" readingOrder="0" shrinkToFit="0" vertical="center" wrapText="1"/>
    </xf>
    <xf borderId="15" fillId="2" fontId="34" numFmtId="0" xfId="0" applyAlignment="1" applyBorder="1" applyFont="1">
      <alignment horizontal="left" readingOrder="0" vertical="center"/>
    </xf>
    <xf borderId="0" fillId="2" fontId="24" numFmtId="0" xfId="0" applyAlignment="1" applyFont="1">
      <alignment horizontal="center" readingOrder="0" vertical="center"/>
    </xf>
    <xf borderId="0" fillId="2" fontId="24" numFmtId="0" xfId="0" applyAlignment="1" applyFont="1">
      <alignment horizontal="left" readingOrder="0" shrinkToFit="0" vertical="center" wrapText="1"/>
    </xf>
    <xf borderId="15" fillId="21" fontId="26" numFmtId="0" xfId="0" applyAlignment="1" applyBorder="1" applyFont="1">
      <alignment horizontal="right" readingOrder="0" shrinkToFit="0" vertical="center" wrapText="1"/>
    </xf>
    <xf borderId="15" fillId="21" fontId="24" numFmtId="0" xfId="0" applyAlignment="1" applyBorder="1" applyFont="1">
      <alignment horizontal="center" readingOrder="0" vertical="center"/>
    </xf>
    <xf borderId="14" fillId="21" fontId="2" numFmtId="0" xfId="0" applyBorder="1" applyFont="1"/>
    <xf borderId="15" fillId="2" fontId="26" numFmtId="0" xfId="0" applyAlignment="1" applyBorder="1" applyFont="1">
      <alignment horizontal="right" readingOrder="0" shrinkToFit="0" vertical="center" wrapText="1"/>
    </xf>
    <xf borderId="15" fillId="2" fontId="24" numFmtId="0" xfId="0" applyAlignment="1" applyBorder="1" applyFont="1">
      <alignment horizontal="center" readingOrder="0" vertical="center"/>
    </xf>
    <xf borderId="14" fillId="2" fontId="2" numFmtId="0" xfId="0" applyBorder="1" applyFont="1"/>
    <xf borderId="15" fillId="21" fontId="24" numFmtId="0" xfId="0" applyAlignment="1" applyBorder="1" applyFont="1">
      <alignment horizontal="left" readingOrder="0" shrinkToFit="0" vertical="center" wrapText="1"/>
    </xf>
    <xf borderId="15" fillId="21" fontId="24" numFmtId="0" xfId="0" applyAlignment="1" applyBorder="1" applyFont="1">
      <alignment horizontal="left" readingOrder="0" shrinkToFit="0" vertical="center" wrapText="1"/>
    </xf>
    <xf borderId="0" fillId="0" fontId="3" numFmtId="0" xfId="0" applyAlignment="1" applyFont="1">
      <alignment readingOrder="0" vertical="center"/>
    </xf>
    <xf borderId="0" fillId="0" fontId="3" numFmtId="0" xfId="0" applyAlignment="1" applyFont="1">
      <alignment horizontal="center" readingOrder="0" vertical="center"/>
    </xf>
    <xf borderId="0" fillId="0" fontId="3" numFmtId="0" xfId="0" applyAlignment="1" applyFont="1">
      <alignment horizontal="left" shrinkToFit="0" vertical="center" wrapText="1"/>
    </xf>
    <xf borderId="0" fillId="0" fontId="3" numFmtId="0" xfId="0" applyAlignment="1" applyFont="1">
      <alignment readingOrder="0"/>
    </xf>
    <xf borderId="13" fillId="21" fontId="35" numFmtId="0" xfId="0" applyAlignment="1" applyBorder="1" applyFont="1">
      <alignment horizontal="center" readingOrder="0" shrinkToFit="0" vertical="center" wrapText="1"/>
    </xf>
    <xf borderId="13" fillId="0" fontId="36" numFmtId="0" xfId="0" applyAlignment="1" applyBorder="1" applyFont="1">
      <alignment horizontal="center" readingOrder="0" shrinkToFit="0" vertical="center" wrapText="1"/>
    </xf>
    <xf borderId="15" fillId="2" fontId="37" numFmtId="0" xfId="0" applyAlignment="1" applyBorder="1" applyFont="1">
      <alignment horizontal="center" readingOrder="0" shrinkToFit="0" vertical="center" wrapText="1"/>
    </xf>
    <xf borderId="15" fillId="2" fontId="38" numFmtId="0" xfId="0" applyAlignment="1" applyBorder="1" applyFont="1">
      <alignment horizontal="center" readingOrder="0" shrinkToFit="0" vertical="center" wrapText="1"/>
    </xf>
    <xf borderId="15" fillId="0" fontId="21" numFmtId="0" xfId="0" applyAlignment="1" applyBorder="1" applyFont="1">
      <alignment horizontal="center" readingOrder="0" shrinkToFit="0" vertical="center" wrapText="1"/>
    </xf>
    <xf borderId="15" fillId="0" fontId="3" numFmtId="0" xfId="0" applyAlignment="1" applyBorder="1" applyFont="1">
      <alignment horizontal="center" readingOrder="0" shrinkToFit="0" vertical="center" wrapText="1"/>
    </xf>
    <xf borderId="15" fillId="0" fontId="3" numFmtId="0" xfId="0" applyAlignment="1" applyBorder="1" applyFont="1">
      <alignment horizontal="center" readingOrder="0" vertical="center"/>
    </xf>
    <xf borderId="0" fillId="21" fontId="35" numFmtId="0" xfId="0" applyAlignment="1" applyFont="1">
      <alignment horizontal="center" readingOrder="0" vertical="center"/>
    </xf>
    <xf borderId="15" fillId="2" fontId="33" numFmtId="0" xfId="0" applyAlignment="1" applyBorder="1" applyFont="1">
      <alignment horizontal="center" readingOrder="0" shrinkToFit="0" vertical="center" wrapText="1"/>
    </xf>
    <xf borderId="15" fillId="2" fontId="39" numFmtId="0" xfId="0" applyAlignment="1" applyBorder="1" applyFont="1">
      <alignment horizontal="center" readingOrder="0" shrinkToFit="0" vertical="center" wrapText="1"/>
    </xf>
    <xf borderId="0" fillId="0" fontId="3" numFmtId="164" xfId="0" applyAlignment="1" applyFont="1" applyNumberFormat="1">
      <alignment readingOrder="0"/>
    </xf>
    <xf borderId="0" fillId="0" fontId="3" numFmtId="165" xfId="0" applyAlignment="1" applyFont="1" applyNumberFormat="1">
      <alignment readingOrder="0"/>
    </xf>
    <xf borderId="0" fillId="0" fontId="40" numFmtId="0" xfId="0" applyAlignment="1" applyFont="1">
      <alignment horizontal="left" readingOrder="0" vertical="center"/>
    </xf>
    <xf borderId="13" fillId="21" fontId="41" numFmtId="0" xfId="0" applyAlignment="1" applyBorder="1" applyFont="1">
      <alignment horizontal="center" readingOrder="0" shrinkToFit="0" vertical="center" wrapText="1"/>
    </xf>
    <xf borderId="15" fillId="21" fontId="3" numFmtId="0" xfId="0" applyAlignment="1" applyBorder="1" applyFont="1">
      <alignment horizontal="center" readingOrder="0" shrinkToFit="0" vertical="center" wrapText="1"/>
    </xf>
    <xf borderId="15" fillId="2" fontId="42" numFmtId="0" xfId="0" applyAlignment="1" applyBorder="1" applyFont="1">
      <alignment horizontal="center" readingOrder="0" shrinkToFit="0" vertical="center" wrapText="1"/>
    </xf>
    <xf borderId="13" fillId="2" fontId="42" numFmtId="0" xfId="0" applyAlignment="1" applyBorder="1" applyFont="1">
      <alignment horizontal="center" readingOrder="0" shrinkToFit="0" vertical="center" wrapText="1"/>
    </xf>
    <xf borderId="15" fillId="21" fontId="42" numFmtId="0" xfId="0" applyAlignment="1" applyBorder="1" applyFont="1">
      <alignment horizontal="center" readingOrder="0" shrinkToFit="0" vertical="center" wrapText="1"/>
    </xf>
    <xf borderId="13" fillId="21" fontId="42" numFmtId="0" xfId="0" applyAlignment="1" applyBorder="1" applyFont="1">
      <alignment horizontal="center" readingOrder="0" shrinkToFit="0" vertical="center" wrapText="1"/>
    </xf>
    <xf borderId="15" fillId="21" fontId="35" numFmtId="0" xfId="0" applyAlignment="1" applyBorder="1" applyFont="1">
      <alignment horizontal="center" readingOrder="0" shrinkToFit="0" vertical="center" wrapText="1"/>
    </xf>
    <xf borderId="0" fillId="15" fontId="3" numFmtId="0" xfId="0" applyAlignment="1" applyFont="1">
      <alignment horizontal="center" readingOrder="0" shrinkToFit="0" vertical="center" wrapText="1"/>
    </xf>
    <xf borderId="15" fillId="2" fontId="24" numFmtId="0" xfId="0" applyAlignment="1" applyBorder="1" applyFont="1">
      <alignment horizontal="right" readingOrder="0" vertical="center"/>
    </xf>
    <xf borderId="15" fillId="21" fontId="3" numFmtId="0" xfId="0" applyAlignment="1" applyBorder="1" applyFont="1">
      <alignment horizontal="right" readingOrder="0" vertical="center"/>
    </xf>
    <xf borderId="15" fillId="21" fontId="3" numFmtId="0" xfId="0" applyAlignment="1" applyBorder="1" applyFont="1">
      <alignment horizontal="center" readingOrder="0" vertical="center"/>
    </xf>
    <xf borderId="13" fillId="21" fontId="3" numFmtId="0" xfId="0" applyAlignment="1" applyBorder="1" applyFont="1">
      <alignment horizontal="center" readingOrder="0" shrinkToFit="0" vertical="center" wrapText="1"/>
    </xf>
    <xf borderId="15" fillId="2" fontId="3" numFmtId="0" xfId="0" applyAlignment="1" applyBorder="1" applyFont="1">
      <alignment horizontal="right" readingOrder="0" vertical="center"/>
    </xf>
    <xf borderId="15" fillId="2" fontId="3" numFmtId="0" xfId="0" applyAlignment="1" applyBorder="1" applyFont="1">
      <alignment horizontal="center" readingOrder="0" vertical="center"/>
    </xf>
    <xf borderId="13" fillId="2" fontId="3" numFmtId="0" xfId="0" applyAlignment="1" applyBorder="1" applyFont="1">
      <alignment horizontal="center" readingOrder="0" shrinkToFit="0" vertical="center" wrapText="1"/>
    </xf>
    <xf borderId="13" fillId="0" fontId="40" numFmtId="0" xfId="0" applyAlignment="1" applyBorder="1" applyFont="1">
      <alignment readingOrder="0" shrinkToFit="0" vertical="center" wrapText="1"/>
    </xf>
    <xf borderId="78" fillId="22" fontId="43" numFmtId="0" xfId="0" applyAlignment="1" applyBorder="1" applyFill="1" applyFont="1">
      <alignment horizontal="center" shrinkToFit="0" vertical="center" wrapText="1"/>
    </xf>
    <xf borderId="79" fillId="22" fontId="37" numFmtId="0" xfId="0" applyAlignment="1" applyBorder="1" applyFont="1">
      <alignment horizontal="center" readingOrder="0" shrinkToFit="0" vertical="center" wrapText="1"/>
    </xf>
    <xf borderId="80" fillId="22" fontId="37" numFmtId="0" xfId="0" applyAlignment="1" applyBorder="1" applyFont="1">
      <alignment shrinkToFit="0" vertical="center" wrapText="1"/>
    </xf>
    <xf borderId="81" fillId="22" fontId="2" numFmtId="0" xfId="0" applyBorder="1" applyFont="1"/>
    <xf borderId="82" fillId="22" fontId="2" numFmtId="0" xfId="0" applyBorder="1" applyFont="1"/>
    <xf borderId="83" fillId="21" fontId="2" numFmtId="0" xfId="0" applyBorder="1" applyFont="1"/>
    <xf borderId="84" fillId="21" fontId="2" numFmtId="0" xfId="0" applyBorder="1" applyFont="1"/>
    <xf borderId="85" fillId="21" fontId="2" numFmtId="0" xfId="0" applyBorder="1" applyFont="1"/>
    <xf borderId="76" fillId="21" fontId="2" numFmtId="0" xfId="0" applyBorder="1" applyFont="1"/>
    <xf borderId="77" fillId="21" fontId="2" numFmtId="0" xfId="0" applyBorder="1" applyFont="1"/>
    <xf borderId="48" fillId="2" fontId="23" numFmtId="0" xfId="0" applyAlignment="1" applyBorder="1" applyFont="1">
      <alignment horizontal="left" readingOrder="0" shrinkToFit="0" vertical="center" wrapText="1"/>
    </xf>
    <xf borderId="10" fillId="21" fontId="42" numFmtId="0" xfId="0" applyAlignment="1" applyBorder="1" applyFont="1">
      <alignment horizontal="right" readingOrder="0" vertical="center"/>
    </xf>
    <xf borderId="10" fillId="21" fontId="24" numFmtId="0" xfId="0" applyAlignment="1" applyBorder="1" applyFont="1">
      <alignment horizontal="center" readingOrder="0" vertical="center"/>
    </xf>
    <xf borderId="0" fillId="21" fontId="42" numFmtId="0" xfId="0" applyAlignment="1" applyFont="1">
      <alignment horizontal="center" readingOrder="0" shrinkToFit="0" vertical="center" wrapText="1"/>
    </xf>
    <xf borderId="8" fillId="21" fontId="24" numFmtId="0" xfId="0" applyAlignment="1" applyBorder="1" applyFont="1">
      <alignment horizontal="center" readingOrder="0" vertical="center"/>
    </xf>
    <xf borderId="86" fillId="21" fontId="24" numFmtId="0" xfId="0" applyAlignment="1" applyBorder="1" applyFont="1">
      <alignment horizontal="center" shrinkToFit="0" vertical="center" wrapText="1"/>
    </xf>
    <xf borderId="87" fillId="21" fontId="2" numFmtId="0" xfId="0" applyBorder="1" applyFont="1"/>
    <xf borderId="15" fillId="2" fontId="42" numFmtId="0" xfId="0" applyAlignment="1" applyBorder="1" applyFont="1">
      <alignment horizontal="right" readingOrder="0" vertical="center"/>
    </xf>
    <xf borderId="0" fillId="2" fontId="42" numFmtId="0" xfId="0" applyAlignment="1" applyFont="1">
      <alignment horizontal="center" readingOrder="0" shrinkToFit="0" vertical="center" wrapText="1"/>
    </xf>
    <xf borderId="13" fillId="2" fontId="24" numFmtId="0" xfId="0" applyAlignment="1" applyBorder="1" applyFont="1">
      <alignment horizontal="center" readingOrder="0" vertical="center"/>
    </xf>
    <xf borderId="86" fillId="2" fontId="24" numFmtId="0" xfId="0" applyAlignment="1" applyBorder="1" applyFont="1">
      <alignment horizontal="center" shrinkToFit="0" vertical="center" wrapText="1"/>
    </xf>
    <xf borderId="87" fillId="2" fontId="2" numFmtId="0" xfId="0" applyBorder="1" applyFont="1"/>
    <xf borderId="15" fillId="21" fontId="42" numFmtId="0" xfId="0" applyAlignment="1" applyBorder="1" applyFont="1">
      <alignment horizontal="right" readingOrder="0" vertical="center"/>
    </xf>
    <xf borderId="13" fillId="21" fontId="24" numFmtId="0" xfId="0" applyAlignment="1" applyBorder="1" applyFont="1">
      <alignment horizontal="center" readingOrder="0" vertical="center"/>
    </xf>
    <xf borderId="20" fillId="2" fontId="42" numFmtId="0" xfId="0" applyAlignment="1" applyBorder="1" applyFont="1">
      <alignment horizontal="right" readingOrder="0" vertical="center"/>
    </xf>
    <xf borderId="20" fillId="2" fontId="24" numFmtId="0" xfId="0" applyAlignment="1" applyBorder="1" applyFont="1">
      <alignment horizontal="center" readingOrder="0" vertical="center"/>
    </xf>
    <xf borderId="18" fillId="2" fontId="24" numFmtId="0" xfId="0" applyAlignment="1" applyBorder="1" applyFont="1">
      <alignment horizontal="center" readingOrder="0" vertical="center"/>
    </xf>
    <xf borderId="88" fillId="2" fontId="24" numFmtId="0" xfId="0" applyAlignment="1" applyBorder="1" applyFont="1">
      <alignment horizontal="left" readingOrder="0" shrinkToFit="0" vertical="center" wrapText="1"/>
    </xf>
    <xf borderId="89" fillId="2" fontId="2" numFmtId="0" xfId="0" applyBorder="1" applyFont="1"/>
    <xf borderId="48" fillId="21" fontId="44" numFmtId="0" xfId="0" applyAlignment="1" applyBorder="1" applyFont="1">
      <alignment horizontal="left" readingOrder="0" vertical="center"/>
    </xf>
    <xf borderId="74" fillId="21" fontId="24" numFmtId="0" xfId="0" applyAlignment="1" applyBorder="1" applyFont="1">
      <alignment horizontal="center" vertical="center"/>
    </xf>
    <xf borderId="74" fillId="21" fontId="24" numFmtId="0" xfId="0" applyAlignment="1" applyBorder="1" applyFont="1">
      <alignment horizontal="center" shrinkToFit="0" vertical="center" wrapText="1"/>
    </xf>
    <xf borderId="90" fillId="21" fontId="24" numFmtId="0" xfId="0" applyAlignment="1" applyBorder="1" applyFont="1">
      <alignment horizontal="center" shrinkToFit="0" vertical="center" wrapText="1"/>
    </xf>
    <xf borderId="10" fillId="2" fontId="42" numFmtId="0" xfId="0" applyAlignment="1" applyBorder="1" applyFont="1">
      <alignment horizontal="right" readingOrder="0" vertical="center"/>
    </xf>
    <xf borderId="10" fillId="2" fontId="24" numFmtId="0" xfId="0" applyAlignment="1" applyBorder="1" applyFont="1">
      <alignment horizontal="center" readingOrder="0" vertical="center"/>
    </xf>
    <xf borderId="8" fillId="2" fontId="24" numFmtId="0" xfId="0" applyAlignment="1" applyBorder="1" applyFont="1">
      <alignment horizontal="center" readingOrder="0" vertical="center"/>
    </xf>
    <xf borderId="20" fillId="21" fontId="42" numFmtId="0" xfId="0" applyAlignment="1" applyBorder="1" applyFont="1">
      <alignment horizontal="right" readingOrder="0" shrinkToFit="0" vertical="center" wrapText="1"/>
    </xf>
    <xf borderId="37" fillId="21" fontId="24" numFmtId="0" xfId="0" applyAlignment="1" applyBorder="1" applyFont="1">
      <alignment horizontal="center" readingOrder="0" vertical="center"/>
    </xf>
    <xf borderId="88" fillId="21" fontId="24" numFmtId="0" xfId="0" applyAlignment="1" applyBorder="1" applyFont="1">
      <alignment horizontal="center" shrinkToFit="0" vertical="center" wrapText="1"/>
    </xf>
    <xf borderId="89" fillId="21" fontId="2" numFmtId="0" xfId="0" applyBorder="1" applyFont="1"/>
    <xf borderId="48" fillId="2" fontId="23" numFmtId="0" xfId="0" applyAlignment="1" applyBorder="1" applyFont="1">
      <alignment vertical="center"/>
    </xf>
    <xf borderId="90" fillId="2" fontId="24" numFmtId="0" xfId="0" applyAlignment="1" applyBorder="1" applyFont="1">
      <alignment horizontal="center" shrinkToFit="0" vertical="center" wrapText="1"/>
    </xf>
    <xf borderId="10" fillId="21" fontId="42" numFmtId="0" xfId="0" applyAlignment="1" applyBorder="1" applyFont="1">
      <alignment horizontal="right" readingOrder="0" shrinkToFit="0" vertical="center" wrapText="1"/>
    </xf>
    <xf borderId="15" fillId="2" fontId="42" numFmtId="0" xfId="0" applyAlignment="1" applyBorder="1" applyFont="1">
      <alignment horizontal="right" readingOrder="0" shrinkToFit="0" vertical="center" wrapText="1"/>
    </xf>
    <xf borderId="15" fillId="21" fontId="42" numFmtId="0" xfId="0" applyAlignment="1" applyBorder="1" applyFont="1">
      <alignment horizontal="right" readingOrder="0" shrinkToFit="0" vertical="center" wrapText="1"/>
    </xf>
    <xf borderId="48" fillId="2" fontId="44" numFmtId="0" xfId="0" applyAlignment="1" applyBorder="1" applyFont="1">
      <alignment horizontal="left" readingOrder="0" shrinkToFit="0" vertical="center" wrapText="1"/>
    </xf>
    <xf borderId="10" fillId="21" fontId="45" numFmtId="0" xfId="0" applyAlignment="1" applyBorder="1" applyFont="1">
      <alignment horizontal="right" readingOrder="0" shrinkToFit="0" vertical="center" wrapText="1"/>
    </xf>
    <xf borderId="86" fillId="2" fontId="24" numFmtId="0" xfId="0" applyAlignment="1" applyBorder="1" applyFont="1">
      <alignment horizontal="left" readingOrder="0" shrinkToFit="0" vertical="center" wrapText="1"/>
    </xf>
    <xf borderId="29" fillId="21" fontId="24" numFmtId="0" xfId="0" applyAlignment="1" applyBorder="1" applyFont="1">
      <alignment horizontal="center" readingOrder="0" vertical="center"/>
    </xf>
    <xf borderId="86" fillId="21" fontId="24" numFmtId="0" xfId="0" applyAlignment="1" applyBorder="1" applyFont="1">
      <alignment horizontal="left" readingOrder="0" shrinkToFit="0" vertical="center" wrapText="1"/>
    </xf>
    <xf borderId="74" fillId="2" fontId="46" numFmtId="0" xfId="0" applyAlignment="1" applyBorder="1" applyFont="1">
      <alignment readingOrder="0" vertical="center"/>
    </xf>
    <xf borderId="74" fillId="2" fontId="3" numFmtId="0" xfId="0" applyAlignment="1" applyBorder="1" applyFont="1">
      <alignment vertical="center"/>
    </xf>
    <xf borderId="91" fillId="2" fontId="24" numFmtId="0" xfId="0" applyAlignment="1" applyBorder="1" applyFont="1">
      <alignment readingOrder="0" shrinkToFit="0" vertical="center" wrapText="1"/>
    </xf>
    <xf borderId="68" fillId="2" fontId="24" numFmtId="0" xfId="0" applyAlignment="1" applyBorder="1" applyFont="1">
      <alignment shrinkToFit="0" vertical="center" wrapText="1"/>
    </xf>
    <xf borderId="92" fillId="2" fontId="24" numFmtId="0" xfId="0" applyAlignment="1" applyBorder="1" applyFont="1">
      <alignment shrinkToFit="0" vertical="center" wrapText="1"/>
    </xf>
    <xf borderId="10" fillId="21" fontId="3" numFmtId="0" xfId="0" applyAlignment="1" applyBorder="1" applyFont="1">
      <alignment horizontal="right" vertical="center"/>
    </xf>
    <xf borderId="15" fillId="2" fontId="3" numFmtId="0" xfId="0" applyAlignment="1" applyBorder="1" applyFont="1">
      <alignment horizontal="right" vertical="center"/>
    </xf>
    <xf borderId="15" fillId="21" fontId="3" numFmtId="0" xfId="0" applyAlignment="1" applyBorder="1" applyFont="1">
      <alignment horizontal="right" vertical="center"/>
    </xf>
    <xf borderId="0" fillId="21" fontId="3" numFmtId="0" xfId="0" applyAlignment="1" applyFont="1">
      <alignment horizontal="right" vertical="center"/>
    </xf>
    <xf borderId="74" fillId="2" fontId="24" numFmtId="0" xfId="0" applyAlignment="1" applyBorder="1" applyFont="1">
      <alignment horizontal="center" vertical="center"/>
    </xf>
    <xf borderId="93" fillId="2" fontId="24" numFmtId="0" xfId="0" applyAlignment="1" applyBorder="1" applyFont="1">
      <alignment horizontal="center" shrinkToFit="0" vertical="center" wrapText="1"/>
    </xf>
    <xf borderId="94" fillId="2" fontId="24" numFmtId="0" xfId="0" applyAlignment="1" applyBorder="1" applyFont="1">
      <alignment horizontal="center" shrinkToFit="0" vertical="center" wrapText="1"/>
    </xf>
    <xf borderId="20" fillId="21" fontId="3" numFmtId="0" xfId="0" applyAlignment="1" applyBorder="1" applyFont="1">
      <alignment horizontal="right" vertical="center"/>
    </xf>
    <xf borderId="10" fillId="21" fontId="24" numFmtId="0" xfId="0" applyAlignment="1" applyBorder="1" applyFont="1">
      <alignment horizontal="center" vertical="center"/>
    </xf>
    <xf borderId="88" fillId="21" fontId="24" numFmtId="0" xfId="0" applyAlignment="1" applyBorder="1" applyFont="1">
      <alignment shrinkToFit="0" vertical="center" wrapText="1"/>
    </xf>
    <xf borderId="0" fillId="21" fontId="24" numFmtId="0" xfId="0" applyAlignment="1" applyFont="1">
      <alignment shrinkToFit="0" vertical="center" wrapText="1"/>
    </xf>
    <xf borderId="89" fillId="21" fontId="24" numFmtId="0" xfId="0" applyAlignment="1" applyBorder="1" applyFont="1">
      <alignment shrinkToFit="0" vertical="center" wrapText="1"/>
    </xf>
    <xf borderId="88" fillId="2" fontId="24" numFmtId="0" xfId="0" applyAlignment="1" applyBorder="1" applyFont="1">
      <alignment shrinkToFit="0" vertical="center" wrapText="1"/>
    </xf>
    <xf borderId="0" fillId="2" fontId="24" numFmtId="0" xfId="0" applyAlignment="1" applyFont="1">
      <alignment shrinkToFit="0" vertical="center" wrapText="1"/>
    </xf>
    <xf borderId="89" fillId="2" fontId="24" numFmtId="0" xfId="0" applyAlignment="1" applyBorder="1" applyFont="1">
      <alignment shrinkToFit="0" vertical="center" wrapText="1"/>
    </xf>
    <xf borderId="0" fillId="2" fontId="24" numFmtId="0" xfId="0" applyAlignment="1" applyFont="1">
      <alignment readingOrder="0" vertical="center"/>
    </xf>
    <xf borderId="0" fillId="21" fontId="24" numFmtId="0" xfId="0" applyAlignment="1" applyFont="1">
      <alignment readingOrder="0" vertical="center"/>
    </xf>
    <xf borderId="30" fillId="0" fontId="47" numFmtId="0" xfId="0" applyAlignment="1" applyBorder="1" applyFont="1">
      <alignment horizontal="right" shrinkToFit="0" vertical="center" wrapText="1"/>
    </xf>
    <xf borderId="95" fillId="0" fontId="47" numFmtId="0" xfId="0" applyAlignment="1" applyBorder="1" applyFont="1">
      <alignment horizontal="center" shrinkToFit="0" vertical="center" wrapText="1"/>
    </xf>
    <xf borderId="95" fillId="0" fontId="47" numFmtId="0" xfId="0" applyAlignment="1" applyBorder="1" applyFont="1">
      <alignment horizontal="center" readingOrder="0" shrinkToFit="0" vertical="center" wrapText="1"/>
    </xf>
    <xf borderId="33" fillId="0" fontId="47" numFmtId="0" xfId="0" applyAlignment="1" applyBorder="1" applyFont="1">
      <alignment horizontal="center" shrinkToFit="0" vertical="center" wrapText="1"/>
    </xf>
    <xf borderId="96" fillId="0" fontId="47" numFmtId="0" xfId="0" applyAlignment="1" applyBorder="1" applyFont="1">
      <alignment horizontal="center" shrinkToFit="0" wrapText="1"/>
    </xf>
    <xf borderId="0" fillId="0" fontId="47" numFmtId="0" xfId="0" applyAlignment="1" applyFont="1">
      <alignment horizontal="center" shrinkToFit="0" wrapText="1"/>
    </xf>
    <xf borderId="97" fillId="0" fontId="2" numFmtId="0" xfId="0" applyBorder="1" applyFont="1"/>
    <xf borderId="98" fillId="0" fontId="2" numFmtId="0" xfId="0" applyBorder="1" applyFont="1"/>
    <xf borderId="36" fillId="0" fontId="48" numFmtId="0" xfId="0" applyAlignment="1" applyBorder="1" applyFont="1">
      <alignment horizontal="center" readingOrder="0" shrinkToFit="0" vertical="center" wrapText="1"/>
    </xf>
    <xf borderId="0" fillId="0" fontId="48" numFmtId="0" xfId="0" applyAlignment="1" applyFont="1">
      <alignment horizontal="center" readingOrder="0" shrinkToFit="0" vertical="center" wrapText="1"/>
    </xf>
    <xf borderId="0" fillId="0" fontId="48" numFmtId="0" xfId="0" applyAlignment="1" applyFont="1">
      <alignment horizontal="center" shrinkToFit="0" vertical="center" wrapText="1"/>
    </xf>
    <xf borderId="53" fillId="0" fontId="2" numFmtId="0" xfId="0" applyBorder="1" applyFont="1"/>
    <xf borderId="96" fillId="0" fontId="17" numFmtId="0" xfId="0" applyAlignment="1" applyBorder="1" applyFont="1">
      <alignment horizontal="center"/>
    </xf>
    <xf borderId="0" fillId="0" fontId="17" numFmtId="0" xfId="0" applyAlignment="1" applyFont="1">
      <alignment horizontal="center"/>
    </xf>
    <xf borderId="0" fillId="0" fontId="48" numFmtId="0" xfId="0" applyAlignment="1" applyFont="1">
      <alignment horizontal="center" shrinkToFit="0" wrapText="1"/>
    </xf>
    <xf borderId="15" fillId="0" fontId="3" numFmtId="0" xfId="0" applyAlignment="1" applyBorder="1" applyFont="1">
      <alignment horizontal="right" readingOrder="0" shrinkToFit="0" vertical="center" wrapText="1"/>
    </xf>
    <xf borderId="13" fillId="0" fontId="3" numFmtId="0" xfId="0" applyAlignment="1" applyBorder="1" applyFont="1">
      <alignment horizontal="center" readingOrder="0" shrinkToFit="0" vertical="center" wrapText="1"/>
    </xf>
    <xf borderId="15" fillId="0" fontId="3" numFmtId="0" xfId="0" applyAlignment="1" applyBorder="1" applyFont="1">
      <alignment horizontal="right" readingOrder="0" vertical="center"/>
    </xf>
    <xf borderId="15" fillId="0" fontId="3" numFmtId="0" xfId="0" applyAlignment="1" applyBorder="1" applyFont="1">
      <alignment horizontal="center" vertical="center"/>
    </xf>
    <xf borderId="15" fillId="0" fontId="3" numFmtId="0" xfId="0" applyAlignment="1" applyBorder="1" applyFont="1">
      <alignment horizontal="right" vertical="center"/>
    </xf>
    <xf borderId="0" fillId="0" fontId="3" numFmtId="0" xfId="0" applyAlignment="1" applyFont="1">
      <alignment horizontal="right"/>
    </xf>
    <xf borderId="0" fillId="23" fontId="43" numFmtId="0" xfId="0" applyAlignment="1" applyFill="1" applyFont="1">
      <alignment horizontal="center" shrinkToFit="0" vertical="center" wrapText="1"/>
    </xf>
    <xf borderId="0" fillId="23" fontId="49" numFmtId="0" xfId="0" applyAlignment="1" applyFont="1">
      <alignment horizontal="center" readingOrder="0" shrinkToFit="0" vertical="center" wrapText="1"/>
    </xf>
    <xf borderId="0" fillId="23" fontId="37" numFmtId="0" xfId="0" applyAlignment="1" applyFont="1">
      <alignment horizontal="center" readingOrder="0" shrinkToFit="0" vertical="center" wrapText="1"/>
    </xf>
    <xf borderId="0" fillId="23" fontId="37" numFmtId="0" xfId="0" applyAlignment="1" applyFont="1">
      <alignment horizontal="left" readingOrder="0" shrinkToFit="0" vertical="center" wrapText="1"/>
    </xf>
    <xf borderId="0" fillId="2" fontId="26" numFmtId="0" xfId="0" applyAlignment="1" applyFont="1">
      <alignment horizontal="center" readingOrder="0" shrinkToFit="0" vertical="center" wrapText="1"/>
    </xf>
    <xf borderId="0" fillId="2" fontId="26" numFmtId="0" xfId="0" applyAlignment="1" applyFont="1">
      <alignment horizontal="center" readingOrder="0" shrinkToFit="0" vertical="center" wrapText="1"/>
    </xf>
    <xf borderId="0" fillId="2" fontId="26" numFmtId="0" xfId="0" applyAlignment="1" applyFont="1">
      <alignment horizontal="left" readingOrder="0" shrinkToFit="0" vertical="center" wrapText="1"/>
    </xf>
    <xf borderId="0" fillId="2" fontId="24" numFmtId="0" xfId="0" applyAlignment="1" applyFont="1">
      <alignment horizontal="center" shrinkToFit="0" vertical="center" wrapText="1"/>
    </xf>
    <xf borderId="0" fillId="21" fontId="26" numFmtId="0" xfId="0" applyAlignment="1" applyFont="1">
      <alignment horizontal="center" readingOrder="0" shrinkToFit="0" vertical="center" wrapText="1"/>
    </xf>
    <xf borderId="0" fillId="21" fontId="26" numFmtId="0" xfId="0" applyAlignment="1" applyFont="1">
      <alignment horizontal="center" readingOrder="0" shrinkToFit="0" vertical="center" wrapText="1"/>
    </xf>
    <xf borderId="0" fillId="21" fontId="26" numFmtId="0" xfId="0" applyAlignment="1" applyFont="1">
      <alignment horizontal="left" readingOrder="0" shrinkToFit="0" vertical="center" wrapText="1"/>
    </xf>
    <xf borderId="0" fillId="21" fontId="24" numFmtId="0" xfId="0" applyAlignment="1" applyFont="1">
      <alignment horizontal="center" readingOrder="0" shrinkToFit="0" vertical="center" wrapText="1"/>
    </xf>
    <xf borderId="0" fillId="2" fontId="24" numFmtId="0" xfId="0" applyAlignment="1" applyFont="1">
      <alignment horizontal="center" readingOrder="0" shrinkToFit="0" vertical="center" wrapText="1"/>
    </xf>
    <xf borderId="0" fillId="21" fontId="24" numFmtId="0" xfId="0" applyAlignment="1" applyFont="1">
      <alignment horizontal="center" shrinkToFit="0" vertical="center" wrapText="1"/>
    </xf>
    <xf borderId="0" fillId="21" fontId="26" numFmtId="0" xfId="0" applyAlignment="1" applyFont="1">
      <alignment horizontal="center" shrinkToFit="0" vertical="center" wrapText="1"/>
    </xf>
    <xf borderId="0" fillId="21" fontId="26" numFmtId="0" xfId="0" applyAlignment="1" applyFont="1">
      <alignment horizontal="center" shrinkToFit="0" vertical="center" wrapText="1"/>
    </xf>
    <xf borderId="0" fillId="2" fontId="26" numFmtId="0" xfId="0" applyAlignment="1" applyFont="1">
      <alignment horizontal="center" shrinkToFit="0" vertical="center" wrapText="1"/>
    </xf>
    <xf borderId="0" fillId="2" fontId="26" numFmtId="0" xfId="0" applyAlignment="1" applyFont="1">
      <alignment horizontal="center" shrinkToFit="0" vertical="center" wrapText="1"/>
    </xf>
    <xf borderId="0" fillId="21" fontId="3" numFmtId="0" xfId="0" applyAlignment="1" applyFont="1">
      <alignment horizontal="center" readingOrder="0" vertical="center"/>
    </xf>
    <xf borderId="0" fillId="2" fontId="3" numFmtId="0" xfId="0" applyAlignment="1" applyFont="1">
      <alignment horizontal="center" readingOrder="0" vertical="center"/>
    </xf>
    <xf borderId="0" fillId="21" fontId="3" numFmtId="0" xfId="0" applyAlignment="1" applyFont="1">
      <alignment horizontal="center" vertical="center"/>
    </xf>
    <xf borderId="0" fillId="21" fontId="3" numFmtId="0" xfId="0" applyAlignment="1" applyFont="1">
      <alignment horizontal="left" readingOrder="0" shrinkToFit="0" vertical="center" wrapText="1"/>
    </xf>
    <xf borderId="0" fillId="2" fontId="3" numFmtId="0" xfId="0" applyAlignment="1" applyFont="1">
      <alignment horizontal="center" vertical="center"/>
    </xf>
    <xf borderId="0" fillId="2" fontId="3" numFmtId="0" xfId="0" applyAlignment="1" applyFont="1">
      <alignment horizontal="left" readingOrder="0" shrinkToFit="0" vertical="center" wrapText="1"/>
    </xf>
    <xf borderId="0" fillId="21" fontId="3" numFmtId="0" xfId="0" applyAlignment="1" applyFont="1">
      <alignment horizontal="left" readingOrder="0" vertical="center"/>
    </xf>
    <xf borderId="0" fillId="2" fontId="3" numFmtId="0" xfId="0" applyAlignment="1" applyFont="1">
      <alignment horizontal="left" readingOrder="0" vertical="center"/>
    </xf>
    <xf borderId="0" fillId="21" fontId="3" numFmtId="0" xfId="0" applyAlignment="1" applyFont="1">
      <alignment horizontal="center" readingOrder="0" shrinkToFit="0" vertical="center" wrapText="1"/>
    </xf>
    <xf borderId="0" fillId="21" fontId="24" numFmtId="0" xfId="0" applyAlignment="1" applyFont="1">
      <alignment horizontal="center" shrinkToFit="0" wrapText="1"/>
    </xf>
    <xf borderId="0" fillId="21" fontId="50" numFmtId="0" xfId="0" applyFont="1"/>
    <xf borderId="0" fillId="21" fontId="24" numFmtId="0" xfId="0" applyAlignment="1" applyFont="1">
      <alignment shrinkToFit="0" wrapText="1"/>
    </xf>
    <xf borderId="0" fillId="2" fontId="3" numFmtId="0" xfId="0" applyAlignment="1" applyFont="1">
      <alignment horizontal="left" vertical="center"/>
    </xf>
    <xf borderId="0" fillId="21" fontId="3" numFmtId="0" xfId="0" applyAlignment="1" applyFont="1">
      <alignment horizontal="left" vertical="center"/>
    </xf>
    <xf borderId="0" fillId="0" fontId="3" numFmtId="0" xfId="0" applyAlignment="1" applyFont="1">
      <alignment horizontal="left" vertical="center"/>
    </xf>
    <xf borderId="15" fillId="19" fontId="51" numFmtId="0" xfId="0" applyAlignment="1" applyBorder="1" applyFont="1">
      <alignment horizontal="center" readingOrder="0" shrinkToFit="0" vertical="center" wrapText="1"/>
    </xf>
    <xf borderId="15" fillId="19" fontId="52" numFmtId="0" xfId="0" applyAlignment="1" applyBorder="1" applyFont="1">
      <alignment horizontal="center" readingOrder="0" vertical="center"/>
    </xf>
    <xf borderId="0" fillId="0" fontId="53" numFmtId="0" xfId="0" applyAlignment="1" applyFont="1">
      <alignment horizontal="center" vertical="center"/>
    </xf>
    <xf borderId="15" fillId="2" fontId="54" numFmtId="0" xfId="0" applyAlignment="1" applyBorder="1" applyFont="1">
      <alignment horizontal="right" readingOrder="0" shrinkToFit="0" vertical="center" wrapText="1"/>
    </xf>
    <xf borderId="27" fillId="2" fontId="55" numFmtId="0" xfId="0" applyAlignment="1" applyBorder="1" applyFont="1">
      <alignment horizontal="center" readingOrder="0" vertical="top"/>
    </xf>
    <xf borderId="15" fillId="2" fontId="54" numFmtId="0" xfId="0" applyAlignment="1" applyBorder="1" applyFont="1">
      <alignment horizontal="center" readingOrder="0" shrinkToFit="0" vertical="center" wrapText="1"/>
    </xf>
    <xf borderId="15" fillId="2" fontId="55" numFmtId="0" xfId="0" applyAlignment="1" applyBorder="1" applyFont="1">
      <alignment horizontal="center" readingOrder="0" vertical="center"/>
    </xf>
    <xf borderId="0" fillId="0" fontId="56" numFmtId="0" xfId="0" applyAlignment="1" applyFont="1">
      <alignment vertical="center"/>
    </xf>
    <xf borderId="0" fillId="0" fontId="35" numFmtId="0" xfId="0" applyAlignment="1" applyFont="1">
      <alignment horizontal="center" readingOrder="0" vertical="center"/>
    </xf>
    <xf borderId="15" fillId="21" fontId="54" numFmtId="0" xfId="0" applyAlignment="1" applyBorder="1" applyFont="1">
      <alignment horizontal="right" readingOrder="0" shrinkToFit="0" vertical="center" wrapText="1"/>
    </xf>
    <xf borderId="44" fillId="21" fontId="54" numFmtId="0" xfId="0" applyAlignment="1" applyBorder="1" applyFont="1">
      <alignment horizontal="center" readingOrder="0" vertical="top"/>
    </xf>
    <xf borderId="15" fillId="21" fontId="54" numFmtId="0" xfId="0" applyAlignment="1" applyBorder="1" applyFont="1">
      <alignment horizontal="center" readingOrder="0" shrinkToFit="0" vertical="center" wrapText="1"/>
    </xf>
    <xf borderId="15" fillId="21" fontId="55" numFmtId="0" xfId="0" applyAlignment="1" applyBorder="1" applyFont="1">
      <alignment horizontal="center" readingOrder="0" vertical="center"/>
    </xf>
    <xf borderId="0" fillId="0" fontId="56" numFmtId="0" xfId="0" applyAlignment="1" applyFont="1">
      <alignment horizontal="center" vertical="center"/>
    </xf>
    <xf borderId="15" fillId="0" fontId="56" numFmtId="0" xfId="0" applyAlignment="1" applyBorder="1" applyFont="1">
      <alignment horizontal="center" readingOrder="0" vertical="center"/>
    </xf>
    <xf borderId="15" fillId="0" fontId="56" numFmtId="0" xfId="0" applyAlignment="1" applyBorder="1" applyFont="1">
      <alignment horizontal="center" readingOrder="0" shrinkToFit="0" vertical="center" wrapText="1"/>
    </xf>
    <xf borderId="44" fillId="2" fontId="54" numFmtId="0" xfId="0" applyAlignment="1" applyBorder="1" applyFont="1">
      <alignment horizontal="center" readingOrder="0" vertical="top"/>
    </xf>
    <xf borderId="15" fillId="15" fontId="56" numFmtId="0" xfId="0" applyAlignment="1" applyBorder="1" applyFont="1">
      <alignment horizontal="center" readingOrder="0" vertical="center"/>
    </xf>
    <xf borderId="15" fillId="24" fontId="56" numFmtId="0" xfId="0" applyAlignment="1" applyBorder="1" applyFill="1" applyFont="1">
      <alignment horizontal="center" readingOrder="0" vertical="center"/>
    </xf>
    <xf borderId="15" fillId="25" fontId="56" numFmtId="0" xfId="0" applyAlignment="1" applyBorder="1" applyFill="1" applyFont="1">
      <alignment horizontal="center" readingOrder="0" vertical="center"/>
    </xf>
    <xf borderId="15" fillId="16" fontId="56" numFmtId="0" xfId="0" applyAlignment="1" applyBorder="1" applyFont="1">
      <alignment horizontal="center" readingOrder="0" vertical="center"/>
    </xf>
    <xf borderId="15" fillId="16" fontId="56" numFmtId="0" xfId="0" applyAlignment="1" applyBorder="1" applyFont="1">
      <alignment horizontal="center" readingOrder="0" shrinkToFit="0" vertical="center" wrapText="1"/>
    </xf>
    <xf borderId="15" fillId="2" fontId="55" numFmtId="0" xfId="0" applyAlignment="1" applyBorder="1" applyFont="1">
      <alignment horizontal="right" readingOrder="0" vertical="center"/>
    </xf>
    <xf borderId="15" fillId="2" fontId="55" numFmtId="0" xfId="0" applyAlignment="1" applyBorder="1" applyFont="1">
      <alignment horizontal="center" readingOrder="0" shrinkToFit="0" vertical="center" wrapText="1"/>
    </xf>
    <xf borderId="15" fillId="24" fontId="56" numFmtId="0" xfId="0" applyAlignment="1" applyBorder="1" applyFont="1">
      <alignment horizontal="center" readingOrder="0" shrinkToFit="0" vertical="center" wrapText="1"/>
    </xf>
    <xf borderId="44" fillId="2" fontId="54" numFmtId="0" xfId="0" applyAlignment="1" applyBorder="1" applyFont="1">
      <alignment horizontal="center" readingOrder="0" vertical="center"/>
    </xf>
    <xf borderId="15" fillId="21" fontId="57" numFmtId="0" xfId="0" applyAlignment="1" applyBorder="1" applyFont="1">
      <alignment horizontal="center" readingOrder="0" shrinkToFit="0" vertical="center" wrapText="1"/>
    </xf>
    <xf borderId="15" fillId="0" fontId="56" numFmtId="0" xfId="0" applyAlignment="1" applyBorder="1" applyFont="1">
      <alignment horizontal="right" readingOrder="0" shrinkToFit="0" vertical="center" wrapText="1"/>
    </xf>
    <xf borderId="15" fillId="0" fontId="56" numFmtId="0" xfId="0" applyAlignment="1" applyBorder="1" applyFont="1">
      <alignment horizontal="right" readingOrder="0" vertical="center"/>
    </xf>
    <xf borderId="0" fillId="0" fontId="56" numFmtId="0" xfId="0" applyAlignment="1" applyFont="1">
      <alignment horizontal="center" readingOrder="0" shrinkToFit="0" vertical="center" wrapText="1"/>
    </xf>
    <xf borderId="15" fillId="21" fontId="55" numFmtId="0" xfId="0" applyAlignment="1" applyBorder="1" applyFont="1">
      <alignment horizontal="right" readingOrder="0" vertical="center"/>
    </xf>
    <xf borderId="15" fillId="21" fontId="55" numFmtId="0" xfId="0" applyAlignment="1" applyBorder="1" applyFont="1">
      <alignment horizontal="center" readingOrder="0" shrinkToFit="0" vertical="center" wrapText="1"/>
    </xf>
    <xf borderId="0" fillId="2" fontId="55" numFmtId="0" xfId="0" applyAlignment="1" applyFont="1">
      <alignment horizontal="center" readingOrder="0" vertical="center"/>
    </xf>
    <xf borderId="15" fillId="21" fontId="55" numFmtId="0" xfId="0" applyAlignment="1" applyBorder="1" applyFont="1">
      <alignment horizontal="center" shrinkToFit="0" vertical="center" wrapText="1"/>
    </xf>
    <xf borderId="15" fillId="2" fontId="58" numFmtId="0" xfId="0" applyAlignment="1" applyBorder="1" applyFont="1">
      <alignment horizontal="center" readingOrder="0" shrinkToFit="0" vertical="center" wrapText="1"/>
    </xf>
    <xf borderId="0" fillId="0" fontId="56" numFmtId="0" xfId="0" applyAlignment="1" applyFont="1">
      <alignment readingOrder="0" vertical="center"/>
    </xf>
    <xf borderId="0" fillId="0" fontId="56" numFmtId="0" xfId="0" applyAlignment="1" applyFont="1">
      <alignment horizontal="center" readingOrder="0" vertical="center"/>
    </xf>
    <xf borderId="0" fillId="2" fontId="54" numFmtId="0" xfId="0" applyAlignment="1" applyFont="1">
      <alignment horizontal="right" readingOrder="0" shrinkToFit="0" vertical="center" wrapText="1"/>
    </xf>
    <xf borderId="0" fillId="21" fontId="54" numFmtId="0" xfId="0" applyAlignment="1" applyFont="1">
      <alignment horizontal="right" readingOrder="0" shrinkToFit="0" vertical="center" wrapText="1"/>
    </xf>
    <xf borderId="0" fillId="21" fontId="55" numFmtId="0" xfId="0" applyAlignment="1" applyFont="1">
      <alignment horizontal="right" readingOrder="0" vertical="center"/>
    </xf>
    <xf borderId="0" fillId="26" fontId="56" numFmtId="0" xfId="0" applyAlignment="1" applyFill="1" applyFont="1">
      <alignment readingOrder="0" vertical="center"/>
    </xf>
    <xf borderId="0" fillId="0" fontId="59" numFmtId="0" xfId="0" applyAlignment="1" applyFont="1">
      <alignment readingOrder="0" shrinkToFit="0" wrapText="1"/>
    </xf>
    <xf borderId="0" fillId="26" fontId="56" numFmtId="0" xfId="0" applyAlignment="1" applyFont="1">
      <alignment horizontal="center" readingOrder="0" vertical="center"/>
    </xf>
    <xf borderId="0" fillId="26" fontId="56" numFmtId="0" xfId="0" applyAlignment="1" applyFont="1">
      <alignment vertical="center"/>
    </xf>
    <xf borderId="15" fillId="2" fontId="55" numFmtId="0" xfId="0" applyAlignment="1" applyBorder="1" applyFont="1">
      <alignment horizontal="center" vertical="center"/>
    </xf>
    <xf borderId="15" fillId="2" fontId="55" numFmtId="0" xfId="0" applyAlignment="1" applyBorder="1" applyFont="1">
      <alignment horizontal="center" shrinkToFit="0" vertical="center" wrapText="1"/>
    </xf>
    <xf borderId="15" fillId="21" fontId="55" numFmtId="0" xfId="0" applyAlignment="1" applyBorder="1" applyFont="1">
      <alignment horizontal="center" vertical="center"/>
    </xf>
    <xf borderId="15" fillId="2" fontId="55" numFmtId="0" xfId="0" applyAlignment="1" applyBorder="1" applyFont="1">
      <alignment horizontal="right" readingOrder="0"/>
    </xf>
    <xf borderId="15" fillId="21" fontId="55" numFmtId="0" xfId="0" applyAlignment="1" applyBorder="1" applyFont="1">
      <alignment horizontal="right" readingOrder="0"/>
    </xf>
    <xf borderId="15" fillId="2" fontId="55" numFmtId="0" xfId="0" applyAlignment="1" applyBorder="1" applyFont="1">
      <alignment horizontal="right" readingOrder="0" shrinkToFit="0" vertical="center" wrapText="1"/>
    </xf>
    <xf borderId="15" fillId="21" fontId="55" numFmtId="0" xfId="0" applyAlignment="1" applyBorder="1" applyFont="1">
      <alignment horizontal="right" vertical="center"/>
    </xf>
    <xf borderId="15" fillId="2" fontId="55" numFmtId="0" xfId="0" applyAlignment="1" applyBorder="1" applyFont="1">
      <alignment horizontal="right" vertical="center"/>
    </xf>
    <xf borderId="0" fillId="2" fontId="55" numFmtId="0" xfId="0" applyAlignment="1" applyFont="1">
      <alignment horizontal="right" vertical="center"/>
    </xf>
    <xf borderId="0" fillId="2" fontId="55" numFmtId="0" xfId="0" applyAlignment="1" applyFont="1">
      <alignment horizontal="center" vertical="center"/>
    </xf>
    <xf borderId="0" fillId="2" fontId="55" numFmtId="0" xfId="0" applyAlignment="1" applyFont="1">
      <alignment horizontal="center" shrinkToFit="0" vertical="center" wrapText="1"/>
    </xf>
    <xf borderId="0" fillId="21" fontId="55" numFmtId="0" xfId="0" applyAlignment="1" applyFont="1">
      <alignment horizontal="right" vertical="center"/>
    </xf>
    <xf borderId="0" fillId="21" fontId="55" numFmtId="0" xfId="0" applyAlignment="1" applyFont="1">
      <alignment horizontal="center" vertical="center"/>
    </xf>
    <xf borderId="0" fillId="21" fontId="55" numFmtId="0" xfId="0" applyAlignment="1" applyFont="1">
      <alignment horizontal="center" shrinkToFit="0" vertical="center" wrapText="1"/>
    </xf>
    <xf borderId="0" fillId="2" fontId="56" numFmtId="0" xfId="0" applyAlignment="1" applyFont="1">
      <alignment horizontal="right" vertical="center"/>
    </xf>
    <xf borderId="0" fillId="2" fontId="56" numFmtId="0" xfId="0" applyAlignment="1" applyFont="1">
      <alignment horizontal="center" vertical="center"/>
    </xf>
    <xf borderId="0" fillId="2" fontId="56" numFmtId="0" xfId="0" applyAlignment="1" applyFont="1">
      <alignment horizontal="center" shrinkToFit="0" vertical="center" wrapText="1"/>
    </xf>
    <xf borderId="0" fillId="21" fontId="56" numFmtId="0" xfId="0" applyAlignment="1" applyFont="1">
      <alignment horizontal="right" vertical="center"/>
    </xf>
    <xf borderId="0" fillId="21" fontId="56" numFmtId="0" xfId="0" applyAlignment="1" applyFont="1">
      <alignment horizontal="center" vertical="center"/>
    </xf>
    <xf borderId="0" fillId="21" fontId="56" numFmtId="0" xfId="0" applyAlignment="1" applyFont="1">
      <alignment horizontal="center" shrinkToFit="0" vertical="center" wrapText="1"/>
    </xf>
    <xf borderId="0" fillId="19" fontId="51" numFmtId="0" xfId="0" applyAlignment="1" applyFont="1">
      <alignment horizontal="center" readingOrder="0" shrinkToFit="0" vertical="center" wrapText="1"/>
    </xf>
    <xf borderId="27" fillId="2" fontId="55" numFmtId="0" xfId="0" applyAlignment="1" applyBorder="1" applyFont="1">
      <alignment horizontal="center" readingOrder="0" vertical="center"/>
    </xf>
    <xf borderId="0" fillId="2" fontId="54" numFmtId="0" xfId="0" applyAlignment="1" applyFont="1">
      <alignment horizontal="center" readingOrder="0" shrinkToFit="0" vertical="center" wrapText="1"/>
    </xf>
    <xf borderId="44" fillId="21" fontId="55" numFmtId="0" xfId="0" applyAlignment="1" applyBorder="1" applyFont="1">
      <alignment horizontal="center" readingOrder="0" vertical="center"/>
    </xf>
    <xf borderId="0" fillId="21" fontId="54" numFmtId="0" xfId="0" applyAlignment="1" applyFont="1">
      <alignment horizontal="center" readingOrder="0" shrinkToFit="0" vertical="center" wrapText="1"/>
    </xf>
    <xf borderId="44" fillId="2" fontId="55" numFmtId="0" xfId="0" applyAlignment="1" applyBorder="1" applyFont="1">
      <alignment horizontal="center" readingOrder="0" vertical="center"/>
    </xf>
    <xf borderId="44" fillId="21" fontId="54" numFmtId="0" xfId="0" applyAlignment="1" applyBorder="1" applyFont="1">
      <alignment horizontal="center" readingOrder="0" vertical="center"/>
    </xf>
    <xf borderId="44" fillId="2" fontId="54" numFmtId="0" xfId="0" applyAlignment="1" applyBorder="1" applyFont="1">
      <alignment horizontal="center" readingOrder="0" shrinkToFit="0" vertical="center" wrapText="1"/>
    </xf>
    <xf borderId="15" fillId="2" fontId="54" numFmtId="0" xfId="0" applyAlignment="1" applyBorder="1" applyFont="1">
      <alignment horizontal="center" readingOrder="0" vertical="center"/>
    </xf>
    <xf borderId="15" fillId="21" fontId="54" numFmtId="0" xfId="0" applyAlignment="1" applyBorder="1" applyFont="1">
      <alignment horizontal="center" readingOrder="0" vertical="center"/>
    </xf>
    <xf borderId="0" fillId="21" fontId="55" numFmtId="0" xfId="0" applyAlignment="1" applyFont="1">
      <alignment horizontal="center" readingOrder="0" vertical="center"/>
    </xf>
    <xf borderId="15" fillId="21" fontId="54" numFmtId="0" xfId="0" applyAlignment="1" applyBorder="1" applyFont="1">
      <alignment horizontal="center" shrinkToFit="0" vertical="center" wrapText="1"/>
    </xf>
    <xf borderId="37" fillId="21" fontId="54" numFmtId="0" xfId="0" applyAlignment="1" applyBorder="1" applyFont="1">
      <alignment horizontal="center" readingOrder="0" shrinkToFit="0" vertical="center" wrapText="1"/>
    </xf>
    <xf borderId="20" fillId="19" fontId="51" numFmtId="0" xfId="0" applyAlignment="1" applyBorder="1" applyFont="1">
      <alignment horizontal="center" readingOrder="0" shrinkToFit="0" vertical="center" wrapText="1"/>
    </xf>
    <xf borderId="13" fillId="19" fontId="51" numFmtId="0" xfId="0" applyAlignment="1" applyBorder="1" applyFont="1">
      <alignment horizontal="center" readingOrder="0" shrinkToFit="0" vertical="center" wrapText="1"/>
    </xf>
    <xf borderId="10" fillId="2" fontId="2" numFmtId="0" xfId="0" applyBorder="1" applyFont="1"/>
    <xf borderId="15" fillId="2" fontId="60" numFmtId="0" xfId="0" applyAlignment="1" applyBorder="1" applyFont="1">
      <alignment horizontal="center" readingOrder="0" shrinkToFit="0" vertical="center" wrapText="1"/>
    </xf>
    <xf borderId="15" fillId="21" fontId="61" numFmtId="0" xfId="0" applyAlignment="1" applyBorder="1" applyFont="1">
      <alignment horizontal="center" readingOrder="0" shrinkToFit="0" vertical="center" wrapText="1"/>
    </xf>
    <xf borderId="15" fillId="2" fontId="42" numFmtId="0" xfId="0" applyAlignment="1" applyBorder="1" applyFont="1">
      <alignment horizontal="center" readingOrder="0" shrinkToFit="0" vertical="center" wrapText="1"/>
    </xf>
    <xf borderId="15" fillId="21" fontId="42" numFmtId="0" xfId="0" applyAlignment="1" applyBorder="1" applyFont="1">
      <alignment horizontal="center" readingOrder="0" shrinkToFit="0" vertical="center" wrapText="1"/>
    </xf>
    <xf borderId="15" fillId="2" fontId="62" numFmtId="0" xfId="0" applyAlignment="1" applyBorder="1" applyFont="1">
      <alignment horizontal="center" readingOrder="0" shrinkToFit="0" vertical="center" wrapText="1"/>
    </xf>
    <xf borderId="0" fillId="2" fontId="42" numFmtId="0" xfId="0" applyAlignment="1" applyFont="1">
      <alignment horizontal="center" readingOrder="0" shrinkToFit="0" vertical="center" wrapText="1"/>
    </xf>
    <xf borderId="37" fillId="21" fontId="63" numFmtId="0" xfId="0" applyAlignment="1" applyBorder="1" applyFont="1">
      <alignment horizontal="center" readingOrder="0" shrinkToFit="0" vertical="center" wrapText="1"/>
    </xf>
    <xf borderId="0" fillId="21" fontId="42" numFmtId="0" xfId="0" applyAlignment="1" applyFont="1">
      <alignment horizontal="center" readingOrder="0" shrinkToFit="0" vertical="center" wrapText="1"/>
    </xf>
    <xf borderId="37" fillId="2" fontId="64" numFmtId="0" xfId="0" applyAlignment="1" applyBorder="1" applyFont="1">
      <alignment horizontal="center" readingOrder="0" shrinkToFit="0" vertical="center" wrapText="1"/>
    </xf>
    <xf borderId="0" fillId="21" fontId="65" numFmtId="0" xfId="0" applyAlignment="1" applyFont="1">
      <alignment horizontal="center" readingOrder="0" shrinkToFit="0" vertical="center" wrapText="1"/>
    </xf>
    <xf borderId="44" fillId="21" fontId="42" numFmtId="0" xfId="0" applyAlignment="1" applyBorder="1" applyFont="1">
      <alignment horizontal="center" readingOrder="0" shrinkToFit="0" vertical="center" wrapText="1"/>
    </xf>
    <xf borderId="15" fillId="21" fontId="66" numFmtId="0" xfId="0" applyAlignment="1" applyBorder="1" applyFont="1">
      <alignment horizontal="center" readingOrder="0" shrinkToFit="0" vertical="center" wrapText="1"/>
    </xf>
    <xf borderId="37" fillId="21" fontId="26" numFmtId="0" xfId="0" applyAlignment="1" applyBorder="1" applyFont="1">
      <alignment horizontal="center" readingOrder="0" shrinkToFit="0" vertical="center" wrapText="1"/>
    </xf>
    <xf borderId="15" fillId="2" fontId="66" numFmtId="0" xfId="0" applyAlignment="1" applyBorder="1" applyFont="1">
      <alignment horizontal="center" readingOrder="0" shrinkToFit="0" vertical="center" wrapText="1"/>
    </xf>
    <xf borderId="37" fillId="2" fontId="26" numFmtId="0" xfId="0" applyAlignment="1" applyBorder="1" applyFont="1">
      <alignment horizontal="center" readingOrder="0" shrinkToFit="0" vertical="center" wrapText="1"/>
    </xf>
    <xf borderId="36" fillId="2" fontId="42" numFmtId="0" xfId="0" applyAlignment="1" applyBorder="1" applyFont="1">
      <alignment horizontal="center" readingOrder="0" shrinkToFit="0" vertical="center" wrapText="1"/>
    </xf>
    <xf borderId="36" fillId="21" fontId="42" numFmtId="0" xfId="0" applyAlignment="1" applyBorder="1" applyFont="1">
      <alignment horizontal="center" readingOrder="0" shrinkToFit="0" vertical="center" wrapText="1"/>
    </xf>
    <xf borderId="20" fillId="21" fontId="66" numFmtId="0" xfId="0" applyAlignment="1" applyBorder="1" applyFont="1">
      <alignment horizontal="center" readingOrder="0" shrinkToFit="0" vertical="center" wrapText="1"/>
    </xf>
    <xf borderId="20" fillId="21" fontId="42" numFmtId="0" xfId="0" applyAlignment="1" applyBorder="1" applyFont="1">
      <alignment horizontal="center" readingOrder="0" shrinkToFit="0" vertical="center" wrapText="1"/>
    </xf>
    <xf borderId="20" fillId="21" fontId="67" numFmtId="0" xfId="0" applyAlignment="1" applyBorder="1" applyFont="1">
      <alignment horizontal="center" readingOrder="0" shrinkToFit="0" vertical="center" wrapText="1"/>
    </xf>
    <xf borderId="20" fillId="21" fontId="42" numFmtId="0" xfId="0" applyAlignment="1" applyBorder="1" applyFont="1">
      <alignment horizontal="center" readingOrder="0" shrinkToFit="0" vertical="center" wrapText="1"/>
    </xf>
    <xf borderId="15" fillId="2" fontId="26" numFmtId="0" xfId="0" applyAlignment="1" applyBorder="1" applyFont="1">
      <alignment horizontal="center" readingOrder="0" shrinkToFit="0" vertical="center" wrapText="1"/>
    </xf>
    <xf borderId="15" fillId="21" fontId="26" numFmtId="0" xfId="0" applyAlignment="1" applyBorder="1" applyFont="1">
      <alignment horizontal="center" readingOrder="0" shrinkToFit="0" vertical="center" wrapText="1"/>
    </xf>
    <xf borderId="15" fillId="2" fontId="26" numFmtId="0" xfId="0" applyAlignment="1" applyBorder="1" applyFont="1">
      <alignment horizontal="center" readingOrder="0" shrinkToFit="0" vertical="center" wrapText="1"/>
    </xf>
    <xf borderId="15" fillId="21" fontId="26" numFmtId="0" xfId="0" applyAlignment="1" applyBorder="1" applyFont="1">
      <alignment horizontal="center" readingOrder="0" shrinkToFit="0" vertical="center" wrapText="1"/>
    </xf>
    <xf borderId="15" fillId="21" fontId="24" numFmtId="0" xfId="0" applyAlignment="1" applyBorder="1" applyFont="1">
      <alignment horizontal="center" shrinkToFit="0" vertical="center" wrapText="1"/>
    </xf>
    <xf borderId="0" fillId="0" fontId="24" numFmtId="0" xfId="0" applyAlignment="1" applyFont="1">
      <alignment horizontal="center" vertical="center"/>
    </xf>
    <xf borderId="37" fillId="0" fontId="3" numFmtId="0" xfId="0" applyAlignment="1" applyBorder="1" applyFont="1">
      <alignment vertical="center"/>
    </xf>
    <xf borderId="36" fillId="0" fontId="3" numFmtId="0" xfId="0" applyAlignment="1" applyBorder="1" applyFont="1">
      <alignment vertical="center"/>
    </xf>
    <xf borderId="20" fillId="19" fontId="51" numFmtId="0" xfId="0" applyAlignment="1" applyBorder="1" applyFont="1">
      <alignment horizontal="right" readingOrder="0" shrinkToFit="0" vertical="center" wrapText="1"/>
    </xf>
    <xf borderId="0" fillId="21" fontId="42" numFmtId="0" xfId="0" applyAlignment="1" applyFont="1">
      <alignment horizontal="right" readingOrder="0" shrinkToFit="0" vertical="center" wrapText="1"/>
    </xf>
    <xf borderId="0" fillId="2" fontId="42" numFmtId="0" xfId="0" applyAlignment="1" applyFont="1">
      <alignment horizontal="right" readingOrder="0" shrinkToFit="0" vertical="center" wrapText="1"/>
    </xf>
    <xf borderId="0" fillId="2" fontId="68" numFmtId="0" xfId="0" applyAlignment="1" applyFont="1">
      <alignment horizontal="center" readingOrder="0" shrinkToFit="0" vertical="center" wrapText="1"/>
    </xf>
    <xf borderId="0" fillId="0" fontId="24" numFmtId="0" xfId="0" applyAlignment="1" applyFont="1">
      <alignment horizontal="right"/>
    </xf>
    <xf borderId="0" fillId="0" fontId="24" numFmtId="0" xfId="0" applyFont="1"/>
    <xf borderId="99" fillId="19" fontId="69" numFmtId="0" xfId="0" applyAlignment="1" applyBorder="1" applyFont="1">
      <alignment horizontal="center" shrinkToFit="0" wrapText="1"/>
    </xf>
    <xf borderId="81" fillId="19" fontId="69" numFmtId="0" xfId="0" applyAlignment="1" applyBorder="1" applyFont="1">
      <alignment horizontal="center" shrinkToFit="0" vertical="center" wrapText="1"/>
    </xf>
    <xf borderId="81" fillId="19" fontId="2" numFmtId="0" xfId="0" applyBorder="1" applyFont="1"/>
    <xf borderId="82" fillId="19" fontId="2" numFmtId="0" xfId="0" applyBorder="1" applyFont="1"/>
    <xf borderId="100" fillId="2" fontId="2" numFmtId="0" xfId="0" applyBorder="1" applyFont="1"/>
    <xf borderId="101" fillId="19" fontId="42" numFmtId="0" xfId="0" applyAlignment="1" applyBorder="1" applyFont="1">
      <alignment horizontal="center" readingOrder="0" shrinkToFit="0" vertical="center" wrapText="1"/>
    </xf>
    <xf borderId="76" fillId="19" fontId="55" numFmtId="0" xfId="0" applyAlignment="1" applyBorder="1" applyFont="1">
      <alignment horizontal="center" readingOrder="0" shrinkToFit="0" vertical="center" wrapText="1"/>
    </xf>
    <xf borderId="77" fillId="19" fontId="55" numFmtId="0" xfId="0" applyAlignment="1" applyBorder="1" applyFont="1">
      <alignment horizontal="center" readingOrder="0" shrinkToFit="0" vertical="center" wrapText="1"/>
    </xf>
    <xf borderId="102" fillId="2" fontId="70" numFmtId="0" xfId="0" applyAlignment="1" applyBorder="1" applyFont="1">
      <alignment horizontal="center" readingOrder="0" shrinkToFit="0" vertical="center" wrapText="1"/>
    </xf>
    <xf borderId="103" fillId="2" fontId="30" numFmtId="0" xfId="0" applyAlignment="1" applyBorder="1" applyFont="1">
      <alignment horizontal="center" readingOrder="0" shrinkToFit="0" vertical="center" wrapText="1"/>
    </xf>
    <xf borderId="104" fillId="2" fontId="30" numFmtId="0" xfId="0" applyAlignment="1" applyBorder="1" applyFont="1">
      <alignment horizontal="center" readingOrder="0" shrinkToFit="0" vertical="center" wrapText="1"/>
    </xf>
    <xf borderId="105" fillId="2" fontId="30" numFmtId="0" xfId="0" applyAlignment="1" applyBorder="1" applyFont="1">
      <alignment horizontal="center" readingOrder="0" shrinkToFit="0" vertical="center" wrapText="1"/>
    </xf>
    <xf borderId="106" fillId="21" fontId="42" numFmtId="0" xfId="0" applyAlignment="1" applyBorder="1" applyFont="1">
      <alignment horizontal="center" readingOrder="0" shrinkToFit="0" vertical="center" wrapText="1"/>
    </xf>
    <xf borderId="14" fillId="21" fontId="55" numFmtId="0" xfId="0" applyAlignment="1" applyBorder="1" applyFont="1">
      <alignment horizontal="center" readingOrder="0" shrinkToFit="0" vertical="center" wrapText="1"/>
    </xf>
    <xf borderId="16" fillId="21" fontId="55" numFmtId="0" xfId="0" applyAlignment="1" applyBorder="1" applyFont="1">
      <alignment horizontal="center" readingOrder="0" shrinkToFit="0" vertical="center" wrapText="1"/>
    </xf>
    <xf borderId="106" fillId="2" fontId="42" numFmtId="0" xfId="0" applyAlignment="1" applyBorder="1" applyFont="1">
      <alignment horizontal="center" readingOrder="0" shrinkToFit="0" vertical="center" wrapText="1"/>
    </xf>
    <xf borderId="14" fillId="2" fontId="55" numFmtId="0" xfId="0" applyAlignment="1" applyBorder="1" applyFont="1">
      <alignment horizontal="center" readingOrder="0" shrinkToFit="0" vertical="center" wrapText="1"/>
    </xf>
    <xf borderId="16" fillId="2" fontId="55" numFmtId="0" xfId="0" applyAlignment="1" applyBorder="1" applyFont="1">
      <alignment horizontal="center" readingOrder="0" shrinkToFit="0" vertical="center" wrapText="1"/>
    </xf>
    <xf borderId="14" fillId="21" fontId="55" numFmtId="0" xfId="0" applyAlignment="1" applyBorder="1" applyFont="1">
      <alignment horizontal="center" shrinkToFit="0" vertical="center" wrapText="1"/>
    </xf>
    <xf borderId="16" fillId="21" fontId="55" numFmtId="0" xfId="0" applyAlignment="1" applyBorder="1" applyFont="1">
      <alignment horizontal="center" shrinkToFit="0" vertical="center" wrapText="1"/>
    </xf>
    <xf borderId="14" fillId="2" fontId="55" numFmtId="0" xfId="0" applyAlignment="1" applyBorder="1" applyFont="1">
      <alignment horizontal="center" shrinkToFit="0" vertical="center" wrapText="1"/>
    </xf>
    <xf borderId="16" fillId="2" fontId="55" numFmtId="0" xfId="0" applyAlignment="1" applyBorder="1" applyFont="1">
      <alignment horizontal="center" shrinkToFit="0" vertical="center" wrapText="1"/>
    </xf>
    <xf borderId="107" fillId="2" fontId="42" numFmtId="0" xfId="0" applyAlignment="1" applyBorder="1" applyFont="1">
      <alignment horizontal="center" readingOrder="0" shrinkToFit="0" vertical="center" wrapText="1"/>
    </xf>
    <xf borderId="15" fillId="0" fontId="35" numFmtId="0" xfId="0" applyAlignment="1" applyBorder="1" applyFont="1">
      <alignment horizontal="center" readingOrder="0" vertical="center"/>
    </xf>
    <xf borderId="15" fillId="0" fontId="35" numFmtId="0" xfId="0" applyAlignment="1" applyBorder="1" applyFont="1">
      <alignment horizontal="center" readingOrder="0" shrinkToFit="0" vertical="center" wrapText="1"/>
    </xf>
    <xf borderId="15" fillId="0" fontId="3" numFmtId="0" xfId="0" applyAlignment="1" applyBorder="1" applyFont="1">
      <alignment horizontal="center" readingOrder="0" vertical="center"/>
    </xf>
    <xf borderId="15" fillId="0" fontId="3" numFmtId="0" xfId="0" applyAlignment="1" applyBorder="1" applyFont="1">
      <alignment horizontal="center" readingOrder="0" shrinkToFit="0" vertical="center" wrapText="1"/>
    </xf>
    <xf borderId="15" fillId="0" fontId="3" numFmtId="0" xfId="0" applyAlignment="1" applyBorder="1" applyFont="1">
      <alignment horizontal="center" vertical="center"/>
    </xf>
    <xf borderId="15" fillId="0" fontId="3" numFmtId="0" xfId="0" applyAlignment="1" applyBorder="1" applyFont="1">
      <alignment readingOrder="0" vertical="center"/>
    </xf>
    <xf borderId="15" fillId="0" fontId="3" numFmtId="166" xfId="0" applyAlignment="1" applyBorder="1" applyFont="1" applyNumberFormat="1">
      <alignment horizontal="center" readingOrder="0" vertical="center"/>
    </xf>
    <xf borderId="15" fillId="0" fontId="3" numFmtId="0" xfId="0" applyAlignment="1" applyBorder="1" applyFont="1">
      <alignment horizontal="center" shrinkToFit="0" vertical="center" wrapText="1"/>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vertical="center"/>
    </xf>
    <xf borderId="0" fillId="0" fontId="35" numFmtId="0" xfId="0" applyAlignment="1" applyFont="1">
      <alignment horizontal="center" readingOrder="0" shrinkToFit="0" vertical="center" wrapText="1"/>
    </xf>
    <xf borderId="0" fillId="0" fontId="56" numFmtId="0" xfId="0" applyAlignment="1" applyFont="1">
      <alignment horizontal="center" readingOrder="0" vertical="center"/>
    </xf>
    <xf borderId="0" fillId="0" fontId="56" numFmtId="0" xfId="0" applyAlignment="1" applyFont="1">
      <alignment horizontal="center" readingOrder="0" shrinkToFit="0" vertical="center" wrapText="1"/>
    </xf>
    <xf borderId="0" fillId="0" fontId="56" numFmtId="0" xfId="0" applyAlignment="1" applyFont="1">
      <alignment horizontal="left" readingOrder="0" shrinkToFit="0" vertical="center" wrapText="1"/>
    </xf>
    <xf borderId="0" fillId="0" fontId="56" numFmtId="0" xfId="0" applyAlignment="1" applyFont="1">
      <alignment horizontal="center" readingOrder="0" shrinkToFit="0" vertical="center" wrapText="1"/>
    </xf>
    <xf borderId="0" fillId="0" fontId="3" numFmtId="0" xfId="0" applyAlignment="1" applyFont="1">
      <alignment readingOrder="0"/>
    </xf>
    <xf borderId="0" fillId="21" fontId="26" numFmtId="0" xfId="0" applyAlignment="1" applyFont="1">
      <alignment horizontal="center" readingOrder="0" shrinkToFit="0" vertical="center" wrapText="1"/>
    </xf>
    <xf borderId="0" fillId="2" fontId="26" numFmtId="0" xfId="0" applyAlignment="1" applyFont="1">
      <alignment horizontal="center" readingOrder="0" shrinkToFit="0" vertical="center" wrapText="1"/>
    </xf>
    <xf borderId="0" fillId="21" fontId="24" numFmtId="0" xfId="0" applyAlignment="1" applyFont="1">
      <alignment horizontal="center" readingOrder="0"/>
    </xf>
    <xf borderId="0" fillId="2" fontId="24" numFmtId="0" xfId="0" applyAlignment="1" applyFont="1">
      <alignment horizontal="center" readingOrder="0"/>
    </xf>
    <xf borderId="0" fillId="0" fontId="26" numFmtId="0" xfId="0" applyFont="1"/>
    <xf borderId="0" fillId="0" fontId="3" numFmtId="0" xfId="0" applyAlignment="1" applyFont="1">
      <alignment horizontal="center" readingOrder="0"/>
    </xf>
    <xf borderId="0" fillId="0" fontId="3" numFmtId="0" xfId="0" applyAlignment="1" applyFont="1">
      <alignment horizontal="right" readingOrder="0"/>
    </xf>
    <xf borderId="0" fillId="0" fontId="3" numFmtId="167" xfId="0" applyAlignment="1" applyFont="1" applyNumberFormat="1">
      <alignment horizontal="center" readingOrder="0"/>
    </xf>
    <xf borderId="0" fillId="0" fontId="50" numFmtId="0" xfId="0" applyAlignment="1" applyFont="1">
      <alignment horizontal="right" shrinkToFit="0" vertical="center" wrapText="1"/>
    </xf>
    <xf borderId="0" fillId="0" fontId="50" numFmtId="0" xfId="0" applyAlignment="1" applyFont="1">
      <alignment horizontal="center" shrinkToFit="0" wrapText="1"/>
    </xf>
    <xf borderId="0" fillId="0" fontId="50" numFmtId="0" xfId="0" applyAlignment="1" applyFont="1">
      <alignment horizontal="right" vertical="center"/>
    </xf>
    <xf borderId="0" fillId="0" fontId="50" numFmtId="0" xfId="0" applyAlignment="1" applyFont="1">
      <alignment horizontal="center"/>
    </xf>
    <xf borderId="0" fillId="0" fontId="3" numFmtId="0" xfId="0" applyAlignment="1" applyFont="1">
      <alignment horizontal="right" readingOrder="0" shrinkToFit="0" vertical="center" wrapText="1"/>
    </xf>
    <xf borderId="44" fillId="0" fontId="3" numFmtId="0" xfId="0" applyBorder="1" applyFont="1"/>
    <xf borderId="9" fillId="0" fontId="3" numFmtId="0" xfId="0" applyBorder="1" applyFont="1"/>
    <xf borderId="8" fillId="0" fontId="3" numFmtId="0" xfId="0" applyBorder="1" applyFont="1"/>
    <xf borderId="37" fillId="0" fontId="3" numFmtId="0" xfId="0" applyBorder="1" applyFont="1"/>
    <xf borderId="36" fillId="0" fontId="3" numFmtId="0" xfId="0" applyBorder="1" applyFont="1"/>
    <xf borderId="29" fillId="0" fontId="3" numFmtId="0" xfId="0" applyBorder="1" applyFont="1"/>
    <xf borderId="15" fillId="0" fontId="3" numFmtId="0" xfId="0" applyAlignment="1" applyBorder="1" applyFont="1">
      <alignment horizontal="center" readingOrder="0"/>
    </xf>
    <xf borderId="13" fillId="0" fontId="71" numFmtId="0" xfId="0" applyAlignment="1" applyBorder="1" applyFont="1">
      <alignment horizontal="center" readingOrder="0" shrinkToFit="0" vertical="center" wrapText="1"/>
    </xf>
    <xf borderId="15" fillId="27" fontId="20" numFmtId="0" xfId="0" applyAlignment="1" applyBorder="1" applyFill="1" applyFont="1">
      <alignment horizontal="center" readingOrder="0" shrinkToFit="0" vertical="center" wrapText="1"/>
    </xf>
    <xf borderId="15" fillId="27" fontId="72" numFmtId="0" xfId="0" applyAlignment="1" applyBorder="1" applyFont="1">
      <alignment horizontal="center" readingOrder="0" shrinkToFit="0" vertical="center" wrapText="1"/>
    </xf>
    <xf borderId="0" fillId="0" fontId="3" numFmtId="0" xfId="0" applyAlignment="1" applyFont="1">
      <alignment readingOrder="0" shrinkToFit="0" vertical="center" wrapText="1"/>
    </xf>
    <xf borderId="15" fillId="27" fontId="3" numFmtId="0" xfId="0" applyAlignment="1" applyBorder="1" applyFont="1">
      <alignment horizontal="center" readingOrder="0" shrinkToFit="0" vertical="center" wrapText="1"/>
    </xf>
    <xf borderId="0" fillId="0" fontId="3" numFmtId="0" xfId="0" applyAlignment="1" applyFont="1">
      <alignment readingOrder="0" shrinkToFit="0" wrapText="1"/>
    </xf>
    <xf borderId="15" fillId="0" fontId="20" numFmtId="0" xfId="0" applyAlignment="1" applyBorder="1" applyFont="1">
      <alignment horizontal="center" readingOrder="0" shrinkToFit="0" vertical="center" wrapText="1"/>
    </xf>
    <xf borderId="13" fillId="0" fontId="20" numFmtId="0" xfId="0" applyAlignment="1" applyBorder="1" applyFont="1">
      <alignment readingOrder="0" shrinkToFit="0" vertical="center" wrapText="1"/>
    </xf>
    <xf borderId="13" fillId="27" fontId="71" numFmtId="0" xfId="0" applyAlignment="1" applyBorder="1" applyFont="1">
      <alignment horizontal="left" readingOrder="0" shrinkToFit="0" vertical="center" wrapText="1"/>
    </xf>
    <xf borderId="13" fillId="0" fontId="3" numFmtId="0" xfId="0" applyAlignment="1" applyBorder="1" applyFont="1">
      <alignment readingOrder="0" shrinkToFit="0" vertical="center" wrapText="1"/>
    </xf>
    <xf borderId="15" fillId="27" fontId="3" numFmtId="0" xfId="0" applyAlignment="1" applyBorder="1" applyFont="1">
      <alignment horizontal="right" readingOrder="0" shrinkToFit="0" vertical="center" wrapText="1"/>
    </xf>
    <xf borderId="13" fillId="27" fontId="3" numFmtId="0" xfId="0" applyAlignment="1" applyBorder="1" applyFont="1">
      <alignment readingOrder="0" shrinkToFit="0" vertical="center" wrapText="1"/>
    </xf>
    <xf borderId="13" fillId="0" fontId="71" numFmtId="0" xfId="0" applyAlignment="1" applyBorder="1" applyFont="1">
      <alignment horizontal="left" readingOrder="0" shrinkToFit="0" vertical="center" wrapText="1"/>
    </xf>
    <xf borderId="13" fillId="27" fontId="3" numFmtId="0" xfId="0" applyAlignment="1" applyBorder="1" applyFont="1">
      <alignment readingOrder="0" shrinkToFit="0" wrapText="1"/>
    </xf>
    <xf borderId="13" fillId="0" fontId="3" numFmtId="0" xfId="0" applyAlignment="1" applyBorder="1" applyFont="1">
      <alignment readingOrder="0" shrinkToFit="0" wrapText="1"/>
    </xf>
    <xf borderId="13" fillId="27" fontId="3" numFmtId="0" xfId="0" applyAlignment="1" applyBorder="1" applyFont="1">
      <alignment horizontal="left" readingOrder="0" shrinkToFit="0" vertical="center" wrapText="1"/>
    </xf>
    <xf borderId="15" fillId="26" fontId="3" numFmtId="0" xfId="0" applyAlignment="1" applyBorder="1" applyFont="1">
      <alignment horizontal="right" readingOrder="0" shrinkToFit="0" vertical="center" wrapText="1"/>
    </xf>
    <xf borderId="15" fillId="26" fontId="3" numFmtId="0" xfId="0" applyAlignment="1" applyBorder="1" applyFont="1">
      <alignment horizontal="center" readingOrder="0" shrinkToFit="0" vertical="center" wrapText="1"/>
    </xf>
    <xf borderId="13" fillId="26" fontId="3" numFmtId="0" xfId="0" applyAlignment="1" applyBorder="1" applyFont="1">
      <alignment readingOrder="0" shrinkToFit="0" vertical="center" wrapText="1"/>
    </xf>
    <xf borderId="20" fillId="26" fontId="3" numFmtId="0" xfId="0" applyAlignment="1" applyBorder="1" applyFont="1">
      <alignment horizontal="right" readingOrder="0" shrinkToFit="0" vertical="center" wrapText="1"/>
    </xf>
    <xf borderId="20" fillId="26" fontId="3" numFmtId="0" xfId="0" applyAlignment="1" applyBorder="1" applyFont="1">
      <alignment horizontal="center" readingOrder="0" shrinkToFit="0" vertical="center" wrapText="1"/>
    </xf>
    <xf borderId="18" fillId="26" fontId="3" numFmtId="0" xfId="0" applyAlignment="1" applyBorder="1" applyFont="1">
      <alignment readingOrder="0" shrinkToFit="0" wrapText="1"/>
    </xf>
    <xf borderId="28" fillId="0" fontId="2" numFmtId="0" xfId="0" applyBorder="1" applyFont="1"/>
    <xf borderId="0" fillId="26" fontId="71" numFmtId="0" xfId="0" applyAlignment="1" applyFont="1">
      <alignment horizontal="left" readingOrder="0" shrinkToFit="0" vertical="center" wrapText="1"/>
    </xf>
    <xf borderId="15" fillId="27" fontId="3" numFmtId="0" xfId="0" applyAlignment="1" applyBorder="1" applyFont="1">
      <alignment horizontal="right" readingOrder="0"/>
    </xf>
    <xf borderId="15" fillId="27" fontId="3" numFmtId="0" xfId="0" applyAlignment="1" applyBorder="1" applyFont="1">
      <alignment horizontal="center" readingOrder="0"/>
    </xf>
    <xf borderId="13" fillId="27" fontId="3" numFmtId="0" xfId="0" applyAlignment="1" applyBorder="1" applyFont="1">
      <alignment horizontal="left" readingOrder="0"/>
    </xf>
    <xf borderId="13" fillId="26" fontId="71" numFmtId="0" xfId="0" applyAlignment="1" applyBorder="1" applyFont="1">
      <alignment horizontal="left" readingOrder="0" shrinkToFit="0" vertical="center" wrapText="1"/>
    </xf>
    <xf borderId="20" fillId="27" fontId="3" numFmtId="0" xfId="0" applyAlignment="1" applyBorder="1" applyFont="1">
      <alignment horizontal="right" readingOrder="0" shrinkToFit="0" vertical="center" wrapText="1"/>
    </xf>
    <xf borderId="20" fillId="27" fontId="3" numFmtId="0" xfId="0" applyAlignment="1" applyBorder="1" applyFont="1">
      <alignment horizontal="center" readingOrder="0" shrinkToFit="0" vertical="center" wrapText="1"/>
    </xf>
    <xf borderId="18" fillId="27" fontId="3" numFmtId="0" xfId="0" applyAlignment="1" applyBorder="1" applyFont="1">
      <alignment readingOrder="0" shrinkToFit="0" wrapText="1"/>
    </xf>
    <xf borderId="15" fillId="27" fontId="3" numFmtId="0" xfId="0" applyAlignment="1" applyBorder="1" applyFont="1">
      <alignment horizontal="right" readingOrder="0" vertical="center"/>
    </xf>
    <xf borderId="15" fillId="27" fontId="3" numFmtId="0" xfId="0" applyAlignment="1" applyBorder="1" applyFont="1">
      <alignment horizontal="center" readingOrder="0" vertical="center"/>
    </xf>
    <xf borderId="13" fillId="27" fontId="36" numFmtId="0" xfId="0" applyAlignment="1" applyBorder="1" applyFont="1">
      <alignment horizontal="center" readingOrder="0"/>
    </xf>
    <xf borderId="13" fillId="0" fontId="3" numFmtId="0" xfId="0" applyAlignment="1" applyBorder="1" applyFont="1">
      <alignment horizontal="left" readingOrder="0" shrinkToFit="0" vertical="center" wrapText="1"/>
    </xf>
    <xf borderId="13" fillId="0" fontId="3" numFmtId="0" xfId="0" applyAlignment="1" applyBorder="1" applyFont="1">
      <alignment horizontal="right" readingOrder="0" shrinkToFit="0" vertical="center" wrapText="1"/>
    </xf>
    <xf borderId="27" fillId="0" fontId="3" numFmtId="0" xfId="0" applyAlignment="1" applyBorder="1" applyFont="1">
      <alignment horizontal="center" readingOrder="0" shrinkToFit="0" vertical="center" wrapText="1"/>
    </xf>
    <xf borderId="27" fillId="0" fontId="3" numFmtId="0" xfId="0" applyAlignment="1" applyBorder="1" applyFont="1">
      <alignment readingOrder="0" shrinkToFit="0" vertical="center" wrapText="1"/>
    </xf>
    <xf borderId="0" fillId="0" fontId="3" numFmtId="0" xfId="0" applyAlignment="1" applyFont="1">
      <alignment horizontal="right" shrinkToFit="0" vertical="center" wrapText="1"/>
    </xf>
    <xf borderId="0" fillId="0" fontId="3"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93C47D"/>
          <bgColor rgb="FF93C47D"/>
        </patternFill>
      </fill>
      <border/>
    </dxf>
    <dxf>
      <font/>
      <fill>
        <patternFill patternType="solid">
          <fgColor rgb="FFFFD966"/>
          <bgColor rgb="FFFFD966"/>
        </patternFill>
      </fill>
      <border/>
    </dxf>
    <dxf>
      <font>
        <color theme="5"/>
      </font>
      <fill>
        <patternFill patternType="none"/>
      </fill>
      <border/>
    </dxf>
    <dxf>
      <font/>
      <fill>
        <patternFill patternType="solid">
          <fgColor rgb="FFF1C232"/>
          <bgColor rgb="FFF1C232"/>
        </patternFill>
      </fill>
      <border/>
    </dxf>
  </dxfs>
  <tableStyles count="3">
    <tableStyle count="2" pivot="0" name="Импланты V0.1-style">
      <tableStyleElement dxfId="1" type="firstRowStripe"/>
      <tableStyleElement dxfId="2" type="secondRowStripe"/>
    </tableStyle>
    <tableStyle count="3" pivot="0" name="Магические предметы V0-style">
      <tableStyleElement dxfId="4" type="headerRow"/>
      <tableStyleElement dxfId="1" type="firstRowStripe"/>
      <tableStyleElement dxfId="2" type="secondRowStripe"/>
    </tableStyle>
    <tableStyle count="3" pivot="0" name="Заклинания V0-style">
      <tableStyleElement dxfId="4"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X62:AC64" displayName="Table_1" name="Table_1" id="1">
  <tableColumns count="6">
    <tableColumn name="Column1" id="1"/>
    <tableColumn name="Column2" id="2"/>
    <tableColumn name="Column3" id="3"/>
    <tableColumn name="Column4" id="4"/>
    <tableColumn name="Column5" id="5"/>
    <tableColumn name="Column6" id="6"/>
  </tableColumns>
  <tableStyleInfo name="Импланты V0.1-style" showColumnStripes="0" showFirstColumn="1" showLastColumn="1" showRowStripes="1"/>
</table>
</file>

<file path=xl/tables/table2.xml><?xml version="1.0" encoding="utf-8"?>
<table xmlns="http://schemas.openxmlformats.org/spreadsheetml/2006/main" ref="A1:R605" displayName="Table_2" name="Table_2" id="2">
  <tableColumns count="18">
    <tableColumn name="Номер" id="1"/>
    <tableColumn name="Название" id="2"/>
    <tableColumn name="Редкость" id="3"/>
    <tableColumn name="Тип" id="4"/>
    <tableColumn name="Подтип" id="5"/>
    <tableColumn name="Слот" id="6"/>
    <tableColumn name="Источник" id="7"/>
    <tableColumn name="Ранг" id="8"/>
    <tableColumn name="Материалы" id="9"/>
    <tableColumn name="Торги" id="10"/>
    <tableColumn name="Стоимость" id="11"/>
    <tableColumn name="Влиятельность" id="12"/>
    <tableColumn name="Настройка" id="13"/>
    <tableColumn name="Настройка детали" id="14"/>
    <tableColumn name="Расходник" id="15"/>
    <tableColumn name="РЕВОРК" id="16"/>
    <tableColumn name="Описание" id="17"/>
    <tableColumn name="Value" id="18"/>
  </tableColumns>
  <tableStyleInfo name="Магические предметы V0-style" showColumnStripes="0" showFirstColumn="1" showLastColumn="1" showRowStripes="1"/>
</table>
</file>

<file path=xl/tables/table3.xml><?xml version="1.0" encoding="utf-8"?>
<table xmlns="http://schemas.openxmlformats.org/spreadsheetml/2006/main" ref="A1:M3" displayName="Table_3" name="Table_3" id="3">
  <tableColumns count="13">
    <tableColumn name="Номер" id="1"/>
    <tableColumn name="Название" id="2"/>
    <tableColumn name="Источник" id="3"/>
    <tableColumn name="Уровень" id="4"/>
    <tableColumn name="Школа магии" id="5"/>
    <tableColumn name="Время накладывания" id="6"/>
    <tableColumn name="Дистанция" id="7"/>
    <tableColumn name="Компоненты" id="8"/>
    <tableColumn name="Длительность" id="9"/>
    <tableColumn name="Классы" id="10"/>
    <tableColumn name="Подклассы" id="11"/>
    <tableColumn name="Описание" id="12"/>
    <tableColumn name="На больших уровнях" id="13"/>
  </tableColumns>
  <tableStyleInfo name="Заклинания V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document/d/1a2k-CnJxJWiX7aC3nPbLt3TIaQD5_0cGsl0I1Iihy3E/edit?tab=t.0" TargetMode="External"/><Relationship Id="rId10" Type="http://schemas.openxmlformats.org/officeDocument/2006/relationships/hyperlink" Target="https://docs.google.com/document/d/1a2k-CnJxJWiX7aC3nPbLt3TIaQD5_0cGsl0I1Iihy3E/edit?tab=t.0" TargetMode="External"/><Relationship Id="rId13" Type="http://schemas.openxmlformats.org/officeDocument/2006/relationships/hyperlink" Target="https://docs.google.com/spreadsheets/d/1aEoilT1IR9E5ZkdagfV7CP-5AUY33Gd7dmmHHKzdh2o/edit?gid=1185128370" TargetMode="External"/><Relationship Id="rId12" Type="http://schemas.openxmlformats.org/officeDocument/2006/relationships/hyperlink" Target="https://docs.google.com/document/d/1a2k-CnJxJWiX7aC3nPbLt3TIaQD5_0cGsl0I1Iihy3E/edit?tab=t.0" TargetMode="External"/><Relationship Id="rId1" Type="http://schemas.openxmlformats.org/officeDocument/2006/relationships/hyperlink" Target="https://docs.google.com/document/d/1a2k-CnJxJWiX7aC3nPbLt3TIaQD5_0cGsl0I1Iihy3E/edit?tab=t.0" TargetMode="External"/><Relationship Id="rId2" Type="http://schemas.openxmlformats.org/officeDocument/2006/relationships/hyperlink" Target="https://docs.google.com/document/d/1a2k-CnJxJWiX7aC3nPbLt3TIaQD5_0cGsl0I1Iihy3E/edit?tab=t.0" TargetMode="External"/><Relationship Id="rId3" Type="http://schemas.openxmlformats.org/officeDocument/2006/relationships/hyperlink" Target="https://docs.google.com/document/d/1a2k-CnJxJWiX7aC3nPbLt3TIaQD5_0cGsl0I1Iihy3E/edit?tab=t.0" TargetMode="External"/><Relationship Id="rId4" Type="http://schemas.openxmlformats.org/officeDocument/2006/relationships/hyperlink" Target="https://docs.google.com/document/d/1a2k-CnJxJWiX7aC3nPbLt3TIaQD5_0cGsl0I1Iihy3E/edit?tab=t.0" TargetMode="External"/><Relationship Id="rId9" Type="http://schemas.openxmlformats.org/officeDocument/2006/relationships/hyperlink" Target="https://docs.google.com/document/d/1a2k-CnJxJWiX7aC3nPbLt3TIaQD5_0cGsl0I1Iihy3E/edit?tab=t.0" TargetMode="External"/><Relationship Id="rId15" Type="http://schemas.openxmlformats.org/officeDocument/2006/relationships/drawing" Target="../drawings/drawing1.xml"/><Relationship Id="rId14" Type="http://schemas.openxmlformats.org/officeDocument/2006/relationships/hyperlink" Target="https://docs.google.com/document/d/1a2k-CnJxJWiX7aC3nPbLt3TIaQD5_0cGsl0I1Iihy3E/edit?tab=t.0" TargetMode="External"/><Relationship Id="rId5" Type="http://schemas.openxmlformats.org/officeDocument/2006/relationships/hyperlink" Target="https://docs.google.com/document/d/1a2k-CnJxJWiX7aC3nPbLt3TIaQD5_0cGsl0I1Iihy3E/edit?tab=t.0" TargetMode="External"/><Relationship Id="rId6" Type="http://schemas.openxmlformats.org/officeDocument/2006/relationships/hyperlink" Target="https://docs.google.com/document/d/1a2k-CnJxJWiX7aC3nPbLt3TIaQD5_0cGsl0I1Iihy3E/edit?tab=t.0" TargetMode="External"/><Relationship Id="rId7" Type="http://schemas.openxmlformats.org/officeDocument/2006/relationships/hyperlink" Target="https://docs.google.com/document/d/1a2k-CnJxJWiX7aC3nPbLt3TIaQD5_0cGsl0I1Iihy3E/edit?tab=t.0" TargetMode="External"/><Relationship Id="rId8" Type="http://schemas.openxmlformats.org/officeDocument/2006/relationships/hyperlink" Target="https://docs.google.com/document/d/1a2k-CnJxJWiX7aC3nPbLt3TIaQD5_0cGsl0I1Iihy3E/edit?tab=t.0"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2.xml"/><Relationship Id="rId3"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0" Type="http://schemas.openxmlformats.org/officeDocument/2006/relationships/hyperlink" Target="https://dnd.su/bestiary/405-saber-toothed-tiger/" TargetMode="External"/><Relationship Id="rId11" Type="http://schemas.openxmlformats.org/officeDocument/2006/relationships/hyperlink" Target="https://dnd.su/bestiary/407-elephant/" TargetMode="External"/><Relationship Id="rId22" Type="http://schemas.openxmlformats.org/officeDocument/2006/relationships/vmlDrawing" Target="../drawings/vmlDrawing7.vml"/><Relationship Id="rId10" Type="http://schemas.openxmlformats.org/officeDocument/2006/relationships/hyperlink" Target="https://dnd.su/bestiary/395-pony/" TargetMode="External"/><Relationship Id="rId21" Type="http://schemas.openxmlformats.org/officeDocument/2006/relationships/drawing" Target="../drawings/drawing18.xml"/><Relationship Id="rId13" Type="http://schemas.openxmlformats.org/officeDocument/2006/relationships/hyperlink" Target="https://dnd.su/bestiary/190-griffon/" TargetMode="External"/><Relationship Id="rId12" Type="http://schemas.openxmlformats.org/officeDocument/2006/relationships/hyperlink" Target="https://dnd.su/bestiary/410-axe-beak/" TargetMode="External"/><Relationship Id="rId1" Type="http://schemas.openxmlformats.org/officeDocument/2006/relationships/comments" Target="../comments7.xml"/><Relationship Id="rId2" Type="http://schemas.openxmlformats.org/officeDocument/2006/relationships/hyperlink" Target="https://dnd.su/bestiary/329-warhorse/" TargetMode="External"/><Relationship Id="rId3" Type="http://schemas.openxmlformats.org/officeDocument/2006/relationships/hyperlink" Target="https://dnd.su/bestiary/5264-moorbounder/" TargetMode="External"/><Relationship Id="rId4" Type="http://schemas.openxmlformats.org/officeDocument/2006/relationships/hyperlink" Target="https://dnd.su/bestiary/331-camel/" TargetMode="External"/><Relationship Id="rId9" Type="http://schemas.openxmlformats.org/officeDocument/2006/relationships/hyperlink" Target="https://dnd.su/bestiary/385-mule/" TargetMode="External"/><Relationship Id="rId15" Type="http://schemas.openxmlformats.org/officeDocument/2006/relationships/hyperlink" Target="https://dnd.su/bestiary/262-pegasus/" TargetMode="External"/><Relationship Id="rId14" Type="http://schemas.openxmlformats.org/officeDocument/2006/relationships/hyperlink" Target="https://dnd.su/bestiary/359-giant-scorpion/" TargetMode="External"/><Relationship Id="rId17" Type="http://schemas.openxmlformats.org/officeDocument/2006/relationships/hyperlink" Target="https://dnd.su/bestiary/263-peryton/" TargetMode="External"/><Relationship Id="rId16" Type="http://schemas.openxmlformats.org/officeDocument/2006/relationships/hyperlink" Target="https://dnd.su/bestiary/351-giant-crab/" TargetMode="External"/><Relationship Id="rId5" Type="http://schemas.openxmlformats.org/officeDocument/2006/relationships/hyperlink" Target="https://dnd.su/bestiary/5265-sled-dog/" TargetMode="External"/><Relationship Id="rId19" Type="http://schemas.openxmlformats.org/officeDocument/2006/relationships/hyperlink" Target="https://5e14.dnd.su/bestiary/386-rhinoceros/" TargetMode="External"/><Relationship Id="rId6" Type="http://schemas.openxmlformats.org/officeDocument/2006/relationships/hyperlink" Target="https://dnd.su/bestiary/363-riding-horse/" TargetMode="External"/><Relationship Id="rId18" Type="http://schemas.openxmlformats.org/officeDocument/2006/relationships/hyperlink" Target="https://dnd.su/bestiary/297-dire-wolf/" TargetMode="External"/><Relationship Id="rId7" Type="http://schemas.openxmlformats.org/officeDocument/2006/relationships/hyperlink" Target="https://dnd.su/bestiary/412-draft-horse/" TargetMode="External"/><Relationship Id="rId8" Type="http://schemas.openxmlformats.org/officeDocument/2006/relationships/hyperlink" Target="https://dnd.su/bestiary/382-mastiff/"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5" max="5" width="15.25"/>
  </cols>
  <sheetData>
    <row r="1">
      <c r="B1" s="1" t="s">
        <v>0</v>
      </c>
      <c r="C1" s="2"/>
      <c r="D1" s="2"/>
      <c r="E1" s="2"/>
      <c r="F1" s="3"/>
    </row>
    <row r="2">
      <c r="B2" s="4" t="s">
        <v>1</v>
      </c>
      <c r="C2" s="5"/>
      <c r="D2" s="5"/>
      <c r="E2" s="5"/>
      <c r="F2" s="6"/>
    </row>
    <row r="3">
      <c r="B3" s="7" t="s">
        <v>2</v>
      </c>
      <c r="C3" s="8" t="s">
        <v>3</v>
      </c>
      <c r="D3" s="9"/>
      <c r="E3" s="10" t="s">
        <v>4</v>
      </c>
      <c r="F3" s="11" t="s">
        <v>5</v>
      </c>
    </row>
    <row r="4">
      <c r="B4" s="12" t="s">
        <v>6</v>
      </c>
      <c r="C4" s="13" t="s">
        <v>7</v>
      </c>
      <c r="D4" s="14"/>
      <c r="E4" s="15" t="s">
        <v>4</v>
      </c>
      <c r="F4" s="16" t="s">
        <v>5</v>
      </c>
    </row>
    <row r="5">
      <c r="B5" s="12" t="s">
        <v>8</v>
      </c>
      <c r="C5" s="13" t="s">
        <v>9</v>
      </c>
      <c r="D5" s="14"/>
      <c r="E5" s="15" t="s">
        <v>4</v>
      </c>
      <c r="F5" s="16" t="s">
        <v>5</v>
      </c>
    </row>
    <row r="6">
      <c r="B6" s="12" t="s">
        <v>10</v>
      </c>
      <c r="C6" s="13" t="s">
        <v>11</v>
      </c>
      <c r="D6" s="14"/>
      <c r="E6" s="15" t="s">
        <v>4</v>
      </c>
      <c r="F6" s="17" t="s">
        <v>5</v>
      </c>
    </row>
    <row r="7">
      <c r="B7" s="12" t="s">
        <v>12</v>
      </c>
      <c r="C7" s="13" t="s">
        <v>13</v>
      </c>
      <c r="D7" s="14"/>
      <c r="E7" s="15" t="s">
        <v>4</v>
      </c>
      <c r="F7" s="16" t="s">
        <v>5</v>
      </c>
    </row>
    <row r="8">
      <c r="B8" s="12" t="s">
        <v>14</v>
      </c>
      <c r="C8" s="13" t="s">
        <v>15</v>
      </c>
      <c r="D8" s="14"/>
      <c r="E8" s="15" t="s">
        <v>4</v>
      </c>
      <c r="F8" s="16" t="s">
        <v>5</v>
      </c>
    </row>
    <row r="9">
      <c r="B9" s="12" t="s">
        <v>16</v>
      </c>
      <c r="C9" s="13" t="s">
        <v>17</v>
      </c>
      <c r="D9" s="14"/>
      <c r="E9" s="15" t="s">
        <v>4</v>
      </c>
      <c r="F9" s="16" t="s">
        <v>5</v>
      </c>
    </row>
    <row r="10">
      <c r="B10" s="12" t="s">
        <v>18</v>
      </c>
      <c r="C10" s="13" t="s">
        <v>19</v>
      </c>
      <c r="D10" s="14"/>
      <c r="E10" s="15" t="s">
        <v>4</v>
      </c>
      <c r="F10" s="16" t="s">
        <v>5</v>
      </c>
    </row>
    <row r="11">
      <c r="B11" s="12" t="s">
        <v>20</v>
      </c>
      <c r="C11" s="13" t="s">
        <v>19</v>
      </c>
      <c r="D11" s="14"/>
      <c r="E11" s="15" t="s">
        <v>4</v>
      </c>
      <c r="F11" s="16" t="s">
        <v>5</v>
      </c>
    </row>
    <row r="12">
      <c r="B12" s="18" t="s">
        <v>21</v>
      </c>
      <c r="C12" s="19" t="s">
        <v>22</v>
      </c>
      <c r="D12" s="20"/>
      <c r="E12" s="21" t="s">
        <v>23</v>
      </c>
      <c r="F12" s="22" t="s">
        <v>5</v>
      </c>
    </row>
    <row r="13">
      <c r="B13" s="12" t="s">
        <v>24</v>
      </c>
      <c r="C13" s="13" t="s">
        <v>25</v>
      </c>
      <c r="D13" s="14"/>
      <c r="E13" s="23" t="s">
        <v>4</v>
      </c>
      <c r="F13" s="24" t="s">
        <v>26</v>
      </c>
    </row>
    <row r="14">
      <c r="B14" s="25" t="s">
        <v>27</v>
      </c>
      <c r="C14" s="13" t="s">
        <v>28</v>
      </c>
      <c r="D14" s="14"/>
      <c r="E14" s="15" t="s">
        <v>4</v>
      </c>
      <c r="F14" s="17" t="s">
        <v>26</v>
      </c>
    </row>
    <row r="15">
      <c r="B15" s="25" t="s">
        <v>29</v>
      </c>
      <c r="C15" s="13" t="s">
        <v>30</v>
      </c>
      <c r="D15" s="14"/>
      <c r="E15" s="15" t="s">
        <v>4</v>
      </c>
      <c r="F15" s="16" t="s">
        <v>5</v>
      </c>
    </row>
    <row r="16">
      <c r="B16" s="12" t="s">
        <v>31</v>
      </c>
      <c r="C16" s="13" t="s">
        <v>32</v>
      </c>
      <c r="D16" s="14"/>
      <c r="E16" s="15" t="s">
        <v>4</v>
      </c>
      <c r="F16" s="16" t="s">
        <v>5</v>
      </c>
    </row>
    <row r="17">
      <c r="B17" s="26" t="s">
        <v>33</v>
      </c>
      <c r="C17" s="27" t="s">
        <v>34</v>
      </c>
      <c r="D17" s="28"/>
      <c r="E17" s="29" t="s">
        <v>4</v>
      </c>
      <c r="F17" s="30" t="s">
        <v>5</v>
      </c>
    </row>
    <row r="18">
      <c r="B18" s="31" t="s">
        <v>35</v>
      </c>
      <c r="C18" s="31" t="s">
        <v>36</v>
      </c>
      <c r="E18" s="32" t="s">
        <v>37</v>
      </c>
      <c r="F18" s="32" t="s">
        <v>5</v>
      </c>
    </row>
  </sheetData>
  <mergeCells count="18">
    <mergeCell ref="B1:F1"/>
    <mergeCell ref="B2:F2"/>
    <mergeCell ref="C3:D3"/>
    <mergeCell ref="C4:D4"/>
    <mergeCell ref="C5:D5"/>
    <mergeCell ref="C6:D6"/>
    <mergeCell ref="C7:D7"/>
    <mergeCell ref="C15:D15"/>
    <mergeCell ref="C16:D16"/>
    <mergeCell ref="C17:D17"/>
    <mergeCell ref="C18:D18"/>
    <mergeCell ref="C8:D8"/>
    <mergeCell ref="C9:D9"/>
    <mergeCell ref="C10:D10"/>
    <mergeCell ref="C11:D11"/>
    <mergeCell ref="C12:D12"/>
    <mergeCell ref="C13:D13"/>
    <mergeCell ref="C14:D14"/>
  </mergeCells>
  <hyperlinks>
    <hyperlink display="Ссылка на лист" location="'Оружие V0.36'!A1" ref="E3"/>
    <hyperlink r:id="rId1" location="heading=h.nlt29nyqq0vl" ref="F3"/>
    <hyperlink display="Ссылка на лист" location="'Огнестрел V0.36'!A1" ref="E4"/>
    <hyperlink r:id="rId2" location="heading=h.3q5sasy" ref="F4"/>
    <hyperlink display="Ссылка на лист" location="'Оружейные группы'!A1" ref="E5"/>
    <hyperlink r:id="rId3" location="heading=h.oogod2f0chs7" ref="F5"/>
    <hyperlink display="Ссылка на лист" location="'Боеприпасы'!A1" ref="E6"/>
    <hyperlink display="Ссылка на лист" location="'Улучшения и обвесы V0.2'!A1" ref="E7"/>
    <hyperlink r:id="rId4" location="heading=h.4h042r0" ref="F7"/>
    <hyperlink display="Ссылка на лист" location="'Доспехи V0.1'!A1:A2" ref="E8"/>
    <hyperlink r:id="rId5" location="heading=h.d8c2e2u1rx8u" ref="F8"/>
    <hyperlink display="Ссылка на лист" location="'Импланты V0.1'!A1" ref="E9"/>
    <hyperlink r:id="rId6" location="heading=h.qqt3r130qwqu" ref="F9"/>
    <hyperlink display="Ссылка на лист" location="'Взрывчатка V0.0'!A1" ref="E10"/>
    <hyperlink r:id="rId7" location="heading=h.4h042r0" ref="F10"/>
    <hyperlink display="Ссылка на лист" location="'Взрывчатка V0.0'!A1" ref="E11"/>
    <hyperlink r:id="rId8" location="heading=h.4h042r0" ref="F11"/>
    <hyperlink display="Усовершенст" location="'Усовершенствования V0.21'!A1" ref="E12"/>
    <hyperlink r:id="rId9" location="heading=h.gbmeqanf7r9i" ref="F12"/>
    <hyperlink display="Ссылка на лист" location="'Энциклопедия чудовищ V0'!A1" ref="E13"/>
    <hyperlink display="Ссылка на лист" location="'Энциклопедия материалов'!A1" ref="E14"/>
    <hyperlink display="Ссылка на лист" location="'Скорость создания предметов'!A1" ref="E15"/>
    <hyperlink r:id="rId10" location="heading=h.7ryk0fg7ozzc" ref="F15"/>
    <hyperlink display="Ссылка на лист" location="'Транспорт V0.1'!A1:A2" ref="E16"/>
    <hyperlink r:id="rId11" location="heading=h.g3gql1f29w1b" ref="F16"/>
    <hyperlink display="Ссылка на лист" location="'Магические предметы V0'!A1" ref="E17"/>
    <hyperlink r:id="rId12" location="heading=h.87ram1ew4606" ref="F17"/>
    <hyperlink r:id="rId13" location="gid=1185128370" ref="E18"/>
    <hyperlink r:id="rId14" location="heading=h.cwi724qz97su" ref="F18"/>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19.75"/>
    <col customWidth="1" min="3" max="3" width="16.25"/>
    <col customWidth="1" min="4" max="4" width="13.75"/>
    <col customWidth="1" min="5" max="5" width="16.13"/>
    <col customWidth="1" min="6" max="6" width="13.75"/>
    <col customWidth="1" min="8" max="8" width="13.38"/>
    <col customWidth="1" min="10" max="10" width="14.63"/>
    <col customWidth="1" min="11" max="11" width="16.5"/>
    <col customWidth="1" min="13" max="13" width="16.25"/>
    <col customWidth="1" min="14" max="14" width="24.88"/>
    <col customWidth="1" min="15" max="15" width="22.63"/>
    <col customWidth="1" min="16" max="16" width="22.0"/>
    <col customWidth="1" min="17" max="17" width="19.13"/>
  </cols>
  <sheetData>
    <row r="1">
      <c r="A1" s="33" t="s">
        <v>38</v>
      </c>
      <c r="B1" s="34"/>
      <c r="C1" s="34"/>
      <c r="D1" s="34"/>
      <c r="E1" s="34"/>
      <c r="F1" s="34"/>
      <c r="G1" s="34"/>
      <c r="H1" s="34"/>
      <c r="I1" s="34"/>
      <c r="J1" s="34"/>
      <c r="K1" s="14"/>
      <c r="L1" s="35"/>
      <c r="M1" s="36"/>
      <c r="N1" s="36"/>
      <c r="O1" s="36"/>
      <c r="P1" s="36"/>
      <c r="Q1" s="36"/>
      <c r="R1" s="36"/>
      <c r="S1" s="36"/>
      <c r="T1" s="36"/>
      <c r="U1" s="36"/>
      <c r="V1" s="36"/>
      <c r="W1" s="35"/>
      <c r="X1" s="35"/>
      <c r="Y1" s="35"/>
      <c r="Z1" s="35"/>
    </row>
    <row r="2">
      <c r="A2" s="37" t="s">
        <v>39</v>
      </c>
      <c r="B2" s="38" t="s">
        <v>40</v>
      </c>
      <c r="C2" s="38" t="s">
        <v>41</v>
      </c>
      <c r="D2" s="38" t="s">
        <v>42</v>
      </c>
      <c r="E2" s="38" t="s">
        <v>43</v>
      </c>
      <c r="F2" s="38" t="s">
        <v>44</v>
      </c>
      <c r="G2" s="38" t="s">
        <v>45</v>
      </c>
      <c r="H2" s="38" t="s">
        <v>46</v>
      </c>
      <c r="I2" s="38" t="s">
        <v>47</v>
      </c>
      <c r="J2" s="38" t="s">
        <v>48</v>
      </c>
      <c r="K2" s="38" t="s">
        <v>49</v>
      </c>
      <c r="L2" s="35"/>
      <c r="M2" s="39"/>
      <c r="N2" s="40"/>
      <c r="O2" s="40"/>
      <c r="P2" s="40"/>
      <c r="Q2" s="41"/>
      <c r="R2" s="41"/>
      <c r="S2" s="41"/>
      <c r="T2" s="41"/>
      <c r="U2" s="41"/>
      <c r="V2" s="41"/>
      <c r="W2" s="35"/>
      <c r="X2" s="35"/>
      <c r="Y2" s="35"/>
      <c r="Z2" s="35"/>
    </row>
    <row r="3">
      <c r="A3" s="42" t="s">
        <v>50</v>
      </c>
      <c r="B3" s="43" t="s">
        <v>51</v>
      </c>
      <c r="C3" s="44" t="s">
        <v>52</v>
      </c>
      <c r="D3" s="45" t="s">
        <v>53</v>
      </c>
      <c r="E3" s="46" t="s">
        <v>54</v>
      </c>
      <c r="F3" s="47" t="s">
        <v>55</v>
      </c>
      <c r="G3" s="48" t="s">
        <v>56</v>
      </c>
      <c r="H3" s="48" t="s">
        <v>57</v>
      </c>
      <c r="I3" s="49" t="s">
        <v>58</v>
      </c>
      <c r="J3" s="49" t="s">
        <v>59</v>
      </c>
      <c r="K3" s="47" t="s">
        <v>60</v>
      </c>
      <c r="L3" s="35"/>
      <c r="M3" s="39"/>
      <c r="N3" s="40"/>
      <c r="O3" s="40"/>
      <c r="P3" s="41"/>
      <c r="Q3" s="41"/>
      <c r="R3" s="41"/>
      <c r="S3" s="41"/>
      <c r="T3" s="41"/>
      <c r="U3" s="41"/>
      <c r="V3" s="41"/>
      <c r="W3" s="35"/>
      <c r="X3" s="35"/>
      <c r="Y3" s="35"/>
      <c r="Z3" s="35"/>
    </row>
    <row r="4">
      <c r="A4" s="50" t="s">
        <v>61</v>
      </c>
      <c r="B4" s="51" t="s">
        <v>62</v>
      </c>
      <c r="C4" s="43" t="s">
        <v>63</v>
      </c>
      <c r="D4" s="52" t="s">
        <v>64</v>
      </c>
      <c r="E4" s="48" t="s">
        <v>65</v>
      </c>
      <c r="F4" s="42" t="s">
        <v>66</v>
      </c>
      <c r="G4" s="42" t="s">
        <v>67</v>
      </c>
      <c r="H4" s="45" t="s">
        <v>68</v>
      </c>
      <c r="I4" s="49" t="s">
        <v>69</v>
      </c>
      <c r="J4" s="49" t="s">
        <v>70</v>
      </c>
      <c r="K4" s="51" t="s">
        <v>71</v>
      </c>
      <c r="L4" s="35"/>
      <c r="M4" s="39"/>
      <c r="N4" s="40"/>
      <c r="O4" s="40"/>
      <c r="P4" s="41"/>
      <c r="Q4" s="41"/>
      <c r="R4" s="41"/>
      <c r="S4" s="41"/>
      <c r="T4" s="41"/>
      <c r="U4" s="41"/>
      <c r="V4" s="41"/>
      <c r="W4" s="35"/>
      <c r="X4" s="35"/>
      <c r="Y4" s="35"/>
      <c r="Z4" s="35"/>
    </row>
    <row r="5">
      <c r="A5" s="53" t="s">
        <v>72</v>
      </c>
      <c r="B5" s="45" t="s">
        <v>73</v>
      </c>
      <c r="C5" s="43" t="s">
        <v>74</v>
      </c>
      <c r="D5" s="43" t="s">
        <v>75</v>
      </c>
      <c r="E5" s="48" t="s">
        <v>76</v>
      </c>
      <c r="F5" s="43" t="s">
        <v>77</v>
      </c>
      <c r="G5" s="46" t="s">
        <v>78</v>
      </c>
      <c r="H5" s="43" t="s">
        <v>79</v>
      </c>
      <c r="I5" s="49" t="s">
        <v>80</v>
      </c>
      <c r="J5" s="49" t="s">
        <v>81</v>
      </c>
      <c r="K5" s="45" t="s">
        <v>82</v>
      </c>
      <c r="L5" s="35"/>
      <c r="M5" s="39"/>
      <c r="N5" s="40"/>
      <c r="O5" s="41"/>
      <c r="P5" s="41"/>
      <c r="Q5" s="41"/>
      <c r="R5" s="41"/>
      <c r="S5" s="41"/>
      <c r="T5" s="41"/>
      <c r="U5" s="41"/>
      <c r="V5" s="41"/>
      <c r="W5" s="35"/>
      <c r="X5" s="35"/>
      <c r="Y5" s="35"/>
      <c r="Z5" s="35"/>
    </row>
    <row r="6">
      <c r="A6" s="45" t="s">
        <v>80</v>
      </c>
      <c r="B6" s="46" t="s">
        <v>83</v>
      </c>
      <c r="C6" s="52" t="s">
        <v>84</v>
      </c>
      <c r="D6" s="50" t="s">
        <v>61</v>
      </c>
      <c r="E6" s="48" t="s">
        <v>85</v>
      </c>
      <c r="F6" s="43" t="s">
        <v>86</v>
      </c>
      <c r="G6" s="52" t="s">
        <v>87</v>
      </c>
      <c r="H6" s="50" t="s">
        <v>88</v>
      </c>
      <c r="I6" s="49" t="s">
        <v>89</v>
      </c>
      <c r="J6" s="49" t="s">
        <v>90</v>
      </c>
      <c r="K6" s="53" t="s">
        <v>91</v>
      </c>
      <c r="L6" s="35"/>
      <c r="M6" s="39"/>
      <c r="N6" s="40"/>
      <c r="O6" s="40"/>
      <c r="P6" s="40"/>
      <c r="Q6" s="41"/>
      <c r="R6" s="41"/>
      <c r="S6" s="41"/>
      <c r="T6" s="41"/>
      <c r="U6" s="41"/>
      <c r="V6" s="41"/>
      <c r="W6" s="35"/>
      <c r="X6" s="35"/>
      <c r="Y6" s="35"/>
      <c r="Z6" s="35"/>
    </row>
    <row r="7">
      <c r="A7" s="46" t="s">
        <v>92</v>
      </c>
      <c r="B7" s="42" t="s">
        <v>93</v>
      </c>
      <c r="C7" s="42" t="s">
        <v>94</v>
      </c>
      <c r="D7" s="43" t="s">
        <v>95</v>
      </c>
      <c r="E7" s="46" t="s">
        <v>92</v>
      </c>
      <c r="F7" s="53" t="s">
        <v>72</v>
      </c>
      <c r="G7" s="54"/>
      <c r="H7" s="50" t="s">
        <v>96</v>
      </c>
      <c r="I7" s="54"/>
      <c r="J7" s="55"/>
      <c r="K7" s="51" t="s">
        <v>97</v>
      </c>
      <c r="L7" s="35"/>
      <c r="M7" s="39"/>
      <c r="N7" s="40"/>
      <c r="O7" s="41"/>
      <c r="P7" s="41"/>
      <c r="Q7" s="41"/>
      <c r="R7" s="41"/>
      <c r="S7" s="41"/>
      <c r="T7" s="41"/>
      <c r="U7" s="41"/>
      <c r="V7" s="41"/>
      <c r="W7" s="35"/>
      <c r="X7" s="35"/>
      <c r="Y7" s="35"/>
      <c r="Z7" s="35"/>
    </row>
    <row r="8">
      <c r="A8" s="42" t="s">
        <v>98</v>
      </c>
      <c r="B8" s="42" t="s">
        <v>50</v>
      </c>
      <c r="C8" s="54"/>
      <c r="D8" s="47"/>
      <c r="E8" s="48" t="s">
        <v>99</v>
      </c>
      <c r="F8" s="43" t="s">
        <v>100</v>
      </c>
      <c r="G8" s="54"/>
      <c r="H8" s="47"/>
      <c r="I8" s="54"/>
      <c r="J8" s="54"/>
      <c r="K8" s="52" t="s">
        <v>101</v>
      </c>
      <c r="L8" s="35"/>
      <c r="M8" s="39"/>
      <c r="N8" s="41"/>
      <c r="O8" s="41"/>
      <c r="P8" s="41"/>
      <c r="Q8" s="41"/>
      <c r="R8" s="41"/>
      <c r="S8" s="41"/>
      <c r="T8" s="41"/>
      <c r="U8" s="41"/>
      <c r="V8" s="41"/>
      <c r="W8" s="35"/>
      <c r="X8" s="35"/>
      <c r="Y8" s="35"/>
      <c r="Z8" s="35"/>
    </row>
    <row r="9">
      <c r="A9" s="56"/>
      <c r="B9" s="51" t="s">
        <v>102</v>
      </c>
      <c r="C9" s="54"/>
      <c r="D9" s="54"/>
      <c r="E9" s="45" t="s">
        <v>82</v>
      </c>
      <c r="F9" s="52" t="s">
        <v>103</v>
      </c>
      <c r="G9" s="54"/>
      <c r="H9" s="54"/>
      <c r="I9" s="54"/>
      <c r="J9" s="54"/>
      <c r="K9" s="54"/>
      <c r="L9" s="35"/>
      <c r="M9" s="39"/>
      <c r="N9" s="40"/>
      <c r="O9" s="41"/>
      <c r="P9" s="41"/>
      <c r="Q9" s="41"/>
      <c r="R9" s="41"/>
      <c r="S9" s="41"/>
      <c r="T9" s="41"/>
      <c r="U9" s="41"/>
      <c r="V9" s="41"/>
      <c r="W9" s="35"/>
      <c r="X9" s="35"/>
      <c r="Y9" s="35"/>
      <c r="Z9" s="35"/>
    </row>
    <row r="10">
      <c r="A10" s="56"/>
      <c r="B10" s="51" t="s">
        <v>104</v>
      </c>
      <c r="C10" s="54"/>
      <c r="D10" s="54"/>
      <c r="E10" s="54"/>
      <c r="F10" s="54"/>
      <c r="G10" s="54"/>
      <c r="H10" s="54"/>
      <c r="I10" s="54"/>
      <c r="J10" s="54"/>
      <c r="K10" s="54"/>
      <c r="L10" s="35"/>
      <c r="M10" s="39"/>
      <c r="N10" s="40"/>
      <c r="O10" s="41"/>
      <c r="P10" s="41"/>
      <c r="Q10" s="41"/>
      <c r="R10" s="41"/>
      <c r="S10" s="41"/>
      <c r="T10" s="41"/>
      <c r="U10" s="41"/>
      <c r="V10" s="41"/>
      <c r="W10" s="35"/>
      <c r="X10" s="35"/>
      <c r="Y10" s="35"/>
      <c r="Z10" s="35"/>
    </row>
    <row r="11">
      <c r="A11" s="57"/>
      <c r="B11" s="58" t="s">
        <v>105</v>
      </c>
      <c r="C11" s="59"/>
      <c r="D11" s="59"/>
      <c r="E11" s="59"/>
      <c r="F11" s="59"/>
      <c r="G11" s="59"/>
      <c r="H11" s="59"/>
      <c r="I11" s="59"/>
      <c r="J11" s="59"/>
      <c r="K11" s="59"/>
      <c r="L11" s="35"/>
      <c r="M11" s="39"/>
      <c r="N11" s="41"/>
      <c r="O11" s="41"/>
      <c r="P11" s="41"/>
      <c r="Q11" s="41"/>
      <c r="R11" s="41"/>
      <c r="S11" s="41"/>
      <c r="T11" s="41"/>
      <c r="U11" s="41"/>
      <c r="V11" s="41"/>
      <c r="W11" s="35"/>
      <c r="X11" s="35"/>
      <c r="Y11" s="35"/>
      <c r="Z11" s="35"/>
    </row>
    <row r="12">
      <c r="A12" s="60"/>
      <c r="B12" s="61" t="s">
        <v>106</v>
      </c>
      <c r="C12" s="62"/>
      <c r="D12" s="62"/>
      <c r="E12" s="62"/>
      <c r="F12" s="62"/>
      <c r="G12" s="62"/>
      <c r="H12" s="62"/>
      <c r="I12" s="62"/>
      <c r="J12" s="62"/>
      <c r="K12" s="62"/>
      <c r="L12" s="35"/>
      <c r="M12" s="39"/>
      <c r="N12" s="41"/>
      <c r="O12" s="41"/>
      <c r="P12" s="41"/>
      <c r="Q12" s="41"/>
      <c r="R12" s="41"/>
      <c r="S12" s="41"/>
      <c r="T12" s="41"/>
      <c r="U12" s="41"/>
      <c r="V12" s="41"/>
      <c r="W12" s="35"/>
      <c r="X12" s="35"/>
      <c r="Y12" s="35"/>
      <c r="Z12" s="35"/>
    </row>
    <row r="13">
      <c r="A13" s="60"/>
      <c r="B13" s="42" t="s">
        <v>98</v>
      </c>
      <c r="C13" s="62"/>
      <c r="D13" s="62"/>
      <c r="E13" s="62"/>
      <c r="F13" s="62"/>
      <c r="G13" s="62"/>
      <c r="H13" s="62"/>
      <c r="I13" s="62"/>
      <c r="J13" s="62"/>
      <c r="K13" s="62"/>
      <c r="L13" s="35"/>
      <c r="M13" s="39"/>
      <c r="N13" s="41"/>
      <c r="O13" s="41"/>
      <c r="P13" s="41"/>
      <c r="Q13" s="41"/>
      <c r="R13" s="41"/>
      <c r="S13" s="41"/>
      <c r="T13" s="41"/>
      <c r="U13" s="41"/>
      <c r="V13" s="41"/>
      <c r="W13" s="35"/>
      <c r="X13" s="35"/>
      <c r="Y13" s="35"/>
      <c r="Z13" s="35"/>
    </row>
    <row r="14">
      <c r="A14" s="63"/>
      <c r="B14" s="64"/>
      <c r="C14" s="65"/>
      <c r="D14" s="65"/>
      <c r="E14" s="65"/>
      <c r="F14" s="65"/>
      <c r="G14" s="65"/>
      <c r="H14" s="65"/>
      <c r="I14" s="65"/>
      <c r="J14" s="65"/>
      <c r="K14" s="65"/>
      <c r="L14" s="35"/>
      <c r="M14" s="39"/>
      <c r="N14" s="41"/>
      <c r="O14" s="41"/>
      <c r="P14" s="41"/>
      <c r="Q14" s="41"/>
      <c r="R14" s="41"/>
      <c r="S14" s="41"/>
      <c r="T14" s="41"/>
      <c r="U14" s="41"/>
      <c r="V14" s="41"/>
      <c r="W14" s="35"/>
      <c r="X14" s="35"/>
      <c r="Y14" s="35"/>
      <c r="Z14" s="35"/>
    </row>
    <row r="15">
      <c r="A15" s="66" t="s">
        <v>107</v>
      </c>
      <c r="B15" s="67" t="s">
        <v>108</v>
      </c>
      <c r="C15" s="68" t="s">
        <v>109</v>
      </c>
      <c r="D15" s="69" t="s">
        <v>110</v>
      </c>
      <c r="E15" s="70" t="s">
        <v>111</v>
      </c>
      <c r="F15" s="71" t="s">
        <v>112</v>
      </c>
      <c r="G15" s="72" t="s">
        <v>113</v>
      </c>
      <c r="H15" s="73" t="s">
        <v>114</v>
      </c>
      <c r="I15" s="74" t="s">
        <v>115</v>
      </c>
      <c r="J15" s="75" t="s">
        <v>116</v>
      </c>
      <c r="K15" s="76" t="s">
        <v>117</v>
      </c>
      <c r="L15" s="77" t="s">
        <v>118</v>
      </c>
      <c r="M15" s="78" t="s">
        <v>119</v>
      </c>
      <c r="N15" s="41"/>
      <c r="O15" s="41"/>
      <c r="P15" s="41"/>
      <c r="Q15" s="41"/>
      <c r="R15" s="41"/>
      <c r="S15" s="41"/>
      <c r="T15" s="41"/>
      <c r="U15" s="41"/>
      <c r="V15" s="41"/>
      <c r="W15" s="35"/>
      <c r="X15" s="35"/>
      <c r="Y15" s="35"/>
      <c r="Z15" s="35"/>
    </row>
    <row r="16">
      <c r="A16" s="33" t="s">
        <v>120</v>
      </c>
      <c r="B16" s="34"/>
      <c r="C16" s="34"/>
      <c r="D16" s="34"/>
      <c r="E16" s="34"/>
      <c r="F16" s="34"/>
      <c r="G16" s="34"/>
      <c r="H16" s="34"/>
      <c r="I16" s="34"/>
      <c r="J16" s="34"/>
      <c r="K16" s="14"/>
      <c r="L16" s="35"/>
      <c r="M16" s="39"/>
      <c r="N16" s="40"/>
      <c r="O16" s="40"/>
      <c r="P16" s="41"/>
      <c r="Q16" s="41"/>
      <c r="R16" s="41"/>
      <c r="S16" s="41"/>
      <c r="T16" s="41"/>
      <c r="U16" s="41"/>
      <c r="V16" s="41"/>
      <c r="W16" s="35"/>
      <c r="X16" s="35"/>
      <c r="Y16" s="35"/>
      <c r="Z16" s="35"/>
    </row>
    <row r="17">
      <c r="A17" s="79"/>
      <c r="B17" s="37" t="s">
        <v>121</v>
      </c>
      <c r="C17" s="37" t="s">
        <v>122</v>
      </c>
      <c r="D17" s="37" t="s">
        <v>123</v>
      </c>
      <c r="E17" s="37" t="s">
        <v>124</v>
      </c>
      <c r="F17" s="41"/>
      <c r="G17" s="41"/>
      <c r="H17" s="41"/>
      <c r="I17" s="41"/>
      <c r="J17" s="41"/>
      <c r="K17" s="41"/>
      <c r="L17" s="35"/>
      <c r="M17" s="39"/>
      <c r="N17" s="40"/>
      <c r="O17" s="41"/>
      <c r="P17" s="41"/>
      <c r="Q17" s="41"/>
      <c r="R17" s="41"/>
      <c r="S17" s="41"/>
      <c r="T17" s="41"/>
      <c r="U17" s="41"/>
      <c r="V17" s="41"/>
      <c r="W17" s="35"/>
      <c r="X17" s="35"/>
      <c r="Y17" s="35"/>
      <c r="Z17" s="35"/>
    </row>
    <row r="18">
      <c r="A18" s="35"/>
      <c r="B18" s="80" t="s">
        <v>125</v>
      </c>
      <c r="C18" s="80" t="s">
        <v>126</v>
      </c>
      <c r="D18" s="80" t="s">
        <v>127</v>
      </c>
      <c r="E18" s="80" t="s">
        <v>128</v>
      </c>
      <c r="F18" s="81"/>
      <c r="G18" s="81"/>
      <c r="H18" s="81"/>
      <c r="I18" s="81"/>
      <c r="J18" s="81"/>
      <c r="K18" s="81"/>
      <c r="L18" s="35"/>
      <c r="M18" s="39"/>
      <c r="N18" s="40"/>
      <c r="O18" s="40"/>
      <c r="P18" s="40"/>
      <c r="Q18" s="41"/>
      <c r="R18" s="41"/>
      <c r="S18" s="41"/>
      <c r="T18" s="41"/>
      <c r="U18" s="41"/>
      <c r="V18" s="41"/>
      <c r="W18" s="35"/>
      <c r="X18" s="35"/>
      <c r="Y18" s="35"/>
      <c r="Z18" s="35"/>
    </row>
    <row r="19">
      <c r="A19" s="35"/>
      <c r="B19" s="80" t="s">
        <v>129</v>
      </c>
      <c r="C19" s="80" t="s">
        <v>130</v>
      </c>
      <c r="D19" s="80" t="s">
        <v>131</v>
      </c>
      <c r="E19" s="80" t="s">
        <v>132</v>
      </c>
      <c r="F19" s="81"/>
      <c r="G19" s="81"/>
      <c r="H19" s="82"/>
      <c r="I19" s="81"/>
      <c r="J19" s="81"/>
      <c r="K19" s="81"/>
      <c r="L19" s="35"/>
      <c r="M19" s="39"/>
      <c r="N19" s="40"/>
      <c r="O19" s="40"/>
      <c r="P19" s="40"/>
      <c r="Q19" s="40"/>
      <c r="R19" s="41"/>
      <c r="S19" s="41"/>
      <c r="T19" s="41"/>
      <c r="U19" s="41"/>
      <c r="V19" s="41"/>
      <c r="W19" s="35"/>
      <c r="X19" s="35"/>
      <c r="Y19" s="35"/>
      <c r="Z19" s="35"/>
    </row>
    <row r="20">
      <c r="A20" s="35"/>
      <c r="B20" s="80" t="s">
        <v>133</v>
      </c>
      <c r="C20" s="80" t="s">
        <v>134</v>
      </c>
      <c r="D20" s="80" t="s">
        <v>135</v>
      </c>
      <c r="E20" s="83" t="s">
        <v>136</v>
      </c>
      <c r="F20" s="81"/>
      <c r="G20" s="81"/>
      <c r="H20" s="81"/>
      <c r="I20" s="81"/>
      <c r="J20" s="81"/>
      <c r="K20" s="81"/>
      <c r="L20" s="35"/>
      <c r="M20" s="39"/>
      <c r="N20" s="84"/>
      <c r="O20" s="85"/>
      <c r="P20" s="85"/>
      <c r="Q20" s="85"/>
      <c r="R20" s="85"/>
      <c r="S20" s="85"/>
      <c r="T20" s="85"/>
      <c r="U20" s="85"/>
      <c r="V20" s="85"/>
      <c r="W20" s="35"/>
      <c r="X20" s="35"/>
      <c r="Y20" s="35"/>
      <c r="Z20" s="35"/>
    </row>
    <row r="21">
      <c r="A21" s="35"/>
      <c r="B21" s="83" t="s">
        <v>137</v>
      </c>
      <c r="C21" s="83" t="s">
        <v>138</v>
      </c>
      <c r="D21" s="80" t="s">
        <v>139</v>
      </c>
      <c r="E21" s="83" t="s">
        <v>140</v>
      </c>
      <c r="F21" s="81"/>
      <c r="G21" s="81"/>
      <c r="H21" s="81"/>
      <c r="I21" s="81"/>
      <c r="J21" s="81"/>
      <c r="K21" s="81"/>
      <c r="L21" s="35"/>
      <c r="M21" s="86"/>
      <c r="N21" s="35"/>
      <c r="O21" s="35"/>
      <c r="P21" s="35"/>
      <c r="Q21" s="35"/>
      <c r="R21" s="35"/>
      <c r="S21" s="35"/>
      <c r="T21" s="35"/>
      <c r="U21" s="35"/>
      <c r="V21" s="35"/>
      <c r="W21" s="35"/>
      <c r="X21" s="35"/>
      <c r="Y21" s="35"/>
      <c r="Z21" s="35"/>
    </row>
    <row r="22">
      <c r="A22" s="35"/>
      <c r="B22" s="80" t="s">
        <v>141</v>
      </c>
      <c r="C22" s="80" t="s">
        <v>142</v>
      </c>
      <c r="D22" s="83" t="s">
        <v>143</v>
      </c>
      <c r="E22" s="83" t="s">
        <v>144</v>
      </c>
      <c r="F22" s="81"/>
      <c r="G22" s="81"/>
      <c r="H22" s="81"/>
      <c r="I22" s="81"/>
      <c r="J22" s="81"/>
      <c r="K22" s="81"/>
      <c r="L22" s="35"/>
      <c r="M22" s="86"/>
      <c r="N22" s="35"/>
      <c r="O22" s="35"/>
      <c r="P22" s="35"/>
      <c r="Q22" s="35"/>
      <c r="R22" s="35"/>
      <c r="S22" s="35"/>
      <c r="T22" s="35"/>
      <c r="U22" s="35"/>
      <c r="V22" s="35"/>
      <c r="W22" s="35"/>
      <c r="X22" s="35"/>
      <c r="Y22" s="35"/>
      <c r="Z22" s="35"/>
    </row>
    <row r="23">
      <c r="A23" s="35"/>
      <c r="B23" s="83" t="s">
        <v>145</v>
      </c>
      <c r="C23" s="83" t="s">
        <v>146</v>
      </c>
      <c r="D23" s="83"/>
      <c r="E23" s="83" t="s">
        <v>147</v>
      </c>
      <c r="F23" s="81"/>
      <c r="G23" s="81"/>
      <c r="H23" s="81"/>
      <c r="I23" s="81"/>
      <c r="J23" s="81"/>
      <c r="K23" s="81"/>
      <c r="L23" s="35"/>
      <c r="M23" s="86"/>
      <c r="N23" s="35"/>
      <c r="O23" s="35"/>
      <c r="P23" s="35"/>
      <c r="Q23" s="35"/>
      <c r="R23" s="35"/>
      <c r="S23" s="35"/>
      <c r="T23" s="35"/>
      <c r="U23" s="35"/>
      <c r="V23" s="35"/>
      <c r="W23" s="35"/>
      <c r="X23" s="35"/>
      <c r="Y23" s="35"/>
      <c r="Z23" s="35"/>
    </row>
    <row r="24">
      <c r="A24" s="35"/>
      <c r="B24" s="83" t="s">
        <v>148</v>
      </c>
      <c r="C24" s="83" t="s">
        <v>149</v>
      </c>
      <c r="D24" s="83"/>
      <c r="E24" s="83" t="s">
        <v>150</v>
      </c>
      <c r="F24" s="81"/>
      <c r="G24" s="81"/>
      <c r="H24" s="81"/>
      <c r="I24" s="81"/>
      <c r="J24" s="81"/>
      <c r="K24" s="81"/>
      <c r="L24" s="35"/>
      <c r="M24" s="86"/>
      <c r="N24" s="35"/>
      <c r="O24" s="35"/>
      <c r="P24" s="35"/>
      <c r="Q24" s="35"/>
      <c r="R24" s="35"/>
      <c r="S24" s="35"/>
      <c r="T24" s="35"/>
      <c r="U24" s="35"/>
      <c r="V24" s="35"/>
      <c r="W24" s="35"/>
      <c r="X24" s="35"/>
      <c r="Y24" s="35"/>
      <c r="Z24" s="35"/>
    </row>
    <row r="25">
      <c r="A25" s="35"/>
      <c r="B25" s="83"/>
      <c r="C25" s="83" t="s">
        <v>151</v>
      </c>
      <c r="D25" s="83"/>
      <c r="E25" s="83" t="s">
        <v>152</v>
      </c>
      <c r="F25" s="81"/>
      <c r="G25" s="81"/>
      <c r="H25" s="81"/>
      <c r="I25" s="81"/>
      <c r="J25" s="81"/>
      <c r="K25" s="81"/>
      <c r="L25" s="35"/>
      <c r="M25" s="87"/>
      <c r="N25" s="35"/>
      <c r="O25" s="35"/>
      <c r="P25" s="35"/>
      <c r="Q25" s="35"/>
      <c r="R25" s="35"/>
      <c r="S25" s="35"/>
      <c r="T25" s="35"/>
      <c r="U25" s="35"/>
      <c r="V25" s="35"/>
      <c r="W25" s="35"/>
      <c r="X25" s="35"/>
      <c r="Y25" s="35"/>
      <c r="Z25" s="35"/>
    </row>
    <row r="26">
      <c r="A26" s="35"/>
      <c r="B26" s="83"/>
      <c r="C26" s="83"/>
      <c r="D26" s="83"/>
      <c r="E26" s="83" t="s">
        <v>153</v>
      </c>
      <c r="F26" s="81"/>
      <c r="G26" s="81"/>
      <c r="H26" s="81"/>
      <c r="I26" s="81"/>
      <c r="J26" s="81"/>
      <c r="K26" s="81"/>
      <c r="L26" s="35"/>
      <c r="M26" s="87"/>
      <c r="N26" s="35"/>
      <c r="O26" s="35"/>
      <c r="P26" s="35"/>
      <c r="Q26" s="35"/>
      <c r="R26" s="35"/>
      <c r="S26" s="35"/>
      <c r="T26" s="35"/>
      <c r="U26" s="35"/>
      <c r="V26" s="35"/>
      <c r="W26" s="35"/>
      <c r="X26" s="35"/>
      <c r="Y26" s="35"/>
      <c r="Z26" s="35"/>
    </row>
    <row r="27">
      <c r="A27" s="35"/>
      <c r="B27" s="83"/>
      <c r="C27" s="83"/>
      <c r="D27" s="83"/>
      <c r="E27" s="80" t="s">
        <v>154</v>
      </c>
      <c r="F27" s="81"/>
      <c r="G27" s="81"/>
      <c r="H27" s="81"/>
      <c r="I27" s="81"/>
      <c r="J27" s="81"/>
      <c r="K27" s="81"/>
      <c r="L27" s="35"/>
      <c r="M27" s="87"/>
      <c r="N27" s="35"/>
      <c r="O27" s="35"/>
      <c r="P27" s="35"/>
      <c r="Q27" s="35"/>
      <c r="R27" s="35"/>
      <c r="S27" s="35"/>
      <c r="T27" s="35"/>
      <c r="U27" s="35"/>
      <c r="V27" s="35"/>
      <c r="W27" s="35"/>
      <c r="X27" s="35"/>
      <c r="Y27" s="35"/>
      <c r="Z27" s="35"/>
    </row>
    <row r="28">
      <c r="A28" s="35"/>
      <c r="B28" s="83"/>
      <c r="C28" s="83"/>
      <c r="D28" s="83"/>
      <c r="E28" s="80" t="s">
        <v>155</v>
      </c>
      <c r="F28" s="81"/>
      <c r="G28" s="81"/>
      <c r="H28" s="81"/>
      <c r="I28" s="81"/>
      <c r="J28" s="81"/>
      <c r="K28" s="81"/>
      <c r="L28" s="35"/>
      <c r="M28" s="87"/>
      <c r="N28" s="35"/>
      <c r="O28" s="35"/>
      <c r="P28" s="35"/>
      <c r="Q28" s="35"/>
      <c r="R28" s="35"/>
      <c r="S28" s="35"/>
      <c r="T28" s="35"/>
      <c r="U28" s="35"/>
      <c r="V28" s="35"/>
      <c r="W28" s="35"/>
      <c r="X28" s="35"/>
      <c r="Y28" s="35"/>
      <c r="Z28" s="35"/>
    </row>
    <row r="29">
      <c r="A29" s="35"/>
      <c r="B29" s="81"/>
      <c r="C29" s="81"/>
      <c r="D29" s="81"/>
      <c r="E29" s="81"/>
      <c r="F29" s="81"/>
      <c r="G29" s="81"/>
      <c r="H29" s="81"/>
      <c r="I29" s="81"/>
      <c r="J29" s="81"/>
      <c r="K29" s="81"/>
      <c r="L29" s="35"/>
      <c r="M29" s="35"/>
      <c r="N29" s="35"/>
      <c r="O29" s="35"/>
      <c r="P29" s="35"/>
      <c r="Q29" s="35"/>
      <c r="R29" s="35"/>
      <c r="S29" s="35"/>
      <c r="T29" s="35"/>
      <c r="U29" s="35"/>
      <c r="V29" s="35"/>
      <c r="W29" s="35"/>
      <c r="X29" s="35"/>
      <c r="Y29" s="35"/>
      <c r="Z29" s="35"/>
    </row>
    <row r="30">
      <c r="A30" s="35"/>
      <c r="B30" s="81"/>
      <c r="C30" s="81"/>
      <c r="D30" s="81"/>
      <c r="E30" s="81"/>
      <c r="F30" s="81"/>
      <c r="G30" s="81"/>
      <c r="H30" s="81"/>
      <c r="I30" s="81"/>
      <c r="J30" s="81"/>
      <c r="K30" s="81"/>
      <c r="L30" s="35"/>
      <c r="M30" s="35"/>
      <c r="N30" s="35"/>
      <c r="O30" s="35"/>
      <c r="P30" s="35"/>
      <c r="Q30" s="35"/>
      <c r="R30" s="35"/>
      <c r="S30" s="35"/>
      <c r="T30" s="35"/>
      <c r="U30" s="35"/>
      <c r="V30" s="35"/>
      <c r="W30" s="35"/>
      <c r="X30" s="35"/>
      <c r="Y30" s="35"/>
      <c r="Z30" s="35"/>
    </row>
    <row r="31">
      <c r="A31" s="35"/>
      <c r="B31" s="81"/>
      <c r="C31" s="81"/>
      <c r="D31" s="81"/>
      <c r="E31" s="81"/>
      <c r="F31" s="81"/>
      <c r="G31" s="81"/>
      <c r="H31" s="81"/>
      <c r="I31" s="81"/>
      <c r="J31" s="81"/>
      <c r="K31" s="81"/>
      <c r="L31" s="35"/>
      <c r="M31" s="35"/>
      <c r="N31" s="35"/>
      <c r="O31" s="35"/>
      <c r="P31" s="35"/>
      <c r="Q31" s="35"/>
      <c r="R31" s="35"/>
      <c r="S31" s="35"/>
      <c r="T31" s="35"/>
      <c r="U31" s="35"/>
      <c r="V31" s="35"/>
      <c r="W31" s="35"/>
      <c r="X31" s="35"/>
      <c r="Y31" s="35"/>
      <c r="Z31" s="35"/>
    </row>
    <row r="32">
      <c r="A32" s="35"/>
      <c r="B32" s="81"/>
      <c r="C32" s="81"/>
      <c r="D32" s="81"/>
      <c r="E32" s="81"/>
      <c r="F32" s="81"/>
      <c r="G32" s="81"/>
      <c r="H32" s="81"/>
      <c r="I32" s="81"/>
      <c r="J32" s="81"/>
      <c r="K32" s="81"/>
      <c r="L32" s="35"/>
      <c r="M32" s="35"/>
      <c r="N32" s="35"/>
      <c r="O32" s="35"/>
      <c r="P32" s="35"/>
      <c r="Q32" s="35"/>
      <c r="R32" s="35"/>
      <c r="S32" s="35"/>
      <c r="T32" s="35"/>
      <c r="U32" s="35"/>
      <c r="V32" s="35"/>
      <c r="W32" s="35"/>
      <c r="X32" s="35"/>
      <c r="Y32" s="35"/>
      <c r="Z32" s="35"/>
    </row>
    <row r="33">
      <c r="A33" s="81"/>
      <c r="B33" s="81"/>
      <c r="C33" s="81"/>
      <c r="D33" s="81"/>
      <c r="E33" s="81"/>
      <c r="F33" s="81"/>
      <c r="G33" s="81"/>
      <c r="H33" s="81"/>
      <c r="I33" s="81"/>
      <c r="J33" s="81"/>
      <c r="K33" s="81"/>
      <c r="L33" s="81"/>
      <c r="M33" s="81"/>
      <c r="N33" s="35"/>
      <c r="O33" s="35"/>
      <c r="P33" s="35"/>
      <c r="Q33" s="35"/>
      <c r="R33" s="35"/>
      <c r="S33" s="35"/>
      <c r="T33" s="35"/>
      <c r="U33" s="35"/>
      <c r="V33" s="35"/>
      <c r="W33" s="35"/>
      <c r="X33" s="35"/>
      <c r="Y33" s="35"/>
      <c r="Z33" s="35"/>
    </row>
    <row r="34">
      <c r="A34" s="88"/>
      <c r="B34" s="88"/>
      <c r="C34" s="88"/>
      <c r="D34" s="88"/>
      <c r="E34" s="88"/>
      <c r="F34" s="88"/>
      <c r="G34" s="88"/>
      <c r="H34" s="88"/>
      <c r="I34" s="88"/>
      <c r="J34" s="88"/>
      <c r="K34" s="88"/>
      <c r="L34" s="88"/>
      <c r="M34" s="88"/>
      <c r="N34" s="89"/>
      <c r="O34" s="89"/>
      <c r="P34" s="35"/>
      <c r="Q34" s="35"/>
      <c r="R34" s="35"/>
      <c r="S34" s="35"/>
      <c r="T34" s="35"/>
      <c r="U34" s="35"/>
      <c r="V34" s="35"/>
      <c r="W34" s="35"/>
      <c r="X34" s="35"/>
      <c r="Y34" s="35"/>
      <c r="Z34" s="35"/>
    </row>
    <row r="35">
      <c r="A35" s="88"/>
      <c r="B35" s="88"/>
      <c r="C35" s="88"/>
      <c r="D35" s="88"/>
      <c r="E35" s="88"/>
      <c r="F35" s="88"/>
      <c r="G35" s="88"/>
      <c r="H35" s="88"/>
      <c r="I35" s="88"/>
      <c r="J35" s="88"/>
      <c r="K35" s="88"/>
      <c r="L35" s="88"/>
      <c r="M35" s="88"/>
      <c r="N35" s="89"/>
      <c r="O35" s="89"/>
      <c r="P35" s="35"/>
      <c r="Q35" s="35"/>
      <c r="R35" s="35"/>
      <c r="S35" s="35"/>
      <c r="T35" s="35"/>
      <c r="U35" s="35"/>
      <c r="V35" s="35"/>
      <c r="W35" s="35"/>
      <c r="X35" s="35"/>
      <c r="Y35" s="35"/>
      <c r="Z35" s="35"/>
    </row>
    <row r="36">
      <c r="A36" s="88"/>
      <c r="B36" s="88"/>
      <c r="C36" s="88"/>
      <c r="D36" s="88"/>
      <c r="E36" s="88"/>
      <c r="F36" s="88"/>
      <c r="G36" s="88"/>
      <c r="H36" s="88"/>
      <c r="I36" s="88"/>
      <c r="J36" s="88"/>
      <c r="K36" s="88"/>
      <c r="L36" s="88"/>
      <c r="M36" s="88"/>
      <c r="N36" s="89"/>
      <c r="O36" s="89"/>
      <c r="P36" s="35"/>
      <c r="Q36" s="35"/>
      <c r="R36" s="35"/>
      <c r="S36" s="35"/>
      <c r="T36" s="35"/>
      <c r="U36" s="35"/>
      <c r="V36" s="35"/>
      <c r="W36" s="35"/>
      <c r="X36" s="35"/>
      <c r="Y36" s="35"/>
      <c r="Z36" s="35"/>
    </row>
    <row r="37">
      <c r="A37" s="88"/>
      <c r="B37" s="88"/>
      <c r="C37" s="88"/>
      <c r="D37" s="88"/>
      <c r="E37" s="88"/>
      <c r="F37" s="88"/>
      <c r="G37" s="88"/>
      <c r="H37" s="88"/>
      <c r="I37" s="88"/>
      <c r="J37" s="88"/>
      <c r="K37" s="88"/>
      <c r="L37" s="88"/>
      <c r="M37" s="88"/>
      <c r="N37" s="89"/>
      <c r="O37" s="89"/>
      <c r="P37" s="35"/>
      <c r="Q37" s="35"/>
      <c r="R37" s="35"/>
      <c r="S37" s="35"/>
      <c r="T37" s="35"/>
      <c r="U37" s="35"/>
      <c r="V37" s="35"/>
      <c r="W37" s="35"/>
      <c r="X37" s="35"/>
      <c r="Y37" s="35"/>
      <c r="Z37" s="35"/>
    </row>
    <row r="38">
      <c r="A38" s="88"/>
      <c r="B38" s="90" t="s">
        <v>41</v>
      </c>
      <c r="C38" s="90"/>
      <c r="D38" s="90"/>
      <c r="E38" s="90" t="s">
        <v>156</v>
      </c>
      <c r="F38" s="90"/>
      <c r="G38" s="88"/>
      <c r="H38" s="88"/>
      <c r="I38" s="88"/>
      <c r="J38" s="88"/>
      <c r="K38" s="88"/>
      <c r="L38" s="88"/>
      <c r="M38" s="88"/>
      <c r="N38" s="89"/>
      <c r="O38" s="89"/>
      <c r="P38" s="35"/>
      <c r="Q38" s="35"/>
      <c r="R38" s="35"/>
      <c r="S38" s="35"/>
      <c r="T38" s="35"/>
      <c r="U38" s="35"/>
      <c r="V38" s="35"/>
      <c r="W38" s="35"/>
      <c r="X38" s="35"/>
      <c r="Y38" s="35"/>
      <c r="Z38" s="35"/>
    </row>
    <row r="39">
      <c r="A39" s="88"/>
      <c r="B39" s="90" t="s">
        <v>42</v>
      </c>
      <c r="C39" s="88"/>
      <c r="D39" s="88"/>
      <c r="E39" s="90" t="s">
        <v>157</v>
      </c>
      <c r="F39" s="88"/>
      <c r="G39" s="88"/>
      <c r="H39" s="88"/>
      <c r="I39" s="88"/>
      <c r="J39" s="88"/>
      <c r="K39" s="88"/>
      <c r="L39" s="88"/>
      <c r="M39" s="88"/>
      <c r="N39" s="89"/>
      <c r="O39" s="89"/>
      <c r="P39" s="35"/>
      <c r="Q39" s="35"/>
      <c r="R39" s="35"/>
      <c r="S39" s="35"/>
      <c r="T39" s="35"/>
      <c r="U39" s="35"/>
      <c r="V39" s="35"/>
      <c r="W39" s="35"/>
      <c r="X39" s="35"/>
      <c r="Y39" s="35"/>
      <c r="Z39" s="35"/>
    </row>
    <row r="40">
      <c r="A40" s="88"/>
      <c r="B40" s="90" t="s">
        <v>43</v>
      </c>
      <c r="C40" s="88"/>
      <c r="D40" s="88"/>
      <c r="E40" s="90" t="s">
        <v>158</v>
      </c>
      <c r="F40" s="88"/>
      <c r="G40" s="88"/>
      <c r="H40" s="88"/>
      <c r="I40" s="88"/>
      <c r="J40" s="88"/>
      <c r="K40" s="88"/>
      <c r="L40" s="88"/>
      <c r="M40" s="88"/>
      <c r="N40" s="89"/>
      <c r="O40" s="89"/>
      <c r="P40" s="35"/>
      <c r="Q40" s="35"/>
      <c r="R40" s="35"/>
      <c r="S40" s="35"/>
      <c r="T40" s="35"/>
      <c r="U40" s="35"/>
      <c r="V40" s="35"/>
      <c r="W40" s="35"/>
      <c r="X40" s="35"/>
      <c r="Y40" s="35"/>
      <c r="Z40" s="35"/>
    </row>
    <row r="41">
      <c r="A41" s="88"/>
      <c r="B41" s="90" t="s">
        <v>45</v>
      </c>
      <c r="C41" s="88"/>
      <c r="D41" s="88"/>
      <c r="E41" s="90" t="s">
        <v>159</v>
      </c>
      <c r="F41" s="88"/>
      <c r="G41" s="88"/>
      <c r="H41" s="88"/>
      <c r="I41" s="88"/>
      <c r="J41" s="88"/>
      <c r="K41" s="88"/>
      <c r="L41" s="88"/>
      <c r="M41" s="88"/>
      <c r="N41" s="89"/>
      <c r="O41" s="89"/>
      <c r="P41" s="35"/>
      <c r="Q41" s="35"/>
      <c r="R41" s="35"/>
      <c r="S41" s="35"/>
      <c r="T41" s="35"/>
      <c r="U41" s="35"/>
      <c r="V41" s="35"/>
      <c r="W41" s="35"/>
      <c r="X41" s="35"/>
      <c r="Y41" s="35"/>
      <c r="Z41" s="35"/>
    </row>
    <row r="42">
      <c r="A42" s="88"/>
      <c r="B42" s="90" t="s">
        <v>46</v>
      </c>
      <c r="C42" s="88"/>
      <c r="D42" s="88"/>
      <c r="E42" s="90" t="s">
        <v>160</v>
      </c>
      <c r="F42" s="88"/>
      <c r="G42" s="88"/>
      <c r="H42" s="88"/>
      <c r="I42" s="88"/>
      <c r="J42" s="88"/>
      <c r="K42" s="88"/>
      <c r="L42" s="88"/>
      <c r="M42" s="88"/>
      <c r="N42" s="89"/>
      <c r="O42" s="89"/>
      <c r="P42" s="35"/>
      <c r="Q42" s="35"/>
      <c r="R42" s="35"/>
      <c r="S42" s="35"/>
      <c r="T42" s="35"/>
      <c r="U42" s="35"/>
      <c r="V42" s="35"/>
      <c r="W42" s="35"/>
      <c r="X42" s="35"/>
      <c r="Y42" s="35"/>
      <c r="Z42" s="35"/>
    </row>
    <row r="43">
      <c r="A43" s="88"/>
      <c r="B43" s="90" t="s">
        <v>49</v>
      </c>
      <c r="C43" s="88"/>
      <c r="D43" s="88"/>
      <c r="E43" s="90" t="s">
        <v>161</v>
      </c>
      <c r="F43" s="88"/>
      <c r="G43" s="88"/>
      <c r="H43" s="88"/>
      <c r="I43" s="88"/>
      <c r="J43" s="88"/>
      <c r="K43" s="88"/>
      <c r="L43" s="88"/>
      <c r="M43" s="88"/>
      <c r="N43" s="89"/>
      <c r="O43" s="89"/>
      <c r="P43" s="35"/>
      <c r="Q43" s="35"/>
      <c r="R43" s="35"/>
      <c r="S43" s="35"/>
      <c r="T43" s="35"/>
      <c r="U43" s="35"/>
      <c r="V43" s="35"/>
      <c r="W43" s="35"/>
      <c r="X43" s="35"/>
      <c r="Y43" s="35"/>
      <c r="Z43" s="35"/>
    </row>
    <row r="44">
      <c r="A44" s="88"/>
      <c r="B44" s="90"/>
      <c r="C44" s="88"/>
      <c r="D44" s="88"/>
      <c r="E44" s="90" t="s">
        <v>162</v>
      </c>
      <c r="F44" s="88"/>
      <c r="G44" s="88"/>
      <c r="H44" s="88"/>
      <c r="I44" s="88"/>
      <c r="J44" s="88"/>
      <c r="K44" s="88"/>
      <c r="L44" s="88"/>
      <c r="M44" s="88"/>
      <c r="N44" s="89"/>
      <c r="O44" s="89"/>
      <c r="P44" s="35"/>
      <c r="Q44" s="35"/>
      <c r="R44" s="35"/>
      <c r="S44" s="35"/>
      <c r="T44" s="35"/>
      <c r="U44" s="35"/>
      <c r="V44" s="35"/>
      <c r="W44" s="35"/>
      <c r="X44" s="35"/>
      <c r="Y44" s="35"/>
      <c r="Z44" s="35"/>
    </row>
    <row r="45">
      <c r="A45" s="88"/>
      <c r="B45" s="88"/>
      <c r="C45" s="88"/>
      <c r="D45" s="88"/>
      <c r="E45" s="90" t="s">
        <v>163</v>
      </c>
      <c r="F45" s="88"/>
      <c r="G45" s="88"/>
      <c r="H45" s="88"/>
      <c r="I45" s="88"/>
      <c r="J45" s="88"/>
      <c r="K45" s="88"/>
      <c r="L45" s="88"/>
      <c r="M45" s="88"/>
      <c r="N45" s="89"/>
      <c r="O45" s="89"/>
      <c r="P45" s="35"/>
      <c r="Q45" s="35"/>
      <c r="R45" s="35"/>
      <c r="S45" s="35"/>
      <c r="T45" s="35"/>
      <c r="U45" s="35"/>
      <c r="V45" s="35"/>
      <c r="W45" s="35"/>
      <c r="X45" s="35"/>
      <c r="Y45" s="35"/>
      <c r="Z45" s="35"/>
    </row>
    <row r="46">
      <c r="A46" s="88"/>
      <c r="B46" s="88"/>
      <c r="C46" s="88"/>
      <c r="D46" s="88"/>
      <c r="E46" s="90" t="s">
        <v>164</v>
      </c>
      <c r="F46" s="88"/>
      <c r="G46" s="88"/>
      <c r="H46" s="88"/>
      <c r="I46" s="88"/>
      <c r="J46" s="88"/>
      <c r="K46" s="88"/>
      <c r="L46" s="88"/>
      <c r="M46" s="88"/>
      <c r="N46" s="89"/>
      <c r="O46" s="89"/>
      <c r="P46" s="35"/>
      <c r="Q46" s="35"/>
      <c r="R46" s="35"/>
      <c r="S46" s="35"/>
      <c r="T46" s="35"/>
      <c r="U46" s="35"/>
      <c r="V46" s="35"/>
      <c r="W46" s="35"/>
      <c r="X46" s="35"/>
      <c r="Y46" s="35"/>
      <c r="Z46" s="35"/>
    </row>
    <row r="47">
      <c r="A47" s="88"/>
      <c r="B47" s="88"/>
      <c r="C47" s="88"/>
      <c r="D47" s="88"/>
      <c r="E47" s="90" t="s">
        <v>165</v>
      </c>
      <c r="F47" s="88"/>
      <c r="G47" s="88"/>
      <c r="H47" s="88"/>
      <c r="I47" s="88"/>
      <c r="J47" s="88"/>
      <c r="K47" s="88"/>
      <c r="L47" s="88"/>
      <c r="M47" s="88"/>
      <c r="N47" s="89"/>
      <c r="O47" s="89"/>
      <c r="P47" s="35"/>
      <c r="Q47" s="35"/>
      <c r="R47" s="35"/>
      <c r="S47" s="35"/>
      <c r="T47" s="35"/>
      <c r="U47" s="35"/>
      <c r="V47" s="35"/>
      <c r="W47" s="35"/>
      <c r="X47" s="35"/>
      <c r="Y47" s="35"/>
      <c r="Z47" s="35"/>
    </row>
    <row r="48">
      <c r="A48" s="88"/>
      <c r="B48" s="88"/>
      <c r="C48" s="88"/>
      <c r="D48" s="88"/>
      <c r="E48" s="90" t="s">
        <v>166</v>
      </c>
      <c r="F48" s="88"/>
      <c r="G48" s="88"/>
      <c r="H48" s="88"/>
      <c r="I48" s="88"/>
      <c r="J48" s="88"/>
      <c r="K48" s="88"/>
      <c r="L48" s="88"/>
      <c r="M48" s="88"/>
      <c r="N48" s="89"/>
      <c r="O48" s="89"/>
      <c r="P48" s="35"/>
      <c r="Q48" s="35"/>
      <c r="R48" s="35"/>
      <c r="S48" s="35"/>
      <c r="T48" s="35"/>
      <c r="U48" s="35"/>
      <c r="V48" s="35"/>
      <c r="W48" s="35"/>
      <c r="X48" s="35"/>
      <c r="Y48" s="35"/>
      <c r="Z48" s="35"/>
    </row>
    <row r="49">
      <c r="A49" s="88"/>
      <c r="B49" s="88"/>
      <c r="C49" s="88"/>
      <c r="D49" s="88"/>
      <c r="E49" s="88"/>
      <c r="F49" s="88"/>
      <c r="G49" s="88"/>
      <c r="H49" s="88"/>
      <c r="I49" s="88"/>
      <c r="J49" s="88"/>
      <c r="K49" s="88"/>
      <c r="L49" s="88"/>
      <c r="M49" s="88"/>
      <c r="N49" s="89"/>
      <c r="O49" s="89"/>
      <c r="P49" s="35"/>
      <c r="Q49" s="35"/>
      <c r="R49" s="35"/>
      <c r="S49" s="35"/>
      <c r="T49" s="35"/>
      <c r="U49" s="35"/>
      <c r="V49" s="35"/>
      <c r="W49" s="35"/>
      <c r="X49" s="35"/>
      <c r="Y49" s="35"/>
      <c r="Z49" s="35"/>
    </row>
    <row r="50">
      <c r="A50" s="88"/>
      <c r="B50" s="88"/>
      <c r="C50" s="88"/>
      <c r="D50" s="88"/>
      <c r="E50" s="88"/>
      <c r="F50" s="88"/>
      <c r="G50" s="88"/>
      <c r="H50" s="88"/>
      <c r="I50" s="88"/>
      <c r="J50" s="88"/>
      <c r="K50" s="88"/>
      <c r="L50" s="88"/>
      <c r="M50" s="88"/>
      <c r="N50" s="89"/>
      <c r="O50" s="89"/>
      <c r="P50" s="35"/>
      <c r="Q50" s="35"/>
      <c r="R50" s="35"/>
      <c r="S50" s="35"/>
      <c r="T50" s="35"/>
      <c r="U50" s="35"/>
      <c r="V50" s="35"/>
      <c r="W50" s="35"/>
      <c r="X50" s="35"/>
      <c r="Y50" s="35"/>
      <c r="Z50" s="35"/>
    </row>
    <row r="51">
      <c r="A51" s="88"/>
      <c r="B51" s="88"/>
      <c r="C51" s="88"/>
      <c r="D51" s="88"/>
      <c r="E51" s="88"/>
      <c r="F51" s="88"/>
      <c r="G51" s="88"/>
      <c r="H51" s="88"/>
      <c r="I51" s="88"/>
      <c r="J51" s="88"/>
      <c r="K51" s="88"/>
      <c r="L51" s="88"/>
      <c r="M51" s="88"/>
      <c r="N51" s="89"/>
      <c r="O51" s="89"/>
      <c r="P51" s="35"/>
      <c r="Q51" s="35"/>
      <c r="R51" s="35"/>
      <c r="S51" s="35"/>
      <c r="T51" s="35"/>
      <c r="U51" s="35"/>
      <c r="V51" s="35"/>
      <c r="W51" s="35"/>
      <c r="X51" s="35"/>
      <c r="Y51" s="35"/>
      <c r="Z51" s="35"/>
    </row>
    <row r="52">
      <c r="A52" s="88"/>
      <c r="B52" s="88"/>
      <c r="C52" s="88"/>
      <c r="D52" s="88"/>
      <c r="E52" s="88"/>
      <c r="F52" s="88"/>
      <c r="G52" s="88"/>
      <c r="H52" s="88"/>
      <c r="I52" s="88"/>
      <c r="J52" s="88"/>
      <c r="K52" s="88"/>
      <c r="L52" s="88"/>
      <c r="M52" s="88"/>
      <c r="N52" s="89"/>
      <c r="O52" s="89"/>
      <c r="P52" s="35"/>
      <c r="Q52" s="35"/>
      <c r="R52" s="35"/>
      <c r="S52" s="35"/>
      <c r="T52" s="35"/>
      <c r="U52" s="35"/>
      <c r="V52" s="35"/>
      <c r="W52" s="35"/>
      <c r="X52" s="35"/>
      <c r="Y52" s="35"/>
      <c r="Z52" s="35"/>
    </row>
    <row r="53">
      <c r="A53" s="88"/>
      <c r="B53" s="88"/>
      <c r="C53" s="88"/>
      <c r="D53" s="88"/>
      <c r="E53" s="88"/>
      <c r="F53" s="88"/>
      <c r="G53" s="88"/>
      <c r="H53" s="88"/>
      <c r="I53" s="88"/>
      <c r="J53" s="88"/>
      <c r="K53" s="88"/>
      <c r="L53" s="88"/>
      <c r="M53" s="88"/>
      <c r="N53" s="89"/>
      <c r="O53" s="89"/>
      <c r="P53" s="35"/>
      <c r="Q53" s="35"/>
      <c r="R53" s="35"/>
      <c r="S53" s="35"/>
      <c r="T53" s="35"/>
      <c r="U53" s="35"/>
      <c r="V53" s="35"/>
      <c r="W53" s="35"/>
      <c r="X53" s="35"/>
      <c r="Y53" s="35"/>
      <c r="Z53" s="35"/>
    </row>
    <row r="54">
      <c r="A54" s="88"/>
      <c r="B54" s="88"/>
      <c r="C54" s="88"/>
      <c r="D54" s="88"/>
      <c r="E54" s="88"/>
      <c r="F54" s="88"/>
      <c r="G54" s="88"/>
      <c r="H54" s="88"/>
      <c r="I54" s="88"/>
      <c r="J54" s="88"/>
      <c r="K54" s="88"/>
      <c r="L54" s="88"/>
      <c r="M54" s="88"/>
      <c r="N54" s="89"/>
      <c r="O54" s="89"/>
      <c r="P54" s="35"/>
      <c r="Q54" s="35"/>
      <c r="R54" s="35"/>
      <c r="S54" s="35"/>
      <c r="T54" s="35"/>
      <c r="U54" s="35"/>
      <c r="V54" s="35"/>
      <c r="W54" s="35"/>
      <c r="X54" s="35"/>
      <c r="Y54" s="35"/>
      <c r="Z54" s="35"/>
    </row>
    <row r="55">
      <c r="A55" s="88"/>
      <c r="B55" s="88"/>
      <c r="C55" s="88"/>
      <c r="D55" s="88"/>
      <c r="E55" s="88"/>
      <c r="F55" s="88"/>
      <c r="G55" s="88"/>
      <c r="H55" s="88"/>
      <c r="I55" s="88"/>
      <c r="J55" s="88"/>
      <c r="K55" s="88"/>
      <c r="L55" s="88"/>
      <c r="M55" s="88"/>
      <c r="N55" s="89"/>
      <c r="O55" s="89"/>
      <c r="P55" s="35"/>
      <c r="Q55" s="35"/>
      <c r="R55" s="35"/>
      <c r="S55" s="35"/>
      <c r="T55" s="35"/>
      <c r="U55" s="35"/>
      <c r="V55" s="35"/>
      <c r="W55" s="35"/>
      <c r="X55" s="35"/>
      <c r="Y55" s="35"/>
      <c r="Z55" s="35"/>
    </row>
    <row r="56">
      <c r="A56" s="88"/>
      <c r="B56" s="88"/>
      <c r="C56" s="88"/>
      <c r="D56" s="88"/>
      <c r="E56" s="88"/>
      <c r="F56" s="88"/>
      <c r="G56" s="88"/>
      <c r="H56" s="88"/>
      <c r="I56" s="88"/>
      <c r="J56" s="88"/>
      <c r="K56" s="88"/>
      <c r="L56" s="88"/>
      <c r="M56" s="88"/>
      <c r="N56" s="89"/>
      <c r="O56" s="89"/>
      <c r="P56" s="35"/>
      <c r="Q56" s="35"/>
      <c r="R56" s="35"/>
      <c r="S56" s="35"/>
      <c r="T56" s="35"/>
      <c r="U56" s="35"/>
      <c r="V56" s="35"/>
      <c r="W56" s="35"/>
      <c r="X56" s="35"/>
      <c r="Y56" s="35"/>
      <c r="Z56" s="35"/>
    </row>
    <row r="57">
      <c r="A57" s="88"/>
      <c r="B57" s="88"/>
      <c r="C57" s="88"/>
      <c r="D57" s="88"/>
      <c r="E57" s="88"/>
      <c r="F57" s="88"/>
      <c r="G57" s="88"/>
      <c r="H57" s="88"/>
      <c r="I57" s="88"/>
      <c r="J57" s="88"/>
      <c r="K57" s="88"/>
      <c r="L57" s="88"/>
      <c r="M57" s="88"/>
      <c r="N57" s="89"/>
      <c r="O57" s="89"/>
      <c r="P57" s="35"/>
      <c r="Q57" s="35"/>
      <c r="R57" s="35"/>
      <c r="S57" s="35"/>
      <c r="T57" s="35"/>
      <c r="U57" s="35"/>
      <c r="V57" s="35"/>
      <c r="W57" s="35"/>
      <c r="X57" s="35"/>
      <c r="Y57" s="35"/>
      <c r="Z57" s="35"/>
    </row>
    <row r="58">
      <c r="A58" s="88"/>
      <c r="B58" s="88"/>
      <c r="C58" s="88"/>
      <c r="D58" s="88"/>
      <c r="E58" s="88"/>
      <c r="F58" s="88"/>
      <c r="G58" s="88"/>
      <c r="H58" s="88"/>
      <c r="I58" s="88"/>
      <c r="J58" s="88"/>
      <c r="K58" s="88"/>
      <c r="L58" s="88"/>
      <c r="M58" s="88"/>
      <c r="N58" s="89"/>
      <c r="O58" s="89"/>
      <c r="P58" s="35"/>
      <c r="Q58" s="35"/>
      <c r="R58" s="35"/>
      <c r="S58" s="35"/>
      <c r="T58" s="35"/>
      <c r="U58" s="35"/>
      <c r="V58" s="35"/>
      <c r="W58" s="35"/>
      <c r="X58" s="35"/>
      <c r="Y58" s="35"/>
      <c r="Z58" s="35"/>
    </row>
    <row r="59">
      <c r="A59" s="88"/>
      <c r="B59" s="88"/>
      <c r="C59" s="88"/>
      <c r="D59" s="88"/>
      <c r="E59" s="88"/>
      <c r="F59" s="88"/>
      <c r="G59" s="88"/>
      <c r="H59" s="88"/>
      <c r="I59" s="88"/>
      <c r="J59" s="88"/>
      <c r="K59" s="88"/>
      <c r="L59" s="88"/>
      <c r="M59" s="88"/>
      <c r="N59" s="89"/>
      <c r="O59" s="89"/>
      <c r="P59" s="35"/>
      <c r="Q59" s="35"/>
      <c r="R59" s="35"/>
      <c r="S59" s="35"/>
      <c r="T59" s="35"/>
      <c r="U59" s="35"/>
      <c r="V59" s="35"/>
      <c r="W59" s="35"/>
      <c r="X59" s="35"/>
      <c r="Y59" s="35"/>
      <c r="Z59" s="35"/>
    </row>
    <row r="60">
      <c r="A60" s="88"/>
      <c r="B60" s="88"/>
      <c r="C60" s="88"/>
      <c r="D60" s="88"/>
      <c r="E60" s="88"/>
      <c r="F60" s="88"/>
      <c r="G60" s="88"/>
      <c r="H60" s="88"/>
      <c r="I60" s="88"/>
      <c r="J60" s="88"/>
      <c r="K60" s="88"/>
      <c r="L60" s="88"/>
      <c r="M60" s="88"/>
      <c r="N60" s="89"/>
      <c r="O60" s="89"/>
      <c r="P60" s="35"/>
      <c r="Q60" s="35"/>
      <c r="R60" s="35"/>
      <c r="S60" s="35"/>
      <c r="T60" s="35"/>
      <c r="U60" s="35"/>
      <c r="V60" s="35"/>
      <c r="W60" s="35"/>
      <c r="X60" s="35"/>
      <c r="Y60" s="35"/>
      <c r="Z60" s="35"/>
    </row>
    <row r="61">
      <c r="A61" s="89"/>
      <c r="B61" s="89"/>
      <c r="C61" s="89"/>
      <c r="D61" s="89"/>
      <c r="E61" s="89"/>
      <c r="F61" s="89"/>
      <c r="G61" s="89"/>
      <c r="H61" s="89"/>
      <c r="I61" s="89"/>
      <c r="J61" s="89"/>
      <c r="K61" s="89"/>
      <c r="L61" s="89"/>
      <c r="M61" s="89"/>
      <c r="N61" s="89"/>
      <c r="O61" s="89"/>
      <c r="P61" s="35"/>
      <c r="Q61" s="35"/>
      <c r="R61" s="35"/>
      <c r="S61" s="35"/>
      <c r="T61" s="35"/>
      <c r="U61" s="35"/>
      <c r="V61" s="35"/>
      <c r="W61" s="35"/>
      <c r="X61" s="35"/>
      <c r="Y61" s="35"/>
      <c r="Z61" s="35"/>
    </row>
    <row r="62">
      <c r="A62" s="89"/>
      <c r="B62" s="89"/>
      <c r="C62" s="89"/>
      <c r="D62" s="89"/>
      <c r="E62" s="89"/>
      <c r="F62" s="89"/>
      <c r="G62" s="89"/>
      <c r="H62" s="89"/>
      <c r="I62" s="89"/>
      <c r="J62" s="89"/>
      <c r="K62" s="89"/>
      <c r="L62" s="89"/>
      <c r="M62" s="89"/>
      <c r="N62" s="89"/>
      <c r="O62" s="89"/>
      <c r="P62" s="35"/>
      <c r="Q62" s="35"/>
      <c r="R62" s="35"/>
      <c r="S62" s="35"/>
      <c r="T62" s="35"/>
      <c r="U62" s="35"/>
      <c r="V62" s="35"/>
      <c r="W62" s="35"/>
      <c r="X62" s="35"/>
      <c r="Y62" s="35"/>
      <c r="Z62" s="35"/>
    </row>
    <row r="63">
      <c r="A63" s="89"/>
      <c r="B63" s="89"/>
      <c r="C63" s="89"/>
      <c r="D63" s="89"/>
      <c r="E63" s="89"/>
      <c r="F63" s="89"/>
      <c r="G63" s="89"/>
      <c r="H63" s="89"/>
      <c r="I63" s="89"/>
      <c r="J63" s="89"/>
      <c r="K63" s="89"/>
      <c r="L63" s="89"/>
      <c r="M63" s="89"/>
      <c r="N63" s="89"/>
      <c r="O63" s="89"/>
      <c r="P63" s="35"/>
      <c r="Q63" s="35"/>
      <c r="R63" s="35"/>
      <c r="S63" s="35"/>
      <c r="T63" s="35"/>
      <c r="U63" s="35"/>
      <c r="V63" s="35"/>
      <c r="W63" s="35"/>
      <c r="X63" s="35"/>
      <c r="Y63" s="35"/>
      <c r="Z63" s="35"/>
    </row>
    <row r="64">
      <c r="A64" s="89"/>
      <c r="B64" s="89"/>
      <c r="C64" s="89"/>
      <c r="D64" s="89"/>
      <c r="E64" s="89"/>
      <c r="F64" s="89"/>
      <c r="G64" s="89"/>
      <c r="H64" s="89"/>
      <c r="I64" s="89"/>
      <c r="J64" s="89"/>
      <c r="K64" s="89"/>
      <c r="L64" s="89"/>
      <c r="M64" s="89"/>
      <c r="N64" s="89"/>
      <c r="O64" s="89"/>
      <c r="P64" s="35"/>
      <c r="Q64" s="35"/>
      <c r="R64" s="35"/>
      <c r="S64" s="35"/>
      <c r="T64" s="35"/>
      <c r="U64" s="35"/>
      <c r="V64" s="35"/>
      <c r="W64" s="35"/>
      <c r="X64" s="35"/>
      <c r="Y64" s="35"/>
      <c r="Z64" s="35"/>
    </row>
    <row r="65">
      <c r="A65" s="89"/>
      <c r="B65" s="89"/>
      <c r="C65" s="89"/>
      <c r="D65" s="89"/>
      <c r="E65" s="89"/>
      <c r="F65" s="89"/>
      <c r="G65" s="89"/>
      <c r="H65" s="89"/>
      <c r="I65" s="89"/>
      <c r="J65" s="89"/>
      <c r="K65" s="89"/>
      <c r="L65" s="89"/>
      <c r="M65" s="89"/>
      <c r="N65" s="89"/>
      <c r="O65" s="89"/>
      <c r="P65" s="35"/>
      <c r="Q65" s="35"/>
      <c r="R65" s="35"/>
      <c r="S65" s="35"/>
      <c r="T65" s="35"/>
      <c r="U65" s="35"/>
      <c r="V65" s="35"/>
      <c r="W65" s="35"/>
      <c r="X65" s="35"/>
      <c r="Y65" s="35"/>
      <c r="Z65" s="35"/>
    </row>
    <row r="66">
      <c r="A66" s="89"/>
      <c r="B66" s="89"/>
      <c r="C66" s="89"/>
      <c r="D66" s="89"/>
      <c r="E66" s="89"/>
      <c r="F66" s="89"/>
      <c r="G66" s="89"/>
      <c r="H66" s="89"/>
      <c r="I66" s="89"/>
      <c r="J66" s="89"/>
      <c r="K66" s="89"/>
      <c r="L66" s="89"/>
      <c r="M66" s="89"/>
      <c r="N66" s="89"/>
      <c r="O66" s="89"/>
      <c r="P66" s="35"/>
      <c r="Q66" s="35"/>
      <c r="R66" s="35"/>
      <c r="S66" s="35"/>
      <c r="T66" s="35"/>
      <c r="U66" s="35"/>
      <c r="V66" s="35"/>
      <c r="W66" s="35"/>
      <c r="X66" s="35"/>
      <c r="Y66" s="35"/>
      <c r="Z66" s="35"/>
    </row>
    <row r="67">
      <c r="A67" s="89"/>
      <c r="B67" s="89"/>
      <c r="C67" s="89"/>
      <c r="D67" s="89"/>
      <c r="E67" s="89"/>
      <c r="F67" s="89"/>
      <c r="G67" s="89"/>
      <c r="H67" s="89"/>
      <c r="I67" s="89"/>
      <c r="J67" s="89"/>
      <c r="K67" s="89"/>
      <c r="L67" s="89"/>
      <c r="M67" s="89"/>
      <c r="N67" s="89"/>
      <c r="O67" s="89"/>
      <c r="P67" s="35"/>
      <c r="Q67" s="35"/>
      <c r="R67" s="35"/>
      <c r="S67" s="35"/>
      <c r="T67" s="35"/>
      <c r="U67" s="35"/>
      <c r="V67" s="35"/>
      <c r="W67" s="35"/>
      <c r="X67" s="35"/>
      <c r="Y67" s="35"/>
      <c r="Z67" s="35"/>
    </row>
    <row r="68">
      <c r="A68" s="89"/>
      <c r="B68" s="89"/>
      <c r="C68" s="89"/>
      <c r="D68" s="89"/>
      <c r="E68" s="89"/>
      <c r="F68" s="89"/>
      <c r="G68" s="89"/>
      <c r="H68" s="89"/>
      <c r="I68" s="89"/>
      <c r="J68" s="89"/>
      <c r="K68" s="89"/>
      <c r="L68" s="89"/>
      <c r="M68" s="89"/>
      <c r="N68" s="89"/>
      <c r="O68" s="89"/>
      <c r="P68" s="35"/>
      <c r="Q68" s="35"/>
      <c r="R68" s="35"/>
      <c r="S68" s="35"/>
      <c r="T68" s="35"/>
      <c r="U68" s="35"/>
      <c r="V68" s="35"/>
      <c r="W68" s="35"/>
      <c r="X68" s="35"/>
      <c r="Y68" s="35"/>
      <c r="Z68" s="35"/>
    </row>
    <row r="69">
      <c r="A69" s="89"/>
      <c r="B69" s="89"/>
      <c r="C69" s="89"/>
      <c r="D69" s="89"/>
      <c r="E69" s="89"/>
      <c r="F69" s="89"/>
      <c r="G69" s="89"/>
      <c r="H69" s="89"/>
      <c r="I69" s="89"/>
      <c r="J69" s="89"/>
      <c r="K69" s="89"/>
      <c r="L69" s="89"/>
      <c r="M69" s="89"/>
      <c r="N69" s="89"/>
      <c r="O69" s="89"/>
      <c r="P69" s="35"/>
      <c r="Q69" s="35"/>
      <c r="R69" s="35"/>
      <c r="S69" s="35"/>
      <c r="T69" s="35"/>
      <c r="U69" s="35"/>
      <c r="V69" s="35"/>
      <c r="W69" s="35"/>
      <c r="X69" s="35"/>
      <c r="Y69" s="35"/>
      <c r="Z69" s="35"/>
    </row>
    <row r="70">
      <c r="A70" s="89"/>
      <c r="B70" s="89"/>
      <c r="C70" s="89"/>
      <c r="D70" s="89"/>
      <c r="E70" s="89"/>
      <c r="F70" s="89"/>
      <c r="G70" s="89"/>
      <c r="H70" s="89"/>
      <c r="I70" s="89"/>
      <c r="J70" s="89"/>
      <c r="K70" s="89"/>
      <c r="L70" s="89"/>
      <c r="M70" s="89"/>
      <c r="N70" s="89"/>
      <c r="O70" s="89"/>
      <c r="P70" s="35"/>
      <c r="Q70" s="35"/>
      <c r="R70" s="35"/>
      <c r="S70" s="35"/>
      <c r="T70" s="35"/>
      <c r="U70" s="35"/>
      <c r="V70" s="35"/>
      <c r="W70" s="35"/>
      <c r="X70" s="35"/>
      <c r="Y70" s="35"/>
      <c r="Z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c r="A72" s="35"/>
      <c r="B72" s="35"/>
      <c r="C72" s="35">
        <f>5.5+10+7+2+5+4.5</f>
        <v>34</v>
      </c>
      <c r="D72" s="87">
        <f>11.5+4.5+5+2+2</f>
        <v>25</v>
      </c>
      <c r="E72" s="87"/>
      <c r="F72" s="87"/>
      <c r="G72" s="87"/>
      <c r="H72" s="35"/>
      <c r="I72" s="35"/>
      <c r="J72" s="35"/>
      <c r="K72" s="35"/>
      <c r="L72" s="35"/>
      <c r="M72" s="35"/>
      <c r="N72" s="35"/>
      <c r="O72" s="35"/>
      <c r="P72" s="35"/>
      <c r="Q72" s="35"/>
      <c r="R72" s="35"/>
      <c r="S72" s="35"/>
      <c r="T72" s="35"/>
      <c r="U72" s="35"/>
      <c r="V72" s="35"/>
      <c r="W72" s="35"/>
      <c r="X72" s="35"/>
      <c r="Y72" s="35"/>
      <c r="Z72" s="35"/>
    </row>
    <row r="73">
      <c r="A73" s="35"/>
      <c r="B73" s="35"/>
      <c r="C73" s="35">
        <f>C72*0.5</f>
        <v>17</v>
      </c>
      <c r="D73" s="35">
        <f>D72*0.75</f>
        <v>18.75</v>
      </c>
      <c r="E73" s="87"/>
      <c r="F73" s="87"/>
      <c r="G73" s="35"/>
      <c r="H73" s="35"/>
      <c r="I73" s="35"/>
      <c r="J73" s="35"/>
      <c r="K73" s="35"/>
      <c r="L73" s="35"/>
      <c r="M73" s="35"/>
      <c r="N73" s="35"/>
      <c r="O73" s="35"/>
      <c r="P73" s="35"/>
      <c r="Q73" s="35"/>
      <c r="R73" s="35"/>
      <c r="S73" s="35"/>
      <c r="T73" s="35"/>
      <c r="U73" s="35"/>
      <c r="V73" s="35"/>
      <c r="W73" s="35"/>
      <c r="X73" s="35"/>
      <c r="Y73" s="35"/>
      <c r="Z73" s="35"/>
    </row>
    <row r="74">
      <c r="A74" s="35"/>
      <c r="B74" s="35"/>
      <c r="C74" s="35"/>
      <c r="D74" s="35"/>
      <c r="E74" s="87"/>
      <c r="F74" s="35"/>
      <c r="G74" s="35"/>
      <c r="H74" s="35"/>
      <c r="I74" s="35"/>
      <c r="J74" s="35"/>
      <c r="K74" s="35"/>
      <c r="L74" s="35"/>
      <c r="M74" s="35"/>
      <c r="N74" s="35"/>
      <c r="O74" s="35"/>
      <c r="P74" s="35"/>
      <c r="Q74" s="35"/>
      <c r="R74" s="35"/>
      <c r="S74" s="35"/>
      <c r="T74" s="35"/>
      <c r="U74" s="35"/>
      <c r="V74" s="35"/>
      <c r="W74" s="35"/>
      <c r="X74" s="35"/>
      <c r="Y74" s="35"/>
      <c r="Z74" s="35"/>
    </row>
    <row r="75">
      <c r="A75" s="35"/>
      <c r="B75" s="35"/>
      <c r="C75" s="35"/>
      <c r="D75" s="35"/>
      <c r="E75" s="87"/>
      <c r="F75" s="35"/>
      <c r="G75" s="35"/>
      <c r="H75" s="35"/>
      <c r="I75" s="35"/>
      <c r="J75" s="35"/>
      <c r="K75" s="35"/>
      <c r="L75" s="35"/>
      <c r="M75" s="35"/>
      <c r="N75" s="35"/>
      <c r="O75" s="35"/>
      <c r="P75" s="35"/>
      <c r="Q75" s="35"/>
      <c r="R75" s="35"/>
      <c r="S75" s="35"/>
      <c r="T75" s="35"/>
      <c r="U75" s="35"/>
      <c r="V75" s="35"/>
      <c r="W75" s="35"/>
      <c r="X75" s="35"/>
      <c r="Y75" s="35"/>
      <c r="Z75" s="35"/>
    </row>
    <row r="76">
      <c r="A76" s="35"/>
      <c r="B76" s="35"/>
      <c r="C76" s="35"/>
      <c r="D76" s="35"/>
      <c r="E76" s="87"/>
      <c r="F76" s="87"/>
      <c r="G76" s="35"/>
      <c r="H76" s="35"/>
      <c r="I76" s="35"/>
      <c r="J76" s="35"/>
      <c r="K76" s="35"/>
      <c r="L76" s="35"/>
      <c r="M76" s="35"/>
      <c r="N76" s="35"/>
      <c r="O76" s="35"/>
      <c r="P76" s="35"/>
      <c r="Q76" s="35"/>
      <c r="R76" s="35"/>
      <c r="S76" s="35"/>
      <c r="T76" s="35"/>
      <c r="U76" s="35"/>
      <c r="V76" s="35"/>
      <c r="W76" s="35"/>
      <c r="X76" s="35"/>
      <c r="Y76" s="35"/>
      <c r="Z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sheetData>
  <mergeCells count="2">
    <mergeCell ref="A1:K1"/>
    <mergeCell ref="A16:K16"/>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3.5"/>
    <col customWidth="1" min="2" max="2" width="8.0"/>
    <col customWidth="1" min="4" max="5" width="7.0"/>
    <col customWidth="1" min="6" max="6" width="7.63"/>
    <col customWidth="1" min="7" max="7" width="13.38"/>
    <col customWidth="1" min="8" max="8" width="13.88"/>
    <col customWidth="1" min="9" max="9" width="14.75"/>
    <col customWidth="1" min="10" max="10" width="10.75"/>
    <col customWidth="1" min="11" max="11" width="7.75"/>
    <col customWidth="1" min="12" max="12" width="13.0"/>
    <col customWidth="1" min="13" max="13" width="14.13"/>
    <col customWidth="1" min="14" max="15" width="18.5"/>
    <col customWidth="1" min="16" max="16" width="8.25"/>
    <col customWidth="1" min="17" max="17" width="6.88"/>
    <col customWidth="1" min="18" max="18" width="14.13"/>
    <col customWidth="1" min="19" max="19" width="10.5"/>
    <col customWidth="1" min="20" max="20" width="13.38"/>
    <col customWidth="1" min="21" max="21" width="11.75"/>
    <col customWidth="1" min="22" max="22" width="10.0"/>
    <col customWidth="1" min="23" max="23" width="10.38"/>
    <col customWidth="1" min="24" max="24" width="12.63"/>
    <col customWidth="1" min="25" max="25" width="12.13"/>
    <col customWidth="1" min="28" max="28" width="25.25"/>
    <col customWidth="1" min="29" max="29" width="36.63"/>
  </cols>
  <sheetData>
    <row r="1">
      <c r="A1" s="91" t="s">
        <v>167</v>
      </c>
      <c r="B1" s="92" t="s">
        <v>168</v>
      </c>
      <c r="C1" s="92" t="s">
        <v>169</v>
      </c>
      <c r="D1" s="92" t="s">
        <v>170</v>
      </c>
      <c r="E1" s="92" t="s">
        <v>171</v>
      </c>
      <c r="F1" s="92" t="s">
        <v>172</v>
      </c>
      <c r="G1" s="92" t="s">
        <v>173</v>
      </c>
      <c r="H1" s="93" t="s">
        <v>174</v>
      </c>
      <c r="I1" s="94"/>
      <c r="J1" s="94"/>
      <c r="K1" s="94"/>
      <c r="L1" s="94"/>
      <c r="M1" s="94"/>
      <c r="N1" s="94"/>
      <c r="O1" s="94"/>
      <c r="P1" s="94"/>
      <c r="Q1" s="94"/>
      <c r="R1" s="94"/>
      <c r="S1" s="94"/>
      <c r="T1" s="94"/>
      <c r="U1" s="94"/>
      <c r="V1" s="94"/>
      <c r="W1" s="94"/>
      <c r="X1" s="94"/>
      <c r="Y1" s="94"/>
      <c r="Z1" s="94"/>
      <c r="AA1" s="94"/>
      <c r="AB1" s="94"/>
      <c r="AC1" s="95"/>
    </row>
    <row r="2" ht="31.5" customHeight="1">
      <c r="A2" s="96"/>
      <c r="B2" s="97"/>
      <c r="C2" s="97"/>
      <c r="D2" s="97"/>
      <c r="E2" s="97"/>
      <c r="F2" s="97"/>
      <c r="G2" s="97"/>
      <c r="H2" s="98" t="s">
        <v>175</v>
      </c>
      <c r="I2" s="98" t="s">
        <v>176</v>
      </c>
      <c r="J2" s="98" t="s">
        <v>177</v>
      </c>
      <c r="K2" s="98" t="s">
        <v>178</v>
      </c>
      <c r="L2" s="98" t="s">
        <v>115</v>
      </c>
      <c r="M2" s="98" t="s">
        <v>113</v>
      </c>
      <c r="N2" s="98" t="s">
        <v>179</v>
      </c>
      <c r="O2" s="98" t="s">
        <v>180</v>
      </c>
      <c r="P2" s="98" t="s">
        <v>112</v>
      </c>
      <c r="Q2" s="99" t="s">
        <v>109</v>
      </c>
      <c r="R2" s="100" t="s">
        <v>110</v>
      </c>
      <c r="S2" s="100" t="s">
        <v>181</v>
      </c>
      <c r="T2" s="101" t="s">
        <v>111</v>
      </c>
      <c r="U2" s="98" t="s">
        <v>182</v>
      </c>
      <c r="V2" s="98" t="s">
        <v>183</v>
      </c>
      <c r="W2" s="98" t="s">
        <v>184</v>
      </c>
      <c r="X2" s="102" t="s">
        <v>185</v>
      </c>
      <c r="Y2" s="102" t="s">
        <v>119</v>
      </c>
      <c r="Z2" s="102" t="s">
        <v>186</v>
      </c>
      <c r="AA2" s="103"/>
      <c r="AB2" s="103"/>
      <c r="AC2" s="104"/>
      <c r="AD2" s="105"/>
      <c r="AE2" s="105"/>
      <c r="AF2" s="105"/>
      <c r="AG2" s="105"/>
      <c r="AH2" s="105"/>
    </row>
    <row r="3">
      <c r="A3" s="106" t="s">
        <v>187</v>
      </c>
      <c r="B3" s="107"/>
      <c r="C3" s="107"/>
      <c r="D3" s="107"/>
      <c r="E3" s="107"/>
      <c r="F3" s="107"/>
      <c r="G3" s="107"/>
      <c r="H3" s="108"/>
      <c r="I3" s="109"/>
      <c r="J3" s="109"/>
      <c r="K3" s="109"/>
      <c r="L3" s="109"/>
      <c r="M3" s="109"/>
      <c r="N3" s="109"/>
      <c r="O3" s="109"/>
      <c r="P3" s="109"/>
      <c r="Q3" s="109"/>
      <c r="R3" s="109"/>
      <c r="S3" s="109"/>
      <c r="T3" s="109"/>
      <c r="U3" s="109"/>
      <c r="V3" s="109"/>
      <c r="W3" s="109"/>
      <c r="X3" s="109"/>
      <c r="Y3" s="109"/>
      <c r="Z3" s="109"/>
      <c r="AA3" s="109"/>
      <c r="AB3" s="109"/>
      <c r="AC3" s="110"/>
      <c r="AD3" s="111"/>
      <c r="AE3" s="111"/>
      <c r="AF3" s="111"/>
      <c r="AG3" s="111"/>
      <c r="AH3" s="112"/>
    </row>
    <row r="4">
      <c r="A4" s="113" t="s">
        <v>66</v>
      </c>
      <c r="B4" s="114" t="s">
        <v>188</v>
      </c>
      <c r="C4" s="114" t="s">
        <v>189</v>
      </c>
      <c r="D4" s="114" t="s">
        <v>190</v>
      </c>
      <c r="E4" s="114">
        <v>0.0</v>
      </c>
      <c r="F4" s="114" t="s">
        <v>191</v>
      </c>
      <c r="G4" s="115" t="s">
        <v>44</v>
      </c>
      <c r="H4" s="114" t="s">
        <v>192</v>
      </c>
      <c r="I4" s="116" t="s">
        <v>26</v>
      </c>
      <c r="J4" s="114" t="s">
        <v>26</v>
      </c>
      <c r="K4" s="114" t="s">
        <v>193</v>
      </c>
      <c r="L4" s="114" t="s">
        <v>26</v>
      </c>
      <c r="M4" s="114" t="s">
        <v>26</v>
      </c>
      <c r="N4" s="114" t="s">
        <v>26</v>
      </c>
      <c r="O4" s="114" t="s">
        <v>26</v>
      </c>
      <c r="P4" s="114" t="s">
        <v>26</v>
      </c>
      <c r="Q4" s="114" t="s">
        <v>109</v>
      </c>
      <c r="R4" s="114" t="s">
        <v>26</v>
      </c>
      <c r="S4" s="114" t="s">
        <v>26</v>
      </c>
      <c r="T4" s="114" t="s">
        <v>26</v>
      </c>
      <c r="U4" s="114" t="s">
        <v>26</v>
      </c>
      <c r="V4" s="117" t="s">
        <v>26</v>
      </c>
      <c r="W4" s="114" t="s">
        <v>26</v>
      </c>
      <c r="X4" s="118" t="s">
        <v>26</v>
      </c>
      <c r="Y4" s="118" t="s">
        <v>26</v>
      </c>
      <c r="Z4" s="119" t="s">
        <v>26</v>
      </c>
      <c r="AA4" s="120"/>
      <c r="AB4" s="120"/>
      <c r="AC4" s="121"/>
    </row>
    <row r="5">
      <c r="A5" s="122" t="s">
        <v>57</v>
      </c>
      <c r="B5" s="123" t="s">
        <v>188</v>
      </c>
      <c r="C5" s="123" t="s">
        <v>189</v>
      </c>
      <c r="D5" s="123" t="s">
        <v>194</v>
      </c>
      <c r="E5" s="123">
        <v>1.0</v>
      </c>
      <c r="F5" s="123" t="s">
        <v>191</v>
      </c>
      <c r="G5" s="124" t="s">
        <v>46</v>
      </c>
      <c r="H5" s="123" t="s">
        <v>195</v>
      </c>
      <c r="I5" s="125" t="s">
        <v>26</v>
      </c>
      <c r="J5" s="123" t="s">
        <v>26</v>
      </c>
      <c r="K5" s="123" t="s">
        <v>193</v>
      </c>
      <c r="L5" s="123" t="s">
        <v>26</v>
      </c>
      <c r="M5" s="123" t="s">
        <v>26</v>
      </c>
      <c r="N5" s="123" t="s">
        <v>26</v>
      </c>
      <c r="O5" s="123" t="s">
        <v>196</v>
      </c>
      <c r="P5" s="123" t="s">
        <v>26</v>
      </c>
      <c r="Q5" s="123" t="s">
        <v>26</v>
      </c>
      <c r="R5" s="123" t="s">
        <v>26</v>
      </c>
      <c r="S5" s="123" t="s">
        <v>26</v>
      </c>
      <c r="T5" s="123" t="s">
        <v>26</v>
      </c>
      <c r="U5" s="123" t="s">
        <v>26</v>
      </c>
      <c r="V5" s="123" t="s">
        <v>26</v>
      </c>
      <c r="W5" s="123" t="s">
        <v>26</v>
      </c>
      <c r="X5" s="126" t="s">
        <v>26</v>
      </c>
      <c r="Y5" s="126" t="s">
        <v>26</v>
      </c>
      <c r="Z5" s="127" t="s">
        <v>26</v>
      </c>
      <c r="AA5" s="128"/>
      <c r="AB5" s="128"/>
      <c r="AC5" s="129"/>
    </row>
    <row r="6">
      <c r="A6" s="130" t="s">
        <v>68</v>
      </c>
      <c r="B6" s="117" t="s">
        <v>197</v>
      </c>
      <c r="C6" s="117" t="s">
        <v>189</v>
      </c>
      <c r="D6" s="117" t="s">
        <v>198</v>
      </c>
      <c r="E6" s="117">
        <v>0.0</v>
      </c>
      <c r="F6" s="117" t="s">
        <v>199</v>
      </c>
      <c r="G6" s="131" t="s">
        <v>46</v>
      </c>
      <c r="H6" s="117" t="s">
        <v>195</v>
      </c>
      <c r="I6" s="132" t="s">
        <v>26</v>
      </c>
      <c r="J6" s="117" t="s">
        <v>108</v>
      </c>
      <c r="K6" s="117" t="s">
        <v>26</v>
      </c>
      <c r="L6" s="117" t="s">
        <v>26</v>
      </c>
      <c r="M6" s="117" t="s">
        <v>26</v>
      </c>
      <c r="N6" s="117" t="s">
        <v>26</v>
      </c>
      <c r="O6" s="117" t="s">
        <v>26</v>
      </c>
      <c r="P6" s="117" t="s">
        <v>26</v>
      </c>
      <c r="Q6" s="117" t="s">
        <v>26</v>
      </c>
      <c r="R6" s="117" t="s">
        <v>26</v>
      </c>
      <c r="S6" s="117" t="s">
        <v>181</v>
      </c>
      <c r="T6" s="117" t="s">
        <v>26</v>
      </c>
      <c r="U6" s="117" t="s">
        <v>26</v>
      </c>
      <c r="V6" s="117" t="s">
        <v>26</v>
      </c>
      <c r="W6" s="117" t="s">
        <v>26</v>
      </c>
      <c r="X6" s="133" t="s">
        <v>26</v>
      </c>
      <c r="Y6" s="133" t="s">
        <v>26</v>
      </c>
      <c r="Z6" s="134" t="s">
        <v>26</v>
      </c>
      <c r="AA6" s="135"/>
      <c r="AB6" s="135"/>
      <c r="AC6" s="136"/>
    </row>
    <row r="7">
      <c r="A7" s="122" t="s">
        <v>54</v>
      </c>
      <c r="B7" s="123" t="s">
        <v>200</v>
      </c>
      <c r="C7" s="137" t="s">
        <v>201</v>
      </c>
      <c r="D7" s="123" t="s">
        <v>202</v>
      </c>
      <c r="E7" s="123">
        <v>0.0</v>
      </c>
      <c r="F7" s="123" t="s">
        <v>203</v>
      </c>
      <c r="G7" s="124" t="s">
        <v>43</v>
      </c>
      <c r="H7" s="123" t="s">
        <v>195</v>
      </c>
      <c r="I7" s="125" t="s">
        <v>26</v>
      </c>
      <c r="J7" s="123" t="s">
        <v>108</v>
      </c>
      <c r="K7" s="123" t="s">
        <v>26</v>
      </c>
      <c r="L7" s="123" t="s">
        <v>115</v>
      </c>
      <c r="M7" s="123" t="s">
        <v>26</v>
      </c>
      <c r="N7" s="123" t="s">
        <v>26</v>
      </c>
      <c r="O7" s="123" t="s">
        <v>204</v>
      </c>
      <c r="P7" s="123" t="s">
        <v>26</v>
      </c>
      <c r="Q7" s="123" t="s">
        <v>26</v>
      </c>
      <c r="R7" s="123" t="s">
        <v>26</v>
      </c>
      <c r="S7" s="123" t="s">
        <v>26</v>
      </c>
      <c r="T7" s="123" t="s">
        <v>26</v>
      </c>
      <c r="U7" s="123" t="s">
        <v>182</v>
      </c>
      <c r="V7" s="123" t="s">
        <v>26</v>
      </c>
      <c r="W7" s="123" t="s">
        <v>205</v>
      </c>
      <c r="X7" s="126" t="s">
        <v>26</v>
      </c>
      <c r="Y7" s="126" t="s">
        <v>119</v>
      </c>
      <c r="Z7" s="127" t="s">
        <v>26</v>
      </c>
      <c r="AA7" s="128"/>
      <c r="AB7" s="128"/>
      <c r="AC7" s="129"/>
    </row>
    <row r="8">
      <c r="A8" s="130" t="s">
        <v>55</v>
      </c>
      <c r="B8" s="117" t="s">
        <v>188</v>
      </c>
      <c r="C8" s="117" t="s">
        <v>201</v>
      </c>
      <c r="D8" s="117" t="s">
        <v>206</v>
      </c>
      <c r="E8" s="117">
        <v>0.0</v>
      </c>
      <c r="F8" s="117" t="s">
        <v>207</v>
      </c>
      <c r="G8" s="131" t="s">
        <v>44</v>
      </c>
      <c r="H8" s="117" t="s">
        <v>192</v>
      </c>
      <c r="I8" s="132" t="s">
        <v>26</v>
      </c>
      <c r="J8" s="138" t="s">
        <v>26</v>
      </c>
      <c r="K8" s="138" t="s">
        <v>26</v>
      </c>
      <c r="L8" s="138" t="s">
        <v>26</v>
      </c>
      <c r="M8" s="138" t="s">
        <v>26</v>
      </c>
      <c r="N8" s="138" t="s">
        <v>26</v>
      </c>
      <c r="O8" s="138" t="s">
        <v>26</v>
      </c>
      <c r="P8" s="138" t="s">
        <v>26</v>
      </c>
      <c r="Q8" s="138" t="s">
        <v>26</v>
      </c>
      <c r="R8" s="138" t="s">
        <v>26</v>
      </c>
      <c r="S8" s="117" t="s">
        <v>26</v>
      </c>
      <c r="T8" s="117" t="s">
        <v>26</v>
      </c>
      <c r="U8" s="117" t="s">
        <v>182</v>
      </c>
      <c r="V8" s="117" t="s">
        <v>26</v>
      </c>
      <c r="W8" s="117" t="s">
        <v>208</v>
      </c>
      <c r="X8" s="133" t="s">
        <v>26</v>
      </c>
      <c r="Y8" s="133" t="s">
        <v>26</v>
      </c>
      <c r="Z8" s="134" t="s">
        <v>26</v>
      </c>
      <c r="AA8" s="135"/>
      <c r="AB8" s="135"/>
      <c r="AC8" s="136"/>
      <c r="AD8" s="139"/>
      <c r="AE8" s="139"/>
      <c r="AF8" s="139"/>
      <c r="AG8" s="139"/>
      <c r="AH8" s="139"/>
    </row>
    <row r="9">
      <c r="A9" s="122" t="s">
        <v>53</v>
      </c>
      <c r="B9" s="123" t="s">
        <v>197</v>
      </c>
      <c r="C9" s="123" t="s">
        <v>189</v>
      </c>
      <c r="D9" s="123" t="s">
        <v>202</v>
      </c>
      <c r="E9" s="123">
        <v>1.0</v>
      </c>
      <c r="F9" s="123" t="s">
        <v>199</v>
      </c>
      <c r="G9" s="124" t="s">
        <v>42</v>
      </c>
      <c r="H9" s="123" t="s">
        <v>195</v>
      </c>
      <c r="I9" s="125" t="s">
        <v>26</v>
      </c>
      <c r="J9" s="123" t="s">
        <v>108</v>
      </c>
      <c r="K9" s="123" t="s">
        <v>209</v>
      </c>
      <c r="L9" s="123" t="s">
        <v>26</v>
      </c>
      <c r="M9" s="123" t="s">
        <v>26</v>
      </c>
      <c r="N9" s="123" t="s">
        <v>26</v>
      </c>
      <c r="O9" s="123" t="s">
        <v>26</v>
      </c>
      <c r="P9" s="123" t="s">
        <v>26</v>
      </c>
      <c r="Q9" s="123" t="s">
        <v>26</v>
      </c>
      <c r="R9" s="123" t="s">
        <v>26</v>
      </c>
      <c r="S9" s="123" t="s">
        <v>26</v>
      </c>
      <c r="T9" s="123" t="s">
        <v>26</v>
      </c>
      <c r="U9" s="123" t="s">
        <v>182</v>
      </c>
      <c r="V9" s="123" t="s">
        <v>26</v>
      </c>
      <c r="W9" s="123" t="s">
        <v>208</v>
      </c>
      <c r="X9" s="126" t="s">
        <v>26</v>
      </c>
      <c r="Y9" s="126" t="s">
        <v>26</v>
      </c>
      <c r="Z9" s="127" t="s">
        <v>26</v>
      </c>
      <c r="AA9" s="128"/>
      <c r="AB9" s="128"/>
      <c r="AC9" s="129"/>
    </row>
    <row r="10">
      <c r="A10" s="130" t="s">
        <v>79</v>
      </c>
      <c r="B10" s="117" t="s">
        <v>210</v>
      </c>
      <c r="C10" s="117" t="s">
        <v>189</v>
      </c>
      <c r="D10" s="117" t="s">
        <v>190</v>
      </c>
      <c r="E10" s="117">
        <v>0.0</v>
      </c>
      <c r="F10" s="117" t="s">
        <v>211</v>
      </c>
      <c r="G10" s="131" t="s">
        <v>46</v>
      </c>
      <c r="H10" s="117" t="s">
        <v>212</v>
      </c>
      <c r="I10" s="117" t="s">
        <v>213</v>
      </c>
      <c r="J10" s="117" t="s">
        <v>107</v>
      </c>
      <c r="K10" s="117" t="s">
        <v>193</v>
      </c>
      <c r="L10" s="117" t="s">
        <v>26</v>
      </c>
      <c r="M10" s="117" t="s">
        <v>26</v>
      </c>
      <c r="N10" s="117" t="s">
        <v>26</v>
      </c>
      <c r="O10" s="117" t="s">
        <v>26</v>
      </c>
      <c r="P10" s="117" t="s">
        <v>26</v>
      </c>
      <c r="Q10" s="117" t="s">
        <v>26</v>
      </c>
      <c r="R10" s="117" t="s">
        <v>26</v>
      </c>
      <c r="S10" s="117" t="s">
        <v>181</v>
      </c>
      <c r="T10" s="117" t="s">
        <v>26</v>
      </c>
      <c r="U10" s="117" t="s">
        <v>26</v>
      </c>
      <c r="V10" s="117" t="s">
        <v>26</v>
      </c>
      <c r="W10" s="117" t="s">
        <v>26</v>
      </c>
      <c r="X10" s="133">
        <v>13.0</v>
      </c>
      <c r="Y10" s="133" t="s">
        <v>26</v>
      </c>
      <c r="Z10" s="134" t="s">
        <v>214</v>
      </c>
      <c r="AA10" s="135"/>
      <c r="AB10" s="135"/>
      <c r="AC10" s="136"/>
    </row>
    <row r="11">
      <c r="A11" s="122" t="s">
        <v>71</v>
      </c>
      <c r="B11" s="140" t="s">
        <v>197</v>
      </c>
      <c r="C11" s="123" t="s">
        <v>215</v>
      </c>
      <c r="D11" s="123" t="s">
        <v>216</v>
      </c>
      <c r="E11" s="123">
        <v>0.0</v>
      </c>
      <c r="F11" s="123" t="s">
        <v>199</v>
      </c>
      <c r="G11" s="124" t="s">
        <v>49</v>
      </c>
      <c r="H11" s="123" t="s">
        <v>212</v>
      </c>
      <c r="I11" s="123" t="s">
        <v>213</v>
      </c>
      <c r="J11" s="123" t="s">
        <v>26</v>
      </c>
      <c r="K11" s="123" t="s">
        <v>26</v>
      </c>
      <c r="L11" s="123" t="s">
        <v>26</v>
      </c>
      <c r="M11" s="123" t="s">
        <v>217</v>
      </c>
      <c r="N11" s="123" t="s">
        <v>26</v>
      </c>
      <c r="O11" s="123" t="s">
        <v>26</v>
      </c>
      <c r="P11" s="123" t="s">
        <v>26</v>
      </c>
      <c r="Q11" s="123" t="s">
        <v>26</v>
      </c>
      <c r="R11" s="123" t="s">
        <v>26</v>
      </c>
      <c r="S11" s="123" t="s">
        <v>181</v>
      </c>
      <c r="T11" s="123" t="s">
        <v>111</v>
      </c>
      <c r="U11" s="123" t="s">
        <v>26</v>
      </c>
      <c r="V11" s="123" t="s">
        <v>26</v>
      </c>
      <c r="W11" s="123" t="s">
        <v>26</v>
      </c>
      <c r="X11" s="126" t="s">
        <v>26</v>
      </c>
      <c r="Y11" s="126" t="s">
        <v>26</v>
      </c>
      <c r="Z11" s="127" t="s">
        <v>218</v>
      </c>
      <c r="AA11" s="128"/>
      <c r="AB11" s="128"/>
      <c r="AC11" s="129"/>
    </row>
    <row r="12">
      <c r="A12" s="130" t="s">
        <v>82</v>
      </c>
      <c r="B12" s="141" t="s">
        <v>219</v>
      </c>
      <c r="C12" s="117" t="s">
        <v>189</v>
      </c>
      <c r="D12" s="117" t="s">
        <v>206</v>
      </c>
      <c r="E12" s="117">
        <v>0.0</v>
      </c>
      <c r="F12" s="117" t="s">
        <v>220</v>
      </c>
      <c r="G12" s="131" t="s">
        <v>49</v>
      </c>
      <c r="H12" s="117" t="s">
        <v>195</v>
      </c>
      <c r="I12" s="117" t="s">
        <v>26</v>
      </c>
      <c r="J12" s="117" t="s">
        <v>108</v>
      </c>
      <c r="K12" s="117" t="s">
        <v>26</v>
      </c>
      <c r="L12" s="117" t="s">
        <v>26</v>
      </c>
      <c r="M12" s="117" t="s">
        <v>26</v>
      </c>
      <c r="N12" s="117" t="s">
        <v>26</v>
      </c>
      <c r="O12" s="117" t="s">
        <v>26</v>
      </c>
      <c r="P12" s="117" t="s">
        <v>26</v>
      </c>
      <c r="Q12" s="117" t="s">
        <v>26</v>
      </c>
      <c r="R12" s="117" t="s">
        <v>26</v>
      </c>
      <c r="S12" s="117" t="s">
        <v>26</v>
      </c>
      <c r="T12" s="117" t="s">
        <v>26</v>
      </c>
      <c r="U12" s="117" t="s">
        <v>26</v>
      </c>
      <c r="V12" s="117" t="s">
        <v>26</v>
      </c>
      <c r="W12" s="117" t="s">
        <v>26</v>
      </c>
      <c r="X12" s="133" t="s">
        <v>26</v>
      </c>
      <c r="Y12" s="133" t="s">
        <v>26</v>
      </c>
      <c r="Z12" s="134" t="s">
        <v>221</v>
      </c>
      <c r="AA12" s="135"/>
      <c r="AB12" s="135"/>
      <c r="AC12" s="136"/>
    </row>
    <row r="13">
      <c r="A13" s="122" t="s">
        <v>52</v>
      </c>
      <c r="B13" s="123" t="s">
        <v>188</v>
      </c>
      <c r="C13" s="123" t="s">
        <v>215</v>
      </c>
      <c r="D13" s="123" t="s">
        <v>194</v>
      </c>
      <c r="E13" s="123">
        <v>1.0</v>
      </c>
      <c r="F13" s="123" t="s">
        <v>199</v>
      </c>
      <c r="G13" s="124" t="s">
        <v>41</v>
      </c>
      <c r="H13" s="123" t="s">
        <v>195</v>
      </c>
      <c r="I13" s="123" t="s">
        <v>26</v>
      </c>
      <c r="J13" s="123" t="s">
        <v>108</v>
      </c>
      <c r="K13" s="123" t="s">
        <v>26</v>
      </c>
      <c r="L13" s="123" t="s">
        <v>26</v>
      </c>
      <c r="M13" s="123" t="s">
        <v>26</v>
      </c>
      <c r="N13" s="123" t="s">
        <v>222</v>
      </c>
      <c r="O13" s="123" t="s">
        <v>26</v>
      </c>
      <c r="P13" s="123" t="s">
        <v>26</v>
      </c>
      <c r="Q13" s="123" t="s">
        <v>26</v>
      </c>
      <c r="R13" s="123" t="s">
        <v>26</v>
      </c>
      <c r="S13" s="123" t="s">
        <v>26</v>
      </c>
      <c r="T13" s="123" t="s">
        <v>26</v>
      </c>
      <c r="U13" s="123" t="s">
        <v>182</v>
      </c>
      <c r="V13" s="123" t="s">
        <v>26</v>
      </c>
      <c r="W13" s="123" t="s">
        <v>208</v>
      </c>
      <c r="X13" s="126" t="s">
        <v>26</v>
      </c>
      <c r="Y13" s="126" t="s">
        <v>26</v>
      </c>
      <c r="Z13" s="127" t="s">
        <v>116</v>
      </c>
      <c r="AA13" s="128"/>
      <c r="AB13" s="128"/>
      <c r="AC13" s="129"/>
    </row>
    <row r="14">
      <c r="A14" s="142" t="s">
        <v>65</v>
      </c>
      <c r="B14" s="143" t="s">
        <v>197</v>
      </c>
      <c r="C14" s="143" t="s">
        <v>215</v>
      </c>
      <c r="D14" s="143" t="s">
        <v>206</v>
      </c>
      <c r="E14" s="143">
        <v>0.0</v>
      </c>
      <c r="F14" s="143" t="s">
        <v>199</v>
      </c>
      <c r="G14" s="131" t="s">
        <v>43</v>
      </c>
      <c r="H14" s="143" t="s">
        <v>195</v>
      </c>
      <c r="I14" s="143" t="s">
        <v>26</v>
      </c>
      <c r="J14" s="143" t="s">
        <v>108</v>
      </c>
      <c r="K14" s="143" t="s">
        <v>26</v>
      </c>
      <c r="L14" s="143" t="s">
        <v>26</v>
      </c>
      <c r="M14" s="143" t="s">
        <v>26</v>
      </c>
      <c r="N14" s="143" t="s">
        <v>222</v>
      </c>
      <c r="O14" s="143" t="s">
        <v>26</v>
      </c>
      <c r="P14" s="143" t="s">
        <v>26</v>
      </c>
      <c r="Q14" s="143" t="s">
        <v>26</v>
      </c>
      <c r="R14" s="143" t="s">
        <v>26</v>
      </c>
      <c r="S14" s="143" t="s">
        <v>26</v>
      </c>
      <c r="T14" s="143" t="s">
        <v>26</v>
      </c>
      <c r="U14" s="143" t="s">
        <v>26</v>
      </c>
      <c r="V14" s="143" t="s">
        <v>26</v>
      </c>
      <c r="W14" s="143" t="s">
        <v>26</v>
      </c>
      <c r="X14" s="144" t="s">
        <v>26</v>
      </c>
      <c r="Y14" s="144" t="s">
        <v>119</v>
      </c>
      <c r="Z14" s="145"/>
      <c r="AA14" s="146"/>
      <c r="AB14" s="146"/>
      <c r="AC14" s="147"/>
    </row>
    <row r="15">
      <c r="A15" s="148" t="s">
        <v>223</v>
      </c>
      <c r="B15" s="109"/>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10"/>
      <c r="AD15" s="111"/>
      <c r="AE15" s="111"/>
      <c r="AF15" s="111"/>
      <c r="AG15" s="111"/>
      <c r="AH15" s="112"/>
    </row>
    <row r="16">
      <c r="A16" s="113" t="s">
        <v>59</v>
      </c>
      <c r="B16" s="114" t="s">
        <v>210</v>
      </c>
      <c r="C16" s="114" t="s">
        <v>201</v>
      </c>
      <c r="D16" s="114" t="s">
        <v>224</v>
      </c>
      <c r="E16" s="114">
        <v>1.0</v>
      </c>
      <c r="F16" s="114" t="s">
        <v>225</v>
      </c>
      <c r="G16" s="115" t="s">
        <v>48</v>
      </c>
      <c r="H16" s="114" t="s">
        <v>212</v>
      </c>
      <c r="I16" s="114" t="s">
        <v>26</v>
      </c>
      <c r="J16" s="114" t="s">
        <v>26</v>
      </c>
      <c r="K16" s="114" t="s">
        <v>26</v>
      </c>
      <c r="L16" s="114" t="s">
        <v>26</v>
      </c>
      <c r="M16" s="114" t="s">
        <v>26</v>
      </c>
      <c r="N16" s="114" t="s">
        <v>26</v>
      </c>
      <c r="O16" s="114" t="s">
        <v>26</v>
      </c>
      <c r="P16" s="114" t="s">
        <v>26</v>
      </c>
      <c r="Q16" s="114" t="s">
        <v>26</v>
      </c>
      <c r="R16" s="114" t="s">
        <v>26</v>
      </c>
      <c r="S16" s="114" t="s">
        <v>26</v>
      </c>
      <c r="T16" s="114" t="s">
        <v>26</v>
      </c>
      <c r="U16" s="114" t="s">
        <v>26</v>
      </c>
      <c r="V16" s="114" t="s">
        <v>183</v>
      </c>
      <c r="W16" s="114" t="s">
        <v>226</v>
      </c>
      <c r="X16" s="118" t="s">
        <v>26</v>
      </c>
      <c r="Y16" s="118" t="s">
        <v>26</v>
      </c>
      <c r="Z16" s="119" t="s">
        <v>227</v>
      </c>
      <c r="AA16" s="120"/>
      <c r="AB16" s="120"/>
      <c r="AC16" s="121"/>
    </row>
    <row r="17">
      <c r="A17" s="122" t="s">
        <v>85</v>
      </c>
      <c r="B17" s="123" t="s">
        <v>197</v>
      </c>
      <c r="C17" s="123" t="s">
        <v>201</v>
      </c>
      <c r="D17" s="123" t="s">
        <v>228</v>
      </c>
      <c r="E17" s="123">
        <v>0.0</v>
      </c>
      <c r="F17" s="123" t="s">
        <v>229</v>
      </c>
      <c r="G17" s="124" t="s">
        <v>43</v>
      </c>
      <c r="H17" s="123" t="s">
        <v>195</v>
      </c>
      <c r="I17" s="123" t="s">
        <v>26</v>
      </c>
      <c r="J17" s="123" t="s">
        <v>26</v>
      </c>
      <c r="K17" s="123" t="s">
        <v>26</v>
      </c>
      <c r="L17" s="123" t="s">
        <v>26</v>
      </c>
      <c r="M17" s="123" t="s">
        <v>26</v>
      </c>
      <c r="N17" s="123" t="s">
        <v>26</v>
      </c>
      <c r="O17" s="123" t="s">
        <v>196</v>
      </c>
      <c r="P17" s="123" t="s">
        <v>26</v>
      </c>
      <c r="Q17" s="123" t="s">
        <v>26</v>
      </c>
      <c r="R17" s="123" t="s">
        <v>26</v>
      </c>
      <c r="S17" s="123" t="s">
        <v>26</v>
      </c>
      <c r="T17" s="123" t="s">
        <v>26</v>
      </c>
      <c r="U17" s="123" t="s">
        <v>26</v>
      </c>
      <c r="V17" s="123" t="s">
        <v>183</v>
      </c>
      <c r="W17" s="123" t="s">
        <v>230</v>
      </c>
      <c r="X17" s="126" t="s">
        <v>26</v>
      </c>
      <c r="Y17" s="126" t="s">
        <v>119</v>
      </c>
      <c r="Z17" s="149"/>
      <c r="AA17" s="128"/>
      <c r="AB17" s="128"/>
      <c r="AC17" s="129"/>
    </row>
    <row r="18">
      <c r="A18" s="130" t="s">
        <v>58</v>
      </c>
      <c r="B18" s="117" t="s">
        <v>188</v>
      </c>
      <c r="C18" s="117" t="s">
        <v>201</v>
      </c>
      <c r="D18" s="117" t="s">
        <v>224</v>
      </c>
      <c r="E18" s="117">
        <v>1.0</v>
      </c>
      <c r="F18" s="117" t="s">
        <v>199</v>
      </c>
      <c r="G18" s="131" t="s">
        <v>47</v>
      </c>
      <c r="H18" s="117" t="s">
        <v>212</v>
      </c>
      <c r="I18" s="117" t="s">
        <v>26</v>
      </c>
      <c r="J18" s="117" t="s">
        <v>26</v>
      </c>
      <c r="K18" s="117" t="s">
        <v>26</v>
      </c>
      <c r="L18" s="117" t="s">
        <v>26</v>
      </c>
      <c r="M18" s="117" t="s">
        <v>26</v>
      </c>
      <c r="N18" s="117" t="s">
        <v>26</v>
      </c>
      <c r="O18" s="117" t="s">
        <v>26</v>
      </c>
      <c r="P18" s="117" t="s">
        <v>26</v>
      </c>
      <c r="Q18" s="117" t="s">
        <v>26</v>
      </c>
      <c r="R18" s="117" t="s">
        <v>26</v>
      </c>
      <c r="S18" s="117" t="s">
        <v>26</v>
      </c>
      <c r="T18" s="117" t="s">
        <v>26</v>
      </c>
      <c r="U18" s="117" t="s">
        <v>26</v>
      </c>
      <c r="V18" s="117" t="s">
        <v>183</v>
      </c>
      <c r="W18" s="117" t="s">
        <v>226</v>
      </c>
      <c r="X18" s="133" t="s">
        <v>26</v>
      </c>
      <c r="Y18" s="133" t="s">
        <v>26</v>
      </c>
      <c r="Z18" s="150"/>
      <c r="AA18" s="135"/>
      <c r="AB18" s="135"/>
      <c r="AC18" s="136"/>
    </row>
    <row r="19">
      <c r="A19" s="151" t="s">
        <v>76</v>
      </c>
      <c r="B19" s="152" t="s">
        <v>197</v>
      </c>
      <c r="C19" s="152" t="s">
        <v>189</v>
      </c>
      <c r="D19" s="152" t="s">
        <v>198</v>
      </c>
      <c r="E19" s="152">
        <v>0.0</v>
      </c>
      <c r="F19" s="152" t="s">
        <v>231</v>
      </c>
      <c r="G19" s="153" t="s">
        <v>43</v>
      </c>
      <c r="H19" s="152" t="s">
        <v>195</v>
      </c>
      <c r="I19" s="152" t="s">
        <v>26</v>
      </c>
      <c r="J19" s="152" t="s">
        <v>26</v>
      </c>
      <c r="K19" s="152" t="s">
        <v>26</v>
      </c>
      <c r="L19" s="152" t="s">
        <v>26</v>
      </c>
      <c r="M19" s="152" t="s">
        <v>26</v>
      </c>
      <c r="N19" s="152" t="s">
        <v>222</v>
      </c>
      <c r="O19" s="152" t="s">
        <v>26</v>
      </c>
      <c r="P19" s="152" t="s">
        <v>26</v>
      </c>
      <c r="Q19" s="152" t="s">
        <v>26</v>
      </c>
      <c r="R19" s="152" t="s">
        <v>26</v>
      </c>
      <c r="S19" s="152" t="s">
        <v>26</v>
      </c>
      <c r="T19" s="152" t="s">
        <v>26</v>
      </c>
      <c r="U19" s="152" t="s">
        <v>26</v>
      </c>
      <c r="V19" s="152" t="s">
        <v>183</v>
      </c>
      <c r="W19" s="152" t="s">
        <v>232</v>
      </c>
      <c r="X19" s="154" t="s">
        <v>26</v>
      </c>
      <c r="Y19" s="154" t="s">
        <v>26</v>
      </c>
      <c r="Z19" s="155"/>
      <c r="AA19" s="156"/>
      <c r="AB19" s="156"/>
      <c r="AC19" s="157"/>
    </row>
    <row r="20">
      <c r="A20" s="158" t="s">
        <v>233</v>
      </c>
      <c r="B20" s="159"/>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60"/>
      <c r="AC20" s="161"/>
    </row>
    <row r="21">
      <c r="A21" s="162" t="s">
        <v>77</v>
      </c>
      <c r="B21" s="163" t="s">
        <v>234</v>
      </c>
      <c r="C21" s="164" t="s">
        <v>215</v>
      </c>
      <c r="D21" s="164" t="s">
        <v>235</v>
      </c>
      <c r="E21" s="164">
        <v>1.0</v>
      </c>
      <c r="F21" s="164" t="s">
        <v>236</v>
      </c>
      <c r="G21" s="165" t="s">
        <v>44</v>
      </c>
      <c r="H21" s="164" t="s">
        <v>212</v>
      </c>
      <c r="I21" s="164" t="s">
        <v>213</v>
      </c>
      <c r="J21" s="164" t="s">
        <v>107</v>
      </c>
      <c r="K21" s="123" t="s">
        <v>209</v>
      </c>
      <c r="L21" s="164" t="s">
        <v>26</v>
      </c>
      <c r="M21" s="164" t="s">
        <v>217</v>
      </c>
      <c r="N21" s="164" t="s">
        <v>26</v>
      </c>
      <c r="O21" s="164" t="s">
        <v>26</v>
      </c>
      <c r="P21" s="164" t="s">
        <v>26</v>
      </c>
      <c r="Q21" s="164" t="s">
        <v>26</v>
      </c>
      <c r="R21" s="164" t="s">
        <v>26</v>
      </c>
      <c r="S21" s="164" t="s">
        <v>26</v>
      </c>
      <c r="T21" s="164" t="s">
        <v>26</v>
      </c>
      <c r="U21" s="164" t="s">
        <v>26</v>
      </c>
      <c r="V21" s="164" t="s">
        <v>26</v>
      </c>
      <c r="W21" s="164" t="s">
        <v>26</v>
      </c>
      <c r="X21" s="166">
        <v>13.0</v>
      </c>
      <c r="Y21" s="166"/>
      <c r="Z21" s="167" t="s">
        <v>237</v>
      </c>
      <c r="AA21" s="168"/>
      <c r="AB21" s="168"/>
      <c r="AC21" s="169"/>
    </row>
    <row r="22">
      <c r="A22" s="130" t="s">
        <v>88</v>
      </c>
      <c r="B22" s="117" t="s">
        <v>210</v>
      </c>
      <c r="C22" s="117" t="s">
        <v>201</v>
      </c>
      <c r="D22" s="117" t="s">
        <v>194</v>
      </c>
      <c r="E22" s="117">
        <v>1.0</v>
      </c>
      <c r="F22" s="117" t="s">
        <v>199</v>
      </c>
      <c r="G22" s="131" t="s">
        <v>46</v>
      </c>
      <c r="H22" s="117" t="s">
        <v>195</v>
      </c>
      <c r="I22" s="117" t="s">
        <v>26</v>
      </c>
      <c r="J22" s="117" t="s">
        <v>26</v>
      </c>
      <c r="K22" s="114" t="s">
        <v>193</v>
      </c>
      <c r="L22" s="117" t="s">
        <v>26</v>
      </c>
      <c r="M22" s="117" t="s">
        <v>26</v>
      </c>
      <c r="N22" s="117" t="s">
        <v>222</v>
      </c>
      <c r="O22" s="117" t="s">
        <v>196</v>
      </c>
      <c r="P22" s="117"/>
      <c r="Q22" s="117" t="s">
        <v>26</v>
      </c>
      <c r="R22" s="117" t="s">
        <v>26</v>
      </c>
      <c r="S22" s="117" t="s">
        <v>26</v>
      </c>
      <c r="T22" s="117" t="s">
        <v>26</v>
      </c>
      <c r="U22" s="117" t="s">
        <v>26</v>
      </c>
      <c r="V22" s="117" t="s">
        <v>26</v>
      </c>
      <c r="W22" s="117" t="s">
        <v>26</v>
      </c>
      <c r="X22" s="118" t="s">
        <v>26</v>
      </c>
      <c r="Y22" s="118" t="s">
        <v>26</v>
      </c>
      <c r="Z22" s="119"/>
      <c r="AA22" s="120"/>
      <c r="AB22" s="120"/>
      <c r="AC22" s="121"/>
    </row>
    <row r="23">
      <c r="A23" s="122" t="s">
        <v>64</v>
      </c>
      <c r="B23" s="123" t="s">
        <v>210</v>
      </c>
      <c r="C23" s="123" t="s">
        <v>189</v>
      </c>
      <c r="D23" s="123" t="s">
        <v>194</v>
      </c>
      <c r="E23" s="123">
        <v>1.0</v>
      </c>
      <c r="F23" s="123" t="s">
        <v>199</v>
      </c>
      <c r="G23" s="124" t="s">
        <v>42</v>
      </c>
      <c r="H23" s="123" t="s">
        <v>238</v>
      </c>
      <c r="I23" s="123" t="s">
        <v>26</v>
      </c>
      <c r="J23" s="123" t="s">
        <v>26</v>
      </c>
      <c r="K23" s="164" t="s">
        <v>193</v>
      </c>
      <c r="L23" s="123" t="s">
        <v>26</v>
      </c>
      <c r="M23" s="123" t="s">
        <v>26</v>
      </c>
      <c r="N23" s="123" t="s">
        <v>26</v>
      </c>
      <c r="O23" s="123" t="s">
        <v>26</v>
      </c>
      <c r="P23" s="123" t="s">
        <v>112</v>
      </c>
      <c r="Q23" s="123" t="s">
        <v>26</v>
      </c>
      <c r="R23" s="123" t="s">
        <v>110</v>
      </c>
      <c r="S23" s="123" t="s">
        <v>26</v>
      </c>
      <c r="T23" s="123" t="s">
        <v>26</v>
      </c>
      <c r="U23" s="123" t="s">
        <v>26</v>
      </c>
      <c r="V23" s="123" t="s">
        <v>26</v>
      </c>
      <c r="W23" s="123" t="s">
        <v>26</v>
      </c>
      <c r="X23" s="163" t="s">
        <v>26</v>
      </c>
      <c r="Y23" s="164" t="s">
        <v>26</v>
      </c>
      <c r="Z23" s="170" t="s">
        <v>116</v>
      </c>
      <c r="AA23" s="168"/>
      <c r="AB23" s="168"/>
      <c r="AC23" s="169"/>
    </row>
    <row r="24">
      <c r="A24" s="130" t="s">
        <v>86</v>
      </c>
      <c r="B24" s="117" t="s">
        <v>234</v>
      </c>
      <c r="C24" s="117" t="s">
        <v>215</v>
      </c>
      <c r="D24" s="117" t="s">
        <v>235</v>
      </c>
      <c r="E24" s="117">
        <v>1.0</v>
      </c>
      <c r="F24" s="117" t="s">
        <v>236</v>
      </c>
      <c r="G24" s="131" t="s">
        <v>44</v>
      </c>
      <c r="H24" s="117" t="s">
        <v>212</v>
      </c>
      <c r="I24" s="117" t="s">
        <v>213</v>
      </c>
      <c r="J24" s="117" t="s">
        <v>107</v>
      </c>
      <c r="K24" s="114" t="s">
        <v>193</v>
      </c>
      <c r="L24" s="117" t="s">
        <v>26</v>
      </c>
      <c r="M24" s="117" t="s">
        <v>217</v>
      </c>
      <c r="N24" s="117" t="s">
        <v>26</v>
      </c>
      <c r="O24" s="117" t="s">
        <v>26</v>
      </c>
      <c r="P24" s="117" t="s">
        <v>26</v>
      </c>
      <c r="Q24" s="117" t="s">
        <v>109</v>
      </c>
      <c r="R24" s="117" t="s">
        <v>26</v>
      </c>
      <c r="S24" s="117" t="s">
        <v>26</v>
      </c>
      <c r="T24" s="117" t="s">
        <v>26</v>
      </c>
      <c r="U24" s="117" t="s">
        <v>26</v>
      </c>
      <c r="V24" s="117" t="s">
        <v>26</v>
      </c>
      <c r="W24" s="117" t="s">
        <v>26</v>
      </c>
      <c r="X24" s="118">
        <v>13.0</v>
      </c>
      <c r="Y24" s="118" t="s">
        <v>26</v>
      </c>
      <c r="Z24" s="119" t="s">
        <v>239</v>
      </c>
      <c r="AA24" s="120"/>
      <c r="AB24" s="120"/>
      <c r="AC24" s="121"/>
    </row>
    <row r="25">
      <c r="A25" s="122" t="s">
        <v>51</v>
      </c>
      <c r="B25" s="140" t="s">
        <v>240</v>
      </c>
      <c r="C25" s="123" t="s">
        <v>215</v>
      </c>
      <c r="D25" s="123" t="s">
        <v>241</v>
      </c>
      <c r="E25" s="123">
        <v>2.0</v>
      </c>
      <c r="F25" s="123" t="s">
        <v>236</v>
      </c>
      <c r="G25" s="124" t="s">
        <v>40</v>
      </c>
      <c r="H25" s="123" t="s">
        <v>212</v>
      </c>
      <c r="I25" s="123" t="s">
        <v>26</v>
      </c>
      <c r="J25" s="123" t="s">
        <v>107</v>
      </c>
      <c r="K25" s="123" t="s">
        <v>26</v>
      </c>
      <c r="L25" s="123" t="s">
        <v>26</v>
      </c>
      <c r="M25" s="123" t="s">
        <v>26</v>
      </c>
      <c r="N25" s="123" t="s">
        <v>26</v>
      </c>
      <c r="O25" s="123" t="s">
        <v>26</v>
      </c>
      <c r="P25" s="123" t="s">
        <v>26</v>
      </c>
      <c r="Q25" s="123" t="s">
        <v>26</v>
      </c>
      <c r="R25" s="123" t="s">
        <v>26</v>
      </c>
      <c r="S25" s="123" t="s">
        <v>26</v>
      </c>
      <c r="T25" s="123" t="s">
        <v>111</v>
      </c>
      <c r="U25" s="123" t="s">
        <v>26</v>
      </c>
      <c r="V25" s="123" t="s">
        <v>26</v>
      </c>
      <c r="W25" s="123" t="s">
        <v>26</v>
      </c>
      <c r="X25" s="126">
        <v>13.0</v>
      </c>
      <c r="Y25" s="126" t="s">
        <v>26</v>
      </c>
      <c r="Z25" s="127" t="s">
        <v>26</v>
      </c>
      <c r="AA25" s="128"/>
      <c r="AB25" s="128"/>
      <c r="AC25" s="129"/>
    </row>
    <row r="26">
      <c r="A26" s="130" t="s">
        <v>72</v>
      </c>
      <c r="B26" s="141" t="s">
        <v>242</v>
      </c>
      <c r="C26" s="117" t="s">
        <v>201</v>
      </c>
      <c r="D26" s="117" t="s">
        <v>243</v>
      </c>
      <c r="E26" s="117">
        <v>1.0</v>
      </c>
      <c r="F26" s="117" t="s">
        <v>236</v>
      </c>
      <c r="G26" s="131" t="s">
        <v>39</v>
      </c>
      <c r="H26" s="117" t="s">
        <v>49</v>
      </c>
      <c r="I26" s="117" t="s">
        <v>26</v>
      </c>
      <c r="J26" s="117" t="s">
        <v>26</v>
      </c>
      <c r="K26" s="117" t="s">
        <v>244</v>
      </c>
      <c r="L26" s="117" t="s">
        <v>26</v>
      </c>
      <c r="M26" s="117" t="s">
        <v>217</v>
      </c>
      <c r="N26" s="117" t="s">
        <v>26</v>
      </c>
      <c r="O26" s="117" t="s">
        <v>26</v>
      </c>
      <c r="P26" s="117" t="s">
        <v>26</v>
      </c>
      <c r="Q26" s="117" t="s">
        <v>26</v>
      </c>
      <c r="R26" s="117" t="s">
        <v>26</v>
      </c>
      <c r="S26" s="117" t="s">
        <v>26</v>
      </c>
      <c r="T26" s="117" t="s">
        <v>26</v>
      </c>
      <c r="U26" s="117" t="s">
        <v>26</v>
      </c>
      <c r="V26" s="117" t="s">
        <v>26</v>
      </c>
      <c r="W26" s="117" t="s">
        <v>26</v>
      </c>
      <c r="X26" s="118" t="s">
        <v>26</v>
      </c>
      <c r="Y26" s="118" t="s">
        <v>26</v>
      </c>
      <c r="Z26" s="119" t="s">
        <v>245</v>
      </c>
      <c r="AA26" s="120"/>
      <c r="AB26" s="120"/>
      <c r="AC26" s="121"/>
    </row>
    <row r="27">
      <c r="A27" s="122" t="s">
        <v>62</v>
      </c>
      <c r="B27" s="123" t="s">
        <v>210</v>
      </c>
      <c r="C27" s="123" t="s">
        <v>215</v>
      </c>
      <c r="D27" s="123" t="s">
        <v>246</v>
      </c>
      <c r="E27" s="123">
        <v>1.0</v>
      </c>
      <c r="F27" s="123" t="s">
        <v>207</v>
      </c>
      <c r="G27" s="124" t="s">
        <v>40</v>
      </c>
      <c r="H27" s="123" t="s">
        <v>238</v>
      </c>
      <c r="I27" s="123" t="s">
        <v>213</v>
      </c>
      <c r="J27" s="123" t="s">
        <v>26</v>
      </c>
      <c r="K27" s="123" t="s">
        <v>26</v>
      </c>
      <c r="L27" s="123" t="s">
        <v>26</v>
      </c>
      <c r="M27" s="123" t="s">
        <v>26</v>
      </c>
      <c r="N27" s="123" t="s">
        <v>26</v>
      </c>
      <c r="O27" s="123" t="s">
        <v>26</v>
      </c>
      <c r="P27" s="123" t="s">
        <v>26</v>
      </c>
      <c r="Q27" s="123" t="s">
        <v>109</v>
      </c>
      <c r="R27" s="123" t="s">
        <v>26</v>
      </c>
      <c r="S27" s="123" t="s">
        <v>26</v>
      </c>
      <c r="T27" s="123" t="s">
        <v>111</v>
      </c>
      <c r="U27" s="123" t="s">
        <v>26</v>
      </c>
      <c r="V27" s="123" t="s">
        <v>26</v>
      </c>
      <c r="W27" s="123" t="s">
        <v>26</v>
      </c>
      <c r="X27" s="166" t="s">
        <v>26</v>
      </c>
      <c r="Y27" s="166" t="s">
        <v>26</v>
      </c>
      <c r="Z27" s="167" t="s">
        <v>247</v>
      </c>
      <c r="AA27" s="168"/>
      <c r="AB27" s="168"/>
      <c r="AC27" s="169"/>
    </row>
    <row r="28">
      <c r="A28" s="130" t="s">
        <v>92</v>
      </c>
      <c r="B28" s="117" t="s">
        <v>197</v>
      </c>
      <c r="C28" s="117" t="s">
        <v>215</v>
      </c>
      <c r="D28" s="117" t="s">
        <v>202</v>
      </c>
      <c r="E28" s="117">
        <v>0.0</v>
      </c>
      <c r="F28" s="117" t="s">
        <v>207</v>
      </c>
      <c r="G28" s="131" t="s">
        <v>43</v>
      </c>
      <c r="H28" s="117" t="s">
        <v>195</v>
      </c>
      <c r="I28" s="117" t="s">
        <v>213</v>
      </c>
      <c r="J28" s="117" t="s">
        <v>26</v>
      </c>
      <c r="K28" s="117" t="s">
        <v>26</v>
      </c>
      <c r="L28" s="117" t="s">
        <v>115</v>
      </c>
      <c r="M28" s="117" t="s">
        <v>248</v>
      </c>
      <c r="N28" s="117" t="s">
        <v>26</v>
      </c>
      <c r="O28" s="117" t="s">
        <v>204</v>
      </c>
      <c r="P28" s="117" t="s">
        <v>26</v>
      </c>
      <c r="Q28" s="117" t="s">
        <v>26</v>
      </c>
      <c r="R28" s="117" t="s">
        <v>26</v>
      </c>
      <c r="S28" s="117" t="s">
        <v>26</v>
      </c>
      <c r="T28" s="117" t="s">
        <v>26</v>
      </c>
      <c r="U28" s="117" t="s">
        <v>26</v>
      </c>
      <c r="V28" s="117" t="s">
        <v>26</v>
      </c>
      <c r="W28" s="117" t="s">
        <v>26</v>
      </c>
      <c r="X28" s="118" t="s">
        <v>26</v>
      </c>
      <c r="Y28" s="118" t="s">
        <v>26</v>
      </c>
      <c r="Z28" s="119" t="s">
        <v>249</v>
      </c>
      <c r="AA28" s="120"/>
      <c r="AB28" s="120"/>
      <c r="AC28" s="121"/>
    </row>
    <row r="29">
      <c r="A29" s="122" t="s">
        <v>73</v>
      </c>
      <c r="B29" s="123" t="s">
        <v>188</v>
      </c>
      <c r="C29" s="123" t="s">
        <v>201</v>
      </c>
      <c r="D29" s="123" t="s">
        <v>246</v>
      </c>
      <c r="E29" s="123">
        <v>1.0</v>
      </c>
      <c r="F29" s="123" t="s">
        <v>199</v>
      </c>
      <c r="G29" s="124" t="s">
        <v>40</v>
      </c>
      <c r="H29" s="123" t="s">
        <v>195</v>
      </c>
      <c r="I29" s="123" t="s">
        <v>213</v>
      </c>
      <c r="J29" s="123" t="s">
        <v>108</v>
      </c>
      <c r="K29" s="123" t="s">
        <v>26</v>
      </c>
      <c r="L29" s="123" t="s">
        <v>115</v>
      </c>
      <c r="M29" s="123" t="s">
        <v>26</v>
      </c>
      <c r="N29" s="123" t="s">
        <v>26</v>
      </c>
      <c r="O29" s="123" t="s">
        <v>196</v>
      </c>
      <c r="P29" s="123" t="s">
        <v>26</v>
      </c>
      <c r="Q29" s="123" t="s">
        <v>26</v>
      </c>
      <c r="R29" s="123" t="s">
        <v>26</v>
      </c>
      <c r="S29" s="123" t="s">
        <v>26</v>
      </c>
      <c r="T29" s="123" t="s">
        <v>26</v>
      </c>
      <c r="U29" s="123" t="s">
        <v>26</v>
      </c>
      <c r="V29" s="123" t="s">
        <v>26</v>
      </c>
      <c r="W29" s="123" t="s">
        <v>26</v>
      </c>
      <c r="X29" s="166" t="s">
        <v>26</v>
      </c>
      <c r="Y29" s="166" t="s">
        <v>26</v>
      </c>
      <c r="Z29" s="167" t="s">
        <v>250</v>
      </c>
      <c r="AA29" s="168"/>
      <c r="AB29" s="168"/>
      <c r="AC29" s="169"/>
    </row>
    <row r="30">
      <c r="A30" s="130" t="s">
        <v>75</v>
      </c>
      <c r="B30" s="117" t="s">
        <v>251</v>
      </c>
      <c r="C30" s="117" t="s">
        <v>189</v>
      </c>
      <c r="D30" s="117" t="s">
        <v>243</v>
      </c>
      <c r="E30" s="117">
        <v>1.0</v>
      </c>
      <c r="F30" s="117" t="s">
        <v>236</v>
      </c>
      <c r="G30" s="131" t="s">
        <v>42</v>
      </c>
      <c r="H30" s="117" t="s">
        <v>212</v>
      </c>
      <c r="I30" s="117" t="s">
        <v>26</v>
      </c>
      <c r="J30" s="117" t="s">
        <v>107</v>
      </c>
      <c r="K30" s="114" t="s">
        <v>193</v>
      </c>
      <c r="L30" s="117" t="s">
        <v>26</v>
      </c>
      <c r="M30" s="117" t="s">
        <v>26</v>
      </c>
      <c r="N30" s="117" t="s">
        <v>26</v>
      </c>
      <c r="O30" s="117" t="s">
        <v>26</v>
      </c>
      <c r="P30" s="117" t="s">
        <v>112</v>
      </c>
      <c r="Q30" s="117" t="s">
        <v>26</v>
      </c>
      <c r="R30" s="117"/>
      <c r="S30" s="117" t="s">
        <v>26</v>
      </c>
      <c r="T30" s="117" t="s">
        <v>26</v>
      </c>
      <c r="U30" s="117" t="s">
        <v>26</v>
      </c>
      <c r="V30" s="117" t="s">
        <v>26</v>
      </c>
      <c r="W30" s="117" t="s">
        <v>26</v>
      </c>
      <c r="X30" s="171">
        <v>13.0</v>
      </c>
      <c r="Y30" s="114" t="s">
        <v>26</v>
      </c>
      <c r="Z30" s="172" t="s">
        <v>252</v>
      </c>
      <c r="AA30" s="120"/>
      <c r="AB30" s="120"/>
      <c r="AC30" s="121"/>
    </row>
    <row r="31">
      <c r="A31" s="122" t="s">
        <v>96</v>
      </c>
      <c r="B31" s="123" t="s">
        <v>210</v>
      </c>
      <c r="C31" s="123" t="s">
        <v>201</v>
      </c>
      <c r="D31" s="123" t="s">
        <v>246</v>
      </c>
      <c r="E31" s="123">
        <v>1.0</v>
      </c>
      <c r="F31" s="123" t="s">
        <v>191</v>
      </c>
      <c r="G31" s="124" t="s">
        <v>46</v>
      </c>
      <c r="H31" s="123" t="s">
        <v>195</v>
      </c>
      <c r="I31" s="123" t="s">
        <v>26</v>
      </c>
      <c r="J31" s="123" t="s">
        <v>26</v>
      </c>
      <c r="K31" s="164" t="s">
        <v>193</v>
      </c>
      <c r="L31" s="123" t="s">
        <v>26</v>
      </c>
      <c r="M31" s="123" t="s">
        <v>26</v>
      </c>
      <c r="N31" s="123" t="s">
        <v>26</v>
      </c>
      <c r="O31" s="123" t="s">
        <v>196</v>
      </c>
      <c r="P31" s="123" t="s">
        <v>112</v>
      </c>
      <c r="Q31" s="123" t="s">
        <v>26</v>
      </c>
      <c r="R31" s="123" t="s">
        <v>26</v>
      </c>
      <c r="S31" s="123" t="s">
        <v>26</v>
      </c>
      <c r="T31" s="123" t="s">
        <v>26</v>
      </c>
      <c r="U31" s="123" t="s">
        <v>26</v>
      </c>
      <c r="V31" s="123" t="s">
        <v>26</v>
      </c>
      <c r="W31" s="123" t="s">
        <v>26</v>
      </c>
      <c r="X31" s="166" t="s">
        <v>26</v>
      </c>
      <c r="Y31" s="166" t="s">
        <v>26</v>
      </c>
      <c r="Z31" s="167" t="s">
        <v>26</v>
      </c>
      <c r="AA31" s="168"/>
      <c r="AB31" s="168"/>
      <c r="AC31" s="169"/>
    </row>
    <row r="32">
      <c r="A32" s="130" t="s">
        <v>100</v>
      </c>
      <c r="B32" s="117" t="s">
        <v>234</v>
      </c>
      <c r="C32" s="117" t="s">
        <v>201</v>
      </c>
      <c r="D32" s="117" t="s">
        <v>194</v>
      </c>
      <c r="E32" s="117">
        <v>1.0</v>
      </c>
      <c r="F32" s="117" t="s">
        <v>253</v>
      </c>
      <c r="G32" s="131" t="s">
        <v>44</v>
      </c>
      <c r="H32" s="117" t="s">
        <v>212</v>
      </c>
      <c r="I32" s="117" t="s">
        <v>213</v>
      </c>
      <c r="J32" s="117" t="s">
        <v>107</v>
      </c>
      <c r="K32" s="117" t="s">
        <v>209</v>
      </c>
      <c r="L32" s="117" t="s">
        <v>26</v>
      </c>
      <c r="M32" s="117" t="s">
        <v>217</v>
      </c>
      <c r="N32" s="117" t="s">
        <v>26</v>
      </c>
      <c r="O32" s="117" t="s">
        <v>26</v>
      </c>
      <c r="P32" s="117" t="s">
        <v>26</v>
      </c>
      <c r="Q32" s="117" t="s">
        <v>26</v>
      </c>
      <c r="R32" s="117" t="s">
        <v>110</v>
      </c>
      <c r="S32" s="117" t="s">
        <v>26</v>
      </c>
      <c r="T32" s="117" t="s">
        <v>26</v>
      </c>
      <c r="U32" s="117" t="s">
        <v>26</v>
      </c>
      <c r="V32" s="117" t="s">
        <v>26</v>
      </c>
      <c r="W32" s="117" t="s">
        <v>26</v>
      </c>
      <c r="X32" s="118">
        <v>13.0</v>
      </c>
      <c r="Y32" s="118" t="s">
        <v>26</v>
      </c>
      <c r="Z32" s="119" t="s">
        <v>254</v>
      </c>
      <c r="AA32" s="120"/>
      <c r="AB32" s="120"/>
      <c r="AC32" s="121"/>
    </row>
    <row r="33">
      <c r="A33" s="122" t="s">
        <v>83</v>
      </c>
      <c r="B33" s="123" t="s">
        <v>210</v>
      </c>
      <c r="C33" s="123" t="s">
        <v>201</v>
      </c>
      <c r="D33" s="123" t="s">
        <v>255</v>
      </c>
      <c r="E33" s="123">
        <v>2.0</v>
      </c>
      <c r="F33" s="123" t="s">
        <v>199</v>
      </c>
      <c r="G33" s="124" t="s">
        <v>40</v>
      </c>
      <c r="H33" s="123" t="s">
        <v>195</v>
      </c>
      <c r="I33" s="123" t="s">
        <v>213</v>
      </c>
      <c r="J33" s="123" t="s">
        <v>26</v>
      </c>
      <c r="K33" s="164" t="s">
        <v>193</v>
      </c>
      <c r="L33" s="123" t="s">
        <v>115</v>
      </c>
      <c r="M33" s="123" t="s">
        <v>26</v>
      </c>
      <c r="N33" s="123" t="s">
        <v>26</v>
      </c>
      <c r="O33" s="123" t="s">
        <v>26</v>
      </c>
      <c r="P33" s="123" t="s">
        <v>26</v>
      </c>
      <c r="Q33" s="123" t="s">
        <v>26</v>
      </c>
      <c r="R33" s="123" t="s">
        <v>26</v>
      </c>
      <c r="S33" s="123" t="s">
        <v>26</v>
      </c>
      <c r="T33" s="123" t="s">
        <v>26</v>
      </c>
      <c r="U33" s="123" t="s">
        <v>26</v>
      </c>
      <c r="V33" s="123" t="s">
        <v>26</v>
      </c>
      <c r="W33" s="123" t="s">
        <v>26</v>
      </c>
      <c r="X33" s="166" t="s">
        <v>26</v>
      </c>
      <c r="Y33" s="166" t="s">
        <v>26</v>
      </c>
      <c r="Z33" s="167" t="s">
        <v>256</v>
      </c>
      <c r="AA33" s="168"/>
      <c r="AB33" s="168"/>
      <c r="AC33" s="169"/>
    </row>
    <row r="34">
      <c r="A34" s="130" t="s">
        <v>63</v>
      </c>
      <c r="B34" s="117" t="s">
        <v>242</v>
      </c>
      <c r="C34" s="117" t="s">
        <v>215</v>
      </c>
      <c r="D34" s="117" t="s">
        <v>257</v>
      </c>
      <c r="E34" s="117">
        <v>2.0</v>
      </c>
      <c r="F34" s="117" t="s">
        <v>258</v>
      </c>
      <c r="G34" s="131" t="s">
        <v>41</v>
      </c>
      <c r="H34" s="117" t="s">
        <v>212</v>
      </c>
      <c r="I34" s="117" t="s">
        <v>26</v>
      </c>
      <c r="J34" s="117" t="s">
        <v>107</v>
      </c>
      <c r="K34" s="117" t="s">
        <v>26</v>
      </c>
      <c r="L34" s="117" t="s">
        <v>26</v>
      </c>
      <c r="M34" s="117" t="s">
        <v>26</v>
      </c>
      <c r="N34" s="117" t="s">
        <v>26</v>
      </c>
      <c r="O34" s="117" t="s">
        <v>26</v>
      </c>
      <c r="P34" s="117" t="s">
        <v>26</v>
      </c>
      <c r="Q34" s="117" t="s">
        <v>26</v>
      </c>
      <c r="R34" s="117" t="s">
        <v>26</v>
      </c>
      <c r="S34" s="117" t="s">
        <v>26</v>
      </c>
      <c r="T34" s="117" t="s">
        <v>111</v>
      </c>
      <c r="U34" s="117" t="s">
        <v>26</v>
      </c>
      <c r="V34" s="117" t="s">
        <v>26</v>
      </c>
      <c r="W34" s="117" t="s">
        <v>26</v>
      </c>
      <c r="X34" s="118">
        <v>13.0</v>
      </c>
      <c r="Y34" s="118" t="s">
        <v>119</v>
      </c>
      <c r="Z34" s="173"/>
      <c r="AA34" s="120"/>
      <c r="AB34" s="120"/>
      <c r="AC34" s="121"/>
    </row>
    <row r="35">
      <c r="A35" s="122" t="s">
        <v>93</v>
      </c>
      <c r="B35" s="123" t="s">
        <v>188</v>
      </c>
      <c r="C35" s="123" t="s">
        <v>215</v>
      </c>
      <c r="D35" s="123" t="s">
        <v>224</v>
      </c>
      <c r="E35" s="123">
        <v>1.0</v>
      </c>
      <c r="F35" s="123" t="s">
        <v>207</v>
      </c>
      <c r="G35" s="124" t="s">
        <v>40</v>
      </c>
      <c r="H35" s="123" t="s">
        <v>195</v>
      </c>
      <c r="I35" s="123" t="s">
        <v>26</v>
      </c>
      <c r="J35" s="123" t="s">
        <v>108</v>
      </c>
      <c r="K35" s="123" t="s">
        <v>26</v>
      </c>
      <c r="L35" s="123" t="s">
        <v>115</v>
      </c>
      <c r="M35" s="123" t="s">
        <v>26</v>
      </c>
      <c r="N35" s="123" t="s">
        <v>26</v>
      </c>
      <c r="O35" s="123" t="s">
        <v>26</v>
      </c>
      <c r="P35" s="123" t="s">
        <v>26</v>
      </c>
      <c r="Q35" s="123" t="s">
        <v>109</v>
      </c>
      <c r="R35" s="123" t="s">
        <v>26</v>
      </c>
      <c r="S35" s="123" t="s">
        <v>26</v>
      </c>
      <c r="T35" s="123" t="s">
        <v>26</v>
      </c>
      <c r="U35" s="123" t="s">
        <v>26</v>
      </c>
      <c r="V35" s="123" t="s">
        <v>26</v>
      </c>
      <c r="W35" s="123" t="s">
        <v>26</v>
      </c>
      <c r="X35" s="166" t="s">
        <v>26</v>
      </c>
      <c r="Y35" s="166" t="s">
        <v>26</v>
      </c>
      <c r="Z35" s="167" t="s">
        <v>26</v>
      </c>
      <c r="AA35" s="168"/>
      <c r="AB35" s="168"/>
      <c r="AC35" s="169"/>
    </row>
    <row r="36">
      <c r="A36" s="130" t="s">
        <v>103</v>
      </c>
      <c r="B36" s="117" t="s">
        <v>188</v>
      </c>
      <c r="C36" s="117" t="s">
        <v>201</v>
      </c>
      <c r="D36" s="117" t="s">
        <v>259</v>
      </c>
      <c r="E36" s="117">
        <v>1.0</v>
      </c>
      <c r="F36" s="117" t="s">
        <v>191</v>
      </c>
      <c r="G36" s="131" t="s">
        <v>44</v>
      </c>
      <c r="H36" s="117" t="s">
        <v>192</v>
      </c>
      <c r="I36" s="117" t="s">
        <v>26</v>
      </c>
      <c r="J36" s="117" t="s">
        <v>26</v>
      </c>
      <c r="K36" s="117" t="s">
        <v>209</v>
      </c>
      <c r="L36" s="117" t="s">
        <v>26</v>
      </c>
      <c r="M36" s="117" t="s">
        <v>26</v>
      </c>
      <c r="N36" s="117" t="s">
        <v>26</v>
      </c>
      <c r="O36" s="117" t="s">
        <v>26</v>
      </c>
      <c r="P36" s="117" t="s">
        <v>26</v>
      </c>
      <c r="Q36" s="117" t="s">
        <v>26</v>
      </c>
      <c r="R36" s="117" t="s">
        <v>110</v>
      </c>
      <c r="S36" s="117" t="s">
        <v>26</v>
      </c>
      <c r="T36" s="117" t="s">
        <v>26</v>
      </c>
      <c r="U36" s="117" t="s">
        <v>182</v>
      </c>
      <c r="V36" s="117" t="s">
        <v>26</v>
      </c>
      <c r="W36" s="117" t="s">
        <v>208</v>
      </c>
      <c r="X36" s="114" t="s">
        <v>26</v>
      </c>
      <c r="Y36" s="117" t="s">
        <v>26</v>
      </c>
      <c r="Z36" s="119" t="s">
        <v>26</v>
      </c>
      <c r="AA36" s="120"/>
      <c r="AB36" s="120"/>
      <c r="AC36" s="121"/>
    </row>
    <row r="37">
      <c r="A37" s="122" t="s">
        <v>56</v>
      </c>
      <c r="B37" s="123" t="s">
        <v>210</v>
      </c>
      <c r="C37" s="123" t="s">
        <v>189</v>
      </c>
      <c r="D37" s="123" t="s">
        <v>243</v>
      </c>
      <c r="E37" s="123">
        <v>1.0</v>
      </c>
      <c r="F37" s="123" t="s">
        <v>199</v>
      </c>
      <c r="G37" s="124" t="s">
        <v>45</v>
      </c>
      <c r="H37" s="123" t="s">
        <v>195</v>
      </c>
      <c r="I37" s="123" t="s">
        <v>26</v>
      </c>
      <c r="J37" s="123" t="s">
        <v>26</v>
      </c>
      <c r="K37" s="123" t="s">
        <v>26</v>
      </c>
      <c r="L37" s="123" t="s">
        <v>26</v>
      </c>
      <c r="M37" s="123" t="s">
        <v>26</v>
      </c>
      <c r="N37" s="123" t="s">
        <v>26</v>
      </c>
      <c r="O37" s="123" t="s">
        <v>196</v>
      </c>
      <c r="P37" s="123" t="s">
        <v>26</v>
      </c>
      <c r="Q37" s="123" t="s">
        <v>26</v>
      </c>
      <c r="R37" s="123" t="s">
        <v>26</v>
      </c>
      <c r="S37" s="123" t="s">
        <v>26</v>
      </c>
      <c r="T37" s="123" t="s">
        <v>26</v>
      </c>
      <c r="U37" s="123" t="s">
        <v>26</v>
      </c>
      <c r="V37" s="123" t="s">
        <v>26</v>
      </c>
      <c r="W37" s="123" t="s">
        <v>26</v>
      </c>
      <c r="X37" s="140" t="s">
        <v>26</v>
      </c>
      <c r="Y37" s="123" t="s">
        <v>119</v>
      </c>
      <c r="Z37" s="174" t="s">
        <v>116</v>
      </c>
      <c r="AA37" s="168"/>
      <c r="AB37" s="168"/>
      <c r="AC37" s="169"/>
    </row>
    <row r="38">
      <c r="A38" s="175" t="s">
        <v>91</v>
      </c>
      <c r="B38" s="141" t="s">
        <v>210</v>
      </c>
      <c r="C38" s="176" t="s">
        <v>189</v>
      </c>
      <c r="D38" s="176" t="s">
        <v>243</v>
      </c>
      <c r="E38" s="141">
        <v>1.0</v>
      </c>
      <c r="F38" s="176" t="s">
        <v>191</v>
      </c>
      <c r="G38" s="131" t="s">
        <v>49</v>
      </c>
      <c r="H38" s="176" t="s">
        <v>195</v>
      </c>
      <c r="I38" s="177" t="s">
        <v>26</v>
      </c>
      <c r="J38" s="176" t="s">
        <v>49</v>
      </c>
      <c r="K38" s="141" t="s">
        <v>26</v>
      </c>
      <c r="L38" s="141" t="s">
        <v>26</v>
      </c>
      <c r="M38" s="176" t="s">
        <v>217</v>
      </c>
      <c r="N38" s="141" t="s">
        <v>26</v>
      </c>
      <c r="O38" s="141" t="s">
        <v>26</v>
      </c>
      <c r="P38" s="141" t="s">
        <v>26</v>
      </c>
      <c r="Q38" s="141" t="s">
        <v>26</v>
      </c>
      <c r="R38" s="141" t="s">
        <v>26</v>
      </c>
      <c r="S38" s="141" t="s">
        <v>181</v>
      </c>
      <c r="T38" s="141" t="s">
        <v>26</v>
      </c>
      <c r="U38" s="141" t="s">
        <v>26</v>
      </c>
      <c r="V38" s="141" t="s">
        <v>26</v>
      </c>
      <c r="W38" s="141" t="s">
        <v>26</v>
      </c>
      <c r="X38" s="141" t="s">
        <v>26</v>
      </c>
      <c r="Y38" s="117" t="s">
        <v>26</v>
      </c>
      <c r="Z38" s="178" t="s">
        <v>260</v>
      </c>
      <c r="AA38" s="120"/>
      <c r="AB38" s="120"/>
      <c r="AC38" s="121"/>
    </row>
    <row r="39">
      <c r="A39" s="122" t="s">
        <v>50</v>
      </c>
      <c r="B39" s="140" t="s">
        <v>261</v>
      </c>
      <c r="C39" s="123" t="s">
        <v>215</v>
      </c>
      <c r="D39" s="123" t="s">
        <v>257</v>
      </c>
      <c r="E39" s="123">
        <v>1.0</v>
      </c>
      <c r="F39" s="123" t="s">
        <v>207</v>
      </c>
      <c r="G39" s="124" t="s">
        <v>40</v>
      </c>
      <c r="H39" s="123" t="s">
        <v>195</v>
      </c>
      <c r="I39" s="123" t="s">
        <v>26</v>
      </c>
      <c r="J39" s="123" t="s">
        <v>26</v>
      </c>
      <c r="K39" s="164" t="s">
        <v>193</v>
      </c>
      <c r="L39" s="123" t="s">
        <v>115</v>
      </c>
      <c r="M39" s="123" t="s">
        <v>26</v>
      </c>
      <c r="N39" s="123" t="s">
        <v>26</v>
      </c>
      <c r="O39" s="123" t="s">
        <v>26</v>
      </c>
      <c r="P39" s="123" t="s">
        <v>26</v>
      </c>
      <c r="Q39" s="123" t="s">
        <v>109</v>
      </c>
      <c r="R39" s="123" t="s">
        <v>26</v>
      </c>
      <c r="S39" s="123" t="s">
        <v>26</v>
      </c>
      <c r="T39" s="123" t="s">
        <v>26</v>
      </c>
      <c r="U39" s="123" t="s">
        <v>26</v>
      </c>
      <c r="V39" s="123" t="s">
        <v>26</v>
      </c>
      <c r="W39" s="123" t="s">
        <v>26</v>
      </c>
      <c r="X39" s="126" t="s">
        <v>26</v>
      </c>
      <c r="Y39" s="123" t="s">
        <v>26</v>
      </c>
      <c r="Z39" s="127" t="s">
        <v>39</v>
      </c>
      <c r="AA39" s="128"/>
      <c r="AB39" s="128"/>
      <c r="AC39" s="129"/>
    </row>
    <row r="40">
      <c r="A40" s="130" t="s">
        <v>102</v>
      </c>
      <c r="B40" s="141" t="s">
        <v>188</v>
      </c>
      <c r="C40" s="117" t="s">
        <v>215</v>
      </c>
      <c r="D40" s="117" t="s">
        <v>235</v>
      </c>
      <c r="E40" s="117">
        <v>1.0</v>
      </c>
      <c r="F40" s="117" t="s">
        <v>207</v>
      </c>
      <c r="G40" s="131" t="s">
        <v>40</v>
      </c>
      <c r="H40" s="117" t="s">
        <v>195</v>
      </c>
      <c r="I40" s="117" t="s">
        <v>26</v>
      </c>
      <c r="J40" s="117" t="s">
        <v>108</v>
      </c>
      <c r="K40" s="117" t="s">
        <v>26</v>
      </c>
      <c r="L40" s="117" t="s">
        <v>115</v>
      </c>
      <c r="M40" s="117" t="s">
        <v>26</v>
      </c>
      <c r="N40" s="117" t="s">
        <v>26</v>
      </c>
      <c r="O40" s="117" t="s">
        <v>196</v>
      </c>
      <c r="P40" s="117" t="s">
        <v>26</v>
      </c>
      <c r="Q40" s="117" t="s">
        <v>26</v>
      </c>
      <c r="R40" s="117" t="s">
        <v>26</v>
      </c>
      <c r="S40" s="117" t="s">
        <v>26</v>
      </c>
      <c r="T40" s="117" t="s">
        <v>111</v>
      </c>
      <c r="U40" s="117" t="s">
        <v>26</v>
      </c>
      <c r="V40" s="117" t="s">
        <v>26</v>
      </c>
      <c r="W40" s="117" t="s">
        <v>26</v>
      </c>
      <c r="X40" s="133" t="s">
        <v>26</v>
      </c>
      <c r="Y40" s="133" t="s">
        <v>26</v>
      </c>
      <c r="Z40" s="134" t="s">
        <v>26</v>
      </c>
      <c r="AA40" s="135"/>
      <c r="AB40" s="135"/>
      <c r="AC40" s="136"/>
    </row>
    <row r="41">
      <c r="A41" s="122" t="s">
        <v>104</v>
      </c>
      <c r="B41" s="140" t="s">
        <v>210</v>
      </c>
      <c r="C41" s="123" t="s">
        <v>215</v>
      </c>
      <c r="D41" s="123" t="s">
        <v>241</v>
      </c>
      <c r="E41" s="123">
        <v>2.0</v>
      </c>
      <c r="F41" s="123" t="s">
        <v>262</v>
      </c>
      <c r="G41" s="124" t="s">
        <v>40</v>
      </c>
      <c r="H41" s="123" t="s">
        <v>263</v>
      </c>
      <c r="I41" s="123" t="s">
        <v>26</v>
      </c>
      <c r="J41" s="123" t="s">
        <v>26</v>
      </c>
      <c r="K41" s="164" t="s">
        <v>193</v>
      </c>
      <c r="L41" s="123" t="s">
        <v>115</v>
      </c>
      <c r="M41" s="123" t="s">
        <v>26</v>
      </c>
      <c r="N41" s="123" t="s">
        <v>26</v>
      </c>
      <c r="O41" s="123" t="s">
        <v>26</v>
      </c>
      <c r="P41" s="123" t="s">
        <v>26</v>
      </c>
      <c r="Q41" s="123" t="s">
        <v>26</v>
      </c>
      <c r="R41" s="123" t="s">
        <v>110</v>
      </c>
      <c r="S41" s="123" t="s">
        <v>26</v>
      </c>
      <c r="T41" s="123" t="s">
        <v>111</v>
      </c>
      <c r="U41" s="123" t="s">
        <v>26</v>
      </c>
      <c r="V41" s="123" t="s">
        <v>26</v>
      </c>
      <c r="W41" s="123" t="s">
        <v>26</v>
      </c>
      <c r="X41" s="126" t="s">
        <v>26</v>
      </c>
      <c r="Y41" s="126" t="s">
        <v>26</v>
      </c>
      <c r="Z41" s="127" t="s">
        <v>26</v>
      </c>
      <c r="AA41" s="128"/>
      <c r="AB41" s="128"/>
      <c r="AC41" s="129"/>
    </row>
    <row r="42">
      <c r="A42" s="130" t="s">
        <v>105</v>
      </c>
      <c r="B42" s="141" t="s">
        <v>210</v>
      </c>
      <c r="C42" s="117" t="s">
        <v>201</v>
      </c>
      <c r="D42" s="117" t="s">
        <v>241</v>
      </c>
      <c r="E42" s="117">
        <v>2.0</v>
      </c>
      <c r="F42" s="117" t="s">
        <v>207</v>
      </c>
      <c r="G42" s="131" t="s">
        <v>40</v>
      </c>
      <c r="H42" s="117" t="s">
        <v>195</v>
      </c>
      <c r="I42" s="117" t="s">
        <v>26</v>
      </c>
      <c r="J42" s="117" t="s">
        <v>108</v>
      </c>
      <c r="K42" s="117" t="s">
        <v>26</v>
      </c>
      <c r="L42" s="117" t="s">
        <v>115</v>
      </c>
      <c r="M42" s="117" t="s">
        <v>26</v>
      </c>
      <c r="N42" s="117" t="s">
        <v>26</v>
      </c>
      <c r="O42" s="117" t="s">
        <v>196</v>
      </c>
      <c r="P42" s="117" t="s">
        <v>26</v>
      </c>
      <c r="Q42" s="117" t="s">
        <v>26</v>
      </c>
      <c r="R42" s="117" t="s">
        <v>26</v>
      </c>
      <c r="S42" s="117" t="s">
        <v>26</v>
      </c>
      <c r="T42" s="117" t="s">
        <v>26</v>
      </c>
      <c r="U42" s="117" t="s">
        <v>26</v>
      </c>
      <c r="V42" s="117" t="s">
        <v>26</v>
      </c>
      <c r="W42" s="117" t="s">
        <v>26</v>
      </c>
      <c r="X42" s="133" t="s">
        <v>26</v>
      </c>
      <c r="Y42" s="133" t="s">
        <v>26</v>
      </c>
      <c r="Z42" s="134" t="s">
        <v>264</v>
      </c>
      <c r="AA42" s="135"/>
      <c r="AB42" s="135"/>
      <c r="AC42" s="136"/>
    </row>
    <row r="43">
      <c r="A43" s="122" t="s">
        <v>97</v>
      </c>
      <c r="B43" s="140" t="s">
        <v>210</v>
      </c>
      <c r="C43" s="123" t="s">
        <v>215</v>
      </c>
      <c r="D43" s="123" t="s">
        <v>243</v>
      </c>
      <c r="E43" s="123">
        <v>1.0</v>
      </c>
      <c r="F43" s="123" t="s">
        <v>236</v>
      </c>
      <c r="G43" s="124" t="s">
        <v>49</v>
      </c>
      <c r="H43" s="123" t="s">
        <v>212</v>
      </c>
      <c r="I43" s="123" t="s">
        <v>213</v>
      </c>
      <c r="J43" s="123" t="s">
        <v>26</v>
      </c>
      <c r="K43" s="123" t="s">
        <v>26</v>
      </c>
      <c r="L43" s="123" t="s">
        <v>26</v>
      </c>
      <c r="M43" s="123" t="s">
        <v>217</v>
      </c>
      <c r="N43" s="123" t="s">
        <v>26</v>
      </c>
      <c r="O43" s="123" t="s">
        <v>26</v>
      </c>
      <c r="P43" s="123" t="s">
        <v>26</v>
      </c>
      <c r="Q43" s="123" t="s">
        <v>26</v>
      </c>
      <c r="R43" s="123" t="s">
        <v>26</v>
      </c>
      <c r="S43" s="123"/>
      <c r="T43" s="123" t="s">
        <v>111</v>
      </c>
      <c r="U43" s="123" t="s">
        <v>26</v>
      </c>
      <c r="V43" s="123" t="s">
        <v>26</v>
      </c>
      <c r="W43" s="123" t="s">
        <v>26</v>
      </c>
      <c r="X43" s="126" t="s">
        <v>26</v>
      </c>
      <c r="Y43" s="126" t="s">
        <v>119</v>
      </c>
      <c r="Z43" s="127" t="s">
        <v>265</v>
      </c>
      <c r="AA43" s="128"/>
      <c r="AB43" s="128"/>
      <c r="AC43" s="129"/>
    </row>
    <row r="44">
      <c r="A44" s="130" t="s">
        <v>266</v>
      </c>
      <c r="B44" s="141" t="s">
        <v>242</v>
      </c>
      <c r="C44" s="117" t="s">
        <v>215</v>
      </c>
      <c r="D44" s="117" t="s">
        <v>267</v>
      </c>
      <c r="E44" s="117">
        <v>3.0</v>
      </c>
      <c r="F44" s="117" t="s">
        <v>268</v>
      </c>
      <c r="G44" s="131" t="s">
        <v>41</v>
      </c>
      <c r="H44" s="117" t="s">
        <v>212</v>
      </c>
      <c r="I44" s="117" t="s">
        <v>26</v>
      </c>
      <c r="J44" s="117" t="s">
        <v>107</v>
      </c>
      <c r="K44" s="117" t="s">
        <v>26</v>
      </c>
      <c r="L44" s="117" t="s">
        <v>26</v>
      </c>
      <c r="M44" s="117" t="s">
        <v>26</v>
      </c>
      <c r="N44" s="117" t="s">
        <v>26</v>
      </c>
      <c r="O44" s="117" t="s">
        <v>196</v>
      </c>
      <c r="P44" s="117"/>
      <c r="Q44" s="117" t="s">
        <v>26</v>
      </c>
      <c r="R44" s="117" t="s">
        <v>26</v>
      </c>
      <c r="S44" s="117" t="s">
        <v>26</v>
      </c>
      <c r="T44" s="117" t="s">
        <v>111</v>
      </c>
      <c r="U44" s="117" t="s">
        <v>26</v>
      </c>
      <c r="V44" s="117" t="s">
        <v>26</v>
      </c>
      <c r="W44" s="117" t="s">
        <v>26</v>
      </c>
      <c r="X44" s="133">
        <v>15.0</v>
      </c>
      <c r="Y44" s="133" t="s">
        <v>26</v>
      </c>
      <c r="Z44" s="134" t="s">
        <v>26</v>
      </c>
      <c r="AA44" s="135"/>
      <c r="AB44" s="135"/>
      <c r="AC44" s="136"/>
    </row>
    <row r="45">
      <c r="A45" s="122" t="s">
        <v>84</v>
      </c>
      <c r="B45" s="140" t="s">
        <v>261</v>
      </c>
      <c r="C45" s="123" t="s">
        <v>189</v>
      </c>
      <c r="D45" s="123" t="s">
        <v>243</v>
      </c>
      <c r="E45" s="123">
        <v>1.0</v>
      </c>
      <c r="F45" s="123" t="s">
        <v>236</v>
      </c>
      <c r="G45" s="124" t="s">
        <v>41</v>
      </c>
      <c r="H45" s="123" t="s">
        <v>212</v>
      </c>
      <c r="I45" s="123" t="s">
        <v>26</v>
      </c>
      <c r="J45" s="123" t="s">
        <v>26</v>
      </c>
      <c r="K45" s="123" t="s">
        <v>26</v>
      </c>
      <c r="L45" s="123" t="s">
        <v>26</v>
      </c>
      <c r="M45" s="123" t="s">
        <v>26</v>
      </c>
      <c r="N45" s="123" t="s">
        <v>222</v>
      </c>
      <c r="O45" s="123" t="s">
        <v>26</v>
      </c>
      <c r="P45" s="123" t="s">
        <v>26</v>
      </c>
      <c r="Q45" s="123" t="s">
        <v>26</v>
      </c>
      <c r="R45" s="123" t="s">
        <v>110</v>
      </c>
      <c r="S45" s="179"/>
      <c r="T45" s="123" t="s">
        <v>26</v>
      </c>
      <c r="U45" s="123" t="s">
        <v>26</v>
      </c>
      <c r="V45" s="123" t="s">
        <v>26</v>
      </c>
      <c r="W45" s="123" t="s">
        <v>26</v>
      </c>
      <c r="X45" s="126" t="s">
        <v>26</v>
      </c>
      <c r="Y45" s="126" t="s">
        <v>26</v>
      </c>
      <c r="Z45" s="127" t="s">
        <v>26</v>
      </c>
      <c r="AA45" s="128"/>
      <c r="AB45" s="128"/>
      <c r="AC45" s="129"/>
    </row>
    <row r="46">
      <c r="A46" s="180" t="s">
        <v>61</v>
      </c>
      <c r="B46" s="141" t="s">
        <v>234</v>
      </c>
      <c r="C46" s="117" t="s">
        <v>189</v>
      </c>
      <c r="D46" s="117" t="s">
        <v>259</v>
      </c>
      <c r="E46" s="117">
        <v>1.0</v>
      </c>
      <c r="F46" s="117" t="s">
        <v>225</v>
      </c>
      <c r="G46" s="131" t="s">
        <v>42</v>
      </c>
      <c r="H46" s="117" t="s">
        <v>195</v>
      </c>
      <c r="I46" s="117" t="s">
        <v>26</v>
      </c>
      <c r="J46" s="117" t="s">
        <v>26</v>
      </c>
      <c r="K46" s="117" t="s">
        <v>209</v>
      </c>
      <c r="L46" s="117" t="s">
        <v>26</v>
      </c>
      <c r="M46" s="117" t="s">
        <v>26</v>
      </c>
      <c r="N46" s="117" t="s">
        <v>26</v>
      </c>
      <c r="O46" s="117" t="s">
        <v>26</v>
      </c>
      <c r="P46" s="117" t="s">
        <v>112</v>
      </c>
      <c r="Q46" s="117" t="s">
        <v>109</v>
      </c>
      <c r="R46" s="117" t="s">
        <v>26</v>
      </c>
      <c r="S46" s="117" t="s">
        <v>26</v>
      </c>
      <c r="T46" s="117" t="s">
        <v>26</v>
      </c>
      <c r="U46" s="117" t="s">
        <v>26</v>
      </c>
      <c r="V46" s="117" t="s">
        <v>26</v>
      </c>
      <c r="W46" s="117" t="s">
        <v>26</v>
      </c>
      <c r="X46" s="133" t="s">
        <v>26</v>
      </c>
      <c r="Y46" s="133" t="s">
        <v>26</v>
      </c>
      <c r="Z46" s="134" t="s">
        <v>39</v>
      </c>
      <c r="AA46" s="135"/>
      <c r="AB46" s="135"/>
      <c r="AC46" s="136"/>
    </row>
    <row r="47">
      <c r="A47" s="181" t="s">
        <v>269</v>
      </c>
      <c r="B47" s="140" t="s">
        <v>242</v>
      </c>
      <c r="C47" s="123" t="s">
        <v>189</v>
      </c>
      <c r="D47" s="123" t="s">
        <v>270</v>
      </c>
      <c r="E47" s="123">
        <v>3.0</v>
      </c>
      <c r="F47" s="123" t="s">
        <v>271</v>
      </c>
      <c r="G47" s="124" t="s">
        <v>42</v>
      </c>
      <c r="H47" s="123" t="s">
        <v>212</v>
      </c>
      <c r="I47" s="123" t="s">
        <v>26</v>
      </c>
      <c r="J47" s="123" t="s">
        <v>107</v>
      </c>
      <c r="K47" s="123" t="s">
        <v>26</v>
      </c>
      <c r="L47" s="123" t="s">
        <v>26</v>
      </c>
      <c r="M47" s="123" t="s">
        <v>217</v>
      </c>
      <c r="N47" s="123" t="s">
        <v>26</v>
      </c>
      <c r="O47" s="123" t="s">
        <v>26</v>
      </c>
      <c r="P47" s="123"/>
      <c r="Q47" s="123" t="s">
        <v>26</v>
      </c>
      <c r="R47" s="123" t="s">
        <v>26</v>
      </c>
      <c r="S47" s="123" t="s">
        <v>181</v>
      </c>
      <c r="T47" s="123"/>
      <c r="U47" s="123" t="s">
        <v>26</v>
      </c>
      <c r="V47" s="123" t="s">
        <v>26</v>
      </c>
      <c r="W47" s="123" t="s">
        <v>26</v>
      </c>
      <c r="X47" s="126">
        <v>15.0</v>
      </c>
      <c r="Y47" s="126" t="s">
        <v>26</v>
      </c>
      <c r="Z47" s="127" t="s">
        <v>116</v>
      </c>
      <c r="AA47" s="128"/>
      <c r="AB47" s="128"/>
      <c r="AC47" s="129"/>
    </row>
    <row r="48">
      <c r="A48" s="180" t="s">
        <v>78</v>
      </c>
      <c r="B48" s="141" t="s">
        <v>272</v>
      </c>
      <c r="C48" s="117" t="s">
        <v>201</v>
      </c>
      <c r="D48" s="117" t="s">
        <v>246</v>
      </c>
      <c r="E48" s="117">
        <v>1.0</v>
      </c>
      <c r="F48" s="117" t="s">
        <v>199</v>
      </c>
      <c r="G48" s="131" t="s">
        <v>45</v>
      </c>
      <c r="H48" s="117" t="s">
        <v>195</v>
      </c>
      <c r="I48" s="117" t="s">
        <v>26</v>
      </c>
      <c r="J48" s="117" t="s">
        <v>108</v>
      </c>
      <c r="K48" s="117" t="s">
        <v>26</v>
      </c>
      <c r="L48" s="117" t="s">
        <v>115</v>
      </c>
      <c r="M48" s="117" t="s">
        <v>26</v>
      </c>
      <c r="N48" s="117" t="s">
        <v>26</v>
      </c>
      <c r="O48" s="117" t="s">
        <v>26</v>
      </c>
      <c r="P48" s="117" t="s">
        <v>26</v>
      </c>
      <c r="Q48" s="117" t="s">
        <v>26</v>
      </c>
      <c r="R48" s="117" t="s">
        <v>26</v>
      </c>
      <c r="S48" s="117" t="s">
        <v>26</v>
      </c>
      <c r="T48" s="117" t="s">
        <v>26</v>
      </c>
      <c r="U48" s="117" t="s">
        <v>182</v>
      </c>
      <c r="V48" s="117" t="s">
        <v>26</v>
      </c>
      <c r="W48" s="117" t="s">
        <v>273</v>
      </c>
      <c r="X48" s="133" t="s">
        <v>26</v>
      </c>
      <c r="Y48" s="133" t="s">
        <v>26</v>
      </c>
      <c r="Z48" s="134" t="s">
        <v>274</v>
      </c>
      <c r="AA48" s="135"/>
      <c r="AB48" s="135"/>
      <c r="AC48" s="136"/>
    </row>
    <row r="49">
      <c r="A49" s="182" t="s">
        <v>87</v>
      </c>
      <c r="B49" s="123" t="s">
        <v>234</v>
      </c>
      <c r="C49" s="123" t="s">
        <v>189</v>
      </c>
      <c r="D49" s="123" t="s">
        <v>235</v>
      </c>
      <c r="E49" s="123">
        <v>1.0</v>
      </c>
      <c r="F49" s="123" t="s">
        <v>236</v>
      </c>
      <c r="G49" s="124" t="s">
        <v>45</v>
      </c>
      <c r="H49" s="123" t="s">
        <v>212</v>
      </c>
      <c r="I49" s="123" t="s">
        <v>26</v>
      </c>
      <c r="J49" s="123" t="s">
        <v>107</v>
      </c>
      <c r="K49" s="123" t="s">
        <v>26</v>
      </c>
      <c r="L49" s="123" t="s">
        <v>26</v>
      </c>
      <c r="M49" s="123" t="s">
        <v>217</v>
      </c>
      <c r="N49" s="123" t="s">
        <v>26</v>
      </c>
      <c r="O49" s="123" t="s">
        <v>26</v>
      </c>
      <c r="P49" s="123" t="s">
        <v>26</v>
      </c>
      <c r="Q49" s="123" t="s">
        <v>26</v>
      </c>
      <c r="R49" s="123"/>
      <c r="S49" s="123" t="s">
        <v>181</v>
      </c>
      <c r="T49" s="123" t="s">
        <v>26</v>
      </c>
      <c r="U49" s="123" t="s">
        <v>26</v>
      </c>
      <c r="V49" s="123" t="s">
        <v>26</v>
      </c>
      <c r="W49" s="123" t="s">
        <v>26</v>
      </c>
      <c r="X49" s="126">
        <v>13.0</v>
      </c>
      <c r="Y49" s="126" t="s">
        <v>119</v>
      </c>
      <c r="Z49" s="127" t="s">
        <v>116</v>
      </c>
      <c r="AA49" s="128"/>
      <c r="AB49" s="128"/>
      <c r="AC49" s="129"/>
    </row>
    <row r="50">
      <c r="A50" s="183" t="s">
        <v>67</v>
      </c>
      <c r="B50" s="117" t="s">
        <v>234</v>
      </c>
      <c r="C50" s="117" t="s">
        <v>215</v>
      </c>
      <c r="D50" s="117" t="s">
        <v>224</v>
      </c>
      <c r="E50" s="117">
        <v>1.0</v>
      </c>
      <c r="F50" s="117" t="s">
        <v>199</v>
      </c>
      <c r="G50" s="131" t="s">
        <v>45</v>
      </c>
      <c r="H50" s="117" t="s">
        <v>212</v>
      </c>
      <c r="I50" s="117"/>
      <c r="J50" s="117" t="s">
        <v>26</v>
      </c>
      <c r="K50" s="117"/>
      <c r="L50" s="117" t="s">
        <v>115</v>
      </c>
      <c r="M50" s="117" t="s">
        <v>217</v>
      </c>
      <c r="N50" s="117"/>
      <c r="O50" s="117"/>
      <c r="P50" s="117"/>
      <c r="Q50" s="117" t="s">
        <v>109</v>
      </c>
      <c r="R50" s="117"/>
      <c r="S50" s="117"/>
      <c r="T50" s="117"/>
      <c r="U50" s="117"/>
      <c r="V50" s="117"/>
      <c r="W50" s="117"/>
      <c r="X50" s="133" t="s">
        <v>26</v>
      </c>
      <c r="Y50" s="133" t="s">
        <v>26</v>
      </c>
      <c r="Z50" s="134" t="s">
        <v>26</v>
      </c>
      <c r="AA50" s="135"/>
      <c r="AB50" s="135"/>
      <c r="AC50" s="136"/>
      <c r="AD50" s="184"/>
      <c r="AE50" s="184"/>
      <c r="AF50" s="184"/>
      <c r="AG50" s="184"/>
      <c r="AH50" s="184"/>
    </row>
    <row r="51">
      <c r="A51" s="182" t="s">
        <v>106</v>
      </c>
      <c r="B51" s="123" t="s">
        <v>210</v>
      </c>
      <c r="C51" s="123" t="s">
        <v>215</v>
      </c>
      <c r="D51" s="123" t="s">
        <v>275</v>
      </c>
      <c r="E51" s="123">
        <v>2.0</v>
      </c>
      <c r="F51" s="123" t="s">
        <v>225</v>
      </c>
      <c r="G51" s="124" t="s">
        <v>40</v>
      </c>
      <c r="H51" s="123" t="s">
        <v>238</v>
      </c>
      <c r="I51" s="123" t="s">
        <v>26</v>
      </c>
      <c r="J51" s="123" t="s">
        <v>26</v>
      </c>
      <c r="K51" s="123" t="s">
        <v>26</v>
      </c>
      <c r="L51" s="123" t="s">
        <v>26</v>
      </c>
      <c r="M51" s="123" t="s">
        <v>26</v>
      </c>
      <c r="N51" s="123" t="s">
        <v>26</v>
      </c>
      <c r="O51" s="123" t="s">
        <v>26</v>
      </c>
      <c r="P51" s="123" t="s">
        <v>26</v>
      </c>
      <c r="Q51" s="123" t="s">
        <v>26</v>
      </c>
      <c r="R51" s="123" t="s">
        <v>26</v>
      </c>
      <c r="S51" s="123" t="s">
        <v>26</v>
      </c>
      <c r="T51" s="123" t="s">
        <v>26</v>
      </c>
      <c r="U51" s="123" t="s">
        <v>26</v>
      </c>
      <c r="V51" s="123" t="s">
        <v>26</v>
      </c>
      <c r="W51" s="123" t="s">
        <v>26</v>
      </c>
      <c r="X51" s="123" t="s">
        <v>26</v>
      </c>
      <c r="Y51" s="123" t="s">
        <v>119</v>
      </c>
      <c r="Z51" s="127" t="s">
        <v>26</v>
      </c>
      <c r="AA51" s="128"/>
      <c r="AB51" s="128"/>
      <c r="AC51" s="129"/>
    </row>
    <row r="52">
      <c r="A52" s="183" t="s">
        <v>101</v>
      </c>
      <c r="B52" s="117" t="s">
        <v>276</v>
      </c>
      <c r="C52" s="117" t="s">
        <v>189</v>
      </c>
      <c r="D52" s="117" t="s">
        <v>206</v>
      </c>
      <c r="E52" s="117">
        <v>1.0</v>
      </c>
      <c r="F52" s="117" t="s">
        <v>203</v>
      </c>
      <c r="G52" s="131" t="s">
        <v>49</v>
      </c>
      <c r="H52" s="117" t="s">
        <v>195</v>
      </c>
      <c r="I52" s="117" t="s">
        <v>26</v>
      </c>
      <c r="J52" s="117" t="s">
        <v>108</v>
      </c>
      <c r="K52" s="117" t="s">
        <v>26</v>
      </c>
      <c r="L52" s="117" t="s">
        <v>26</v>
      </c>
      <c r="M52" s="117" t="s">
        <v>26</v>
      </c>
      <c r="N52" s="117" t="s">
        <v>26</v>
      </c>
      <c r="O52" s="117" t="s">
        <v>26</v>
      </c>
      <c r="P52" s="117" t="s">
        <v>26</v>
      </c>
      <c r="Q52" s="117" t="s">
        <v>26</v>
      </c>
      <c r="R52" s="117" t="s">
        <v>110</v>
      </c>
      <c r="S52" s="117" t="s">
        <v>26</v>
      </c>
      <c r="T52" s="117" t="s">
        <v>26</v>
      </c>
      <c r="U52" s="117" t="s">
        <v>26</v>
      </c>
      <c r="V52" s="117" t="s">
        <v>26</v>
      </c>
      <c r="W52" s="117" t="s">
        <v>26</v>
      </c>
      <c r="X52" s="117" t="s">
        <v>26</v>
      </c>
      <c r="Y52" s="117" t="s">
        <v>26</v>
      </c>
      <c r="Z52" s="134" t="s">
        <v>277</v>
      </c>
      <c r="AA52" s="135"/>
      <c r="AB52" s="135"/>
      <c r="AC52" s="136"/>
    </row>
    <row r="53">
      <c r="A53" s="182" t="s">
        <v>98</v>
      </c>
      <c r="B53" s="123" t="s">
        <v>278</v>
      </c>
      <c r="C53" s="123" t="s">
        <v>215</v>
      </c>
      <c r="D53" s="123" t="s">
        <v>243</v>
      </c>
      <c r="E53" s="123">
        <v>1.0</v>
      </c>
      <c r="F53" s="123" t="s">
        <v>191</v>
      </c>
      <c r="G53" s="124" t="s">
        <v>40</v>
      </c>
      <c r="H53" s="123" t="s">
        <v>195</v>
      </c>
      <c r="I53" s="123" t="s">
        <v>26</v>
      </c>
      <c r="J53" s="123" t="s">
        <v>26</v>
      </c>
      <c r="K53" s="123" t="s">
        <v>279</v>
      </c>
      <c r="L53" s="123" t="s">
        <v>26</v>
      </c>
      <c r="M53" s="123" t="s">
        <v>26</v>
      </c>
      <c r="N53" s="123" t="s">
        <v>26</v>
      </c>
      <c r="O53" s="123" t="s">
        <v>26</v>
      </c>
      <c r="P53" s="123" t="s">
        <v>26</v>
      </c>
      <c r="Q53" s="123" t="s">
        <v>109</v>
      </c>
      <c r="R53" s="123" t="s">
        <v>26</v>
      </c>
      <c r="S53" s="123" t="s">
        <v>26</v>
      </c>
      <c r="T53" s="123" t="s">
        <v>26</v>
      </c>
      <c r="U53" s="123" t="s">
        <v>26</v>
      </c>
      <c r="V53" s="123" t="s">
        <v>26</v>
      </c>
      <c r="W53" s="123" t="s">
        <v>26</v>
      </c>
      <c r="X53" s="123" t="s">
        <v>26</v>
      </c>
      <c r="Y53" s="123" t="s">
        <v>26</v>
      </c>
      <c r="Z53" s="127" t="s">
        <v>39</v>
      </c>
      <c r="AA53" s="128"/>
      <c r="AB53" s="128"/>
      <c r="AC53" s="129"/>
    </row>
    <row r="54">
      <c r="A54" s="183" t="s">
        <v>94</v>
      </c>
      <c r="B54" s="117" t="s">
        <v>280</v>
      </c>
      <c r="C54" s="117" t="s">
        <v>215</v>
      </c>
      <c r="D54" s="117" t="s">
        <v>243</v>
      </c>
      <c r="E54" s="117">
        <v>1.0</v>
      </c>
      <c r="F54" s="117" t="s">
        <v>191</v>
      </c>
      <c r="G54" s="131" t="s">
        <v>41</v>
      </c>
      <c r="H54" s="117" t="s">
        <v>238</v>
      </c>
      <c r="I54" s="117" t="s">
        <v>26</v>
      </c>
      <c r="J54" s="117" t="s">
        <v>26</v>
      </c>
      <c r="K54" s="117" t="s">
        <v>26</v>
      </c>
      <c r="L54" s="117" t="s">
        <v>26</v>
      </c>
      <c r="M54" s="117" t="s">
        <v>26</v>
      </c>
      <c r="N54" s="117" t="s">
        <v>26</v>
      </c>
      <c r="O54" s="117" t="s">
        <v>26</v>
      </c>
      <c r="P54" s="117" t="s">
        <v>26</v>
      </c>
      <c r="Q54" s="117" t="s">
        <v>109</v>
      </c>
      <c r="R54" s="117" t="s">
        <v>26</v>
      </c>
      <c r="S54" s="117" t="s">
        <v>26</v>
      </c>
      <c r="T54" s="117" t="s">
        <v>26</v>
      </c>
      <c r="U54" s="117" t="s">
        <v>26</v>
      </c>
      <c r="V54" s="117" t="s">
        <v>26</v>
      </c>
      <c r="W54" s="117" t="s">
        <v>26</v>
      </c>
      <c r="X54" s="117" t="s">
        <v>26</v>
      </c>
      <c r="Y54" s="117" t="s">
        <v>119</v>
      </c>
      <c r="Z54" s="134" t="s">
        <v>26</v>
      </c>
      <c r="AA54" s="135"/>
      <c r="AB54" s="135"/>
      <c r="AC54" s="136"/>
    </row>
    <row r="55">
      <c r="A55" s="185"/>
      <c r="B55" s="152"/>
      <c r="C55" s="152"/>
      <c r="D55" s="152"/>
      <c r="E55" s="152"/>
      <c r="F55" s="152"/>
      <c r="G55" s="186"/>
      <c r="H55" s="152"/>
      <c r="I55" s="152"/>
      <c r="J55" s="152"/>
      <c r="K55" s="152"/>
      <c r="L55" s="152"/>
      <c r="M55" s="152"/>
      <c r="N55" s="152"/>
      <c r="O55" s="152"/>
      <c r="P55" s="152"/>
      <c r="Q55" s="152"/>
      <c r="R55" s="152"/>
      <c r="S55" s="152"/>
      <c r="T55" s="152"/>
      <c r="U55" s="152"/>
      <c r="V55" s="152"/>
      <c r="W55" s="152"/>
      <c r="X55" s="152"/>
      <c r="Y55" s="152"/>
      <c r="Z55" s="127"/>
      <c r="AA55" s="128"/>
      <c r="AB55" s="128"/>
      <c r="AC55" s="129"/>
    </row>
    <row r="56">
      <c r="A56" s="187" t="s">
        <v>281</v>
      </c>
      <c r="B56" s="160"/>
      <c r="C56" s="160"/>
      <c r="D56" s="160"/>
      <c r="E56" s="160"/>
      <c r="F56" s="160"/>
      <c r="G56" s="160"/>
      <c r="H56" s="160"/>
      <c r="I56" s="160"/>
      <c r="J56" s="160"/>
      <c r="K56" s="160"/>
      <c r="L56" s="160"/>
      <c r="M56" s="160"/>
      <c r="N56" s="160"/>
      <c r="O56" s="160"/>
      <c r="P56" s="160"/>
      <c r="Q56" s="160"/>
      <c r="R56" s="160"/>
      <c r="S56" s="160"/>
      <c r="T56" s="160"/>
      <c r="U56" s="160"/>
      <c r="V56" s="160"/>
      <c r="W56" s="160"/>
      <c r="X56" s="160"/>
      <c r="Y56" s="160"/>
      <c r="Z56" s="160"/>
      <c r="AA56" s="160"/>
      <c r="AB56" s="160"/>
      <c r="AC56" s="161"/>
    </row>
    <row r="57">
      <c r="A57" s="188" t="s">
        <v>70</v>
      </c>
      <c r="B57" s="163" t="s">
        <v>188</v>
      </c>
      <c r="C57" s="164" t="s">
        <v>201</v>
      </c>
      <c r="D57" s="164" t="s">
        <v>282</v>
      </c>
      <c r="E57" s="164">
        <v>2.0</v>
      </c>
      <c r="F57" s="164" t="s">
        <v>207</v>
      </c>
      <c r="G57" s="165" t="s">
        <v>48</v>
      </c>
      <c r="H57" s="164" t="s">
        <v>195</v>
      </c>
      <c r="I57" s="164" t="s">
        <v>26</v>
      </c>
      <c r="J57" s="164" t="s">
        <v>108</v>
      </c>
      <c r="K57" s="164" t="s">
        <v>26</v>
      </c>
      <c r="L57" s="164" t="s">
        <v>26</v>
      </c>
      <c r="M57" s="164" t="s">
        <v>26</v>
      </c>
      <c r="N57" s="164" t="s">
        <v>26</v>
      </c>
      <c r="O57" s="164" t="s">
        <v>26</v>
      </c>
      <c r="P57" s="164" t="s">
        <v>26</v>
      </c>
      <c r="Q57" s="164" t="s">
        <v>26</v>
      </c>
      <c r="R57" s="164" t="s">
        <v>26</v>
      </c>
      <c r="S57" s="164" t="s">
        <v>26</v>
      </c>
      <c r="T57" s="164" t="s">
        <v>26</v>
      </c>
      <c r="U57" s="164" t="s">
        <v>26</v>
      </c>
      <c r="V57" s="164" t="s">
        <v>183</v>
      </c>
      <c r="W57" s="164" t="s">
        <v>283</v>
      </c>
      <c r="X57" s="166" t="s">
        <v>26</v>
      </c>
      <c r="Y57" s="166" t="s">
        <v>26</v>
      </c>
      <c r="Z57" s="167" t="s">
        <v>227</v>
      </c>
      <c r="AA57" s="168"/>
      <c r="AB57" s="168"/>
      <c r="AC57" s="169"/>
    </row>
    <row r="58">
      <c r="A58" s="189" t="s">
        <v>81</v>
      </c>
      <c r="B58" s="141" t="s">
        <v>234</v>
      </c>
      <c r="C58" s="117" t="s">
        <v>201</v>
      </c>
      <c r="D58" s="117" t="s">
        <v>241</v>
      </c>
      <c r="E58" s="117">
        <v>2.0</v>
      </c>
      <c r="F58" s="117" t="s">
        <v>253</v>
      </c>
      <c r="G58" s="131" t="s">
        <v>48</v>
      </c>
      <c r="H58" s="117" t="s">
        <v>212</v>
      </c>
      <c r="I58" s="117" t="s">
        <v>26</v>
      </c>
      <c r="J58" s="117" t="s">
        <v>107</v>
      </c>
      <c r="K58" s="117" t="s">
        <v>26</v>
      </c>
      <c r="L58" s="117" t="s">
        <v>26</v>
      </c>
      <c r="M58" s="117" t="s">
        <v>26</v>
      </c>
      <c r="N58" s="117" t="s">
        <v>26</v>
      </c>
      <c r="O58" s="117" t="s">
        <v>26</v>
      </c>
      <c r="P58" s="117" t="s">
        <v>26</v>
      </c>
      <c r="Q58" s="117" t="s">
        <v>26</v>
      </c>
      <c r="R58" s="117" t="s">
        <v>26</v>
      </c>
      <c r="S58" s="117" t="s">
        <v>26</v>
      </c>
      <c r="T58" s="117" t="s">
        <v>26</v>
      </c>
      <c r="U58" s="117" t="s">
        <v>26</v>
      </c>
      <c r="V58" s="117" t="s">
        <v>183</v>
      </c>
      <c r="W58" s="117" t="s">
        <v>284</v>
      </c>
      <c r="X58" s="133">
        <v>13.0</v>
      </c>
      <c r="Y58" s="133" t="s">
        <v>26</v>
      </c>
      <c r="Z58" s="134" t="s">
        <v>227</v>
      </c>
      <c r="AA58" s="135"/>
      <c r="AB58" s="135"/>
      <c r="AC58" s="136"/>
    </row>
    <row r="59">
      <c r="A59" s="190" t="s">
        <v>69</v>
      </c>
      <c r="B59" s="140" t="s">
        <v>210</v>
      </c>
      <c r="C59" s="123" t="s">
        <v>201</v>
      </c>
      <c r="D59" s="123" t="s">
        <v>241</v>
      </c>
      <c r="E59" s="123">
        <v>2.0</v>
      </c>
      <c r="F59" s="123" t="s">
        <v>199</v>
      </c>
      <c r="G59" s="124" t="s">
        <v>47</v>
      </c>
      <c r="H59" s="123" t="s">
        <v>212</v>
      </c>
      <c r="I59" s="123" t="s">
        <v>26</v>
      </c>
      <c r="J59" s="123" t="s">
        <v>107</v>
      </c>
      <c r="K59" s="123" t="s">
        <v>26</v>
      </c>
      <c r="L59" s="123" t="s">
        <v>26</v>
      </c>
      <c r="M59" s="123" t="s">
        <v>26</v>
      </c>
      <c r="N59" s="123" t="s">
        <v>26</v>
      </c>
      <c r="O59" s="123" t="s">
        <v>26</v>
      </c>
      <c r="P59" s="123" t="s">
        <v>26</v>
      </c>
      <c r="Q59" s="123" t="s">
        <v>26</v>
      </c>
      <c r="R59" s="123" t="s">
        <v>26</v>
      </c>
      <c r="S59" s="123" t="s">
        <v>26</v>
      </c>
      <c r="T59" s="123" t="s">
        <v>26</v>
      </c>
      <c r="U59" s="123" t="s">
        <v>26</v>
      </c>
      <c r="V59" s="123" t="s">
        <v>183</v>
      </c>
      <c r="W59" s="123" t="s">
        <v>285</v>
      </c>
      <c r="X59" s="126">
        <v>13.0</v>
      </c>
      <c r="Y59" s="126" t="s">
        <v>26</v>
      </c>
      <c r="Z59" s="127" t="s">
        <v>286</v>
      </c>
      <c r="AA59" s="128"/>
      <c r="AB59" s="128"/>
      <c r="AC59" s="129"/>
    </row>
    <row r="60">
      <c r="A60" s="189" t="s">
        <v>99</v>
      </c>
      <c r="B60" s="141">
        <v>1.0</v>
      </c>
      <c r="C60" s="117" t="s">
        <v>201</v>
      </c>
      <c r="D60" s="117" t="s">
        <v>243</v>
      </c>
      <c r="E60" s="117">
        <v>1.0</v>
      </c>
      <c r="F60" s="117" t="s">
        <v>203</v>
      </c>
      <c r="G60" s="131" t="s">
        <v>43</v>
      </c>
      <c r="H60" s="117" t="s">
        <v>195</v>
      </c>
      <c r="I60" s="117" t="s">
        <v>26</v>
      </c>
      <c r="J60" s="117" t="s">
        <v>26</v>
      </c>
      <c r="K60" s="117" t="s">
        <v>26</v>
      </c>
      <c r="L60" s="117" t="s">
        <v>26</v>
      </c>
      <c r="M60" s="117" t="s">
        <v>26</v>
      </c>
      <c r="N60" s="117" t="s">
        <v>287</v>
      </c>
      <c r="O60" s="117" t="s">
        <v>26</v>
      </c>
      <c r="P60" s="117" t="s">
        <v>26</v>
      </c>
      <c r="Q60" s="117" t="s">
        <v>26</v>
      </c>
      <c r="R60" s="117" t="s">
        <v>26</v>
      </c>
      <c r="S60" s="117" t="s">
        <v>26</v>
      </c>
      <c r="T60" s="117" t="s">
        <v>26</v>
      </c>
      <c r="U60" s="117" t="s">
        <v>26</v>
      </c>
      <c r="V60" s="117" t="s">
        <v>183</v>
      </c>
      <c r="W60" s="117" t="s">
        <v>288</v>
      </c>
      <c r="X60" s="133" t="s">
        <v>26</v>
      </c>
      <c r="Y60" s="133" t="s">
        <v>26</v>
      </c>
      <c r="Z60" s="150"/>
      <c r="AA60" s="135"/>
      <c r="AB60" s="135"/>
      <c r="AC60" s="136"/>
    </row>
    <row r="61">
      <c r="A61" s="122" t="s">
        <v>60</v>
      </c>
      <c r="B61" s="140" t="s">
        <v>26</v>
      </c>
      <c r="C61" s="123" t="s">
        <v>26</v>
      </c>
      <c r="D61" s="123" t="s">
        <v>206</v>
      </c>
      <c r="E61" s="123">
        <v>1.0</v>
      </c>
      <c r="F61" s="123" t="s">
        <v>207</v>
      </c>
      <c r="G61" s="124" t="s">
        <v>49</v>
      </c>
      <c r="H61" s="123" t="s">
        <v>195</v>
      </c>
      <c r="I61" s="123" t="s">
        <v>26</v>
      </c>
      <c r="J61" s="123" t="s">
        <v>26</v>
      </c>
      <c r="K61" s="123" t="s">
        <v>26</v>
      </c>
      <c r="L61" s="123" t="s">
        <v>26</v>
      </c>
      <c r="M61" s="123" t="s">
        <v>26</v>
      </c>
      <c r="N61" s="123" t="s">
        <v>26</v>
      </c>
      <c r="O61" s="123" t="s">
        <v>26</v>
      </c>
      <c r="P61" s="123" t="s">
        <v>26</v>
      </c>
      <c r="Q61" s="123" t="s">
        <v>26</v>
      </c>
      <c r="R61" s="123" t="s">
        <v>26</v>
      </c>
      <c r="S61" s="123" t="s">
        <v>26</v>
      </c>
      <c r="T61" s="123" t="s">
        <v>26</v>
      </c>
      <c r="U61" s="123" t="s">
        <v>182</v>
      </c>
      <c r="V61" s="123" t="s">
        <v>26</v>
      </c>
      <c r="W61" s="123" t="s">
        <v>289</v>
      </c>
      <c r="X61" s="126" t="s">
        <v>26</v>
      </c>
      <c r="Y61" s="126" t="s">
        <v>26</v>
      </c>
      <c r="Z61" s="127" t="s">
        <v>290</v>
      </c>
      <c r="AA61" s="128"/>
      <c r="AB61" s="128"/>
      <c r="AC61" s="129"/>
    </row>
    <row r="62">
      <c r="A62" s="130" t="s">
        <v>80</v>
      </c>
      <c r="B62" s="141" t="s">
        <v>188</v>
      </c>
      <c r="C62" s="117" t="s">
        <v>201</v>
      </c>
      <c r="D62" s="117" t="s">
        <v>257</v>
      </c>
      <c r="E62" s="117">
        <v>1.0</v>
      </c>
      <c r="F62" s="117" t="s">
        <v>199</v>
      </c>
      <c r="G62" s="131" t="s">
        <v>47</v>
      </c>
      <c r="H62" s="117" t="s">
        <v>212</v>
      </c>
      <c r="I62" s="117" t="s">
        <v>26</v>
      </c>
      <c r="J62" s="117" t="s">
        <v>108</v>
      </c>
      <c r="K62" s="117" t="s">
        <v>26</v>
      </c>
      <c r="L62" s="117" t="s">
        <v>26</v>
      </c>
      <c r="M62" s="117" t="s">
        <v>26</v>
      </c>
      <c r="N62" s="117" t="s">
        <v>26</v>
      </c>
      <c r="O62" s="117" t="s">
        <v>26</v>
      </c>
      <c r="P62" s="117" t="s">
        <v>26</v>
      </c>
      <c r="Q62" s="117" t="s">
        <v>26</v>
      </c>
      <c r="R62" s="117" t="s">
        <v>26</v>
      </c>
      <c r="S62" s="117" t="s">
        <v>26</v>
      </c>
      <c r="T62" s="117" t="s">
        <v>26</v>
      </c>
      <c r="U62" s="117" t="s">
        <v>26</v>
      </c>
      <c r="V62" s="117" t="s">
        <v>183</v>
      </c>
      <c r="W62" s="117" t="s">
        <v>291</v>
      </c>
      <c r="X62" s="133" t="s">
        <v>26</v>
      </c>
      <c r="Y62" s="133" t="s">
        <v>26</v>
      </c>
      <c r="Z62" s="134" t="s">
        <v>292</v>
      </c>
      <c r="AA62" s="135"/>
      <c r="AB62" s="135"/>
      <c r="AC62" s="136"/>
    </row>
    <row r="63">
      <c r="A63" s="122" t="s">
        <v>89</v>
      </c>
      <c r="B63" s="140" t="s">
        <v>242</v>
      </c>
      <c r="C63" s="123" t="s">
        <v>201</v>
      </c>
      <c r="D63" s="123" t="s">
        <v>293</v>
      </c>
      <c r="E63" s="123">
        <v>3.0</v>
      </c>
      <c r="F63" s="123" t="s">
        <v>207</v>
      </c>
      <c r="G63" s="124" t="s">
        <v>47</v>
      </c>
      <c r="H63" s="123" t="s">
        <v>212</v>
      </c>
      <c r="I63" s="123" t="s">
        <v>26</v>
      </c>
      <c r="J63" s="123" t="s">
        <v>107</v>
      </c>
      <c r="K63" s="123" t="s">
        <v>26</v>
      </c>
      <c r="L63" s="123" t="s">
        <v>26</v>
      </c>
      <c r="M63" s="123" t="s">
        <v>26</v>
      </c>
      <c r="N63" s="123" t="s">
        <v>26</v>
      </c>
      <c r="O63" s="123" t="s">
        <v>26</v>
      </c>
      <c r="P63" s="123" t="s">
        <v>26</v>
      </c>
      <c r="Q63" s="123" t="s">
        <v>26</v>
      </c>
      <c r="R63" s="123" t="s">
        <v>26</v>
      </c>
      <c r="S63" s="123" t="s">
        <v>26</v>
      </c>
      <c r="T63" s="123" t="s">
        <v>26</v>
      </c>
      <c r="U63" s="123" t="s">
        <v>26</v>
      </c>
      <c r="V63" s="123" t="s">
        <v>183</v>
      </c>
      <c r="W63" s="123" t="s">
        <v>294</v>
      </c>
      <c r="X63" s="126">
        <v>16.0</v>
      </c>
      <c r="Y63" s="126" t="s">
        <v>26</v>
      </c>
      <c r="Z63" s="127" t="s">
        <v>286</v>
      </c>
      <c r="AA63" s="128"/>
      <c r="AB63" s="128"/>
      <c r="AC63" s="129"/>
    </row>
    <row r="64">
      <c r="A64" s="130" t="s">
        <v>90</v>
      </c>
      <c r="B64" s="141" t="s">
        <v>210</v>
      </c>
      <c r="C64" s="117" t="s">
        <v>201</v>
      </c>
      <c r="D64" s="117" t="s">
        <v>295</v>
      </c>
      <c r="E64" s="117">
        <v>3.0</v>
      </c>
      <c r="F64" s="117" t="s">
        <v>296</v>
      </c>
      <c r="G64" s="131" t="s">
        <v>48</v>
      </c>
      <c r="H64" s="117" t="s">
        <v>212</v>
      </c>
      <c r="I64" s="117" t="s">
        <v>26</v>
      </c>
      <c r="J64" s="117" t="s">
        <v>107</v>
      </c>
      <c r="K64" s="117" t="s">
        <v>26</v>
      </c>
      <c r="L64" s="117" t="s">
        <v>26</v>
      </c>
      <c r="M64" s="117" t="s">
        <v>26</v>
      </c>
      <c r="N64" s="117" t="s">
        <v>26</v>
      </c>
      <c r="O64" s="117" t="s">
        <v>26</v>
      </c>
      <c r="P64" s="117" t="s">
        <v>26</v>
      </c>
      <c r="Q64" s="117" t="s">
        <v>26</v>
      </c>
      <c r="R64" s="117" t="s">
        <v>26</v>
      </c>
      <c r="S64" s="117" t="s">
        <v>26</v>
      </c>
      <c r="T64" s="117" t="s">
        <v>26</v>
      </c>
      <c r="U64" s="117" t="s">
        <v>26</v>
      </c>
      <c r="V64" s="117" t="s">
        <v>183</v>
      </c>
      <c r="W64" s="117" t="s">
        <v>284</v>
      </c>
      <c r="X64" s="133">
        <v>14.0</v>
      </c>
      <c r="Y64" s="133" t="s">
        <v>26</v>
      </c>
      <c r="Z64" s="134" t="s">
        <v>297</v>
      </c>
      <c r="AA64" s="135"/>
      <c r="AB64" s="135"/>
      <c r="AC64" s="136"/>
    </row>
    <row r="65">
      <c r="B65" s="191"/>
      <c r="C65" s="191"/>
      <c r="D65" s="191"/>
      <c r="E65" s="191"/>
      <c r="F65" s="191"/>
      <c r="G65" s="191"/>
      <c r="H65" s="191"/>
      <c r="I65" s="191"/>
      <c r="J65" s="191"/>
      <c r="K65" s="191"/>
      <c r="L65" s="191"/>
      <c r="M65" s="191"/>
      <c r="N65" s="191"/>
      <c r="O65" s="191"/>
      <c r="P65" s="191"/>
      <c r="Q65" s="191"/>
      <c r="R65" s="191"/>
      <c r="S65" s="191"/>
      <c r="T65" s="191"/>
      <c r="U65" s="191"/>
      <c r="V65" s="191"/>
      <c r="W65" s="191"/>
      <c r="X65" s="192"/>
      <c r="Y65" s="191"/>
      <c r="Z65" s="191"/>
      <c r="AA65" s="191"/>
      <c r="AB65" s="191"/>
    </row>
    <row r="66">
      <c r="B66" s="191"/>
      <c r="C66" s="191"/>
      <c r="D66" s="191"/>
      <c r="E66" s="191"/>
      <c r="F66" s="191"/>
      <c r="G66" s="191"/>
      <c r="H66" s="191"/>
      <c r="I66" s="191"/>
      <c r="J66" s="191"/>
      <c r="K66" s="191"/>
      <c r="L66" s="191"/>
      <c r="M66" s="191"/>
      <c r="N66" s="191"/>
      <c r="O66" s="191"/>
      <c r="P66" s="191"/>
      <c r="Q66" s="191"/>
      <c r="R66" s="191"/>
      <c r="S66" s="191"/>
      <c r="T66" s="191"/>
      <c r="U66" s="191"/>
      <c r="V66" s="191"/>
      <c r="W66" s="191"/>
      <c r="X66" s="191"/>
      <c r="Y66" s="191"/>
      <c r="Z66" s="191"/>
      <c r="AA66" s="191"/>
      <c r="AB66" s="191"/>
    </row>
    <row r="67">
      <c r="B67" s="191"/>
      <c r="C67" s="191"/>
      <c r="D67" s="191"/>
      <c r="E67" s="191"/>
      <c r="F67" s="191"/>
      <c r="G67" s="192"/>
      <c r="H67" s="192"/>
      <c r="I67" s="191"/>
      <c r="J67" s="191"/>
      <c r="K67" s="191"/>
      <c r="L67" s="191"/>
      <c r="M67" s="191"/>
      <c r="N67" s="191"/>
      <c r="O67" s="191"/>
      <c r="P67" s="191"/>
      <c r="Q67" s="191"/>
      <c r="R67" s="191"/>
      <c r="S67" s="191"/>
      <c r="T67" s="191"/>
      <c r="U67" s="191"/>
      <c r="V67" s="191"/>
      <c r="W67" s="191"/>
      <c r="X67" s="191"/>
      <c r="Y67" s="191"/>
      <c r="Z67" s="191"/>
      <c r="AA67" s="191"/>
      <c r="AB67" s="191"/>
    </row>
    <row r="68">
      <c r="B68" s="191"/>
      <c r="C68" s="191"/>
      <c r="D68" s="191"/>
      <c r="E68" s="191"/>
      <c r="F68" s="191"/>
      <c r="G68" s="192"/>
      <c r="H68" s="192"/>
      <c r="I68" s="192"/>
      <c r="J68" s="191"/>
      <c r="K68" s="191"/>
      <c r="L68" s="191"/>
      <c r="M68" s="191"/>
      <c r="N68" s="191"/>
      <c r="O68" s="191"/>
      <c r="P68" s="191"/>
      <c r="Q68" s="191"/>
      <c r="R68" s="191"/>
      <c r="S68" s="191"/>
      <c r="T68" s="191"/>
      <c r="U68" s="191"/>
      <c r="V68" s="191"/>
      <c r="W68" s="191"/>
      <c r="X68" s="191"/>
      <c r="Y68" s="191"/>
      <c r="Z68" s="191"/>
      <c r="AA68" s="191"/>
      <c r="AB68" s="191"/>
    </row>
    <row r="69">
      <c r="B69" s="191"/>
      <c r="C69" s="191"/>
      <c r="D69" s="191"/>
      <c r="E69" s="191"/>
      <c r="F69" s="191"/>
      <c r="G69" s="192"/>
      <c r="H69" s="192"/>
      <c r="I69" s="192"/>
      <c r="J69" s="191"/>
      <c r="K69" s="191"/>
      <c r="L69" s="191"/>
      <c r="M69" s="191"/>
      <c r="N69" s="191"/>
      <c r="O69" s="191"/>
      <c r="P69" s="191"/>
      <c r="Q69" s="191"/>
      <c r="R69" s="191"/>
      <c r="S69" s="191"/>
      <c r="T69" s="191"/>
      <c r="U69" s="191"/>
      <c r="V69" s="191"/>
      <c r="W69" s="191"/>
      <c r="X69" s="191"/>
      <c r="Y69" s="191"/>
      <c r="Z69" s="191"/>
      <c r="AA69" s="191"/>
      <c r="AB69" s="191"/>
    </row>
    <row r="70">
      <c r="B70" s="191"/>
      <c r="C70" s="191"/>
      <c r="D70" s="191"/>
      <c r="E70" s="191"/>
      <c r="F70" s="191"/>
      <c r="G70" s="192"/>
      <c r="H70" s="192"/>
      <c r="I70" s="192"/>
      <c r="J70" s="191"/>
      <c r="K70" s="191"/>
      <c r="L70" s="191"/>
      <c r="M70" s="191"/>
      <c r="N70" s="191"/>
      <c r="O70" s="191"/>
      <c r="P70" s="191"/>
      <c r="Q70" s="191"/>
      <c r="R70" s="191"/>
      <c r="S70" s="191"/>
      <c r="T70" s="191"/>
      <c r="U70" s="191"/>
      <c r="V70" s="191"/>
      <c r="W70" s="191"/>
      <c r="X70" s="191"/>
      <c r="Y70" s="191"/>
      <c r="Z70" s="191"/>
      <c r="AA70" s="191"/>
      <c r="AB70" s="191"/>
    </row>
    <row r="71">
      <c r="B71" s="191"/>
      <c r="C71" s="191"/>
      <c r="D71" s="191"/>
      <c r="E71" s="191"/>
      <c r="F71" s="191"/>
      <c r="G71" s="192"/>
      <c r="H71" s="192"/>
      <c r="I71" s="191"/>
      <c r="J71" s="191"/>
      <c r="K71" s="191"/>
      <c r="L71" s="191"/>
      <c r="M71" s="191"/>
      <c r="N71" s="191"/>
      <c r="O71" s="191"/>
      <c r="P71" s="191"/>
      <c r="Q71" s="191"/>
      <c r="R71" s="191"/>
      <c r="S71" s="191"/>
      <c r="T71" s="191"/>
      <c r="U71" s="191"/>
      <c r="V71" s="191"/>
      <c r="W71" s="191"/>
      <c r="X71" s="191"/>
      <c r="Y71" s="191"/>
      <c r="Z71" s="191"/>
      <c r="AA71" s="191"/>
      <c r="AB71" s="191"/>
    </row>
    <row r="72">
      <c r="B72" s="191"/>
      <c r="C72" s="191"/>
      <c r="D72" s="191"/>
      <c r="E72" s="191"/>
      <c r="F72" s="191"/>
      <c r="G72" s="192"/>
      <c r="H72" s="192"/>
      <c r="I72" s="191"/>
      <c r="J72" s="191"/>
      <c r="K72" s="191"/>
      <c r="L72" s="191"/>
      <c r="M72" s="191"/>
      <c r="N72" s="191"/>
      <c r="O72" s="191"/>
      <c r="P72" s="191"/>
      <c r="Q72" s="191"/>
      <c r="R72" s="191"/>
      <c r="S72" s="191"/>
      <c r="T72" s="191"/>
      <c r="U72" s="191"/>
      <c r="V72" s="191"/>
      <c r="W72" s="191"/>
      <c r="X72" s="191"/>
      <c r="Y72" s="191"/>
      <c r="Z72" s="191"/>
      <c r="AA72" s="191"/>
      <c r="AB72" s="191"/>
    </row>
    <row r="73">
      <c r="B73" s="191"/>
      <c r="C73" s="191"/>
      <c r="D73" s="191"/>
      <c r="E73" s="191"/>
      <c r="F73" s="191"/>
      <c r="G73" s="192"/>
      <c r="H73" s="192"/>
      <c r="I73" s="191"/>
      <c r="J73" s="191"/>
      <c r="K73" s="191"/>
      <c r="L73" s="191"/>
      <c r="M73" s="191"/>
      <c r="N73" s="191"/>
      <c r="O73" s="191"/>
      <c r="P73" s="191"/>
      <c r="Q73" s="191"/>
      <c r="R73" s="191"/>
      <c r="S73" s="191"/>
      <c r="T73" s="191"/>
      <c r="U73" s="191"/>
      <c r="V73" s="191"/>
      <c r="W73" s="191"/>
      <c r="X73" s="191"/>
      <c r="Y73" s="191"/>
      <c r="Z73" s="191"/>
      <c r="AA73" s="191"/>
      <c r="AB73" s="191"/>
    </row>
    <row r="74">
      <c r="B74" s="191"/>
      <c r="C74" s="191"/>
      <c r="D74" s="191"/>
      <c r="E74" s="191"/>
      <c r="F74" s="191"/>
      <c r="G74" s="192"/>
      <c r="H74" s="192"/>
      <c r="I74" s="191"/>
      <c r="J74" s="191"/>
      <c r="K74" s="191"/>
      <c r="L74" s="191"/>
      <c r="M74" s="191"/>
      <c r="N74" s="191"/>
      <c r="O74" s="191"/>
      <c r="P74" s="191"/>
      <c r="Q74" s="191"/>
      <c r="R74" s="191"/>
      <c r="S74" s="191"/>
      <c r="T74" s="191"/>
      <c r="U74" s="191"/>
      <c r="V74" s="191"/>
      <c r="W74" s="191"/>
      <c r="X74" s="191"/>
      <c r="Y74" s="191"/>
      <c r="Z74" s="191"/>
      <c r="AA74" s="191"/>
      <c r="AB74" s="191"/>
    </row>
    <row r="75">
      <c r="B75" s="191"/>
      <c r="C75" s="191"/>
      <c r="D75" s="191"/>
      <c r="E75" s="191"/>
      <c r="F75" s="191"/>
      <c r="G75" s="192"/>
      <c r="H75" s="192"/>
      <c r="I75" s="191"/>
      <c r="J75" s="191"/>
      <c r="K75" s="191"/>
      <c r="L75" s="191"/>
      <c r="M75" s="191"/>
      <c r="N75" s="191"/>
      <c r="O75" s="191"/>
      <c r="P75" s="191"/>
      <c r="Q75" s="191"/>
      <c r="R75" s="191"/>
      <c r="S75" s="191"/>
      <c r="T75" s="191"/>
      <c r="U75" s="191"/>
      <c r="V75" s="191"/>
      <c r="W75" s="191"/>
      <c r="X75" s="191"/>
      <c r="Y75" s="191"/>
      <c r="Z75" s="191"/>
      <c r="AA75" s="191"/>
      <c r="AB75" s="191"/>
    </row>
    <row r="76">
      <c r="B76" s="191"/>
      <c r="C76" s="191"/>
      <c r="D76" s="191"/>
      <c r="E76" s="191"/>
      <c r="F76" s="191"/>
      <c r="G76" s="192"/>
      <c r="H76" s="192"/>
      <c r="I76" s="191"/>
      <c r="J76" s="191"/>
      <c r="K76" s="191"/>
      <c r="L76" s="191"/>
      <c r="M76" s="191"/>
      <c r="N76" s="191"/>
      <c r="O76" s="191"/>
      <c r="P76" s="191"/>
      <c r="Q76" s="191"/>
      <c r="R76" s="191"/>
      <c r="S76" s="191"/>
      <c r="T76" s="191"/>
      <c r="U76" s="191"/>
      <c r="V76" s="191"/>
      <c r="W76" s="191"/>
      <c r="X76" s="191"/>
      <c r="Y76" s="191"/>
      <c r="Z76" s="191"/>
      <c r="AA76" s="191"/>
      <c r="AB76" s="191"/>
    </row>
    <row r="77">
      <c r="B77" s="191"/>
      <c r="C77" s="191"/>
      <c r="D77" s="191"/>
      <c r="E77" s="191"/>
      <c r="F77" s="191"/>
      <c r="G77" s="192"/>
      <c r="H77" s="192"/>
      <c r="I77" s="191"/>
      <c r="J77" s="191"/>
      <c r="K77" s="191"/>
      <c r="L77" s="191"/>
      <c r="M77" s="191"/>
      <c r="N77" s="191"/>
      <c r="O77" s="191"/>
      <c r="P77" s="191"/>
      <c r="Q77" s="191"/>
      <c r="R77" s="191"/>
      <c r="S77" s="191"/>
      <c r="T77" s="191"/>
      <c r="U77" s="191"/>
      <c r="V77" s="191"/>
      <c r="W77" s="191"/>
      <c r="X77" s="191"/>
      <c r="Y77" s="191"/>
      <c r="Z77" s="191"/>
      <c r="AA77" s="191"/>
      <c r="AB77" s="191"/>
    </row>
    <row r="78">
      <c r="B78" s="191"/>
      <c r="C78" s="191"/>
      <c r="D78" s="191"/>
      <c r="E78" s="191"/>
      <c r="F78" s="191"/>
      <c r="G78" s="192"/>
      <c r="H78" s="192"/>
      <c r="I78" s="191"/>
      <c r="J78" s="191"/>
      <c r="K78" s="191"/>
      <c r="L78" s="191"/>
      <c r="M78" s="191"/>
      <c r="N78" s="191"/>
      <c r="O78" s="191"/>
      <c r="P78" s="191"/>
      <c r="Q78" s="191"/>
      <c r="R78" s="191"/>
      <c r="S78" s="191"/>
      <c r="T78" s="191"/>
      <c r="U78" s="191"/>
      <c r="V78" s="191"/>
      <c r="W78" s="191"/>
      <c r="X78" s="191"/>
      <c r="Y78" s="191"/>
      <c r="Z78" s="191"/>
      <c r="AA78" s="191"/>
      <c r="AB78" s="191"/>
    </row>
    <row r="79">
      <c r="B79" s="191"/>
      <c r="C79" s="191"/>
      <c r="D79" s="191"/>
      <c r="E79" s="191"/>
      <c r="F79" s="191"/>
      <c r="G79" s="192"/>
      <c r="H79" s="192"/>
      <c r="I79" s="191"/>
      <c r="J79" s="191"/>
      <c r="K79" s="191"/>
      <c r="L79" s="191"/>
      <c r="M79" s="192"/>
      <c r="N79" s="192"/>
      <c r="O79" s="191"/>
      <c r="P79" s="191"/>
      <c r="Q79" s="191"/>
      <c r="R79" s="191"/>
      <c r="S79" s="191"/>
      <c r="T79" s="191"/>
      <c r="U79" s="191"/>
      <c r="V79" s="191"/>
      <c r="W79" s="191"/>
      <c r="X79" s="191"/>
      <c r="Y79" s="191"/>
      <c r="Z79" s="191"/>
      <c r="AA79" s="191"/>
      <c r="AB79" s="191"/>
    </row>
    <row r="80">
      <c r="B80" s="191"/>
      <c r="C80" s="191"/>
      <c r="D80" s="191"/>
      <c r="E80" s="191"/>
      <c r="F80" s="191"/>
      <c r="G80" s="192"/>
      <c r="H80" s="192"/>
      <c r="I80" s="192"/>
      <c r="J80" s="192"/>
      <c r="K80" s="191"/>
      <c r="L80" s="191"/>
      <c r="M80" s="191"/>
      <c r="N80" s="191"/>
      <c r="O80" s="191"/>
      <c r="P80" s="191"/>
      <c r="Q80" s="191"/>
      <c r="R80" s="191"/>
      <c r="S80" s="191"/>
      <c r="T80" s="191"/>
      <c r="U80" s="191"/>
      <c r="V80" s="191"/>
      <c r="W80" s="191"/>
      <c r="X80" s="191"/>
      <c r="Y80" s="191"/>
      <c r="Z80" s="191"/>
      <c r="AA80" s="191"/>
      <c r="AB80" s="191"/>
    </row>
    <row r="81">
      <c r="B81" s="191"/>
      <c r="C81" s="191"/>
      <c r="D81" s="191"/>
      <c r="E81" s="191"/>
      <c r="F81" s="191"/>
      <c r="G81" s="192"/>
      <c r="H81" s="192"/>
      <c r="I81" s="192"/>
      <c r="J81" s="192"/>
      <c r="K81" s="192"/>
      <c r="L81" s="191"/>
      <c r="M81" s="191"/>
      <c r="N81" s="191"/>
      <c r="O81" s="191"/>
      <c r="P81" s="191"/>
      <c r="Q81" s="191"/>
      <c r="R81" s="191"/>
      <c r="S81" s="191"/>
      <c r="T81" s="191"/>
      <c r="U81" s="191"/>
      <c r="V81" s="191"/>
      <c r="W81" s="191"/>
      <c r="X81" s="191"/>
      <c r="Y81" s="191"/>
      <c r="Z81" s="191"/>
      <c r="AA81" s="191"/>
      <c r="AB81" s="191"/>
    </row>
    <row r="82">
      <c r="B82" s="191"/>
      <c r="C82" s="191"/>
      <c r="D82" s="191"/>
      <c r="E82" s="191"/>
      <c r="F82" s="191"/>
      <c r="G82" s="192"/>
      <c r="H82" s="192"/>
      <c r="I82" s="191"/>
      <c r="J82" s="192"/>
      <c r="K82" s="192"/>
      <c r="L82" s="191"/>
      <c r="M82" s="191"/>
      <c r="N82" s="191"/>
      <c r="O82" s="191"/>
      <c r="P82" s="191"/>
      <c r="Q82" s="191"/>
      <c r="R82" s="191"/>
      <c r="S82" s="191"/>
      <c r="T82" s="191"/>
      <c r="U82" s="191"/>
      <c r="V82" s="191"/>
      <c r="W82" s="191"/>
      <c r="X82" s="191"/>
      <c r="Y82" s="191"/>
      <c r="Z82" s="191"/>
      <c r="AA82" s="191"/>
      <c r="AB82" s="191"/>
    </row>
    <row r="83">
      <c r="B83" s="191"/>
      <c r="C83" s="191"/>
      <c r="D83" s="191"/>
      <c r="E83" s="191"/>
      <c r="F83" s="191"/>
      <c r="G83" s="192"/>
      <c r="H83" s="192"/>
      <c r="I83" s="191"/>
      <c r="J83" s="192"/>
      <c r="K83" s="192"/>
      <c r="L83" s="191"/>
      <c r="M83" s="191"/>
      <c r="N83" s="191"/>
      <c r="O83" s="191"/>
      <c r="P83" s="191"/>
      <c r="Q83" s="191"/>
      <c r="R83" s="191"/>
      <c r="S83" s="191"/>
      <c r="T83" s="191"/>
      <c r="U83" s="191"/>
      <c r="V83" s="191"/>
      <c r="W83" s="191"/>
      <c r="X83" s="191"/>
      <c r="Y83" s="191"/>
      <c r="Z83" s="191"/>
      <c r="AA83" s="191"/>
      <c r="AB83" s="191"/>
    </row>
    <row r="84">
      <c r="B84" s="191"/>
      <c r="C84" s="191"/>
      <c r="D84" s="191"/>
      <c r="E84" s="191"/>
      <c r="F84" s="191"/>
      <c r="G84" s="192"/>
      <c r="H84" s="192"/>
      <c r="I84" s="191"/>
      <c r="J84" s="191"/>
      <c r="K84" s="191"/>
      <c r="L84" s="191"/>
      <c r="M84" s="191"/>
      <c r="N84" s="191"/>
      <c r="O84" s="191"/>
      <c r="P84" s="191"/>
      <c r="Q84" s="191"/>
      <c r="R84" s="191"/>
      <c r="S84" s="191"/>
      <c r="T84" s="191"/>
      <c r="U84" s="191"/>
      <c r="V84" s="191"/>
      <c r="W84" s="191"/>
      <c r="X84" s="191"/>
      <c r="Y84" s="191"/>
      <c r="Z84" s="191"/>
      <c r="AA84" s="191"/>
      <c r="AB84" s="191"/>
    </row>
    <row r="85">
      <c r="A85" s="191"/>
      <c r="B85" s="191"/>
      <c r="C85" s="191"/>
      <c r="D85" s="191"/>
      <c r="E85" s="191"/>
      <c r="F85" s="191"/>
      <c r="G85" s="192"/>
      <c r="H85" s="192"/>
      <c r="I85" s="191"/>
      <c r="J85" s="191"/>
      <c r="K85" s="191"/>
      <c r="L85" s="191"/>
      <c r="M85" s="191"/>
      <c r="N85" s="191"/>
      <c r="O85" s="191"/>
      <c r="P85" s="191"/>
      <c r="Q85" s="191"/>
      <c r="R85" s="191"/>
      <c r="S85" s="191"/>
      <c r="T85" s="191"/>
      <c r="U85" s="191"/>
      <c r="V85" s="191"/>
      <c r="W85" s="191"/>
      <c r="X85" s="191"/>
      <c r="Y85" s="191"/>
      <c r="Z85" s="191"/>
      <c r="AA85" s="191"/>
      <c r="AB85" s="191"/>
    </row>
    <row r="86">
      <c r="A86" s="191"/>
      <c r="B86" s="191"/>
      <c r="C86" s="191"/>
      <c r="D86" s="191"/>
      <c r="E86" s="191"/>
      <c r="F86" s="191"/>
      <c r="G86" s="192"/>
      <c r="H86" s="192"/>
      <c r="I86" s="191"/>
      <c r="J86" s="191"/>
      <c r="K86" s="191"/>
      <c r="L86" s="191"/>
      <c r="M86" s="191"/>
      <c r="N86" s="191"/>
      <c r="O86" s="191"/>
      <c r="P86" s="191"/>
      <c r="Q86" s="191"/>
      <c r="R86" s="191"/>
      <c r="S86" s="191"/>
      <c r="T86" s="191"/>
      <c r="U86" s="191"/>
      <c r="V86" s="191"/>
      <c r="W86" s="191"/>
      <c r="X86" s="191"/>
      <c r="Y86" s="191"/>
      <c r="Z86" s="191"/>
      <c r="AA86" s="191"/>
      <c r="AB86" s="191"/>
    </row>
    <row r="87">
      <c r="A87" s="191"/>
      <c r="B87" s="191"/>
      <c r="C87" s="191"/>
      <c r="D87" s="191"/>
      <c r="E87" s="191"/>
      <c r="F87" s="191"/>
      <c r="G87" s="192"/>
      <c r="H87" s="192"/>
      <c r="I87" s="191"/>
      <c r="J87" s="191"/>
      <c r="K87" s="191"/>
      <c r="L87" s="191"/>
      <c r="M87" s="191"/>
      <c r="N87" s="191"/>
      <c r="O87" s="191"/>
      <c r="P87" s="191"/>
      <c r="Q87" s="191"/>
      <c r="R87" s="191"/>
      <c r="S87" s="191"/>
      <c r="T87" s="191"/>
      <c r="U87" s="191"/>
      <c r="V87" s="191"/>
      <c r="W87" s="191"/>
      <c r="X87" s="191"/>
      <c r="Y87" s="191"/>
      <c r="Z87" s="191"/>
      <c r="AA87" s="191"/>
      <c r="AB87" s="191"/>
    </row>
    <row r="88">
      <c r="A88" s="191"/>
      <c r="B88" s="191"/>
      <c r="C88" s="191"/>
      <c r="D88" s="191"/>
      <c r="E88" s="191"/>
      <c r="F88" s="191"/>
      <c r="G88" s="192"/>
      <c r="H88" s="192"/>
      <c r="I88" s="191"/>
      <c r="J88" s="191"/>
      <c r="K88" s="191"/>
      <c r="L88" s="191"/>
      <c r="M88" s="191"/>
      <c r="N88" s="191"/>
      <c r="O88" s="191"/>
      <c r="P88" s="191"/>
      <c r="Q88" s="191"/>
      <c r="R88" s="191"/>
      <c r="S88" s="191"/>
      <c r="T88" s="191"/>
      <c r="U88" s="191"/>
      <c r="V88" s="191"/>
      <c r="W88" s="191"/>
      <c r="X88" s="191"/>
      <c r="Y88" s="191"/>
      <c r="Z88" s="191"/>
      <c r="AA88" s="191"/>
      <c r="AB88" s="191"/>
    </row>
    <row r="89">
      <c r="A89" s="191"/>
      <c r="B89" s="191"/>
      <c r="C89" s="191"/>
      <c r="D89" s="191"/>
      <c r="E89" s="191"/>
      <c r="F89" s="191"/>
      <c r="G89" s="192"/>
      <c r="H89" s="192"/>
      <c r="I89" s="191"/>
      <c r="J89" s="191"/>
      <c r="K89" s="191"/>
      <c r="L89" s="191"/>
      <c r="M89" s="191"/>
      <c r="N89" s="191"/>
      <c r="O89" s="191"/>
      <c r="P89" s="191"/>
      <c r="Q89" s="191"/>
      <c r="R89" s="191"/>
      <c r="S89" s="191"/>
      <c r="T89" s="191"/>
      <c r="U89" s="191"/>
      <c r="V89" s="191"/>
      <c r="W89" s="191"/>
      <c r="X89" s="191"/>
      <c r="Y89" s="191"/>
      <c r="Z89" s="191"/>
      <c r="AA89" s="191"/>
      <c r="AB89" s="191"/>
    </row>
    <row r="90">
      <c r="A90" s="191"/>
      <c r="B90" s="191"/>
      <c r="C90" s="191"/>
      <c r="D90" s="191"/>
      <c r="E90" s="191"/>
      <c r="F90" s="191"/>
      <c r="G90" s="192"/>
      <c r="H90" s="192"/>
      <c r="I90" s="191"/>
      <c r="J90" s="191"/>
      <c r="K90" s="191"/>
      <c r="L90" s="191"/>
      <c r="M90" s="191"/>
      <c r="N90" s="191"/>
      <c r="O90" s="191"/>
      <c r="P90" s="191"/>
      <c r="Q90" s="191"/>
      <c r="R90" s="191"/>
      <c r="S90" s="191"/>
      <c r="T90" s="191"/>
      <c r="U90" s="191"/>
      <c r="V90" s="191"/>
      <c r="W90" s="191"/>
      <c r="X90" s="191"/>
      <c r="Y90" s="191"/>
      <c r="Z90" s="191"/>
      <c r="AA90" s="191"/>
      <c r="AB90" s="191"/>
    </row>
    <row r="91">
      <c r="A91" s="191"/>
      <c r="B91" s="191"/>
      <c r="C91" s="191"/>
      <c r="D91" s="191"/>
      <c r="E91" s="191"/>
      <c r="F91" s="191"/>
      <c r="G91" s="192"/>
      <c r="H91" s="192"/>
      <c r="I91" s="191"/>
      <c r="J91" s="191"/>
      <c r="K91" s="191"/>
      <c r="L91" s="191"/>
      <c r="M91" s="191"/>
      <c r="N91" s="191"/>
      <c r="O91" s="191"/>
      <c r="P91" s="191"/>
      <c r="Q91" s="191"/>
      <c r="R91" s="191"/>
      <c r="S91" s="191"/>
      <c r="T91" s="191"/>
      <c r="U91" s="191"/>
      <c r="V91" s="191"/>
      <c r="W91" s="191"/>
      <c r="X91" s="191"/>
      <c r="Y91" s="191"/>
      <c r="Z91" s="191"/>
      <c r="AA91" s="191"/>
      <c r="AB91" s="191"/>
    </row>
    <row r="92">
      <c r="A92" s="191"/>
      <c r="B92" s="191"/>
      <c r="C92" s="191"/>
      <c r="D92" s="191"/>
      <c r="E92" s="191"/>
      <c r="F92" s="191"/>
      <c r="G92" s="191"/>
      <c r="H92" s="191"/>
      <c r="I92" s="191"/>
      <c r="J92" s="191"/>
      <c r="K92" s="191"/>
      <c r="L92" s="191"/>
      <c r="M92" s="191"/>
      <c r="N92" s="191"/>
      <c r="O92" s="191"/>
      <c r="P92" s="191"/>
      <c r="Q92" s="191"/>
      <c r="R92" s="191"/>
      <c r="S92" s="191"/>
      <c r="T92" s="191"/>
      <c r="U92" s="191"/>
      <c r="V92" s="191"/>
      <c r="W92" s="191"/>
      <c r="X92" s="191"/>
      <c r="Y92" s="191"/>
      <c r="Z92" s="191"/>
      <c r="AA92" s="191"/>
      <c r="AB92" s="191"/>
    </row>
  </sheetData>
  <mergeCells count="67">
    <mergeCell ref="Z46:AC46"/>
    <mergeCell ref="Z47:AC47"/>
    <mergeCell ref="Z48:AC48"/>
    <mergeCell ref="Z49:AC49"/>
    <mergeCell ref="Z50:AC50"/>
    <mergeCell ref="Z51:AC51"/>
    <mergeCell ref="Z52:AC52"/>
    <mergeCell ref="Z61:AC61"/>
    <mergeCell ref="Z62:AC62"/>
    <mergeCell ref="Z63:AC63"/>
    <mergeCell ref="Z64:AC64"/>
    <mergeCell ref="Z53:AC53"/>
    <mergeCell ref="Z54:AC54"/>
    <mergeCell ref="Z55:AC55"/>
    <mergeCell ref="Z57:AC57"/>
    <mergeCell ref="Z58:AC58"/>
    <mergeCell ref="Z59:AC59"/>
    <mergeCell ref="Z60:AC60"/>
    <mergeCell ref="A1:A2"/>
    <mergeCell ref="B1:B2"/>
    <mergeCell ref="C1:C2"/>
    <mergeCell ref="D1:D2"/>
    <mergeCell ref="E1:E2"/>
    <mergeCell ref="F1:F2"/>
    <mergeCell ref="G1:G2"/>
    <mergeCell ref="H1:AC1"/>
    <mergeCell ref="Z2:AC2"/>
    <mergeCell ref="Z4:AC4"/>
    <mergeCell ref="Z5:AC5"/>
    <mergeCell ref="Z6:AC6"/>
    <mergeCell ref="Z7:AC7"/>
    <mergeCell ref="Z8:AC8"/>
    <mergeCell ref="Z9:AC9"/>
    <mergeCell ref="Z10:AC10"/>
    <mergeCell ref="Z11:AC11"/>
    <mergeCell ref="Z12:AC12"/>
    <mergeCell ref="Z13:AC13"/>
    <mergeCell ref="Z14:AC14"/>
    <mergeCell ref="Z16:AC16"/>
    <mergeCell ref="Z17:AC17"/>
    <mergeCell ref="Z18:AC18"/>
    <mergeCell ref="Z19:AC19"/>
    <mergeCell ref="Z21:AC21"/>
    <mergeCell ref="Z22:AC22"/>
    <mergeCell ref="Z23:AC23"/>
    <mergeCell ref="Z24:AC24"/>
    <mergeCell ref="Z25:AC25"/>
    <mergeCell ref="Z26:AC26"/>
    <mergeCell ref="Z27:AC27"/>
    <mergeCell ref="Z28:AC28"/>
    <mergeCell ref="Z29:AC29"/>
    <mergeCell ref="Z30:AC30"/>
    <mergeCell ref="Z31:AC31"/>
    <mergeCell ref="Z32:AC32"/>
    <mergeCell ref="Z33:AC33"/>
    <mergeCell ref="Z34:AC34"/>
    <mergeCell ref="Z35:AC35"/>
    <mergeCell ref="Z36:AC36"/>
    <mergeCell ref="Z37:AC37"/>
    <mergeCell ref="Z38:AC38"/>
    <mergeCell ref="Z39:AC39"/>
    <mergeCell ref="Z40:AC40"/>
    <mergeCell ref="Z41:AC41"/>
    <mergeCell ref="Z42:AC42"/>
    <mergeCell ref="Z43:AC43"/>
    <mergeCell ref="Z44:AC44"/>
    <mergeCell ref="Z45:AC45"/>
  </mergeCells>
  <hyperlinks>
    <hyperlink display="Древковое" location="'Оружейные группы'!F2" ref="G4"/>
    <hyperlink display="Грубое" location="'Оружейные группы'!H2" ref="G5"/>
    <hyperlink display="Грубое" location="'Оружейные группы'!H2" ref="G6"/>
    <hyperlink display="Разбойничье" location="'Оружейные группы'!E2" ref="G7"/>
    <hyperlink display="Древковое" location="'Оружейные группы'!F2" ref="G8"/>
    <hyperlink display="Молоты" location="'Оружейные группы'!D2" ref="G9"/>
    <hyperlink display="Грубое" location="'Оружейные группы'!H2" ref="G10"/>
    <hyperlink display="Особое" location="'Оружейные группы'!K2" ref="G11"/>
    <hyperlink display="Особое" location="'Оружейные группы'!K2" ref="G12"/>
    <hyperlink display="Топоры" location="'Оружейные группы'!C2" ref="G13"/>
    <hyperlink display="Разбойничье" location="'Оружейные группы'!E2" ref="G14"/>
    <hyperlink display="Арбалеты" location="'Оружейные группы'!J2" ref="G16"/>
    <hyperlink display="Разбойничье" location="'Оружейные группы'!E2" ref="G17"/>
    <hyperlink display="Луки" location="'Оружейные группы'!I2" ref="G18"/>
    <hyperlink display="Разбойничье" location="'Оружейные группы'!E2" ref="G19"/>
    <hyperlink display="Древковое" location="'Оружейные группы'!F2" ref="G21"/>
    <hyperlink display="Грубое" location="'Оружейные группы'!H2" ref="G22"/>
    <hyperlink display="Молоты" location="'Оружейные группы'!D2" ref="G23"/>
    <hyperlink display="Древковое" location="'Оружейные группы'!F2" ref="G24"/>
    <hyperlink display="Мечи" location="'Оружейные группы'!B2" ref="G25"/>
    <hyperlink display="Верховой бой" location="'Оружейные группы'!A2" ref="G26"/>
    <hyperlink display="Мечи" location="'Оружейные группы'!B2" ref="G27"/>
    <hyperlink display="Разбойничье" location="'Оружейные группы'!E2" ref="G28"/>
    <hyperlink display="Мечи" location="'Оружейные группы'!B2" ref="G29"/>
    <hyperlink display="Молоты" location="'Оружейные группы'!D2" ref="G30"/>
    <hyperlink display="Грубое" location="'Оружейные группы'!H2" ref="G31"/>
    <hyperlink display="Древковое" location="'Оружейные группы'!F2" ref="G32"/>
    <hyperlink display="Мечи" location="'Оружейные группы'!B2" ref="G33"/>
    <hyperlink display="Топоры" location="'Оружейные группы'!C2" ref="G34"/>
    <hyperlink display="Мечи" location="'Оружейные группы'!B2" ref="G35"/>
    <hyperlink display="Древковое" location="'Оружейные группы'!F2" ref="G36"/>
    <hyperlink display="Цепное" location="'Оружейные группы'!G2" ref="G37"/>
    <hyperlink display="Особое" location="'Оружейные группы'!K2" ref="G38"/>
    <hyperlink display="Мечи" location="'Оружейные группы'!B2" ref="G39"/>
    <hyperlink display="Мечи" location="'Оружейные группы'!B2" ref="G40"/>
    <hyperlink display="Мечи" location="'Оружейные группы'!B2" ref="G41"/>
    <hyperlink display="Мечи" location="'Оружейные группы'!B2" ref="G42"/>
    <hyperlink display="Особое" location="'Оружейные группы'!K2" ref="G43"/>
    <hyperlink display="Топоры" location="'Оружейные группы'!C2" ref="G44"/>
    <hyperlink display="Топоры" location="'Оружейные группы'!C2" ref="G45"/>
    <hyperlink display="Молоты" location="'Оружейные группы'!D2" ref="G46"/>
    <hyperlink display="Молоты" location="'Оружейные группы'!D2" ref="G47"/>
    <hyperlink display="Цепное" location="'Оружейные группы'!G2" ref="G48"/>
    <hyperlink display="Цепное" location="'Оружейные группы'!G2" ref="G49"/>
    <hyperlink display="Цепное" location="'Оружейные группы'!G2" ref="G50"/>
    <hyperlink display="Мечи" location="'Оружейные группы'!B2" ref="G51"/>
    <hyperlink display="Особое" location="'Оружейные группы'!K2" ref="G52"/>
    <hyperlink display="Мечи" location="'Оружейные группы'!B2" ref="G53"/>
    <hyperlink display="Топоры" location="'Оружейные группы'!C2" ref="G54"/>
    <hyperlink display="Арбалеты" location="'Оружейные группы'!J2" ref="G57"/>
    <hyperlink display="Арбалеты" location="'Оружейные группы'!J2" ref="G58"/>
    <hyperlink display="Луки" location="'Оружейные группы'!I2" ref="G59"/>
    <hyperlink display="Разбойничье" location="'Оружейные группы'!E2" ref="G60"/>
    <hyperlink display="Особое" location="'Оружейные группы'!K2" ref="G61"/>
    <hyperlink display="Луки" location="'Оружейные группы'!I2" ref="G62"/>
    <hyperlink display="Луки" location="'Оружейные группы'!I2" ref="G63"/>
    <hyperlink display="Арбалеты" location="'Оружейные группы'!J2" ref="G64"/>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5.13"/>
    <col customWidth="1" min="2" max="2" width="18.38"/>
    <col customWidth="1" min="3" max="3" width="7.5"/>
    <col customWidth="1" min="4" max="4" width="14.38"/>
    <col customWidth="1" min="5" max="5" width="10.13"/>
    <col customWidth="1" min="6" max="6" width="8.38"/>
    <col customWidth="1" min="7" max="7" width="8.25"/>
    <col customWidth="1" min="8" max="8" width="12.5"/>
    <col customWidth="1" min="9" max="9" width="12.25"/>
    <col customWidth="1" min="10" max="10" width="11.38"/>
    <col customWidth="1" min="11" max="11" width="6.88"/>
    <col customWidth="1" min="12" max="12" width="12.88"/>
    <col customWidth="1" min="13" max="13" width="15.13"/>
    <col customWidth="1" min="14" max="14" width="19.63"/>
    <col customWidth="1" min="15" max="15" width="22.0"/>
    <col customWidth="1" min="16" max="16" width="13.13"/>
    <col customWidth="1" min="17" max="18" width="12.13"/>
  </cols>
  <sheetData>
    <row r="1">
      <c r="A1" s="193" t="s">
        <v>167</v>
      </c>
      <c r="B1" s="194" t="s">
        <v>298</v>
      </c>
      <c r="C1" s="193" t="s">
        <v>168</v>
      </c>
      <c r="D1" s="193" t="s">
        <v>169</v>
      </c>
      <c r="E1" s="193" t="s">
        <v>299</v>
      </c>
      <c r="F1" s="193" t="s">
        <v>171</v>
      </c>
      <c r="G1" s="193" t="s">
        <v>172</v>
      </c>
      <c r="H1" s="193" t="s">
        <v>173</v>
      </c>
      <c r="I1" s="195" t="s">
        <v>174</v>
      </c>
      <c r="J1" s="34"/>
      <c r="K1" s="34"/>
      <c r="L1" s="34"/>
      <c r="M1" s="34"/>
      <c r="N1" s="34"/>
      <c r="O1" s="34"/>
      <c r="P1" s="34"/>
      <c r="Q1" s="34"/>
      <c r="R1" s="34"/>
      <c r="S1" s="34"/>
      <c r="T1" s="34"/>
      <c r="U1" s="34"/>
      <c r="V1" s="14"/>
      <c r="W1" s="196"/>
      <c r="X1" s="196"/>
      <c r="Y1" s="196"/>
      <c r="Z1" s="196"/>
      <c r="AA1" s="196"/>
      <c r="AB1" s="196"/>
      <c r="AC1" s="196"/>
      <c r="AD1" s="196"/>
      <c r="AE1" s="196"/>
      <c r="AF1" s="196"/>
      <c r="AG1" s="196"/>
      <c r="AH1" s="196"/>
    </row>
    <row r="2">
      <c r="A2" s="197"/>
      <c r="B2" s="197"/>
      <c r="C2" s="197"/>
      <c r="D2" s="197"/>
      <c r="E2" s="197"/>
      <c r="F2" s="197"/>
      <c r="G2" s="197"/>
      <c r="H2" s="197"/>
      <c r="I2" s="198" t="s">
        <v>300</v>
      </c>
      <c r="J2" s="198" t="s">
        <v>301</v>
      </c>
      <c r="K2" s="198" t="s">
        <v>302</v>
      </c>
      <c r="L2" s="198" t="s">
        <v>10</v>
      </c>
      <c r="M2" s="198" t="s">
        <v>303</v>
      </c>
      <c r="N2" s="198" t="s">
        <v>304</v>
      </c>
      <c r="O2" s="198" t="s">
        <v>305</v>
      </c>
      <c r="P2" s="198" t="s">
        <v>185</v>
      </c>
      <c r="Q2" s="198" t="s">
        <v>306</v>
      </c>
      <c r="R2" s="198" t="s">
        <v>307</v>
      </c>
      <c r="S2" s="199" t="s">
        <v>186</v>
      </c>
      <c r="T2" s="200"/>
      <c r="U2" s="200"/>
      <c r="V2" s="201"/>
      <c r="W2" s="196"/>
      <c r="X2" s="196"/>
      <c r="Y2" s="196"/>
      <c r="Z2" s="196"/>
      <c r="AA2" s="196"/>
      <c r="AB2" s="196"/>
      <c r="AC2" s="196"/>
      <c r="AD2" s="196"/>
      <c r="AE2" s="196"/>
      <c r="AF2" s="196"/>
      <c r="AG2" s="196"/>
      <c r="AH2" s="196"/>
    </row>
    <row r="3">
      <c r="A3" s="202" t="s">
        <v>308</v>
      </c>
      <c r="B3" s="203"/>
      <c r="C3" s="203"/>
      <c r="D3" s="203"/>
      <c r="E3" s="203"/>
      <c r="F3" s="203"/>
      <c r="G3" s="203"/>
      <c r="H3" s="203"/>
      <c r="I3" s="204"/>
      <c r="J3" s="203"/>
      <c r="K3" s="203"/>
      <c r="L3" s="203"/>
      <c r="M3" s="203"/>
      <c r="N3" s="203"/>
      <c r="O3" s="203"/>
      <c r="P3" s="203"/>
      <c r="Q3" s="203"/>
      <c r="R3" s="203"/>
      <c r="S3" s="203"/>
      <c r="T3" s="203"/>
      <c r="U3" s="203"/>
      <c r="V3" s="205"/>
      <c r="W3" s="196"/>
      <c r="X3" s="196"/>
      <c r="Y3" s="196"/>
      <c r="Z3" s="196"/>
      <c r="AA3" s="196"/>
      <c r="AB3" s="196"/>
      <c r="AC3" s="196"/>
      <c r="AD3" s="196"/>
      <c r="AE3" s="196"/>
      <c r="AF3" s="196"/>
      <c r="AG3" s="196"/>
      <c r="AH3" s="196"/>
    </row>
    <row r="4">
      <c r="A4" s="206" t="s">
        <v>309</v>
      </c>
      <c r="B4" s="207"/>
      <c r="C4" s="207"/>
      <c r="D4" s="207"/>
      <c r="E4" s="207"/>
      <c r="F4" s="207"/>
      <c r="G4" s="207"/>
      <c r="H4" s="207"/>
      <c r="I4" s="208"/>
      <c r="J4" s="207"/>
      <c r="K4" s="207"/>
      <c r="L4" s="207"/>
      <c r="M4" s="207"/>
      <c r="N4" s="207"/>
      <c r="O4" s="207"/>
      <c r="P4" s="207"/>
      <c r="Q4" s="207"/>
      <c r="R4" s="207"/>
      <c r="S4" s="207"/>
      <c r="T4" s="207"/>
      <c r="U4" s="207"/>
      <c r="V4" s="209"/>
      <c r="W4" s="196"/>
      <c r="X4" s="196"/>
      <c r="Y4" s="196"/>
      <c r="Z4" s="196"/>
      <c r="AA4" s="196"/>
      <c r="AB4" s="196"/>
      <c r="AC4" s="196"/>
      <c r="AD4" s="196"/>
      <c r="AE4" s="196"/>
      <c r="AF4" s="196"/>
      <c r="AG4" s="196"/>
      <c r="AH4" s="196"/>
    </row>
    <row r="5">
      <c r="A5" s="210" t="s">
        <v>310</v>
      </c>
      <c r="B5" s="211">
        <v>270.0</v>
      </c>
      <c r="C5" s="212" t="s">
        <v>210</v>
      </c>
      <c r="D5" s="212" t="s">
        <v>201</v>
      </c>
      <c r="E5" s="213" t="s">
        <v>295</v>
      </c>
      <c r="F5" s="212">
        <v>1.0</v>
      </c>
      <c r="G5" s="212" t="s">
        <v>207</v>
      </c>
      <c r="H5" s="214" t="s">
        <v>311</v>
      </c>
      <c r="I5" s="214" t="s">
        <v>312</v>
      </c>
      <c r="J5" s="215" t="s">
        <v>195</v>
      </c>
      <c r="K5" s="212">
        <v>3.0</v>
      </c>
      <c r="L5" s="212" t="s">
        <v>313</v>
      </c>
      <c r="M5" s="212"/>
      <c r="N5" s="212" t="s">
        <v>314</v>
      </c>
      <c r="O5" s="212" t="s">
        <v>315</v>
      </c>
      <c r="P5" s="214"/>
      <c r="Q5" s="212"/>
      <c r="R5" s="211"/>
      <c r="S5" s="216" t="s">
        <v>108</v>
      </c>
      <c r="T5" s="217"/>
      <c r="U5" s="217"/>
      <c r="V5" s="218"/>
      <c r="W5" s="196"/>
      <c r="X5" s="196"/>
      <c r="Y5" s="196"/>
      <c r="Z5" s="196"/>
      <c r="AA5" s="196"/>
      <c r="AB5" s="196"/>
      <c r="AC5" s="196"/>
      <c r="AD5" s="196"/>
      <c r="AE5" s="196"/>
      <c r="AF5" s="196"/>
      <c r="AG5" s="196"/>
      <c r="AH5" s="196"/>
    </row>
    <row r="6">
      <c r="A6" s="219" t="s">
        <v>129</v>
      </c>
      <c r="B6" s="141">
        <v>275.0</v>
      </c>
      <c r="C6" s="117" t="s">
        <v>197</v>
      </c>
      <c r="D6" s="117" t="s">
        <v>201</v>
      </c>
      <c r="E6" s="220" t="s">
        <v>295</v>
      </c>
      <c r="F6" s="117">
        <v>2.0</v>
      </c>
      <c r="G6" s="117" t="s">
        <v>199</v>
      </c>
      <c r="H6" s="133" t="s">
        <v>311</v>
      </c>
      <c r="I6" s="133" t="s">
        <v>316</v>
      </c>
      <c r="J6" s="130" t="s">
        <v>195</v>
      </c>
      <c r="K6" s="117">
        <v>3.0</v>
      </c>
      <c r="L6" s="117" t="s">
        <v>313</v>
      </c>
      <c r="M6" s="117"/>
      <c r="N6" s="117" t="s">
        <v>314</v>
      </c>
      <c r="O6" s="117" t="s">
        <v>317</v>
      </c>
      <c r="P6" s="117"/>
      <c r="Q6" s="117"/>
      <c r="R6" s="141" t="s">
        <v>240</v>
      </c>
      <c r="S6" s="221" t="s">
        <v>108</v>
      </c>
      <c r="T6" s="135"/>
      <c r="U6" s="135"/>
      <c r="V6" s="136"/>
      <c r="W6" s="196"/>
      <c r="X6" s="196"/>
      <c r="Y6" s="196"/>
      <c r="Z6" s="196"/>
      <c r="AA6" s="196"/>
      <c r="AB6" s="196"/>
      <c r="AC6" s="196"/>
      <c r="AD6" s="196"/>
      <c r="AE6" s="196"/>
      <c r="AF6" s="196"/>
      <c r="AG6" s="196"/>
      <c r="AH6" s="196"/>
    </row>
    <row r="7">
      <c r="A7" s="222" t="s">
        <v>127</v>
      </c>
      <c r="B7" s="140">
        <v>280.0</v>
      </c>
      <c r="C7" s="123" t="s">
        <v>234</v>
      </c>
      <c r="D7" s="123" t="s">
        <v>189</v>
      </c>
      <c r="E7" s="179" t="s">
        <v>293</v>
      </c>
      <c r="F7" s="123">
        <v>2.0</v>
      </c>
      <c r="G7" s="123" t="s">
        <v>191</v>
      </c>
      <c r="H7" s="126" t="s">
        <v>123</v>
      </c>
      <c r="I7" s="126" t="s">
        <v>318</v>
      </c>
      <c r="J7" s="223" t="s">
        <v>195</v>
      </c>
      <c r="K7" s="223">
        <v>2.0</v>
      </c>
      <c r="L7" s="123" t="s">
        <v>319</v>
      </c>
      <c r="M7" s="123" t="s">
        <v>320</v>
      </c>
      <c r="N7" s="123" t="s">
        <v>314</v>
      </c>
      <c r="O7" s="123" t="s">
        <v>315</v>
      </c>
      <c r="P7" s="123" t="s">
        <v>26</v>
      </c>
      <c r="Q7" s="123"/>
      <c r="R7" s="140"/>
      <c r="S7" s="224" t="s">
        <v>39</v>
      </c>
      <c r="T7" s="128"/>
      <c r="U7" s="128"/>
      <c r="V7" s="129"/>
      <c r="W7" s="196"/>
      <c r="X7" s="196"/>
      <c r="Y7" s="196"/>
      <c r="Z7" s="196"/>
      <c r="AA7" s="196"/>
      <c r="AB7" s="196"/>
      <c r="AC7" s="196"/>
      <c r="AD7" s="196"/>
      <c r="AE7" s="196"/>
      <c r="AF7" s="196"/>
      <c r="AG7" s="196"/>
      <c r="AH7" s="196"/>
    </row>
    <row r="8">
      <c r="A8" s="225" t="s">
        <v>321</v>
      </c>
      <c r="B8" s="226">
        <v>295.0</v>
      </c>
      <c r="C8" s="143" t="s">
        <v>210</v>
      </c>
      <c r="D8" s="143" t="s">
        <v>201</v>
      </c>
      <c r="E8" s="227" t="s">
        <v>322</v>
      </c>
      <c r="F8" s="143">
        <v>2.0</v>
      </c>
      <c r="G8" s="143" t="s">
        <v>191</v>
      </c>
      <c r="H8" s="144" t="s">
        <v>311</v>
      </c>
      <c r="I8" s="144" t="s">
        <v>323</v>
      </c>
      <c r="J8" s="142" t="s">
        <v>195</v>
      </c>
      <c r="K8" s="143">
        <v>1.0</v>
      </c>
      <c r="L8" s="143" t="s">
        <v>313</v>
      </c>
      <c r="M8" s="143"/>
      <c r="N8" s="143" t="s">
        <v>314</v>
      </c>
      <c r="O8" s="143" t="s">
        <v>324</v>
      </c>
      <c r="P8" s="143"/>
      <c r="Q8" s="143"/>
      <c r="R8" s="226"/>
      <c r="S8" s="228" t="s">
        <v>26</v>
      </c>
      <c r="T8" s="146"/>
      <c r="U8" s="146"/>
      <c r="V8" s="147"/>
      <c r="W8" s="196"/>
      <c r="X8" s="196"/>
      <c r="Y8" s="196"/>
      <c r="Z8" s="196"/>
      <c r="AA8" s="196"/>
      <c r="AB8" s="196"/>
      <c r="AC8" s="196"/>
      <c r="AD8" s="196"/>
      <c r="AE8" s="196"/>
      <c r="AF8" s="196"/>
      <c r="AG8" s="196"/>
      <c r="AH8" s="196"/>
    </row>
    <row r="9">
      <c r="A9" s="229" t="s">
        <v>325</v>
      </c>
      <c r="B9" s="230"/>
      <c r="C9" s="109"/>
      <c r="D9" s="109"/>
      <c r="E9" s="109"/>
      <c r="F9" s="109"/>
      <c r="G9" s="109"/>
      <c r="H9" s="109"/>
      <c r="I9" s="109"/>
      <c r="J9" s="109"/>
      <c r="K9" s="109"/>
      <c r="L9" s="109"/>
      <c r="M9" s="109"/>
      <c r="N9" s="109"/>
      <c r="O9" s="109"/>
      <c r="P9" s="109"/>
      <c r="Q9" s="109"/>
      <c r="R9" s="109"/>
      <c r="S9" s="231"/>
      <c r="T9" s="231"/>
      <c r="U9" s="231"/>
      <c r="V9" s="110"/>
      <c r="W9" s="232"/>
      <c r="X9" s="196"/>
      <c r="Y9" s="232"/>
      <c r="Z9" s="232"/>
      <c r="AA9" s="232"/>
      <c r="AB9" s="232"/>
      <c r="AC9" s="232"/>
      <c r="AD9" s="232"/>
      <c r="AE9" s="232"/>
      <c r="AF9" s="232"/>
      <c r="AG9" s="232"/>
      <c r="AH9" s="233"/>
    </row>
    <row r="10">
      <c r="A10" s="234" t="s">
        <v>126</v>
      </c>
      <c r="B10" s="171">
        <v>290.0</v>
      </c>
      <c r="C10" s="117" t="s">
        <v>326</v>
      </c>
      <c r="D10" s="117" t="s">
        <v>201</v>
      </c>
      <c r="E10" s="220" t="s">
        <v>327</v>
      </c>
      <c r="F10" s="117">
        <v>2.0</v>
      </c>
      <c r="G10" s="117" t="s">
        <v>211</v>
      </c>
      <c r="H10" s="117" t="s">
        <v>122</v>
      </c>
      <c r="I10" s="117" t="s">
        <v>328</v>
      </c>
      <c r="J10" s="235" t="s">
        <v>212</v>
      </c>
      <c r="K10" s="117">
        <v>2.0</v>
      </c>
      <c r="L10" s="117" t="s">
        <v>313</v>
      </c>
      <c r="M10" s="114"/>
      <c r="N10" s="114" t="s">
        <v>314</v>
      </c>
      <c r="O10" s="117" t="s">
        <v>315</v>
      </c>
      <c r="P10" s="117"/>
      <c r="Q10" s="117" t="s">
        <v>329</v>
      </c>
      <c r="R10" s="141"/>
      <c r="S10" s="236" t="s">
        <v>330</v>
      </c>
      <c r="T10" s="135"/>
      <c r="U10" s="135"/>
      <c r="V10" s="136"/>
      <c r="W10" s="196"/>
      <c r="X10" s="196"/>
      <c r="Y10" s="196"/>
      <c r="Z10" s="196"/>
      <c r="AA10" s="196"/>
      <c r="AB10" s="196"/>
      <c r="AC10" s="196"/>
      <c r="AD10" s="196"/>
      <c r="AE10" s="196"/>
      <c r="AF10" s="196"/>
      <c r="AG10" s="196"/>
      <c r="AH10" s="196"/>
    </row>
    <row r="11">
      <c r="A11" s="222" t="s">
        <v>130</v>
      </c>
      <c r="B11" s="140">
        <v>270.0</v>
      </c>
      <c r="C11" s="123" t="s">
        <v>331</v>
      </c>
      <c r="D11" s="123" t="s">
        <v>201</v>
      </c>
      <c r="E11" s="179" t="s">
        <v>332</v>
      </c>
      <c r="F11" s="123">
        <v>2.0</v>
      </c>
      <c r="G11" s="123" t="s">
        <v>333</v>
      </c>
      <c r="H11" s="123" t="s">
        <v>122</v>
      </c>
      <c r="I11" s="123" t="s">
        <v>312</v>
      </c>
      <c r="J11" s="237" t="s">
        <v>212</v>
      </c>
      <c r="K11" s="123">
        <v>4.0</v>
      </c>
      <c r="L11" s="123" t="s">
        <v>313</v>
      </c>
      <c r="M11" s="123"/>
      <c r="N11" s="123" t="s">
        <v>314</v>
      </c>
      <c r="O11" s="123" t="s">
        <v>315</v>
      </c>
      <c r="P11" s="123"/>
      <c r="Q11" s="123" t="s">
        <v>329</v>
      </c>
      <c r="R11" s="123"/>
      <c r="S11" s="238" t="s">
        <v>334</v>
      </c>
      <c r="T11" s="128"/>
      <c r="U11" s="128"/>
      <c r="V11" s="129"/>
      <c r="W11" s="196"/>
      <c r="X11" s="196"/>
      <c r="Y11" s="196"/>
      <c r="Z11" s="196"/>
      <c r="AA11" s="196"/>
      <c r="AB11" s="196"/>
      <c r="AC11" s="196"/>
      <c r="AD11" s="196"/>
      <c r="AE11" s="196"/>
      <c r="AF11" s="196"/>
      <c r="AG11" s="196"/>
      <c r="AH11" s="196"/>
    </row>
    <row r="12">
      <c r="A12" s="219" t="s">
        <v>131</v>
      </c>
      <c r="B12" s="141">
        <v>295.0</v>
      </c>
      <c r="C12" s="117" t="s">
        <v>240</v>
      </c>
      <c r="D12" s="117" t="s">
        <v>189</v>
      </c>
      <c r="E12" s="220" t="s">
        <v>335</v>
      </c>
      <c r="F12" s="117">
        <v>3.0</v>
      </c>
      <c r="G12" s="117" t="s">
        <v>258</v>
      </c>
      <c r="H12" s="117" t="s">
        <v>123</v>
      </c>
      <c r="I12" s="117" t="s">
        <v>316</v>
      </c>
      <c r="J12" s="239" t="s">
        <v>212</v>
      </c>
      <c r="K12" s="117">
        <v>3.0</v>
      </c>
      <c r="L12" s="117" t="s">
        <v>336</v>
      </c>
      <c r="M12" s="117" t="s">
        <v>337</v>
      </c>
      <c r="N12" s="117" t="s">
        <v>314</v>
      </c>
      <c r="O12" s="117" t="s">
        <v>338</v>
      </c>
      <c r="P12" s="117"/>
      <c r="Q12" s="117"/>
      <c r="R12" s="141"/>
      <c r="S12" s="236" t="s">
        <v>26</v>
      </c>
      <c r="T12" s="135"/>
      <c r="U12" s="135"/>
      <c r="V12" s="136"/>
      <c r="W12" s="196"/>
      <c r="X12" s="196"/>
      <c r="Y12" s="196"/>
      <c r="Z12" s="196"/>
      <c r="AA12" s="196"/>
      <c r="AB12" s="196"/>
      <c r="AC12" s="196"/>
      <c r="AD12" s="196"/>
      <c r="AE12" s="196"/>
      <c r="AF12" s="196"/>
      <c r="AG12" s="196"/>
      <c r="AH12" s="196"/>
    </row>
    <row r="13">
      <c r="A13" s="222" t="s">
        <v>134</v>
      </c>
      <c r="B13" s="240">
        <v>290.0</v>
      </c>
      <c r="C13" s="152" t="s">
        <v>240</v>
      </c>
      <c r="D13" s="152" t="s">
        <v>201</v>
      </c>
      <c r="E13" s="241" t="s">
        <v>339</v>
      </c>
      <c r="F13" s="152">
        <v>2.0</v>
      </c>
      <c r="G13" s="152" t="s">
        <v>225</v>
      </c>
      <c r="H13" s="152" t="s">
        <v>122</v>
      </c>
      <c r="I13" s="152" t="s">
        <v>323</v>
      </c>
      <c r="J13" s="242" t="s">
        <v>212</v>
      </c>
      <c r="K13" s="152">
        <v>2.0</v>
      </c>
      <c r="L13" s="152" t="s">
        <v>313</v>
      </c>
      <c r="M13" s="152"/>
      <c r="N13" s="152" t="s">
        <v>314</v>
      </c>
      <c r="O13" s="152" t="s">
        <v>338</v>
      </c>
      <c r="P13" s="152"/>
      <c r="Q13" s="152"/>
      <c r="R13" s="152"/>
      <c r="S13" s="243" t="s">
        <v>26</v>
      </c>
      <c r="T13" s="156"/>
      <c r="U13" s="156"/>
      <c r="V13" s="157"/>
      <c r="W13" s="196"/>
      <c r="X13" s="196"/>
      <c r="Y13" s="196"/>
      <c r="Z13" s="196"/>
      <c r="AA13" s="196"/>
      <c r="AB13" s="196"/>
      <c r="AC13" s="196"/>
      <c r="AD13" s="196"/>
      <c r="AE13" s="196"/>
      <c r="AF13" s="196"/>
      <c r="AG13" s="196"/>
      <c r="AH13" s="196"/>
    </row>
    <row r="14">
      <c r="A14" s="244" t="s">
        <v>340</v>
      </c>
      <c r="B14" s="245"/>
      <c r="C14" s="245"/>
      <c r="D14" s="246"/>
      <c r="E14" s="245"/>
      <c r="F14" s="246"/>
      <c r="G14" s="246"/>
      <c r="H14" s="246"/>
      <c r="I14" s="247"/>
      <c r="J14" s="246"/>
      <c r="K14" s="246"/>
      <c r="L14" s="246"/>
      <c r="M14" s="246"/>
      <c r="N14" s="246"/>
      <c r="O14" s="248"/>
      <c r="P14" s="245"/>
      <c r="Q14" s="245"/>
      <c r="R14" s="245"/>
      <c r="S14" s="249"/>
      <c r="T14" s="249"/>
      <c r="U14" s="249"/>
      <c r="V14" s="250"/>
      <c r="W14" s="196"/>
      <c r="X14" s="196"/>
      <c r="Y14" s="196"/>
      <c r="Z14" s="196"/>
      <c r="AA14" s="196"/>
      <c r="AB14" s="196"/>
      <c r="AC14" s="196"/>
      <c r="AD14" s="196"/>
      <c r="AE14" s="196"/>
      <c r="AF14" s="196"/>
      <c r="AG14" s="196"/>
      <c r="AH14" s="196"/>
    </row>
    <row r="15">
      <c r="A15" s="251" t="s">
        <v>309</v>
      </c>
      <c r="B15" s="252"/>
      <c r="C15" s="252"/>
      <c r="D15" s="253"/>
      <c r="E15" s="253"/>
      <c r="F15" s="253"/>
      <c r="G15" s="253"/>
      <c r="H15" s="253"/>
      <c r="I15" s="253"/>
      <c r="J15" s="253"/>
      <c r="K15" s="254"/>
      <c r="L15" s="254"/>
      <c r="M15" s="254"/>
      <c r="N15" s="253"/>
      <c r="O15" s="255"/>
      <c r="P15" s="252"/>
      <c r="Q15" s="252"/>
      <c r="R15" s="252"/>
      <c r="S15" s="256"/>
      <c r="T15" s="256"/>
      <c r="U15" s="256"/>
      <c r="V15" s="257"/>
      <c r="W15" s="196"/>
      <c r="X15" s="196"/>
      <c r="Y15" s="196"/>
      <c r="Z15" s="196"/>
      <c r="AA15" s="196"/>
      <c r="AB15" s="196"/>
      <c r="AC15" s="196"/>
      <c r="AD15" s="196"/>
      <c r="AE15" s="196"/>
      <c r="AF15" s="196"/>
      <c r="AG15" s="196"/>
      <c r="AH15" s="196"/>
    </row>
    <row r="16">
      <c r="A16" s="258" t="s">
        <v>137</v>
      </c>
      <c r="B16" s="171">
        <v>305.0</v>
      </c>
      <c r="C16" s="114" t="s">
        <v>210</v>
      </c>
      <c r="D16" s="114" t="s">
        <v>201</v>
      </c>
      <c r="E16" s="259" t="s">
        <v>341</v>
      </c>
      <c r="F16" s="114">
        <v>3.0</v>
      </c>
      <c r="G16" s="259" t="s">
        <v>199</v>
      </c>
      <c r="H16" s="114" t="s">
        <v>311</v>
      </c>
      <c r="I16" s="114" t="s">
        <v>342</v>
      </c>
      <c r="J16" s="114" t="s">
        <v>195</v>
      </c>
      <c r="K16" s="114" t="s">
        <v>26</v>
      </c>
      <c r="L16" s="114" t="s">
        <v>121</v>
      </c>
      <c r="M16" s="114" t="s">
        <v>26</v>
      </c>
      <c r="N16" s="114" t="s">
        <v>314</v>
      </c>
      <c r="O16" s="114" t="s">
        <v>343</v>
      </c>
      <c r="P16" s="114" t="s">
        <v>26</v>
      </c>
      <c r="Q16" s="114" t="s">
        <v>26</v>
      </c>
      <c r="R16" s="114" t="s">
        <v>26</v>
      </c>
      <c r="S16" s="119" t="s">
        <v>26</v>
      </c>
      <c r="T16" s="120"/>
      <c r="U16" s="120"/>
      <c r="V16" s="121"/>
      <c r="W16" s="196"/>
      <c r="X16" s="196"/>
      <c r="Y16" s="196"/>
      <c r="Z16" s="196"/>
      <c r="AA16" s="196"/>
      <c r="AB16" s="196"/>
      <c r="AC16" s="196"/>
      <c r="AD16" s="196"/>
      <c r="AE16" s="196"/>
      <c r="AF16" s="196"/>
      <c r="AG16" s="196"/>
      <c r="AH16" s="196"/>
    </row>
    <row r="17">
      <c r="A17" s="222" t="s">
        <v>141</v>
      </c>
      <c r="B17" s="140">
        <v>315.0</v>
      </c>
      <c r="C17" s="123" t="s">
        <v>234</v>
      </c>
      <c r="D17" s="123" t="s">
        <v>201</v>
      </c>
      <c r="E17" s="179" t="s">
        <v>344</v>
      </c>
      <c r="F17" s="123">
        <v>3.0</v>
      </c>
      <c r="G17" s="179" t="s">
        <v>207</v>
      </c>
      <c r="H17" s="123" t="s">
        <v>311</v>
      </c>
      <c r="I17" s="123" t="s">
        <v>345</v>
      </c>
      <c r="J17" s="123" t="s">
        <v>195</v>
      </c>
      <c r="K17" s="123" t="s">
        <v>26</v>
      </c>
      <c r="L17" s="137" t="s">
        <v>121</v>
      </c>
      <c r="M17" s="123" t="s">
        <v>26</v>
      </c>
      <c r="N17" s="123" t="s">
        <v>314</v>
      </c>
      <c r="O17" s="123" t="s">
        <v>346</v>
      </c>
      <c r="P17" s="123" t="s">
        <v>26</v>
      </c>
      <c r="Q17" s="123" t="s">
        <v>26</v>
      </c>
      <c r="R17" s="123" t="s">
        <v>26</v>
      </c>
      <c r="S17" s="127" t="s">
        <v>26</v>
      </c>
      <c r="T17" s="128"/>
      <c r="U17" s="128"/>
      <c r="V17" s="129"/>
      <c r="W17" s="196"/>
      <c r="X17" s="196"/>
      <c r="Y17" s="196"/>
      <c r="Z17" s="196"/>
      <c r="AA17" s="196"/>
      <c r="AB17" s="196"/>
      <c r="AC17" s="196"/>
      <c r="AD17" s="196"/>
      <c r="AE17" s="196"/>
      <c r="AF17" s="196"/>
      <c r="AG17" s="196"/>
      <c r="AH17" s="196"/>
    </row>
    <row r="18">
      <c r="A18" s="219" t="s">
        <v>135</v>
      </c>
      <c r="B18" s="141">
        <v>300.0</v>
      </c>
      <c r="C18" s="117" t="s">
        <v>240</v>
      </c>
      <c r="D18" s="117" t="s">
        <v>189</v>
      </c>
      <c r="E18" s="220" t="s">
        <v>347</v>
      </c>
      <c r="F18" s="117">
        <v>3.0</v>
      </c>
      <c r="G18" s="220" t="s">
        <v>191</v>
      </c>
      <c r="H18" s="117" t="s">
        <v>123</v>
      </c>
      <c r="I18" s="117" t="s">
        <v>348</v>
      </c>
      <c r="J18" s="117" t="s">
        <v>195</v>
      </c>
      <c r="K18" s="117" t="s">
        <v>26</v>
      </c>
      <c r="L18" s="117" t="s">
        <v>319</v>
      </c>
      <c r="M18" s="117" t="s">
        <v>337</v>
      </c>
      <c r="N18" s="117" t="s">
        <v>314</v>
      </c>
      <c r="O18" s="117" t="s">
        <v>349</v>
      </c>
      <c r="P18" s="117" t="s">
        <v>26</v>
      </c>
      <c r="Q18" s="117" t="s">
        <v>26</v>
      </c>
      <c r="R18" s="117" t="s">
        <v>26</v>
      </c>
      <c r="S18" s="260" t="s">
        <v>26</v>
      </c>
      <c r="T18" s="135"/>
      <c r="U18" s="135"/>
      <c r="V18" s="136"/>
      <c r="W18" s="196"/>
      <c r="X18" s="196"/>
      <c r="Y18" s="196"/>
      <c r="Z18" s="196"/>
      <c r="AA18" s="196"/>
      <c r="AB18" s="196"/>
      <c r="AC18" s="196"/>
      <c r="AD18" s="196"/>
      <c r="AE18" s="196"/>
      <c r="AF18" s="196"/>
      <c r="AG18" s="196"/>
      <c r="AH18" s="196"/>
    </row>
    <row r="19">
      <c r="A19" s="261" t="s">
        <v>145</v>
      </c>
      <c r="B19" s="163">
        <v>310.0</v>
      </c>
      <c r="C19" s="164" t="s">
        <v>350</v>
      </c>
      <c r="D19" s="123" t="s">
        <v>201</v>
      </c>
      <c r="E19" s="262" t="s">
        <v>351</v>
      </c>
      <c r="F19" s="164">
        <v>3.0</v>
      </c>
      <c r="G19" s="262" t="s">
        <v>207</v>
      </c>
      <c r="H19" s="164" t="s">
        <v>311</v>
      </c>
      <c r="I19" s="164" t="s">
        <v>342</v>
      </c>
      <c r="J19" s="123" t="s">
        <v>195</v>
      </c>
      <c r="K19" s="123" t="s">
        <v>26</v>
      </c>
      <c r="L19" s="123" t="s">
        <v>121</v>
      </c>
      <c r="M19" s="123" t="s">
        <v>26</v>
      </c>
      <c r="N19" s="123" t="s">
        <v>352</v>
      </c>
      <c r="O19" s="123" t="s">
        <v>353</v>
      </c>
      <c r="P19" s="164" t="s">
        <v>26</v>
      </c>
      <c r="Q19" s="164" t="s">
        <v>26</v>
      </c>
      <c r="R19" s="164" t="s">
        <v>26</v>
      </c>
      <c r="S19" s="167" t="s">
        <v>26</v>
      </c>
      <c r="T19" s="168"/>
      <c r="U19" s="168"/>
      <c r="V19" s="169"/>
      <c r="W19" s="196"/>
      <c r="X19" s="196"/>
      <c r="Y19" s="196"/>
      <c r="Z19" s="196"/>
      <c r="AA19" s="196"/>
      <c r="AB19" s="196"/>
      <c r="AC19" s="196"/>
      <c r="AD19" s="196"/>
      <c r="AE19" s="196"/>
      <c r="AF19" s="196"/>
      <c r="AG19" s="196"/>
      <c r="AH19" s="196"/>
    </row>
    <row r="20">
      <c r="A20" s="263" t="s">
        <v>148</v>
      </c>
      <c r="B20" s="141">
        <v>305.0</v>
      </c>
      <c r="C20" s="117" t="s">
        <v>210</v>
      </c>
      <c r="D20" s="117" t="s">
        <v>201</v>
      </c>
      <c r="E20" s="220" t="s">
        <v>354</v>
      </c>
      <c r="F20" s="117">
        <v>4.0</v>
      </c>
      <c r="G20" s="220" t="s">
        <v>207</v>
      </c>
      <c r="H20" s="117" t="s">
        <v>311</v>
      </c>
      <c r="I20" s="117" t="s">
        <v>355</v>
      </c>
      <c r="J20" s="117" t="s">
        <v>195</v>
      </c>
      <c r="K20" s="117" t="s">
        <v>26</v>
      </c>
      <c r="L20" s="117" t="s">
        <v>121</v>
      </c>
      <c r="M20" s="117" t="s">
        <v>26</v>
      </c>
      <c r="N20" s="117" t="s">
        <v>314</v>
      </c>
      <c r="O20" s="117" t="s">
        <v>343</v>
      </c>
      <c r="P20" s="117" t="s">
        <v>26</v>
      </c>
      <c r="Q20" s="117" t="s">
        <v>26</v>
      </c>
      <c r="R20" s="117" t="s">
        <v>240</v>
      </c>
      <c r="S20" s="260" t="s">
        <v>26</v>
      </c>
      <c r="T20" s="135"/>
      <c r="U20" s="135"/>
      <c r="V20" s="136"/>
      <c r="W20" s="196"/>
      <c r="X20" s="196"/>
      <c r="Y20" s="196"/>
      <c r="Z20" s="196"/>
      <c r="AA20" s="196"/>
      <c r="AB20" s="196"/>
      <c r="AC20" s="196"/>
      <c r="AD20" s="196"/>
      <c r="AE20" s="196"/>
      <c r="AF20" s="196"/>
      <c r="AG20" s="196"/>
      <c r="AH20" s="196"/>
    </row>
    <row r="21">
      <c r="A21" s="264" t="s">
        <v>128</v>
      </c>
      <c r="B21" s="265">
        <v>290.0</v>
      </c>
      <c r="C21" s="266" t="s">
        <v>49</v>
      </c>
      <c r="D21" s="267" t="s">
        <v>49</v>
      </c>
      <c r="E21" s="268" t="s">
        <v>341</v>
      </c>
      <c r="F21" s="267">
        <v>4.0</v>
      </c>
      <c r="G21" s="267" t="s">
        <v>211</v>
      </c>
      <c r="H21" s="267" t="s">
        <v>124</v>
      </c>
      <c r="I21" s="267" t="s">
        <v>356</v>
      </c>
      <c r="J21" s="267" t="s">
        <v>212</v>
      </c>
      <c r="K21" s="267" t="s">
        <v>26</v>
      </c>
      <c r="L21" s="267" t="s">
        <v>357</v>
      </c>
      <c r="M21" s="268"/>
      <c r="N21" s="152" t="s">
        <v>314</v>
      </c>
      <c r="O21" s="152" t="s">
        <v>358</v>
      </c>
      <c r="P21" s="152">
        <v>13.0</v>
      </c>
      <c r="Q21" s="241"/>
      <c r="R21" s="241"/>
      <c r="S21" s="243" t="s">
        <v>359</v>
      </c>
      <c r="T21" s="156"/>
      <c r="U21" s="156"/>
      <c r="V21" s="157"/>
      <c r="W21" s="196"/>
      <c r="X21" s="196"/>
      <c r="Y21" s="196"/>
      <c r="Z21" s="196"/>
      <c r="AA21" s="196"/>
      <c r="AB21" s="196"/>
      <c r="AC21" s="196"/>
      <c r="AD21" s="196"/>
      <c r="AE21" s="196"/>
      <c r="AF21" s="196"/>
      <c r="AG21" s="196"/>
      <c r="AH21" s="196"/>
    </row>
    <row r="22">
      <c r="A22" s="269" t="s">
        <v>325</v>
      </c>
      <c r="B22" s="270"/>
      <c r="C22" s="271"/>
      <c r="D22" s="271"/>
      <c r="E22" s="271"/>
      <c r="F22" s="271"/>
      <c r="G22" s="271"/>
      <c r="H22" s="271"/>
      <c r="I22" s="272"/>
      <c r="J22" s="271"/>
      <c r="K22" s="271"/>
      <c r="L22" s="272"/>
      <c r="M22" s="271"/>
      <c r="N22" s="273"/>
      <c r="O22" s="273"/>
      <c r="P22" s="273"/>
      <c r="Q22" s="273"/>
      <c r="R22" s="273"/>
      <c r="S22" s="271"/>
      <c r="T22" s="271"/>
      <c r="U22" s="271"/>
      <c r="V22" s="274"/>
      <c r="W22" s="196"/>
      <c r="X22" s="196"/>
      <c r="Y22" s="196"/>
      <c r="Z22" s="196"/>
      <c r="AA22" s="196"/>
      <c r="AB22" s="196"/>
      <c r="AC22" s="196"/>
      <c r="AD22" s="196"/>
      <c r="AE22" s="196"/>
      <c r="AF22" s="196"/>
      <c r="AG22" s="196"/>
      <c r="AH22" s="196"/>
    </row>
    <row r="23">
      <c r="A23" s="275" t="s">
        <v>138</v>
      </c>
      <c r="B23" s="163">
        <v>300.0</v>
      </c>
      <c r="C23" s="164" t="s">
        <v>326</v>
      </c>
      <c r="D23" s="164" t="s">
        <v>201</v>
      </c>
      <c r="E23" s="262" t="s">
        <v>360</v>
      </c>
      <c r="F23" s="164">
        <v>5.0</v>
      </c>
      <c r="G23" s="262" t="s">
        <v>211</v>
      </c>
      <c r="H23" s="164" t="s">
        <v>122</v>
      </c>
      <c r="I23" s="164" t="s">
        <v>361</v>
      </c>
      <c r="J23" s="164" t="s">
        <v>212</v>
      </c>
      <c r="K23" s="164" t="s">
        <v>26</v>
      </c>
      <c r="L23" s="164" t="s">
        <v>362</v>
      </c>
      <c r="M23" s="164" t="s">
        <v>26</v>
      </c>
      <c r="N23" s="164" t="s">
        <v>314</v>
      </c>
      <c r="O23" s="164" t="s">
        <v>343</v>
      </c>
      <c r="P23" s="164" t="s">
        <v>26</v>
      </c>
      <c r="Q23" s="164" t="s">
        <v>26</v>
      </c>
      <c r="R23" s="164" t="s">
        <v>26</v>
      </c>
      <c r="S23" s="167" t="s">
        <v>363</v>
      </c>
      <c r="T23" s="168"/>
      <c r="U23" s="168"/>
      <c r="V23" s="169"/>
      <c r="W23" s="196"/>
      <c r="X23" s="196"/>
      <c r="Y23" s="196"/>
      <c r="Z23" s="196"/>
      <c r="AA23" s="196"/>
      <c r="AB23" s="196"/>
      <c r="AC23" s="196"/>
      <c r="AD23" s="196"/>
      <c r="AE23" s="196"/>
      <c r="AF23" s="196"/>
      <c r="AG23" s="196"/>
      <c r="AH23" s="196"/>
    </row>
    <row r="24">
      <c r="A24" s="276" t="s">
        <v>142</v>
      </c>
      <c r="B24" s="177">
        <v>310.0</v>
      </c>
      <c r="C24" s="138" t="s">
        <v>240</v>
      </c>
      <c r="D24" s="117" t="s">
        <v>201</v>
      </c>
      <c r="E24" s="220" t="s">
        <v>364</v>
      </c>
      <c r="F24" s="117">
        <v>5.0</v>
      </c>
      <c r="G24" s="220" t="s">
        <v>236</v>
      </c>
      <c r="H24" s="117" t="s">
        <v>122</v>
      </c>
      <c r="I24" s="117" t="s">
        <v>355</v>
      </c>
      <c r="J24" s="117" t="s">
        <v>212</v>
      </c>
      <c r="K24" s="117" t="s">
        <v>26</v>
      </c>
      <c r="L24" s="117" t="s">
        <v>362</v>
      </c>
      <c r="M24" s="117" t="s">
        <v>26</v>
      </c>
      <c r="N24" s="117" t="s">
        <v>314</v>
      </c>
      <c r="O24" s="117" t="s">
        <v>346</v>
      </c>
      <c r="P24" s="117" t="s">
        <v>26</v>
      </c>
      <c r="Q24" s="117" t="s">
        <v>26</v>
      </c>
      <c r="R24" s="117" t="s">
        <v>26</v>
      </c>
      <c r="S24" s="260" t="s">
        <v>330</v>
      </c>
      <c r="T24" s="236"/>
      <c r="U24" s="236"/>
      <c r="V24" s="277"/>
      <c r="W24" s="196"/>
      <c r="X24" s="196"/>
      <c r="Y24" s="196"/>
      <c r="Z24" s="196"/>
      <c r="AA24" s="196"/>
      <c r="AB24" s="196"/>
      <c r="AC24" s="196"/>
      <c r="AD24" s="196"/>
      <c r="AE24" s="196"/>
      <c r="AF24" s="196"/>
      <c r="AG24" s="196"/>
      <c r="AH24" s="196"/>
    </row>
    <row r="25">
      <c r="A25" s="278" t="s">
        <v>139</v>
      </c>
      <c r="B25" s="140">
        <v>315.0</v>
      </c>
      <c r="C25" s="123" t="s">
        <v>326</v>
      </c>
      <c r="D25" s="123" t="s">
        <v>189</v>
      </c>
      <c r="E25" s="179" t="s">
        <v>365</v>
      </c>
      <c r="F25" s="123">
        <v>5.0</v>
      </c>
      <c r="G25" s="179" t="s">
        <v>258</v>
      </c>
      <c r="H25" s="123" t="s">
        <v>123</v>
      </c>
      <c r="I25" s="123" t="s">
        <v>312</v>
      </c>
      <c r="J25" s="123" t="s">
        <v>212</v>
      </c>
      <c r="K25" s="123" t="s">
        <v>26</v>
      </c>
      <c r="L25" s="123" t="s">
        <v>319</v>
      </c>
      <c r="M25" s="123" t="s">
        <v>337</v>
      </c>
      <c r="N25" s="123" t="s">
        <v>314</v>
      </c>
      <c r="O25" s="123" t="s">
        <v>366</v>
      </c>
      <c r="P25" s="179"/>
      <c r="Q25" s="179"/>
      <c r="R25" s="179"/>
      <c r="S25" s="238" t="s">
        <v>26</v>
      </c>
      <c r="T25" s="128"/>
      <c r="U25" s="128"/>
      <c r="V25" s="129"/>
      <c r="W25" s="196"/>
      <c r="X25" s="196"/>
      <c r="Y25" s="196"/>
      <c r="Z25" s="196"/>
      <c r="AA25" s="196"/>
      <c r="AB25" s="196"/>
      <c r="AC25" s="196"/>
      <c r="AD25" s="196"/>
      <c r="AE25" s="196"/>
      <c r="AF25" s="196"/>
      <c r="AG25" s="196"/>
      <c r="AH25" s="196"/>
    </row>
    <row r="26">
      <c r="A26" s="279" t="s">
        <v>146</v>
      </c>
      <c r="B26" s="226">
        <v>315.0</v>
      </c>
      <c r="C26" s="143" t="s">
        <v>367</v>
      </c>
      <c r="D26" s="117" t="s">
        <v>201</v>
      </c>
      <c r="E26" s="227" t="s">
        <v>368</v>
      </c>
      <c r="F26" s="143">
        <v>4.0</v>
      </c>
      <c r="G26" s="227" t="s">
        <v>253</v>
      </c>
      <c r="H26" s="143" t="s">
        <v>122</v>
      </c>
      <c r="I26" s="143" t="s">
        <v>369</v>
      </c>
      <c r="J26" s="117" t="s">
        <v>212</v>
      </c>
      <c r="K26" s="117" t="s">
        <v>26</v>
      </c>
      <c r="L26" s="117" t="s">
        <v>362</v>
      </c>
      <c r="M26" s="117" t="s">
        <v>26</v>
      </c>
      <c r="N26" s="117" t="s">
        <v>314</v>
      </c>
      <c r="O26" s="117" t="s">
        <v>370</v>
      </c>
      <c r="P26" s="227"/>
      <c r="Q26" s="143" t="s">
        <v>329</v>
      </c>
      <c r="R26" s="143"/>
      <c r="S26" s="280" t="s">
        <v>371</v>
      </c>
      <c r="T26" s="146"/>
      <c r="U26" s="146"/>
      <c r="V26" s="147"/>
      <c r="W26" s="196"/>
      <c r="X26" s="196"/>
      <c r="Y26" s="196"/>
      <c r="Z26" s="196"/>
      <c r="AA26" s="196"/>
      <c r="AB26" s="196"/>
      <c r="AC26" s="196"/>
      <c r="AD26" s="196"/>
      <c r="AE26" s="196"/>
      <c r="AF26" s="196"/>
      <c r="AG26" s="196"/>
      <c r="AH26" s="196"/>
    </row>
    <row r="27">
      <c r="A27" s="275" t="s">
        <v>149</v>
      </c>
      <c r="B27" s="140">
        <v>325.0</v>
      </c>
      <c r="C27" s="123" t="s">
        <v>326</v>
      </c>
      <c r="D27" s="123" t="s">
        <v>201</v>
      </c>
      <c r="E27" s="179" t="s">
        <v>372</v>
      </c>
      <c r="F27" s="123">
        <v>5.0</v>
      </c>
      <c r="G27" s="179" t="s">
        <v>373</v>
      </c>
      <c r="H27" s="123" t="s">
        <v>122</v>
      </c>
      <c r="I27" s="123" t="s">
        <v>374</v>
      </c>
      <c r="J27" s="123" t="s">
        <v>212</v>
      </c>
      <c r="K27" s="123" t="s">
        <v>26</v>
      </c>
      <c r="L27" s="123" t="s">
        <v>362</v>
      </c>
      <c r="M27" s="123" t="s">
        <v>26</v>
      </c>
      <c r="N27" s="123" t="s">
        <v>375</v>
      </c>
      <c r="O27" s="123" t="s">
        <v>376</v>
      </c>
      <c r="P27" s="123" t="s">
        <v>26</v>
      </c>
      <c r="Q27" s="123" t="s">
        <v>26</v>
      </c>
      <c r="R27" s="123" t="s">
        <v>26</v>
      </c>
      <c r="S27" s="281" t="s">
        <v>26</v>
      </c>
      <c r="T27" s="128"/>
      <c r="U27" s="128"/>
      <c r="V27" s="129"/>
      <c r="W27" s="196"/>
      <c r="X27" s="196"/>
      <c r="Y27" s="196"/>
      <c r="Z27" s="196"/>
      <c r="AA27" s="196"/>
      <c r="AB27" s="196"/>
      <c r="AC27" s="196"/>
      <c r="AD27" s="196"/>
      <c r="AE27" s="196"/>
      <c r="AF27" s="196"/>
      <c r="AG27" s="196"/>
      <c r="AH27" s="196"/>
    </row>
    <row r="28">
      <c r="A28" s="263" t="s">
        <v>151</v>
      </c>
      <c r="B28" s="141">
        <v>315.0</v>
      </c>
      <c r="C28" s="117" t="s">
        <v>242</v>
      </c>
      <c r="D28" s="117" t="s">
        <v>201</v>
      </c>
      <c r="E28" s="220" t="s">
        <v>372</v>
      </c>
      <c r="F28" s="117">
        <v>5.0</v>
      </c>
      <c r="G28" s="220" t="s">
        <v>373</v>
      </c>
      <c r="H28" s="117" t="s">
        <v>122</v>
      </c>
      <c r="I28" s="117" t="s">
        <v>377</v>
      </c>
      <c r="J28" s="117" t="s">
        <v>212</v>
      </c>
      <c r="K28" s="282" t="s">
        <v>26</v>
      </c>
      <c r="L28" s="117" t="s">
        <v>362</v>
      </c>
      <c r="M28" s="282" t="s">
        <v>26</v>
      </c>
      <c r="N28" s="117" t="s">
        <v>378</v>
      </c>
      <c r="O28" s="114" t="s">
        <v>353</v>
      </c>
      <c r="P28" s="117" t="s">
        <v>26</v>
      </c>
      <c r="Q28" s="117" t="s">
        <v>26</v>
      </c>
      <c r="R28" s="117" t="s">
        <v>26</v>
      </c>
      <c r="S28" s="260" t="s">
        <v>26</v>
      </c>
      <c r="T28" s="135"/>
      <c r="U28" s="135"/>
      <c r="V28" s="136"/>
      <c r="W28" s="196"/>
      <c r="X28" s="196"/>
      <c r="Y28" s="196"/>
      <c r="Z28" s="196"/>
      <c r="AA28" s="196"/>
      <c r="AB28" s="196"/>
      <c r="AC28" s="196"/>
      <c r="AD28" s="196"/>
      <c r="AE28" s="196"/>
      <c r="AF28" s="196"/>
      <c r="AG28" s="196"/>
      <c r="AH28" s="196"/>
    </row>
    <row r="29">
      <c r="A29" s="278" t="s">
        <v>132</v>
      </c>
      <c r="B29" s="283">
        <v>310.0</v>
      </c>
      <c r="C29" s="284" t="s">
        <v>379</v>
      </c>
      <c r="D29" s="284" t="s">
        <v>380</v>
      </c>
      <c r="E29" s="285" t="s">
        <v>381</v>
      </c>
      <c r="F29" s="284">
        <v>5.0</v>
      </c>
      <c r="G29" s="285" t="s">
        <v>382</v>
      </c>
      <c r="H29" s="284" t="s">
        <v>124</v>
      </c>
      <c r="I29" s="284" t="s">
        <v>49</v>
      </c>
      <c r="J29" s="284" t="s">
        <v>212</v>
      </c>
      <c r="K29" s="284" t="s">
        <v>26</v>
      </c>
      <c r="L29" s="284" t="s">
        <v>383</v>
      </c>
      <c r="M29" s="284" t="s">
        <v>26</v>
      </c>
      <c r="N29" s="284" t="s">
        <v>384</v>
      </c>
      <c r="O29" s="284" t="s">
        <v>385</v>
      </c>
      <c r="P29" s="284">
        <v>13.0</v>
      </c>
      <c r="Q29" s="284" t="s">
        <v>26</v>
      </c>
      <c r="R29" s="284" t="s">
        <v>26</v>
      </c>
      <c r="S29" s="281" t="s">
        <v>386</v>
      </c>
      <c r="T29" s="128"/>
      <c r="U29" s="128"/>
      <c r="V29" s="129"/>
      <c r="W29" s="196"/>
      <c r="X29" s="196"/>
      <c r="Y29" s="196"/>
      <c r="Z29" s="196"/>
      <c r="AA29" s="196"/>
      <c r="AB29" s="196"/>
      <c r="AC29" s="196"/>
      <c r="AD29" s="196"/>
      <c r="AE29" s="196"/>
      <c r="AF29" s="196"/>
      <c r="AG29" s="196"/>
      <c r="AH29" s="196"/>
    </row>
    <row r="30">
      <c r="A30" s="286" t="s">
        <v>143</v>
      </c>
      <c r="B30" s="177">
        <v>320.0</v>
      </c>
      <c r="C30" s="138" t="s">
        <v>326</v>
      </c>
      <c r="D30" s="138" t="s">
        <v>189</v>
      </c>
      <c r="E30" s="287" t="s">
        <v>387</v>
      </c>
      <c r="F30" s="138">
        <v>5.0</v>
      </c>
      <c r="G30" s="287" t="s">
        <v>388</v>
      </c>
      <c r="H30" s="138" t="s">
        <v>123</v>
      </c>
      <c r="I30" s="138" t="s">
        <v>345</v>
      </c>
      <c r="J30" s="138" t="s">
        <v>212</v>
      </c>
      <c r="K30" s="138" t="s">
        <v>26</v>
      </c>
      <c r="L30" s="138" t="s">
        <v>319</v>
      </c>
      <c r="M30" s="138" t="s">
        <v>389</v>
      </c>
      <c r="N30" s="138" t="s">
        <v>314</v>
      </c>
      <c r="O30" s="138" t="s">
        <v>390</v>
      </c>
      <c r="P30" s="138" t="s">
        <v>26</v>
      </c>
      <c r="Q30" s="138" t="s">
        <v>26</v>
      </c>
      <c r="R30" s="138" t="s">
        <v>26</v>
      </c>
      <c r="S30" s="288" t="s">
        <v>49</v>
      </c>
      <c r="T30" s="135"/>
      <c r="U30" s="135"/>
      <c r="V30" s="136"/>
      <c r="W30" s="196"/>
      <c r="X30" s="196"/>
      <c r="Y30" s="196"/>
      <c r="Z30" s="196"/>
      <c r="AA30" s="196"/>
      <c r="AB30" s="196"/>
      <c r="AC30" s="196"/>
      <c r="AD30" s="196"/>
      <c r="AE30" s="196"/>
      <c r="AF30" s="196"/>
      <c r="AG30" s="196"/>
      <c r="AH30" s="196"/>
    </row>
    <row r="31">
      <c r="A31" s="275" t="s">
        <v>136</v>
      </c>
      <c r="B31" s="140">
        <v>300.0</v>
      </c>
      <c r="C31" s="123" t="s">
        <v>391</v>
      </c>
      <c r="D31" s="123" t="s">
        <v>189</v>
      </c>
      <c r="E31" s="179" t="s">
        <v>392</v>
      </c>
      <c r="F31" s="123">
        <v>5.0</v>
      </c>
      <c r="G31" s="179" t="s">
        <v>393</v>
      </c>
      <c r="H31" s="123" t="s">
        <v>124</v>
      </c>
      <c r="I31" s="123" t="s">
        <v>355</v>
      </c>
      <c r="J31" s="123" t="s">
        <v>212</v>
      </c>
      <c r="K31" s="289" t="s">
        <v>26</v>
      </c>
      <c r="L31" s="123" t="s">
        <v>394</v>
      </c>
      <c r="M31" s="152"/>
      <c r="N31" s="164" t="s">
        <v>314</v>
      </c>
      <c r="O31" s="123" t="s">
        <v>395</v>
      </c>
      <c r="P31" s="123">
        <v>15.0</v>
      </c>
      <c r="Q31" s="123" t="s">
        <v>329</v>
      </c>
      <c r="R31" s="123"/>
      <c r="S31" s="238" t="s">
        <v>49</v>
      </c>
      <c r="T31" s="128"/>
      <c r="U31" s="128"/>
      <c r="V31" s="129"/>
      <c r="W31" s="196"/>
      <c r="X31" s="196"/>
      <c r="Y31" s="196"/>
      <c r="Z31" s="196"/>
      <c r="AA31" s="196"/>
      <c r="AB31" s="196"/>
      <c r="AC31" s="196"/>
      <c r="AD31" s="196"/>
      <c r="AE31" s="196"/>
      <c r="AF31" s="196"/>
      <c r="AG31" s="196"/>
      <c r="AH31" s="196"/>
    </row>
    <row r="32">
      <c r="A32" s="286" t="s">
        <v>140</v>
      </c>
      <c r="B32" s="177">
        <v>360.0</v>
      </c>
      <c r="C32" s="138" t="s">
        <v>326</v>
      </c>
      <c r="D32" s="138" t="s">
        <v>396</v>
      </c>
      <c r="E32" s="287" t="s">
        <v>372</v>
      </c>
      <c r="F32" s="138">
        <v>6.0</v>
      </c>
      <c r="G32" s="287" t="s">
        <v>373</v>
      </c>
      <c r="H32" s="138" t="s">
        <v>124</v>
      </c>
      <c r="I32" s="138" t="s">
        <v>345</v>
      </c>
      <c r="J32" s="138" t="s">
        <v>212</v>
      </c>
      <c r="K32" s="138" t="s">
        <v>26</v>
      </c>
      <c r="L32" s="138" t="s">
        <v>397</v>
      </c>
      <c r="M32" s="138"/>
      <c r="N32" s="138" t="s">
        <v>314</v>
      </c>
      <c r="O32" s="138" t="s">
        <v>398</v>
      </c>
      <c r="P32" s="138" t="s">
        <v>26</v>
      </c>
      <c r="Q32" s="138" t="s">
        <v>26</v>
      </c>
      <c r="R32" s="138" t="s">
        <v>26</v>
      </c>
      <c r="S32" s="288" t="s">
        <v>26</v>
      </c>
      <c r="T32" s="135"/>
      <c r="U32" s="135"/>
      <c r="V32" s="136"/>
      <c r="W32" s="196"/>
      <c r="X32" s="196"/>
      <c r="Y32" s="196"/>
      <c r="Z32" s="196"/>
      <c r="AA32" s="196"/>
      <c r="AB32" s="196"/>
      <c r="AC32" s="196"/>
      <c r="AD32" s="196"/>
      <c r="AE32" s="196"/>
      <c r="AF32" s="196"/>
      <c r="AG32" s="196"/>
      <c r="AH32" s="196"/>
    </row>
    <row r="33">
      <c r="A33" s="275" t="s">
        <v>144</v>
      </c>
      <c r="B33" s="140">
        <v>330.0</v>
      </c>
      <c r="C33" s="123" t="s">
        <v>399</v>
      </c>
      <c r="D33" s="123" t="s">
        <v>201</v>
      </c>
      <c r="E33" s="179" t="s">
        <v>400</v>
      </c>
      <c r="F33" s="123">
        <v>6.0</v>
      </c>
      <c r="G33" s="179" t="s">
        <v>253</v>
      </c>
      <c r="H33" s="123" t="s">
        <v>124</v>
      </c>
      <c r="I33" s="123" t="s">
        <v>401</v>
      </c>
      <c r="J33" s="123" t="s">
        <v>212</v>
      </c>
      <c r="K33" s="289" t="s">
        <v>26</v>
      </c>
      <c r="L33" s="123" t="s">
        <v>402</v>
      </c>
      <c r="M33" s="289"/>
      <c r="N33" s="123" t="s">
        <v>314</v>
      </c>
      <c r="O33" s="123" t="s">
        <v>370</v>
      </c>
      <c r="P33" s="123" t="s">
        <v>26</v>
      </c>
      <c r="Q33" s="123" t="s">
        <v>329</v>
      </c>
      <c r="R33" s="123" t="s">
        <v>26</v>
      </c>
      <c r="S33" s="127" t="s">
        <v>403</v>
      </c>
      <c r="T33" s="128"/>
      <c r="U33" s="128"/>
      <c r="V33" s="129"/>
      <c r="W33" s="196"/>
      <c r="X33" s="196"/>
      <c r="Y33" s="196"/>
      <c r="Z33" s="196"/>
      <c r="AA33" s="196"/>
      <c r="AB33" s="196"/>
      <c r="AC33" s="196"/>
      <c r="AD33" s="196"/>
      <c r="AE33" s="196"/>
      <c r="AF33" s="196"/>
      <c r="AG33" s="196"/>
      <c r="AH33" s="196"/>
    </row>
    <row r="34">
      <c r="A34" s="263" t="s">
        <v>152</v>
      </c>
      <c r="B34" s="141">
        <v>320.0</v>
      </c>
      <c r="C34" s="117" t="s">
        <v>234</v>
      </c>
      <c r="D34" s="117" t="s">
        <v>201</v>
      </c>
      <c r="E34" s="220" t="s">
        <v>404</v>
      </c>
      <c r="F34" s="117">
        <v>6.0</v>
      </c>
      <c r="G34" s="220" t="s">
        <v>405</v>
      </c>
      <c r="H34" s="117" t="s">
        <v>124</v>
      </c>
      <c r="I34" s="117" t="s">
        <v>406</v>
      </c>
      <c r="J34" s="117" t="s">
        <v>212</v>
      </c>
      <c r="K34" s="282" t="s">
        <v>26</v>
      </c>
      <c r="L34" s="117" t="s">
        <v>319</v>
      </c>
      <c r="M34" s="133" t="s">
        <v>337</v>
      </c>
      <c r="N34" s="114" t="s">
        <v>407</v>
      </c>
      <c r="O34" s="141" t="s">
        <v>408</v>
      </c>
      <c r="P34" s="117">
        <v>13.0</v>
      </c>
      <c r="Q34" s="117" t="s">
        <v>26</v>
      </c>
      <c r="R34" s="117" t="s">
        <v>26</v>
      </c>
      <c r="S34" s="260" t="s">
        <v>26</v>
      </c>
      <c r="T34" s="135"/>
      <c r="U34" s="135"/>
      <c r="V34" s="136"/>
      <c r="W34" s="196"/>
      <c r="X34" s="196"/>
      <c r="Y34" s="196"/>
      <c r="Z34" s="196"/>
      <c r="AA34" s="196"/>
      <c r="AB34" s="196"/>
      <c r="AC34" s="196"/>
      <c r="AD34" s="196"/>
      <c r="AE34" s="196"/>
      <c r="AF34" s="196"/>
      <c r="AG34" s="196"/>
      <c r="AH34" s="196"/>
    </row>
    <row r="35">
      <c r="A35" s="290" t="s">
        <v>153</v>
      </c>
      <c r="B35" s="291">
        <v>355.0</v>
      </c>
      <c r="C35" s="267" t="s">
        <v>188</v>
      </c>
      <c r="D35" s="123" t="s">
        <v>201</v>
      </c>
      <c r="E35" s="268" t="s">
        <v>409</v>
      </c>
      <c r="F35" s="267">
        <v>7.0</v>
      </c>
      <c r="G35" s="268" t="s">
        <v>410</v>
      </c>
      <c r="H35" s="267" t="s">
        <v>124</v>
      </c>
      <c r="I35" s="152" t="s">
        <v>355</v>
      </c>
      <c r="J35" s="123" t="s">
        <v>212</v>
      </c>
      <c r="K35" s="289" t="s">
        <v>26</v>
      </c>
      <c r="L35" s="152" t="s">
        <v>362</v>
      </c>
      <c r="M35" s="126"/>
      <c r="N35" s="123" t="s">
        <v>384</v>
      </c>
      <c r="O35" s="240" t="s">
        <v>411</v>
      </c>
      <c r="P35" s="152">
        <v>15.0</v>
      </c>
      <c r="Q35" s="152" t="s">
        <v>26</v>
      </c>
      <c r="R35" s="152" t="s">
        <v>26</v>
      </c>
      <c r="S35" s="292" t="s">
        <v>412</v>
      </c>
      <c r="T35" s="156"/>
      <c r="U35" s="156"/>
      <c r="V35" s="157"/>
      <c r="W35" s="196"/>
      <c r="X35" s="196"/>
      <c r="Y35" s="196"/>
      <c r="Z35" s="196"/>
      <c r="AA35" s="196"/>
      <c r="AB35" s="196"/>
      <c r="AC35" s="196"/>
      <c r="AD35" s="196"/>
      <c r="AE35" s="196"/>
      <c r="AF35" s="196"/>
      <c r="AG35" s="196"/>
      <c r="AH35" s="196"/>
    </row>
    <row r="36">
      <c r="A36" s="276" t="s">
        <v>154</v>
      </c>
      <c r="B36" s="177">
        <v>350.0</v>
      </c>
      <c r="C36" s="138" t="s">
        <v>413</v>
      </c>
      <c r="D36" s="138" t="s">
        <v>380</v>
      </c>
      <c r="E36" s="287" t="s">
        <v>365</v>
      </c>
      <c r="F36" s="138">
        <v>5.0</v>
      </c>
      <c r="G36" s="138" t="s">
        <v>414</v>
      </c>
      <c r="H36" s="138" t="s">
        <v>124</v>
      </c>
      <c r="I36" s="138" t="s">
        <v>369</v>
      </c>
      <c r="J36" s="138" t="s">
        <v>212</v>
      </c>
      <c r="K36" s="138">
        <v>5.0</v>
      </c>
      <c r="L36" s="138" t="s">
        <v>415</v>
      </c>
      <c r="M36" s="138" t="s">
        <v>416</v>
      </c>
      <c r="N36" s="138" t="s">
        <v>417</v>
      </c>
      <c r="O36" s="138" t="s">
        <v>395</v>
      </c>
      <c r="P36" s="138">
        <v>15.0</v>
      </c>
      <c r="Q36" s="138" t="s">
        <v>26</v>
      </c>
      <c r="R36" s="138" t="s">
        <v>26</v>
      </c>
      <c r="S36" s="288" t="s">
        <v>26</v>
      </c>
      <c r="T36" s="135"/>
      <c r="U36" s="135"/>
      <c r="V36" s="136"/>
      <c r="W36" s="196"/>
      <c r="X36" s="196"/>
      <c r="Y36" s="196"/>
      <c r="Z36" s="196"/>
      <c r="AA36" s="196"/>
      <c r="AB36" s="196"/>
      <c r="AC36" s="196"/>
      <c r="AD36" s="196"/>
      <c r="AE36" s="196"/>
      <c r="AF36" s="196"/>
      <c r="AG36" s="196"/>
      <c r="AH36" s="196"/>
    </row>
    <row r="37">
      <c r="A37" s="293" t="s">
        <v>155</v>
      </c>
      <c r="B37" s="284">
        <v>330.0</v>
      </c>
      <c r="C37" s="284" t="s">
        <v>49</v>
      </c>
      <c r="D37" s="284" t="s">
        <v>49</v>
      </c>
      <c r="E37" s="285" t="s">
        <v>381</v>
      </c>
      <c r="F37" s="284">
        <v>6.0</v>
      </c>
      <c r="G37" s="284" t="s">
        <v>418</v>
      </c>
      <c r="H37" s="284" t="s">
        <v>124</v>
      </c>
      <c r="I37" s="284" t="s">
        <v>342</v>
      </c>
      <c r="J37" s="284" t="s">
        <v>212</v>
      </c>
      <c r="K37" s="284" t="s">
        <v>26</v>
      </c>
      <c r="L37" s="284" t="s">
        <v>415</v>
      </c>
      <c r="M37" s="284" t="s">
        <v>49</v>
      </c>
      <c r="N37" s="284" t="s">
        <v>417</v>
      </c>
      <c r="O37" s="284" t="s">
        <v>358</v>
      </c>
      <c r="P37" s="284">
        <v>15.0</v>
      </c>
      <c r="Q37" s="284" t="s">
        <v>26</v>
      </c>
      <c r="R37" s="284" t="s">
        <v>26</v>
      </c>
      <c r="S37" s="281" t="s">
        <v>49</v>
      </c>
      <c r="T37" s="128"/>
      <c r="U37" s="128"/>
      <c r="V37" s="129"/>
      <c r="W37" s="196"/>
      <c r="X37" s="196"/>
      <c r="Y37" s="196"/>
      <c r="Z37" s="196"/>
      <c r="AA37" s="196"/>
      <c r="AB37" s="196"/>
      <c r="AC37" s="196"/>
      <c r="AD37" s="196"/>
      <c r="AE37" s="196"/>
      <c r="AF37" s="196"/>
      <c r="AG37" s="196"/>
      <c r="AH37" s="196"/>
    </row>
    <row r="38">
      <c r="A38" s="294" t="s">
        <v>419</v>
      </c>
      <c r="B38" s="295">
        <v>330.0</v>
      </c>
      <c r="C38" s="295" t="s">
        <v>420</v>
      </c>
      <c r="D38" s="295" t="s">
        <v>189</v>
      </c>
      <c r="E38" s="296" t="s">
        <v>409</v>
      </c>
      <c r="F38" s="295">
        <v>6.0</v>
      </c>
      <c r="G38" s="295" t="s">
        <v>393</v>
      </c>
      <c r="H38" s="295" t="s">
        <v>123</v>
      </c>
      <c r="I38" s="295" t="s">
        <v>421</v>
      </c>
      <c r="J38" s="295" t="s">
        <v>212</v>
      </c>
      <c r="K38" s="295">
        <v>2.0</v>
      </c>
      <c r="L38" s="295" t="s">
        <v>319</v>
      </c>
      <c r="M38" s="295" t="s">
        <v>49</v>
      </c>
      <c r="N38" s="295" t="s">
        <v>314</v>
      </c>
      <c r="O38" s="295" t="s">
        <v>422</v>
      </c>
      <c r="P38" s="295">
        <v>15.0</v>
      </c>
      <c r="Q38" s="295" t="s">
        <v>329</v>
      </c>
      <c r="R38" s="295" t="s">
        <v>26</v>
      </c>
      <c r="S38" s="297" t="s">
        <v>423</v>
      </c>
      <c r="T38" s="298"/>
      <c r="U38" s="298"/>
      <c r="V38" s="299"/>
      <c r="W38" s="139"/>
      <c r="X38" s="196"/>
      <c r="Y38" s="139"/>
      <c r="Z38" s="139"/>
      <c r="AA38" s="139"/>
      <c r="AB38" s="139"/>
      <c r="AC38" s="139"/>
      <c r="AD38" s="139"/>
      <c r="AE38" s="139"/>
      <c r="AF38" s="139"/>
      <c r="AG38" s="139"/>
      <c r="AH38" s="139"/>
    </row>
    <row r="39">
      <c r="A39" s="300" t="s">
        <v>424</v>
      </c>
      <c r="B39" s="301"/>
      <c r="C39" s="301"/>
      <c r="D39" s="301"/>
      <c r="E39" s="204"/>
      <c r="F39" s="301"/>
      <c r="G39" s="301"/>
      <c r="H39" s="301"/>
      <c r="I39" s="301"/>
      <c r="J39" s="301"/>
      <c r="K39" s="301"/>
      <c r="L39" s="301"/>
      <c r="M39" s="301"/>
      <c r="N39" s="301"/>
      <c r="O39" s="301"/>
      <c r="P39" s="301"/>
      <c r="Q39" s="301"/>
      <c r="R39" s="302"/>
      <c r="S39" s="303"/>
      <c r="T39" s="303"/>
      <c r="U39" s="303"/>
      <c r="V39" s="303"/>
      <c r="W39" s="196"/>
      <c r="X39" s="196"/>
      <c r="Y39" s="196"/>
      <c r="Z39" s="196"/>
      <c r="AA39" s="196"/>
      <c r="AB39" s="196"/>
      <c r="AC39" s="196"/>
      <c r="AD39" s="196"/>
      <c r="AE39" s="196"/>
      <c r="AF39" s="196"/>
      <c r="AG39" s="196"/>
      <c r="AH39" s="196"/>
    </row>
    <row r="40">
      <c r="A40" s="304" t="s">
        <v>309</v>
      </c>
      <c r="B40" s="305"/>
      <c r="C40" s="305"/>
      <c r="D40" s="305"/>
      <c r="E40" s="208"/>
      <c r="F40" s="305"/>
      <c r="G40" s="305"/>
      <c r="H40" s="305"/>
      <c r="I40" s="305"/>
      <c r="J40" s="305"/>
      <c r="K40" s="305"/>
      <c r="L40" s="305"/>
      <c r="M40" s="305"/>
      <c r="N40" s="305"/>
      <c r="O40" s="305"/>
      <c r="P40" s="305"/>
      <c r="Q40" s="305"/>
      <c r="R40" s="305"/>
      <c r="S40" s="306"/>
      <c r="T40" s="306"/>
      <c r="U40" s="306"/>
      <c r="V40" s="306"/>
      <c r="W40" s="196"/>
      <c r="X40" s="196"/>
      <c r="Y40" s="196"/>
      <c r="Z40" s="196"/>
      <c r="AA40" s="196"/>
      <c r="AB40" s="196"/>
      <c r="AC40" s="196"/>
      <c r="AD40" s="196"/>
      <c r="AE40" s="196"/>
      <c r="AF40" s="196"/>
      <c r="AG40" s="196"/>
      <c r="AH40" s="196"/>
    </row>
    <row r="41">
      <c r="A41" s="307" t="s">
        <v>425</v>
      </c>
      <c r="B41" s="284">
        <v>425.0</v>
      </c>
      <c r="C41" s="284" t="s">
        <v>426</v>
      </c>
      <c r="D41" s="284" t="s">
        <v>427</v>
      </c>
      <c r="E41" s="285" t="s">
        <v>428</v>
      </c>
      <c r="F41" s="284">
        <v>9.0</v>
      </c>
      <c r="G41" s="284" t="s">
        <v>393</v>
      </c>
      <c r="H41" s="284" t="s">
        <v>311</v>
      </c>
      <c r="I41" s="284" t="s">
        <v>355</v>
      </c>
      <c r="J41" s="284" t="s">
        <v>195</v>
      </c>
      <c r="K41" s="284" t="s">
        <v>26</v>
      </c>
      <c r="L41" s="123" t="s">
        <v>429</v>
      </c>
      <c r="M41" s="308"/>
      <c r="N41" s="284" t="s">
        <v>314</v>
      </c>
      <c r="O41" s="284" t="s">
        <v>430</v>
      </c>
      <c r="P41" s="284">
        <v>20.0</v>
      </c>
      <c r="Q41" s="308"/>
      <c r="R41" s="284" t="s">
        <v>431</v>
      </c>
      <c r="S41" s="127" t="s">
        <v>26</v>
      </c>
      <c r="T41" s="128"/>
      <c r="U41" s="128"/>
      <c r="V41" s="309"/>
      <c r="W41" s="196"/>
      <c r="X41" s="196"/>
      <c r="Y41" s="196"/>
      <c r="Z41" s="196"/>
      <c r="AA41" s="196"/>
      <c r="AB41" s="196"/>
      <c r="AC41" s="196"/>
      <c r="AD41" s="196"/>
      <c r="AE41" s="196"/>
      <c r="AF41" s="196"/>
      <c r="AG41" s="196"/>
      <c r="AH41" s="196"/>
    </row>
    <row r="42">
      <c r="A42" s="304" t="s">
        <v>325</v>
      </c>
      <c r="B42" s="305"/>
      <c r="C42" s="305"/>
      <c r="D42" s="305"/>
      <c r="E42" s="208"/>
      <c r="F42" s="305"/>
      <c r="G42" s="305"/>
      <c r="H42" s="305"/>
      <c r="I42" s="305"/>
      <c r="J42" s="305"/>
      <c r="K42" s="305"/>
      <c r="L42" s="305"/>
      <c r="M42" s="305"/>
      <c r="N42" s="305"/>
      <c r="O42" s="305"/>
      <c r="P42" s="305"/>
      <c r="Q42" s="305"/>
      <c r="R42" s="305"/>
      <c r="S42" s="306"/>
      <c r="T42" s="306"/>
      <c r="U42" s="306"/>
      <c r="V42" s="306"/>
      <c r="W42" s="196"/>
      <c r="X42" s="196"/>
      <c r="Y42" s="196"/>
      <c r="Z42" s="196"/>
      <c r="AA42" s="196"/>
      <c r="AB42" s="196"/>
      <c r="AC42" s="196"/>
      <c r="AD42" s="196"/>
      <c r="AE42" s="196"/>
      <c r="AF42" s="196"/>
      <c r="AG42" s="196"/>
      <c r="AH42" s="196"/>
    </row>
    <row r="43">
      <c r="A43" s="307" t="s">
        <v>432</v>
      </c>
      <c r="B43" s="284">
        <v>440.0</v>
      </c>
      <c r="C43" s="284" t="s">
        <v>433</v>
      </c>
      <c r="D43" s="284" t="s">
        <v>201</v>
      </c>
      <c r="E43" s="285" t="s">
        <v>434</v>
      </c>
      <c r="F43" s="284">
        <v>10.0</v>
      </c>
      <c r="G43" s="284" t="s">
        <v>435</v>
      </c>
      <c r="H43" s="284" t="s">
        <v>124</v>
      </c>
      <c r="I43" s="284" t="s">
        <v>436</v>
      </c>
      <c r="J43" s="284" t="s">
        <v>212</v>
      </c>
      <c r="K43" s="284" t="s">
        <v>26</v>
      </c>
      <c r="L43" s="123" t="s">
        <v>429</v>
      </c>
      <c r="M43" s="308"/>
      <c r="N43" s="284" t="s">
        <v>314</v>
      </c>
      <c r="O43" s="284" t="s">
        <v>437</v>
      </c>
      <c r="P43" s="284">
        <v>18.0</v>
      </c>
      <c r="Q43" s="284" t="s">
        <v>329</v>
      </c>
      <c r="R43" s="308"/>
      <c r="S43" s="127" t="s">
        <v>438</v>
      </c>
      <c r="T43" s="128"/>
      <c r="U43" s="128"/>
      <c r="V43" s="309"/>
      <c r="W43" s="196"/>
      <c r="X43" s="196"/>
      <c r="Y43" s="196"/>
      <c r="Z43" s="196"/>
      <c r="AA43" s="196"/>
      <c r="AB43" s="196"/>
      <c r="AC43" s="196"/>
      <c r="AD43" s="196"/>
      <c r="AE43" s="196"/>
      <c r="AF43" s="196"/>
      <c r="AG43" s="196"/>
      <c r="AH43" s="196"/>
    </row>
    <row r="44">
      <c r="A44" s="310" t="s">
        <v>439</v>
      </c>
      <c r="B44" s="138">
        <v>455.0</v>
      </c>
      <c r="C44" s="138" t="s">
        <v>197</v>
      </c>
      <c r="D44" s="138" t="s">
        <v>380</v>
      </c>
      <c r="E44" s="287" t="s">
        <v>440</v>
      </c>
      <c r="F44" s="138">
        <v>8.0</v>
      </c>
      <c r="G44" s="138" t="s">
        <v>441</v>
      </c>
      <c r="H44" s="138" t="s">
        <v>124</v>
      </c>
      <c r="I44" s="138" t="s">
        <v>369</v>
      </c>
      <c r="J44" s="138" t="s">
        <v>212</v>
      </c>
      <c r="K44" s="138" t="s">
        <v>26</v>
      </c>
      <c r="L44" s="117" t="s">
        <v>442</v>
      </c>
      <c r="M44" s="138" t="s">
        <v>49</v>
      </c>
      <c r="N44" s="138" t="s">
        <v>417</v>
      </c>
      <c r="O44" s="138" t="s">
        <v>443</v>
      </c>
      <c r="P44" s="138">
        <v>15.0</v>
      </c>
      <c r="Q44" s="311"/>
      <c r="R44" s="311"/>
      <c r="S44" s="134" t="s">
        <v>444</v>
      </c>
      <c r="T44" s="135"/>
      <c r="U44" s="135"/>
      <c r="V44" s="312"/>
      <c r="W44" s="196"/>
      <c r="X44" s="196"/>
      <c r="Y44" s="196"/>
      <c r="Z44" s="196"/>
      <c r="AA44" s="196"/>
      <c r="AB44" s="196"/>
      <c r="AC44" s="196"/>
      <c r="AD44" s="196"/>
      <c r="AE44" s="196"/>
      <c r="AF44" s="196"/>
      <c r="AG44" s="196"/>
      <c r="AH44" s="196"/>
    </row>
    <row r="45">
      <c r="A45" s="307" t="s">
        <v>445</v>
      </c>
      <c r="B45" s="284">
        <v>460.0</v>
      </c>
      <c r="C45" s="284" t="s">
        <v>431</v>
      </c>
      <c r="D45" s="284" t="s">
        <v>396</v>
      </c>
      <c r="E45" s="284" t="s">
        <v>446</v>
      </c>
      <c r="F45" s="284">
        <v>10.0</v>
      </c>
      <c r="G45" s="284" t="s">
        <v>447</v>
      </c>
      <c r="H45" s="284" t="s">
        <v>124</v>
      </c>
      <c r="I45" s="284" t="s">
        <v>448</v>
      </c>
      <c r="J45" s="284" t="s">
        <v>212</v>
      </c>
      <c r="K45" s="284" t="s">
        <v>26</v>
      </c>
      <c r="L45" s="123" t="s">
        <v>402</v>
      </c>
      <c r="M45" s="308"/>
      <c r="N45" s="284" t="s">
        <v>384</v>
      </c>
      <c r="O45" s="123" t="s">
        <v>411</v>
      </c>
      <c r="P45" s="284">
        <v>25.0</v>
      </c>
      <c r="Q45" s="284" t="s">
        <v>329</v>
      </c>
      <c r="R45" s="308"/>
      <c r="S45" s="313" t="s">
        <v>412</v>
      </c>
      <c r="T45" s="314"/>
      <c r="U45" s="314"/>
      <c r="V45" s="314"/>
      <c r="W45" s="196"/>
      <c r="X45" s="196"/>
      <c r="Y45" s="196"/>
      <c r="Z45" s="196"/>
      <c r="AA45" s="196"/>
      <c r="AB45" s="196"/>
      <c r="AC45" s="196"/>
      <c r="AD45" s="196"/>
      <c r="AE45" s="196"/>
      <c r="AF45" s="196"/>
      <c r="AG45" s="196"/>
      <c r="AH45" s="196"/>
    </row>
    <row r="46">
      <c r="A46" s="196"/>
      <c r="B46" s="196"/>
      <c r="C46" s="196"/>
      <c r="D46" s="196"/>
      <c r="E46" s="196"/>
      <c r="F46" s="196"/>
      <c r="G46" s="196"/>
      <c r="H46" s="196"/>
      <c r="I46" s="139"/>
      <c r="J46" s="196"/>
      <c r="K46" s="196"/>
      <c r="L46" s="139"/>
      <c r="M46" s="196"/>
      <c r="N46" s="196"/>
      <c r="O46" s="196"/>
      <c r="P46" s="196"/>
      <c r="Q46" s="196"/>
      <c r="R46" s="196"/>
      <c r="S46" s="196"/>
      <c r="T46" s="196"/>
      <c r="U46" s="196"/>
      <c r="V46" s="196"/>
      <c r="W46" s="196"/>
      <c r="X46" s="196"/>
      <c r="Y46" s="196"/>
      <c r="Z46" s="196"/>
      <c r="AA46" s="196"/>
      <c r="AB46" s="196"/>
      <c r="AC46" s="196"/>
      <c r="AD46" s="196"/>
      <c r="AE46" s="196"/>
      <c r="AF46" s="196"/>
      <c r="AG46" s="196"/>
      <c r="AH46" s="196"/>
    </row>
    <row r="47">
      <c r="A47" s="196"/>
      <c r="B47" s="196"/>
      <c r="C47" s="196"/>
      <c r="D47" s="196"/>
      <c r="E47" s="196"/>
      <c r="F47" s="196"/>
      <c r="G47" s="196"/>
      <c r="H47" s="196"/>
      <c r="I47" s="139"/>
      <c r="J47" s="196"/>
      <c r="K47" s="196"/>
      <c r="L47" s="139"/>
      <c r="M47" s="196"/>
      <c r="N47" s="196"/>
      <c r="O47" s="196"/>
      <c r="P47" s="196"/>
      <c r="Q47" s="196"/>
      <c r="R47" s="196"/>
      <c r="S47" s="196"/>
      <c r="T47" s="196"/>
      <c r="U47" s="196"/>
      <c r="V47" s="196"/>
      <c r="W47" s="196"/>
      <c r="X47" s="196"/>
      <c r="Y47" s="196"/>
      <c r="Z47" s="196"/>
      <c r="AA47" s="196"/>
      <c r="AB47" s="196"/>
      <c r="AC47" s="196"/>
      <c r="AD47" s="196"/>
      <c r="AE47" s="196"/>
      <c r="AF47" s="196"/>
      <c r="AG47" s="196"/>
      <c r="AH47" s="196"/>
    </row>
    <row r="48">
      <c r="A48" s="196"/>
      <c r="B48" s="196"/>
      <c r="C48" s="196"/>
      <c r="D48" s="196"/>
      <c r="E48" s="196"/>
      <c r="F48" s="196"/>
      <c r="G48" s="196"/>
      <c r="H48" s="196"/>
      <c r="I48" s="139"/>
      <c r="J48" s="196"/>
      <c r="K48" s="196"/>
      <c r="L48" s="139"/>
      <c r="M48" s="196"/>
      <c r="N48" s="196"/>
      <c r="O48" s="196"/>
      <c r="P48" s="196"/>
      <c r="Q48" s="196"/>
      <c r="R48" s="196"/>
      <c r="S48" s="196"/>
      <c r="T48" s="196"/>
      <c r="U48" s="196"/>
      <c r="V48" s="196"/>
      <c r="W48" s="196"/>
      <c r="X48" s="196"/>
      <c r="Y48" s="196"/>
      <c r="Z48" s="196"/>
      <c r="AA48" s="196"/>
      <c r="AB48" s="196"/>
      <c r="AC48" s="196"/>
      <c r="AD48" s="196"/>
      <c r="AE48" s="196"/>
      <c r="AF48" s="196"/>
      <c r="AG48" s="196"/>
      <c r="AH48" s="196"/>
    </row>
    <row r="49">
      <c r="A49" s="196"/>
      <c r="B49" s="196"/>
      <c r="C49" s="196"/>
      <c r="D49" s="196"/>
      <c r="E49" s="196"/>
      <c r="F49" s="196"/>
      <c r="G49" s="196"/>
      <c r="H49" s="196"/>
      <c r="I49" s="139"/>
      <c r="J49" s="196"/>
      <c r="K49" s="196"/>
      <c r="L49" s="139"/>
      <c r="M49" s="196"/>
      <c r="N49" s="196"/>
      <c r="O49" s="196"/>
      <c r="P49" s="196"/>
      <c r="Q49" s="196"/>
      <c r="R49" s="196"/>
      <c r="S49" s="196"/>
      <c r="T49" s="196"/>
      <c r="U49" s="196"/>
      <c r="V49" s="196"/>
      <c r="W49" s="196"/>
      <c r="X49" s="196"/>
      <c r="Y49" s="196"/>
      <c r="Z49" s="196"/>
      <c r="AA49" s="196"/>
      <c r="AB49" s="196"/>
      <c r="AC49" s="196"/>
      <c r="AD49" s="196"/>
      <c r="AE49" s="196"/>
      <c r="AF49" s="196"/>
      <c r="AG49" s="196"/>
      <c r="AH49" s="196"/>
    </row>
    <row r="50">
      <c r="A50" s="196"/>
      <c r="B50" s="196"/>
      <c r="C50" s="196"/>
      <c r="D50" s="196"/>
      <c r="E50" s="196"/>
      <c r="F50" s="196"/>
      <c r="G50" s="196"/>
      <c r="H50" s="196"/>
      <c r="I50" s="139"/>
      <c r="J50" s="196"/>
      <c r="K50" s="196"/>
      <c r="L50" s="139"/>
      <c r="M50" s="196"/>
      <c r="N50" s="196"/>
      <c r="O50" s="196"/>
      <c r="P50" s="196"/>
      <c r="Q50" s="196"/>
      <c r="R50" s="196"/>
      <c r="S50" s="196"/>
      <c r="T50" s="196"/>
      <c r="U50" s="196"/>
      <c r="V50" s="196"/>
      <c r="W50" s="196"/>
      <c r="X50" s="196"/>
      <c r="Y50" s="196"/>
      <c r="Z50" s="196"/>
      <c r="AA50" s="196"/>
      <c r="AB50" s="196"/>
      <c r="AC50" s="196"/>
      <c r="AD50" s="196"/>
      <c r="AE50" s="196"/>
      <c r="AF50" s="196"/>
      <c r="AG50" s="196"/>
      <c r="AH50" s="196"/>
    </row>
    <row r="51">
      <c r="A51" s="196"/>
      <c r="B51" s="196"/>
      <c r="C51" s="196"/>
      <c r="D51" s="196"/>
      <c r="E51" s="196"/>
      <c r="F51" s="196"/>
      <c r="G51" s="196"/>
      <c r="H51" s="196"/>
      <c r="I51" s="139"/>
      <c r="J51" s="196"/>
      <c r="K51" s="196"/>
      <c r="L51" s="139"/>
      <c r="M51" s="196"/>
      <c r="N51" s="196"/>
      <c r="O51" s="196"/>
      <c r="P51" s="196"/>
      <c r="Q51" s="196"/>
      <c r="R51" s="196"/>
      <c r="S51" s="196"/>
      <c r="T51" s="196"/>
      <c r="U51" s="196"/>
      <c r="V51" s="196"/>
      <c r="W51" s="196"/>
      <c r="X51" s="196"/>
      <c r="Y51" s="196"/>
      <c r="Z51" s="196"/>
      <c r="AA51" s="196"/>
      <c r="AB51" s="196"/>
      <c r="AC51" s="196"/>
      <c r="AD51" s="196"/>
      <c r="AE51" s="196"/>
      <c r="AF51" s="196"/>
      <c r="AG51" s="196"/>
      <c r="AH51" s="196"/>
    </row>
    <row r="52">
      <c r="A52" s="196"/>
      <c r="B52" s="196"/>
      <c r="C52" s="196"/>
      <c r="D52" s="196"/>
      <c r="E52" s="196"/>
      <c r="F52" s="196"/>
      <c r="G52" s="196"/>
      <c r="H52" s="196"/>
      <c r="I52" s="139"/>
      <c r="J52" s="196"/>
      <c r="K52" s="196"/>
      <c r="L52" s="139"/>
      <c r="M52" s="196"/>
      <c r="N52" s="196"/>
      <c r="O52" s="196"/>
      <c r="P52" s="196"/>
      <c r="Q52" s="196"/>
      <c r="R52" s="196"/>
      <c r="S52" s="196"/>
      <c r="T52" s="196"/>
      <c r="U52" s="196"/>
      <c r="V52" s="196"/>
      <c r="W52" s="196"/>
      <c r="X52" s="196"/>
      <c r="Y52" s="196"/>
      <c r="Z52" s="196"/>
      <c r="AA52" s="196"/>
      <c r="AB52" s="196"/>
      <c r="AC52" s="196"/>
      <c r="AD52" s="196"/>
      <c r="AE52" s="196"/>
      <c r="AF52" s="196"/>
      <c r="AG52" s="196"/>
      <c r="AH52" s="196"/>
    </row>
    <row r="53">
      <c r="A53" s="196"/>
      <c r="B53" s="196"/>
      <c r="C53" s="196"/>
      <c r="D53" s="196"/>
      <c r="E53" s="196"/>
      <c r="F53" s="196"/>
      <c r="G53" s="196"/>
      <c r="H53" s="196"/>
      <c r="I53" s="139"/>
      <c r="J53" s="196"/>
      <c r="K53" s="196"/>
      <c r="L53" s="139"/>
      <c r="M53" s="196"/>
      <c r="N53" s="196"/>
      <c r="O53" s="196"/>
      <c r="P53" s="196"/>
      <c r="Q53" s="196"/>
      <c r="R53" s="196"/>
      <c r="S53" s="196"/>
      <c r="T53" s="196"/>
      <c r="U53" s="196"/>
      <c r="V53" s="196"/>
      <c r="W53" s="196"/>
      <c r="X53" s="196"/>
      <c r="Y53" s="196"/>
      <c r="Z53" s="196"/>
      <c r="AA53" s="196"/>
      <c r="AB53" s="196"/>
      <c r="AC53" s="196"/>
      <c r="AD53" s="196"/>
      <c r="AE53" s="196"/>
      <c r="AF53" s="196"/>
      <c r="AG53" s="196"/>
      <c r="AH53" s="196"/>
    </row>
    <row r="54">
      <c r="A54" s="196"/>
      <c r="B54" s="196"/>
      <c r="C54" s="196"/>
      <c r="D54" s="196"/>
      <c r="E54" s="196"/>
      <c r="F54" s="196"/>
      <c r="G54" s="196"/>
      <c r="H54" s="196"/>
      <c r="I54" s="139"/>
      <c r="J54" s="196"/>
      <c r="K54" s="196"/>
      <c r="L54" s="139"/>
      <c r="M54" s="196"/>
      <c r="N54" s="196"/>
      <c r="O54" s="196"/>
      <c r="P54" s="196"/>
      <c r="Q54" s="196"/>
      <c r="R54" s="196"/>
      <c r="S54" s="196"/>
      <c r="T54" s="196"/>
      <c r="U54" s="196"/>
      <c r="V54" s="196"/>
      <c r="W54" s="196"/>
      <c r="X54" s="196"/>
      <c r="Y54" s="196"/>
      <c r="Z54" s="196"/>
      <c r="AA54" s="196"/>
      <c r="AB54" s="196"/>
      <c r="AC54" s="196"/>
      <c r="AD54" s="196"/>
      <c r="AE54" s="196"/>
      <c r="AF54" s="196"/>
      <c r="AG54" s="196"/>
      <c r="AH54" s="196"/>
    </row>
    <row r="55">
      <c r="A55" s="196"/>
      <c r="B55" s="196"/>
      <c r="C55" s="196"/>
      <c r="D55" s="196"/>
      <c r="E55" s="196"/>
      <c r="F55" s="196"/>
      <c r="G55" s="196"/>
      <c r="H55" s="196"/>
      <c r="I55" s="139"/>
      <c r="J55" s="196"/>
      <c r="K55" s="196"/>
      <c r="L55" s="139"/>
      <c r="M55" s="196"/>
      <c r="N55" s="196"/>
      <c r="O55" s="196"/>
      <c r="P55" s="196"/>
      <c r="Q55" s="196"/>
      <c r="R55" s="196"/>
      <c r="S55" s="196"/>
      <c r="T55" s="196"/>
      <c r="U55" s="196"/>
      <c r="V55" s="196"/>
      <c r="W55" s="196"/>
      <c r="X55" s="196"/>
      <c r="Y55" s="196"/>
      <c r="Z55" s="196"/>
      <c r="AA55" s="196"/>
      <c r="AB55" s="196"/>
      <c r="AC55" s="196"/>
      <c r="AD55" s="196"/>
      <c r="AE55" s="196"/>
      <c r="AF55" s="196"/>
      <c r="AG55" s="196"/>
      <c r="AH55" s="196"/>
    </row>
    <row r="56">
      <c r="A56" s="196"/>
      <c r="B56" s="196"/>
      <c r="C56" s="196"/>
      <c r="D56" s="196"/>
      <c r="E56" s="196"/>
      <c r="F56" s="196"/>
      <c r="G56" s="196"/>
      <c r="H56" s="196"/>
      <c r="I56" s="139"/>
      <c r="J56" s="196"/>
      <c r="K56" s="196"/>
      <c r="L56" s="139"/>
      <c r="M56" s="196"/>
      <c r="N56" s="196"/>
      <c r="O56" s="196"/>
      <c r="P56" s="196"/>
      <c r="Q56" s="196"/>
      <c r="R56" s="196"/>
      <c r="S56" s="196"/>
      <c r="T56" s="196"/>
      <c r="U56" s="196"/>
      <c r="V56" s="196"/>
      <c r="W56" s="196"/>
      <c r="X56" s="196"/>
      <c r="Y56" s="196"/>
      <c r="Z56" s="196"/>
      <c r="AA56" s="196"/>
      <c r="AB56" s="196"/>
      <c r="AC56" s="196"/>
      <c r="AD56" s="196"/>
      <c r="AE56" s="196"/>
      <c r="AF56" s="196"/>
      <c r="AG56" s="196"/>
      <c r="AH56" s="196"/>
    </row>
    <row r="57">
      <c r="A57" s="196"/>
      <c r="B57" s="196"/>
      <c r="C57" s="196"/>
      <c r="D57" s="196"/>
      <c r="E57" s="196"/>
      <c r="F57" s="196"/>
      <c r="G57" s="196"/>
      <c r="H57" s="196"/>
      <c r="I57" s="139"/>
      <c r="J57" s="196"/>
      <c r="K57" s="196"/>
      <c r="L57" s="139"/>
      <c r="M57" s="196"/>
      <c r="N57" s="196"/>
      <c r="O57" s="196"/>
      <c r="P57" s="196"/>
      <c r="Q57" s="196"/>
      <c r="R57" s="196"/>
      <c r="S57" s="196"/>
      <c r="T57" s="196"/>
      <c r="U57" s="196"/>
      <c r="V57" s="196"/>
      <c r="W57" s="196"/>
      <c r="X57" s="196"/>
      <c r="Y57" s="196"/>
      <c r="Z57" s="196"/>
      <c r="AA57" s="196"/>
      <c r="AB57" s="196"/>
      <c r="AC57" s="196"/>
      <c r="AD57" s="196"/>
      <c r="AE57" s="196"/>
      <c r="AF57" s="196"/>
      <c r="AG57" s="196"/>
      <c r="AH57" s="196"/>
    </row>
    <row r="58">
      <c r="A58" s="196"/>
      <c r="B58" s="196"/>
      <c r="C58" s="196"/>
      <c r="D58" s="196"/>
      <c r="E58" s="196"/>
      <c r="F58" s="196"/>
      <c r="G58" s="196"/>
      <c r="H58" s="196"/>
      <c r="I58" s="139"/>
      <c r="J58" s="196"/>
      <c r="K58" s="196"/>
      <c r="L58" s="139"/>
      <c r="M58" s="196"/>
      <c r="N58" s="196"/>
      <c r="O58" s="196"/>
      <c r="P58" s="196"/>
      <c r="Q58" s="196"/>
      <c r="R58" s="196"/>
      <c r="S58" s="196"/>
      <c r="T58" s="196"/>
      <c r="U58" s="196"/>
      <c r="V58" s="196"/>
      <c r="W58" s="196"/>
      <c r="X58" s="196"/>
      <c r="Y58" s="196"/>
      <c r="Z58" s="196"/>
      <c r="AA58" s="196"/>
      <c r="AB58" s="196"/>
      <c r="AC58" s="196"/>
      <c r="AD58" s="196"/>
      <c r="AE58" s="196"/>
      <c r="AF58" s="196"/>
      <c r="AG58" s="196"/>
      <c r="AH58" s="196"/>
    </row>
    <row r="59">
      <c r="A59" s="196"/>
      <c r="B59" s="196"/>
      <c r="C59" s="196"/>
      <c r="D59" s="196"/>
      <c r="E59" s="196"/>
      <c r="F59" s="196"/>
      <c r="G59" s="196"/>
      <c r="H59" s="196"/>
      <c r="I59" s="139"/>
      <c r="J59" s="196"/>
      <c r="K59" s="196"/>
      <c r="L59" s="139"/>
      <c r="M59" s="196"/>
      <c r="N59" s="196"/>
      <c r="O59" s="196"/>
      <c r="P59" s="196"/>
      <c r="Q59" s="196"/>
      <c r="R59" s="196"/>
      <c r="S59" s="196"/>
      <c r="T59" s="196"/>
      <c r="U59" s="196"/>
      <c r="V59" s="196"/>
      <c r="W59" s="196"/>
      <c r="X59" s="196"/>
      <c r="Y59" s="196"/>
      <c r="Z59" s="196"/>
      <c r="AA59" s="196"/>
      <c r="AB59" s="196"/>
      <c r="AC59" s="196"/>
      <c r="AD59" s="196"/>
      <c r="AE59" s="196"/>
      <c r="AF59" s="196"/>
      <c r="AG59" s="196"/>
      <c r="AH59" s="196"/>
    </row>
    <row r="60">
      <c r="A60" s="196"/>
      <c r="B60" s="196"/>
      <c r="C60" s="196"/>
      <c r="D60" s="196"/>
      <c r="E60" s="196"/>
      <c r="F60" s="196"/>
      <c r="G60" s="196"/>
      <c r="H60" s="196"/>
      <c r="I60" s="139"/>
      <c r="J60" s="196"/>
      <c r="K60" s="196"/>
      <c r="L60" s="139"/>
      <c r="M60" s="196"/>
      <c r="N60" s="196"/>
      <c r="O60" s="196"/>
      <c r="P60" s="196"/>
      <c r="Q60" s="196"/>
      <c r="R60" s="196"/>
      <c r="S60" s="196"/>
      <c r="T60" s="196"/>
      <c r="U60" s="196"/>
      <c r="V60" s="196"/>
      <c r="W60" s="196"/>
      <c r="X60" s="196"/>
      <c r="Y60" s="196"/>
      <c r="Z60" s="196"/>
      <c r="AA60" s="196"/>
      <c r="AB60" s="196"/>
      <c r="AC60" s="196"/>
      <c r="AD60" s="196"/>
      <c r="AE60" s="196"/>
      <c r="AF60" s="196"/>
      <c r="AG60" s="196"/>
      <c r="AH60" s="196"/>
    </row>
    <row r="61">
      <c r="A61" s="196"/>
      <c r="B61" s="196"/>
      <c r="C61" s="196"/>
      <c r="D61" s="196"/>
      <c r="E61" s="196"/>
      <c r="F61" s="196"/>
      <c r="G61" s="196"/>
      <c r="H61" s="196"/>
      <c r="I61" s="139"/>
      <c r="J61" s="196"/>
      <c r="K61" s="196"/>
      <c r="L61" s="139"/>
      <c r="M61" s="196"/>
      <c r="N61" s="196"/>
      <c r="O61" s="196"/>
      <c r="P61" s="196"/>
      <c r="Q61" s="196"/>
      <c r="R61" s="196"/>
      <c r="S61" s="196"/>
      <c r="T61" s="196"/>
      <c r="U61" s="196"/>
      <c r="V61" s="196"/>
      <c r="W61" s="196"/>
      <c r="X61" s="196"/>
      <c r="Y61" s="196"/>
      <c r="Z61" s="196"/>
      <c r="AA61" s="196"/>
      <c r="AB61" s="196"/>
      <c r="AC61" s="196"/>
      <c r="AD61" s="196"/>
      <c r="AE61" s="196"/>
      <c r="AF61" s="196"/>
      <c r="AG61" s="196"/>
      <c r="AH61" s="196"/>
    </row>
    <row r="62">
      <c r="A62" s="196"/>
      <c r="B62" s="196"/>
      <c r="C62" s="196"/>
      <c r="D62" s="196"/>
      <c r="E62" s="196"/>
      <c r="F62" s="196"/>
      <c r="G62" s="196"/>
      <c r="H62" s="196"/>
      <c r="I62" s="139"/>
      <c r="J62" s="196"/>
      <c r="K62" s="196"/>
      <c r="L62" s="139"/>
      <c r="M62" s="196"/>
      <c r="N62" s="196"/>
      <c r="O62" s="196"/>
      <c r="P62" s="196"/>
      <c r="Q62" s="196"/>
      <c r="R62" s="196"/>
      <c r="S62" s="196"/>
      <c r="T62" s="196"/>
      <c r="U62" s="196"/>
      <c r="V62" s="196"/>
      <c r="W62" s="196"/>
      <c r="X62" s="196"/>
      <c r="Y62" s="196"/>
      <c r="Z62" s="196"/>
      <c r="AA62" s="196"/>
      <c r="AB62" s="196"/>
      <c r="AC62" s="196"/>
      <c r="AD62" s="196"/>
      <c r="AE62" s="196"/>
      <c r="AF62" s="196"/>
      <c r="AG62" s="196"/>
      <c r="AH62" s="196"/>
    </row>
    <row r="63">
      <c r="A63" s="196"/>
      <c r="B63" s="196"/>
      <c r="C63" s="196"/>
      <c r="D63" s="196"/>
      <c r="E63" s="196"/>
      <c r="F63" s="196"/>
      <c r="G63" s="196"/>
      <c r="H63" s="196"/>
      <c r="I63" s="139"/>
      <c r="J63" s="196"/>
      <c r="K63" s="196"/>
      <c r="L63" s="139"/>
      <c r="M63" s="196"/>
      <c r="N63" s="196"/>
      <c r="O63" s="196"/>
      <c r="P63" s="196"/>
      <c r="Q63" s="196"/>
      <c r="R63" s="196"/>
      <c r="S63" s="196"/>
      <c r="T63" s="196"/>
      <c r="U63" s="196"/>
      <c r="V63" s="196"/>
      <c r="W63" s="196"/>
      <c r="X63" s="196"/>
      <c r="Y63" s="196"/>
      <c r="Z63" s="196"/>
      <c r="AA63" s="196"/>
      <c r="AB63" s="196"/>
      <c r="AC63" s="196"/>
      <c r="AD63" s="196"/>
      <c r="AE63" s="196"/>
      <c r="AF63" s="196"/>
      <c r="AG63" s="196"/>
      <c r="AH63" s="196"/>
    </row>
    <row r="64">
      <c r="A64" s="196"/>
      <c r="B64" s="196"/>
      <c r="C64" s="196"/>
      <c r="D64" s="196"/>
      <c r="E64" s="196"/>
      <c r="F64" s="196"/>
      <c r="G64" s="196"/>
      <c r="H64" s="196"/>
      <c r="I64" s="139"/>
      <c r="J64" s="196"/>
      <c r="K64" s="196"/>
      <c r="L64" s="139"/>
      <c r="M64" s="196"/>
      <c r="N64" s="196"/>
      <c r="O64" s="196"/>
      <c r="P64" s="196"/>
      <c r="Q64" s="196"/>
      <c r="R64" s="196"/>
      <c r="S64" s="196"/>
      <c r="T64" s="196"/>
      <c r="U64" s="196"/>
      <c r="V64" s="196"/>
      <c r="W64" s="196"/>
      <c r="X64" s="196"/>
      <c r="Y64" s="196"/>
      <c r="Z64" s="196"/>
      <c r="AA64" s="196"/>
      <c r="AB64" s="196"/>
      <c r="AC64" s="196"/>
      <c r="AD64" s="196"/>
      <c r="AE64" s="196"/>
      <c r="AF64" s="196"/>
      <c r="AG64" s="196"/>
      <c r="AH64" s="196"/>
    </row>
    <row r="65">
      <c r="A65" s="196"/>
      <c r="B65" s="196"/>
      <c r="C65" s="196"/>
      <c r="D65" s="196"/>
      <c r="E65" s="196"/>
      <c r="F65" s="196"/>
      <c r="G65" s="196"/>
      <c r="H65" s="196"/>
      <c r="I65" s="139"/>
      <c r="J65" s="196"/>
      <c r="K65" s="196"/>
      <c r="L65" s="139"/>
      <c r="M65" s="196"/>
      <c r="N65" s="196"/>
      <c r="O65" s="196"/>
      <c r="P65" s="196"/>
      <c r="Q65" s="196"/>
      <c r="R65" s="196"/>
      <c r="S65" s="196"/>
      <c r="T65" s="196"/>
      <c r="U65" s="196"/>
      <c r="V65" s="196"/>
      <c r="W65" s="196"/>
      <c r="X65" s="196"/>
      <c r="Y65" s="196"/>
      <c r="Z65" s="196"/>
      <c r="AA65" s="196"/>
      <c r="AB65" s="196"/>
      <c r="AC65" s="196"/>
      <c r="AD65" s="196"/>
      <c r="AE65" s="196"/>
      <c r="AF65" s="196"/>
      <c r="AG65" s="196"/>
      <c r="AH65" s="196"/>
    </row>
    <row r="66">
      <c r="A66" s="196"/>
      <c r="B66" s="196"/>
      <c r="C66" s="196"/>
      <c r="D66" s="196"/>
      <c r="E66" s="196"/>
      <c r="F66" s="196"/>
      <c r="G66" s="196"/>
      <c r="H66" s="196"/>
      <c r="I66" s="139"/>
      <c r="J66" s="196"/>
      <c r="K66" s="196"/>
      <c r="L66" s="139"/>
      <c r="M66" s="196"/>
      <c r="N66" s="196"/>
      <c r="O66" s="196"/>
      <c r="P66" s="196"/>
      <c r="Q66" s="196"/>
      <c r="R66" s="196"/>
      <c r="S66" s="196"/>
      <c r="T66" s="196"/>
      <c r="U66" s="196"/>
      <c r="V66" s="196"/>
      <c r="W66" s="196"/>
      <c r="X66" s="196"/>
      <c r="Y66" s="196"/>
      <c r="Z66" s="196"/>
      <c r="AA66" s="196"/>
      <c r="AB66" s="196"/>
      <c r="AC66" s="196"/>
      <c r="AD66" s="196"/>
      <c r="AE66" s="196"/>
      <c r="AF66" s="196"/>
      <c r="AG66" s="196"/>
      <c r="AH66" s="196"/>
    </row>
    <row r="67">
      <c r="A67" s="196"/>
      <c r="B67" s="196"/>
      <c r="C67" s="196"/>
      <c r="D67" s="196"/>
      <c r="E67" s="196"/>
      <c r="F67" s="196"/>
      <c r="G67" s="196"/>
      <c r="H67" s="196"/>
      <c r="I67" s="139"/>
      <c r="J67" s="196"/>
      <c r="K67" s="196"/>
      <c r="L67" s="139"/>
      <c r="M67" s="196"/>
      <c r="N67" s="196"/>
      <c r="O67" s="196"/>
      <c r="P67" s="196"/>
      <c r="Q67" s="196"/>
      <c r="R67" s="196"/>
      <c r="S67" s="196"/>
      <c r="T67" s="196"/>
      <c r="U67" s="196"/>
      <c r="V67" s="196"/>
      <c r="W67" s="196"/>
      <c r="X67" s="196"/>
      <c r="Y67" s="196"/>
      <c r="Z67" s="196"/>
      <c r="AA67" s="196"/>
      <c r="AB67" s="196"/>
      <c r="AC67" s="196"/>
      <c r="AD67" s="196"/>
      <c r="AE67" s="196"/>
      <c r="AF67" s="196"/>
      <c r="AG67" s="196"/>
      <c r="AH67" s="196"/>
    </row>
    <row r="68">
      <c r="A68" s="196"/>
      <c r="B68" s="196"/>
      <c r="C68" s="196"/>
      <c r="D68" s="196"/>
      <c r="E68" s="196"/>
      <c r="F68" s="196"/>
      <c r="G68" s="196"/>
      <c r="H68" s="196"/>
      <c r="I68" s="139"/>
      <c r="J68" s="196"/>
      <c r="K68" s="196"/>
      <c r="L68" s="139"/>
      <c r="M68" s="196"/>
      <c r="N68" s="196"/>
      <c r="O68" s="196"/>
      <c r="P68" s="196"/>
      <c r="Q68" s="196"/>
      <c r="R68" s="196"/>
      <c r="S68" s="196"/>
      <c r="T68" s="196"/>
      <c r="U68" s="196"/>
      <c r="V68" s="196"/>
      <c r="W68" s="196"/>
      <c r="X68" s="196"/>
      <c r="Y68" s="196"/>
      <c r="Z68" s="196"/>
      <c r="AA68" s="196"/>
      <c r="AB68" s="196"/>
      <c r="AC68" s="196"/>
      <c r="AD68" s="196"/>
      <c r="AE68" s="196"/>
      <c r="AF68" s="196"/>
      <c r="AG68" s="196"/>
      <c r="AH68" s="196"/>
    </row>
    <row r="69">
      <c r="A69" s="196"/>
      <c r="B69" s="196"/>
      <c r="C69" s="196"/>
      <c r="D69" s="196"/>
      <c r="E69" s="196"/>
      <c r="F69" s="196"/>
      <c r="G69" s="196"/>
      <c r="H69" s="196"/>
      <c r="I69" s="139"/>
      <c r="J69" s="196"/>
      <c r="K69" s="196"/>
      <c r="L69" s="139"/>
      <c r="M69" s="196"/>
      <c r="N69" s="196"/>
      <c r="O69" s="196"/>
      <c r="P69" s="196"/>
      <c r="Q69" s="196"/>
      <c r="R69" s="196"/>
      <c r="S69" s="196"/>
      <c r="T69" s="196"/>
      <c r="U69" s="196"/>
      <c r="V69" s="196"/>
      <c r="W69" s="196"/>
      <c r="X69" s="196"/>
      <c r="Y69" s="196"/>
      <c r="Z69" s="196"/>
      <c r="AA69" s="196"/>
      <c r="AB69" s="196"/>
      <c r="AC69" s="196"/>
      <c r="AD69" s="196"/>
      <c r="AE69" s="196"/>
      <c r="AF69" s="196"/>
      <c r="AG69" s="196"/>
      <c r="AH69" s="196"/>
    </row>
    <row r="70">
      <c r="A70" s="196"/>
      <c r="B70" s="196"/>
      <c r="C70" s="196"/>
      <c r="D70" s="196"/>
      <c r="E70" s="196"/>
      <c r="F70" s="196"/>
      <c r="G70" s="196"/>
      <c r="H70" s="196"/>
      <c r="I70" s="139"/>
      <c r="J70" s="196"/>
      <c r="K70" s="196"/>
      <c r="L70" s="139"/>
      <c r="M70" s="196"/>
      <c r="N70" s="196"/>
      <c r="O70" s="196"/>
      <c r="P70" s="196"/>
      <c r="Q70" s="196"/>
      <c r="R70" s="196"/>
      <c r="S70" s="196"/>
      <c r="T70" s="196"/>
      <c r="U70" s="196"/>
      <c r="V70" s="196"/>
      <c r="W70" s="196"/>
      <c r="X70" s="196"/>
      <c r="Y70" s="196"/>
      <c r="Z70" s="196"/>
      <c r="AA70" s="196"/>
      <c r="AB70" s="196"/>
      <c r="AC70" s="196"/>
      <c r="AD70" s="196"/>
      <c r="AE70" s="196"/>
      <c r="AF70" s="196"/>
      <c r="AG70" s="196"/>
      <c r="AH70" s="196"/>
    </row>
    <row r="71">
      <c r="A71" s="196"/>
      <c r="B71" s="196"/>
      <c r="C71" s="196"/>
      <c r="D71" s="196"/>
      <c r="E71" s="196"/>
      <c r="F71" s="196"/>
      <c r="G71" s="196"/>
      <c r="H71" s="196"/>
      <c r="I71" s="139"/>
      <c r="J71" s="196"/>
      <c r="K71" s="196"/>
      <c r="L71" s="139"/>
      <c r="M71" s="196"/>
      <c r="N71" s="196"/>
      <c r="O71" s="196"/>
      <c r="P71" s="196"/>
      <c r="Q71" s="196"/>
      <c r="R71" s="196"/>
      <c r="S71" s="196"/>
      <c r="T71" s="196"/>
      <c r="U71" s="196"/>
      <c r="V71" s="196"/>
      <c r="W71" s="196"/>
      <c r="X71" s="196"/>
      <c r="Y71" s="196"/>
      <c r="Z71" s="196"/>
      <c r="AA71" s="196"/>
      <c r="AB71" s="196"/>
      <c r="AC71" s="196"/>
      <c r="AD71" s="196"/>
      <c r="AE71" s="196"/>
      <c r="AF71" s="196"/>
      <c r="AG71" s="196"/>
      <c r="AH71" s="196"/>
    </row>
    <row r="72">
      <c r="A72" s="196"/>
      <c r="B72" s="196"/>
      <c r="C72" s="196"/>
      <c r="D72" s="196"/>
      <c r="E72" s="196"/>
      <c r="F72" s="196"/>
      <c r="G72" s="196"/>
      <c r="H72" s="196"/>
      <c r="I72" s="139"/>
      <c r="J72" s="196"/>
      <c r="K72" s="196"/>
      <c r="L72" s="139"/>
      <c r="M72" s="196"/>
      <c r="N72" s="196"/>
      <c r="O72" s="196"/>
      <c r="P72" s="196"/>
      <c r="Q72" s="196"/>
      <c r="R72" s="196"/>
      <c r="S72" s="196"/>
      <c r="T72" s="196"/>
      <c r="U72" s="196"/>
      <c r="V72" s="196"/>
      <c r="W72" s="196"/>
      <c r="X72" s="196"/>
      <c r="Y72" s="196"/>
      <c r="Z72" s="196"/>
      <c r="AA72" s="196"/>
      <c r="AB72" s="196"/>
      <c r="AC72" s="196"/>
      <c r="AD72" s="196"/>
      <c r="AE72" s="196"/>
      <c r="AF72" s="196"/>
      <c r="AG72" s="196"/>
      <c r="AH72" s="196"/>
    </row>
    <row r="73">
      <c r="A73" s="196"/>
      <c r="B73" s="196"/>
      <c r="C73" s="196"/>
      <c r="D73" s="196"/>
      <c r="E73" s="196"/>
      <c r="F73" s="196"/>
      <c r="G73" s="196"/>
      <c r="H73" s="196"/>
      <c r="I73" s="139"/>
      <c r="J73" s="196"/>
      <c r="K73" s="196"/>
      <c r="L73" s="139"/>
      <c r="M73" s="196"/>
      <c r="N73" s="196"/>
      <c r="O73" s="196"/>
      <c r="P73" s="196"/>
      <c r="Q73" s="196"/>
      <c r="R73" s="196"/>
      <c r="S73" s="196"/>
      <c r="T73" s="196"/>
      <c r="U73" s="196"/>
      <c r="V73" s="196"/>
      <c r="W73" s="196"/>
      <c r="X73" s="196"/>
      <c r="Y73" s="196"/>
      <c r="Z73" s="196"/>
      <c r="AA73" s="196"/>
      <c r="AB73" s="196"/>
      <c r="AC73" s="196"/>
      <c r="AD73" s="196"/>
      <c r="AE73" s="196"/>
      <c r="AF73" s="196"/>
      <c r="AG73" s="196"/>
      <c r="AH73" s="196"/>
    </row>
    <row r="74">
      <c r="A74" s="196"/>
      <c r="B74" s="196"/>
      <c r="C74" s="196"/>
      <c r="D74" s="196"/>
      <c r="E74" s="196"/>
      <c r="F74" s="196"/>
      <c r="G74" s="196"/>
      <c r="H74" s="196"/>
      <c r="I74" s="139"/>
      <c r="J74" s="196"/>
      <c r="K74" s="196"/>
      <c r="L74" s="139"/>
      <c r="M74" s="196"/>
      <c r="N74" s="196"/>
      <c r="O74" s="196"/>
      <c r="P74" s="196"/>
      <c r="Q74" s="196"/>
      <c r="R74" s="196"/>
      <c r="S74" s="196"/>
      <c r="T74" s="196"/>
      <c r="U74" s="196"/>
      <c r="V74" s="196"/>
      <c r="W74" s="196"/>
      <c r="X74" s="196"/>
      <c r="Y74" s="196"/>
      <c r="Z74" s="196"/>
      <c r="AA74" s="196"/>
      <c r="AB74" s="196"/>
      <c r="AC74" s="196"/>
      <c r="AD74" s="196"/>
      <c r="AE74" s="196"/>
      <c r="AF74" s="196"/>
      <c r="AG74" s="196"/>
      <c r="AH74" s="196"/>
    </row>
    <row r="75">
      <c r="A75" s="196"/>
      <c r="B75" s="196"/>
      <c r="C75" s="196"/>
      <c r="D75" s="196"/>
      <c r="E75" s="196"/>
      <c r="F75" s="196"/>
      <c r="G75" s="196"/>
      <c r="H75" s="196"/>
      <c r="I75" s="139"/>
      <c r="J75" s="196"/>
      <c r="K75" s="196"/>
      <c r="L75" s="139"/>
      <c r="M75" s="196"/>
      <c r="N75" s="196"/>
      <c r="O75" s="196"/>
      <c r="P75" s="196"/>
      <c r="Q75" s="196"/>
      <c r="R75" s="196"/>
      <c r="S75" s="196"/>
      <c r="T75" s="196"/>
      <c r="U75" s="196"/>
      <c r="V75" s="196"/>
      <c r="W75" s="196"/>
      <c r="X75" s="196"/>
      <c r="Y75" s="196"/>
      <c r="Z75" s="196"/>
      <c r="AA75" s="196"/>
      <c r="AB75" s="196"/>
      <c r="AC75" s="196"/>
      <c r="AD75" s="196"/>
      <c r="AE75" s="196"/>
      <c r="AF75" s="196"/>
      <c r="AG75" s="196"/>
      <c r="AH75" s="196"/>
    </row>
    <row r="76">
      <c r="A76" s="196"/>
      <c r="B76" s="196"/>
      <c r="C76" s="196"/>
      <c r="D76" s="196"/>
      <c r="E76" s="196"/>
      <c r="F76" s="196"/>
      <c r="G76" s="196"/>
      <c r="H76" s="196"/>
      <c r="I76" s="139"/>
      <c r="J76" s="196"/>
      <c r="K76" s="196"/>
      <c r="L76" s="139"/>
      <c r="M76" s="196"/>
      <c r="N76" s="196"/>
      <c r="O76" s="196"/>
      <c r="P76" s="196"/>
      <c r="Q76" s="196"/>
      <c r="R76" s="196"/>
      <c r="S76" s="196"/>
      <c r="T76" s="196"/>
      <c r="U76" s="196"/>
      <c r="V76" s="196"/>
      <c r="W76" s="196"/>
      <c r="X76" s="196"/>
      <c r="Y76" s="196"/>
      <c r="Z76" s="196"/>
      <c r="AA76" s="196"/>
      <c r="AB76" s="196"/>
      <c r="AC76" s="196"/>
      <c r="AD76" s="196"/>
      <c r="AE76" s="196"/>
      <c r="AF76" s="196"/>
      <c r="AG76" s="196"/>
      <c r="AH76" s="196"/>
    </row>
    <row r="77">
      <c r="A77" s="196"/>
      <c r="B77" s="196"/>
      <c r="C77" s="196"/>
      <c r="D77" s="196"/>
      <c r="E77" s="196"/>
      <c r="F77" s="196"/>
      <c r="G77" s="196"/>
      <c r="H77" s="315"/>
      <c r="I77" s="316"/>
      <c r="J77" s="315"/>
      <c r="K77" s="315"/>
      <c r="L77" s="316"/>
      <c r="M77" s="196"/>
      <c r="N77" s="196"/>
      <c r="O77" s="196"/>
      <c r="P77" s="196"/>
      <c r="Q77" s="196"/>
      <c r="R77" s="196"/>
      <c r="S77" s="196"/>
      <c r="T77" s="196"/>
      <c r="U77" s="196"/>
      <c r="V77" s="196"/>
      <c r="W77" s="196"/>
      <c r="X77" s="196"/>
      <c r="Y77" s="196"/>
      <c r="Z77" s="196"/>
      <c r="AA77" s="196"/>
      <c r="AB77" s="196"/>
      <c r="AC77" s="196"/>
      <c r="AD77" s="196"/>
      <c r="AE77" s="196"/>
      <c r="AF77" s="196"/>
      <c r="AG77" s="196"/>
      <c r="AH77" s="196"/>
    </row>
    <row r="78">
      <c r="A78" s="196"/>
      <c r="B78" s="196"/>
      <c r="C78" s="196"/>
      <c r="D78" s="196"/>
      <c r="E78" s="196"/>
      <c r="F78" s="196"/>
      <c r="G78" s="196"/>
      <c r="H78" s="315"/>
      <c r="I78" s="316"/>
      <c r="J78" s="315"/>
      <c r="K78" s="196"/>
      <c r="L78" s="139"/>
      <c r="M78" s="196"/>
      <c r="N78" s="196"/>
      <c r="O78" s="196"/>
      <c r="P78" s="196"/>
      <c r="Q78" s="196"/>
      <c r="R78" s="196"/>
      <c r="S78" s="196"/>
      <c r="T78" s="196"/>
      <c r="U78" s="196"/>
      <c r="V78" s="196"/>
      <c r="W78" s="196"/>
      <c r="X78" s="196"/>
      <c r="Y78" s="196"/>
      <c r="Z78" s="196"/>
      <c r="AA78" s="196"/>
      <c r="AB78" s="196"/>
      <c r="AC78" s="196"/>
      <c r="AD78" s="196"/>
      <c r="AE78" s="196"/>
      <c r="AF78" s="196"/>
      <c r="AG78" s="196"/>
      <c r="AH78" s="196"/>
    </row>
    <row r="79">
      <c r="A79" s="196"/>
      <c r="B79" s="196"/>
      <c r="C79" s="196"/>
      <c r="D79" s="196"/>
      <c r="E79" s="196"/>
      <c r="F79" s="196"/>
      <c r="G79" s="196"/>
      <c r="H79" s="315"/>
      <c r="I79" s="316"/>
      <c r="J79" s="315"/>
      <c r="K79" s="196"/>
      <c r="L79" s="139"/>
      <c r="M79" s="196"/>
      <c r="N79" s="196"/>
      <c r="O79" s="196"/>
      <c r="P79" s="196"/>
      <c r="Q79" s="196"/>
      <c r="R79" s="196"/>
      <c r="S79" s="196"/>
      <c r="T79" s="196"/>
      <c r="U79" s="196"/>
      <c r="V79" s="196"/>
      <c r="W79" s="196"/>
      <c r="X79" s="196"/>
      <c r="Y79" s="196"/>
      <c r="Z79" s="196"/>
      <c r="AA79" s="196"/>
      <c r="AB79" s="196"/>
      <c r="AC79" s="196"/>
      <c r="AD79" s="196"/>
      <c r="AE79" s="196"/>
      <c r="AF79" s="196"/>
      <c r="AG79" s="196"/>
      <c r="AH79" s="196"/>
    </row>
    <row r="80">
      <c r="A80" s="196"/>
      <c r="B80" s="196"/>
      <c r="C80" s="196"/>
      <c r="D80" s="196"/>
      <c r="E80" s="196"/>
      <c r="F80" s="196"/>
      <c r="G80" s="196"/>
      <c r="H80" s="315"/>
      <c r="I80" s="316"/>
      <c r="J80" s="315"/>
      <c r="K80" s="196"/>
      <c r="L80" s="139"/>
      <c r="M80" s="196"/>
      <c r="N80" s="196"/>
      <c r="O80" s="196"/>
      <c r="P80" s="196"/>
      <c r="Q80" s="196"/>
      <c r="R80" s="196"/>
      <c r="S80" s="196"/>
      <c r="T80" s="196"/>
      <c r="U80" s="196"/>
      <c r="V80" s="196"/>
      <c r="W80" s="196"/>
      <c r="X80" s="196"/>
      <c r="Y80" s="196"/>
      <c r="Z80" s="196"/>
      <c r="AA80" s="196"/>
      <c r="AB80" s="196"/>
      <c r="AC80" s="196"/>
      <c r="AD80" s="196"/>
      <c r="AE80" s="196"/>
      <c r="AF80" s="196"/>
      <c r="AG80" s="196"/>
      <c r="AH80" s="196"/>
    </row>
    <row r="81">
      <c r="A81" s="196"/>
      <c r="B81" s="196"/>
      <c r="C81" s="196"/>
      <c r="D81" s="196"/>
      <c r="E81" s="196"/>
      <c r="F81" s="196"/>
      <c r="G81" s="196"/>
      <c r="H81" s="315"/>
      <c r="I81" s="316"/>
      <c r="J81" s="315"/>
      <c r="K81" s="196"/>
      <c r="L81" s="139"/>
      <c r="M81" s="196"/>
      <c r="N81" s="196"/>
      <c r="O81" s="196"/>
      <c r="P81" s="196"/>
      <c r="Q81" s="196"/>
      <c r="R81" s="196"/>
      <c r="S81" s="196"/>
      <c r="T81" s="196"/>
      <c r="U81" s="196"/>
      <c r="V81" s="196"/>
      <c r="W81" s="196"/>
      <c r="X81" s="196"/>
      <c r="Y81" s="196"/>
      <c r="Z81" s="196"/>
      <c r="AA81" s="196"/>
      <c r="AB81" s="196"/>
      <c r="AC81" s="196"/>
      <c r="AD81" s="196"/>
      <c r="AE81" s="196"/>
      <c r="AF81" s="196"/>
      <c r="AG81" s="196"/>
      <c r="AH81" s="196"/>
    </row>
    <row r="82">
      <c r="A82" s="196"/>
      <c r="B82" s="196"/>
      <c r="C82" s="196"/>
      <c r="D82" s="196"/>
      <c r="E82" s="196"/>
      <c r="F82" s="196"/>
      <c r="G82" s="196"/>
      <c r="H82" s="196"/>
      <c r="I82" s="139"/>
      <c r="J82" s="196"/>
      <c r="K82" s="196"/>
      <c r="L82" s="139"/>
      <c r="M82" s="196"/>
      <c r="N82" s="196"/>
      <c r="O82" s="196"/>
      <c r="P82" s="196"/>
      <c r="Q82" s="196"/>
      <c r="R82" s="196"/>
      <c r="S82" s="196"/>
      <c r="T82" s="196"/>
      <c r="U82" s="196"/>
      <c r="V82" s="196"/>
      <c r="W82" s="196"/>
      <c r="X82" s="196"/>
      <c r="Y82" s="196"/>
      <c r="Z82" s="196"/>
      <c r="AA82" s="196"/>
      <c r="AB82" s="196"/>
      <c r="AC82" s="196"/>
      <c r="AD82" s="196"/>
      <c r="AE82" s="196"/>
      <c r="AF82" s="196"/>
      <c r="AG82" s="196"/>
      <c r="AH82" s="196"/>
    </row>
    <row r="83">
      <c r="A83" s="196"/>
      <c r="B83" s="196"/>
      <c r="C83" s="196"/>
      <c r="D83" s="196"/>
      <c r="E83" s="196"/>
      <c r="F83" s="196"/>
      <c r="G83" s="196"/>
      <c r="H83" s="196"/>
      <c r="I83" s="139"/>
      <c r="J83" s="196"/>
      <c r="K83" s="196"/>
      <c r="L83" s="139"/>
      <c r="M83" s="196"/>
      <c r="N83" s="196"/>
      <c r="O83" s="196"/>
      <c r="P83" s="196"/>
      <c r="Q83" s="196"/>
      <c r="R83" s="196"/>
      <c r="S83" s="196"/>
      <c r="T83" s="196"/>
      <c r="U83" s="196"/>
      <c r="V83" s="196"/>
      <c r="W83" s="196"/>
      <c r="X83" s="196"/>
      <c r="Y83" s="196"/>
      <c r="Z83" s="196"/>
      <c r="AA83" s="196"/>
      <c r="AB83" s="196"/>
      <c r="AC83" s="196"/>
      <c r="AD83" s="196"/>
      <c r="AE83" s="196"/>
      <c r="AF83" s="196"/>
      <c r="AG83" s="196"/>
      <c r="AH83" s="196"/>
    </row>
    <row r="84">
      <c r="A84" s="196"/>
      <c r="B84" s="196"/>
      <c r="C84" s="196"/>
      <c r="D84" s="196"/>
      <c r="E84" s="196"/>
      <c r="F84" s="196"/>
      <c r="G84" s="196"/>
      <c r="H84" s="196"/>
      <c r="I84" s="139"/>
      <c r="J84" s="196"/>
      <c r="K84" s="196"/>
      <c r="L84" s="139"/>
      <c r="M84" s="196"/>
      <c r="N84" s="196"/>
      <c r="O84" s="196"/>
      <c r="P84" s="196"/>
      <c r="Q84" s="196"/>
      <c r="R84" s="196"/>
      <c r="S84" s="196"/>
      <c r="T84" s="196"/>
      <c r="U84" s="196"/>
      <c r="V84" s="196"/>
      <c r="W84" s="196"/>
      <c r="X84" s="196"/>
      <c r="Y84" s="196"/>
      <c r="Z84" s="196"/>
      <c r="AA84" s="196"/>
      <c r="AB84" s="196"/>
      <c r="AC84" s="196"/>
      <c r="AD84" s="196"/>
      <c r="AE84" s="196"/>
      <c r="AF84" s="196"/>
      <c r="AG84" s="196"/>
      <c r="AH84" s="196"/>
    </row>
    <row r="85">
      <c r="A85" s="196"/>
      <c r="B85" s="196"/>
      <c r="C85" s="196"/>
      <c r="D85" s="196"/>
      <c r="E85" s="196"/>
      <c r="F85" s="196"/>
      <c r="G85" s="196"/>
      <c r="H85" s="196"/>
      <c r="I85" s="139"/>
      <c r="J85" s="196"/>
      <c r="K85" s="196"/>
      <c r="L85" s="139"/>
      <c r="M85" s="196"/>
      <c r="N85" s="196"/>
      <c r="O85" s="196"/>
      <c r="P85" s="196"/>
      <c r="Q85" s="196"/>
      <c r="R85" s="196"/>
      <c r="S85" s="196"/>
      <c r="T85" s="196"/>
      <c r="U85" s="196"/>
      <c r="V85" s="196"/>
      <c r="W85" s="196"/>
      <c r="X85" s="196"/>
      <c r="Y85" s="196"/>
      <c r="Z85" s="196"/>
      <c r="AA85" s="196"/>
      <c r="AB85" s="196"/>
      <c r="AC85" s="196"/>
      <c r="AD85" s="196"/>
      <c r="AE85" s="196"/>
      <c r="AF85" s="196"/>
      <c r="AG85" s="196"/>
      <c r="AH85" s="196"/>
    </row>
    <row r="86">
      <c r="A86" s="196"/>
      <c r="B86" s="196"/>
      <c r="C86" s="196"/>
      <c r="D86" s="196"/>
      <c r="E86" s="196"/>
      <c r="F86" s="196"/>
      <c r="G86" s="196"/>
      <c r="H86" s="196"/>
      <c r="I86" s="139"/>
      <c r="J86" s="196"/>
      <c r="K86" s="196"/>
      <c r="L86" s="139"/>
      <c r="M86" s="196"/>
      <c r="N86" s="196"/>
      <c r="O86" s="196"/>
      <c r="P86" s="196"/>
      <c r="Q86" s="196"/>
      <c r="R86" s="196"/>
      <c r="S86" s="196"/>
      <c r="T86" s="196"/>
      <c r="U86" s="196"/>
      <c r="V86" s="196"/>
      <c r="W86" s="196"/>
      <c r="X86" s="196"/>
      <c r="Y86" s="196"/>
      <c r="Z86" s="196"/>
      <c r="AA86" s="196"/>
      <c r="AB86" s="196"/>
      <c r="AC86" s="196"/>
      <c r="AD86" s="196"/>
      <c r="AE86" s="196"/>
      <c r="AF86" s="196"/>
      <c r="AG86" s="196"/>
      <c r="AH86" s="196"/>
    </row>
    <row r="87">
      <c r="A87" s="196"/>
      <c r="B87" s="196"/>
      <c r="C87" s="196"/>
      <c r="D87" s="196"/>
      <c r="E87" s="196"/>
      <c r="F87" s="196"/>
      <c r="G87" s="196"/>
      <c r="H87" s="196"/>
      <c r="I87" s="139"/>
      <c r="J87" s="196"/>
      <c r="K87" s="196"/>
      <c r="L87" s="139"/>
      <c r="M87" s="196"/>
      <c r="N87" s="196"/>
      <c r="O87" s="196"/>
      <c r="P87" s="196"/>
      <c r="Q87" s="196"/>
      <c r="R87" s="196"/>
      <c r="S87" s="196"/>
      <c r="T87" s="196"/>
      <c r="U87" s="196"/>
      <c r="V87" s="196"/>
      <c r="W87" s="196"/>
      <c r="X87" s="196"/>
      <c r="Y87" s="196"/>
      <c r="Z87" s="196"/>
      <c r="AA87" s="196"/>
      <c r="AB87" s="196"/>
      <c r="AC87" s="196"/>
      <c r="AD87" s="196"/>
      <c r="AE87" s="196"/>
      <c r="AF87" s="196"/>
      <c r="AG87" s="196"/>
      <c r="AH87" s="196"/>
    </row>
    <row r="88">
      <c r="A88" s="196"/>
      <c r="B88" s="196"/>
      <c r="C88" s="196"/>
      <c r="D88" s="196"/>
      <c r="E88" s="196"/>
      <c r="F88" s="196"/>
      <c r="G88" s="196"/>
      <c r="H88" s="196"/>
      <c r="I88" s="139"/>
      <c r="J88" s="196"/>
      <c r="K88" s="196"/>
      <c r="L88" s="139"/>
      <c r="M88" s="196"/>
      <c r="N88" s="196"/>
      <c r="O88" s="196"/>
      <c r="P88" s="196"/>
      <c r="Q88" s="196"/>
      <c r="R88" s="196"/>
      <c r="S88" s="196"/>
      <c r="T88" s="196"/>
      <c r="U88" s="196"/>
      <c r="V88" s="196"/>
      <c r="W88" s="196"/>
      <c r="X88" s="196"/>
      <c r="Y88" s="196"/>
      <c r="Z88" s="196"/>
      <c r="AA88" s="196"/>
      <c r="AB88" s="196"/>
      <c r="AC88" s="196"/>
      <c r="AD88" s="196"/>
      <c r="AE88" s="196"/>
      <c r="AF88" s="196"/>
      <c r="AG88" s="196"/>
      <c r="AH88" s="196"/>
    </row>
    <row r="89">
      <c r="A89" s="196"/>
      <c r="B89" s="196"/>
      <c r="C89" s="196"/>
      <c r="D89" s="196"/>
      <c r="E89" s="196"/>
      <c r="F89" s="196"/>
      <c r="G89" s="196"/>
      <c r="H89" s="196"/>
      <c r="I89" s="139"/>
      <c r="J89" s="196"/>
      <c r="K89" s="196"/>
      <c r="L89" s="139"/>
      <c r="M89" s="196"/>
      <c r="N89" s="196"/>
      <c r="O89" s="196"/>
      <c r="P89" s="196"/>
      <c r="Q89" s="196"/>
      <c r="R89" s="196"/>
      <c r="S89" s="196"/>
      <c r="T89" s="196"/>
      <c r="U89" s="196"/>
      <c r="V89" s="196"/>
      <c r="W89" s="196"/>
      <c r="X89" s="196"/>
      <c r="Y89" s="196"/>
      <c r="Z89" s="196"/>
      <c r="AA89" s="196"/>
      <c r="AB89" s="196"/>
      <c r="AC89" s="196"/>
      <c r="AD89" s="196"/>
      <c r="AE89" s="196"/>
      <c r="AF89" s="196"/>
      <c r="AG89" s="196"/>
      <c r="AH89" s="196"/>
    </row>
    <row r="90">
      <c r="A90" s="196"/>
      <c r="B90" s="196"/>
      <c r="C90" s="196"/>
      <c r="D90" s="196"/>
      <c r="E90" s="196"/>
      <c r="F90" s="196"/>
      <c r="G90" s="196"/>
      <c r="H90" s="196"/>
      <c r="I90" s="139"/>
      <c r="J90" s="196"/>
      <c r="K90" s="196"/>
      <c r="L90" s="139"/>
      <c r="M90" s="196"/>
      <c r="N90" s="196"/>
      <c r="O90" s="196"/>
      <c r="P90" s="196"/>
      <c r="Q90" s="196"/>
      <c r="R90" s="196"/>
      <c r="S90" s="196"/>
      <c r="T90" s="196"/>
      <c r="U90" s="196"/>
      <c r="V90" s="196"/>
      <c r="W90" s="196"/>
      <c r="X90" s="196"/>
      <c r="Y90" s="196"/>
      <c r="Z90" s="196"/>
      <c r="AA90" s="196"/>
      <c r="AB90" s="196"/>
      <c r="AC90" s="196"/>
      <c r="AD90" s="196"/>
      <c r="AE90" s="196"/>
      <c r="AF90" s="196"/>
      <c r="AG90" s="196"/>
      <c r="AH90" s="196"/>
    </row>
    <row r="91">
      <c r="A91" s="196"/>
      <c r="B91" s="196"/>
      <c r="C91" s="196"/>
      <c r="D91" s="196"/>
      <c r="E91" s="196"/>
      <c r="F91" s="196"/>
      <c r="G91" s="196"/>
      <c r="H91" s="196"/>
      <c r="I91" s="139"/>
      <c r="J91" s="196"/>
      <c r="K91" s="196"/>
      <c r="L91" s="139"/>
      <c r="M91" s="196"/>
      <c r="N91" s="196"/>
      <c r="O91" s="196"/>
      <c r="P91" s="196"/>
      <c r="Q91" s="196"/>
      <c r="R91" s="196"/>
      <c r="S91" s="196"/>
      <c r="T91" s="196"/>
      <c r="U91" s="196"/>
      <c r="V91" s="196"/>
      <c r="W91" s="196"/>
      <c r="X91" s="196"/>
      <c r="Y91" s="196"/>
      <c r="Z91" s="196"/>
      <c r="AA91" s="196"/>
      <c r="AB91" s="196"/>
      <c r="AC91" s="196"/>
      <c r="AD91" s="196"/>
      <c r="AE91" s="196"/>
      <c r="AF91" s="196"/>
      <c r="AG91" s="196"/>
      <c r="AH91" s="196"/>
    </row>
    <row r="92">
      <c r="A92" s="196"/>
      <c r="B92" s="196"/>
      <c r="C92" s="196"/>
      <c r="D92" s="196"/>
      <c r="E92" s="196"/>
      <c r="F92" s="196"/>
      <c r="G92" s="196"/>
      <c r="H92" s="196"/>
      <c r="I92" s="139"/>
      <c r="J92" s="196"/>
      <c r="K92" s="196"/>
      <c r="L92" s="139"/>
      <c r="M92" s="196"/>
      <c r="N92" s="196"/>
      <c r="O92" s="196"/>
      <c r="P92" s="196"/>
      <c r="Q92" s="196"/>
      <c r="R92" s="196"/>
      <c r="S92" s="196"/>
      <c r="T92" s="196"/>
      <c r="U92" s="196"/>
      <c r="V92" s="196"/>
      <c r="W92" s="196"/>
      <c r="X92" s="196"/>
      <c r="Y92" s="196"/>
      <c r="Z92" s="196"/>
      <c r="AA92" s="196"/>
      <c r="AB92" s="196"/>
      <c r="AC92" s="196"/>
      <c r="AD92" s="196"/>
      <c r="AE92" s="196"/>
      <c r="AF92" s="196"/>
      <c r="AG92" s="196"/>
      <c r="AH92" s="196"/>
    </row>
    <row r="93">
      <c r="A93" s="196"/>
      <c r="B93" s="196"/>
      <c r="C93" s="196"/>
      <c r="D93" s="196"/>
      <c r="E93" s="196"/>
      <c r="F93" s="196"/>
      <c r="G93" s="196"/>
      <c r="H93" s="196"/>
      <c r="I93" s="139"/>
      <c r="J93" s="196"/>
      <c r="K93" s="196"/>
      <c r="L93" s="139"/>
      <c r="M93" s="196"/>
      <c r="N93" s="196"/>
      <c r="O93" s="196"/>
      <c r="P93" s="196"/>
      <c r="Q93" s="196"/>
      <c r="R93" s="196"/>
      <c r="S93" s="196"/>
      <c r="T93" s="196"/>
      <c r="U93" s="196"/>
      <c r="V93" s="196"/>
      <c r="W93" s="196"/>
      <c r="X93" s="196"/>
      <c r="Y93" s="196"/>
      <c r="Z93" s="196"/>
      <c r="AA93" s="196"/>
      <c r="AB93" s="196"/>
      <c r="AC93" s="196"/>
      <c r="AD93" s="196"/>
      <c r="AE93" s="196"/>
      <c r="AF93" s="196"/>
      <c r="AG93" s="196"/>
      <c r="AH93" s="196"/>
    </row>
    <row r="94">
      <c r="A94" s="196"/>
      <c r="B94" s="196"/>
      <c r="C94" s="196"/>
      <c r="D94" s="196"/>
      <c r="E94" s="196"/>
      <c r="F94" s="196"/>
      <c r="G94" s="196"/>
      <c r="H94" s="196"/>
      <c r="I94" s="139"/>
      <c r="J94" s="196"/>
      <c r="K94" s="196"/>
      <c r="L94" s="139"/>
      <c r="M94" s="196"/>
      <c r="N94" s="196"/>
      <c r="O94" s="196"/>
      <c r="P94" s="196"/>
      <c r="Q94" s="196"/>
      <c r="R94" s="196"/>
      <c r="S94" s="196"/>
      <c r="T94" s="196"/>
      <c r="U94" s="196"/>
      <c r="V94" s="196"/>
      <c r="W94" s="196"/>
      <c r="X94" s="196"/>
      <c r="Y94" s="196"/>
      <c r="Z94" s="196"/>
      <c r="AA94" s="196"/>
      <c r="AB94" s="196"/>
      <c r="AC94" s="196"/>
      <c r="AD94" s="196"/>
      <c r="AE94" s="196"/>
      <c r="AF94" s="196"/>
      <c r="AG94" s="196"/>
      <c r="AH94" s="196"/>
    </row>
    <row r="95">
      <c r="A95" s="196"/>
      <c r="B95" s="196"/>
      <c r="C95" s="196"/>
      <c r="D95" s="196"/>
      <c r="E95" s="196"/>
      <c r="F95" s="196"/>
      <c r="G95" s="196"/>
      <c r="H95" s="196"/>
      <c r="I95" s="139"/>
      <c r="J95" s="196"/>
      <c r="K95" s="196"/>
      <c r="L95" s="139"/>
      <c r="M95" s="196"/>
      <c r="N95" s="196"/>
      <c r="O95" s="196"/>
      <c r="P95" s="196"/>
      <c r="Q95" s="196"/>
      <c r="R95" s="196"/>
      <c r="S95" s="196"/>
      <c r="T95" s="196"/>
      <c r="U95" s="196"/>
      <c r="V95" s="196"/>
      <c r="W95" s="196"/>
      <c r="X95" s="196"/>
      <c r="Y95" s="196"/>
      <c r="Z95" s="196"/>
      <c r="AA95" s="196"/>
      <c r="AB95" s="196"/>
      <c r="AC95" s="196"/>
      <c r="AD95" s="196"/>
      <c r="AE95" s="196"/>
      <c r="AF95" s="196"/>
      <c r="AG95" s="196"/>
      <c r="AH95" s="196"/>
    </row>
    <row r="96">
      <c r="A96" s="196"/>
      <c r="B96" s="196"/>
      <c r="C96" s="196"/>
      <c r="D96" s="196"/>
      <c r="E96" s="196"/>
      <c r="F96" s="196"/>
      <c r="G96" s="196"/>
      <c r="H96" s="196"/>
      <c r="I96" s="139"/>
      <c r="J96" s="196"/>
      <c r="K96" s="196"/>
      <c r="L96" s="139"/>
      <c r="M96" s="196"/>
      <c r="N96" s="196"/>
      <c r="O96" s="196"/>
      <c r="P96" s="196"/>
      <c r="Q96" s="196"/>
      <c r="R96" s="196"/>
      <c r="S96" s="196"/>
      <c r="T96" s="196"/>
      <c r="U96" s="196"/>
      <c r="V96" s="196"/>
      <c r="W96" s="196"/>
      <c r="X96" s="196"/>
      <c r="Y96" s="196"/>
      <c r="Z96" s="196"/>
      <c r="AA96" s="196"/>
      <c r="AB96" s="196"/>
      <c r="AC96" s="196"/>
      <c r="AD96" s="196"/>
      <c r="AE96" s="196"/>
      <c r="AF96" s="196"/>
      <c r="AG96" s="196"/>
      <c r="AH96" s="196"/>
    </row>
    <row r="97">
      <c r="A97" s="196"/>
      <c r="B97" s="196"/>
      <c r="C97" s="196"/>
      <c r="D97" s="196"/>
      <c r="E97" s="196"/>
      <c r="F97" s="196"/>
      <c r="G97" s="196"/>
      <c r="H97" s="196"/>
      <c r="I97" s="139"/>
      <c r="J97" s="196"/>
      <c r="K97" s="196"/>
      <c r="L97" s="139"/>
      <c r="M97" s="196"/>
      <c r="N97" s="196"/>
      <c r="O97" s="196"/>
      <c r="P97" s="196"/>
      <c r="Q97" s="196"/>
      <c r="R97" s="196"/>
      <c r="S97" s="196"/>
      <c r="T97" s="196"/>
      <c r="U97" s="196"/>
      <c r="V97" s="196"/>
      <c r="W97" s="196"/>
      <c r="X97" s="196"/>
      <c r="Y97" s="196"/>
      <c r="Z97" s="196"/>
      <c r="AA97" s="196"/>
      <c r="AB97" s="196"/>
      <c r="AC97" s="196"/>
      <c r="AD97" s="196"/>
      <c r="AE97" s="196"/>
      <c r="AF97" s="196"/>
      <c r="AG97" s="196"/>
      <c r="AH97" s="196"/>
    </row>
    <row r="98">
      <c r="A98" s="196"/>
      <c r="B98" s="196"/>
      <c r="C98" s="196"/>
      <c r="D98" s="196"/>
      <c r="E98" s="196"/>
      <c r="F98" s="196"/>
      <c r="G98" s="196"/>
      <c r="H98" s="196"/>
      <c r="I98" s="139"/>
      <c r="J98" s="196"/>
      <c r="K98" s="196"/>
      <c r="L98" s="139"/>
      <c r="M98" s="196"/>
      <c r="N98" s="196"/>
      <c r="O98" s="196"/>
      <c r="P98" s="196"/>
      <c r="Q98" s="196"/>
      <c r="R98" s="196"/>
      <c r="S98" s="196"/>
      <c r="T98" s="196"/>
      <c r="U98" s="196"/>
      <c r="V98" s="196"/>
      <c r="W98" s="196"/>
      <c r="X98" s="196"/>
      <c r="Y98" s="196"/>
      <c r="Z98" s="196"/>
      <c r="AA98" s="196"/>
      <c r="AB98" s="196"/>
      <c r="AC98" s="196"/>
      <c r="AD98" s="196"/>
      <c r="AE98" s="196"/>
      <c r="AF98" s="196"/>
      <c r="AG98" s="196"/>
      <c r="AH98" s="196"/>
    </row>
    <row r="99">
      <c r="A99" s="196"/>
      <c r="B99" s="196"/>
      <c r="C99" s="196"/>
      <c r="D99" s="196"/>
      <c r="E99" s="196"/>
      <c r="F99" s="196"/>
      <c r="G99" s="196"/>
      <c r="H99" s="196"/>
      <c r="I99" s="139"/>
      <c r="J99" s="196"/>
      <c r="K99" s="196"/>
      <c r="L99" s="139"/>
      <c r="M99" s="196"/>
      <c r="N99" s="196"/>
      <c r="O99" s="196"/>
      <c r="P99" s="196"/>
      <c r="Q99" s="196"/>
      <c r="R99" s="196"/>
      <c r="S99" s="196"/>
      <c r="T99" s="196"/>
      <c r="U99" s="196"/>
      <c r="V99" s="196"/>
      <c r="W99" s="196"/>
      <c r="X99" s="196"/>
      <c r="Y99" s="196"/>
      <c r="Z99" s="196"/>
      <c r="AA99" s="196"/>
      <c r="AB99" s="196"/>
      <c r="AC99" s="196"/>
      <c r="AD99" s="196"/>
      <c r="AE99" s="196"/>
      <c r="AF99" s="196"/>
      <c r="AG99" s="196"/>
      <c r="AH99" s="196"/>
    </row>
    <row r="100">
      <c r="A100" s="196"/>
      <c r="B100" s="196"/>
      <c r="C100" s="196"/>
      <c r="D100" s="196"/>
      <c r="E100" s="196"/>
      <c r="F100" s="196"/>
      <c r="G100" s="196"/>
      <c r="H100" s="196"/>
      <c r="I100" s="139"/>
      <c r="J100" s="196"/>
      <c r="K100" s="196"/>
      <c r="L100" s="139"/>
      <c r="M100" s="196"/>
      <c r="N100" s="196"/>
      <c r="O100" s="196"/>
      <c r="P100" s="196"/>
      <c r="Q100" s="196"/>
      <c r="R100" s="196"/>
      <c r="S100" s="196"/>
      <c r="T100" s="196"/>
      <c r="U100" s="196"/>
      <c r="V100" s="196"/>
      <c r="W100" s="196"/>
      <c r="X100" s="196"/>
      <c r="Y100" s="196"/>
      <c r="Z100" s="196"/>
      <c r="AA100" s="196"/>
      <c r="AB100" s="196"/>
      <c r="AC100" s="196"/>
      <c r="AD100" s="196"/>
      <c r="AE100" s="196"/>
      <c r="AF100" s="196"/>
      <c r="AG100" s="196"/>
      <c r="AH100" s="196"/>
    </row>
    <row r="101">
      <c r="A101" s="196"/>
      <c r="B101" s="196"/>
      <c r="C101" s="196"/>
      <c r="D101" s="196"/>
      <c r="E101" s="196"/>
      <c r="F101" s="196"/>
      <c r="G101" s="196"/>
      <c r="H101" s="196"/>
      <c r="I101" s="139"/>
      <c r="J101" s="196"/>
      <c r="K101" s="196"/>
      <c r="L101" s="139"/>
      <c r="M101" s="196"/>
      <c r="N101" s="196"/>
      <c r="O101" s="196"/>
      <c r="P101" s="196"/>
      <c r="Q101" s="196"/>
      <c r="R101" s="196"/>
      <c r="S101" s="196"/>
      <c r="T101" s="196"/>
      <c r="U101" s="196"/>
      <c r="V101" s="196"/>
      <c r="W101" s="196"/>
      <c r="X101" s="196"/>
      <c r="Y101" s="196"/>
      <c r="Z101" s="196"/>
      <c r="AA101" s="196"/>
      <c r="AB101" s="196"/>
      <c r="AC101" s="196"/>
      <c r="AD101" s="196"/>
      <c r="AE101" s="196"/>
      <c r="AF101" s="196"/>
      <c r="AG101" s="196"/>
      <c r="AH101" s="196"/>
    </row>
    <row r="102">
      <c r="A102" s="196"/>
      <c r="B102" s="196"/>
      <c r="C102" s="196"/>
      <c r="D102" s="196"/>
      <c r="E102" s="196"/>
      <c r="F102" s="196"/>
      <c r="G102" s="196"/>
      <c r="H102" s="196"/>
      <c r="I102" s="139"/>
      <c r="J102" s="196"/>
      <c r="K102" s="196"/>
      <c r="L102" s="139"/>
      <c r="M102" s="196"/>
      <c r="N102" s="196"/>
      <c r="O102" s="196"/>
      <c r="P102" s="196"/>
      <c r="Q102" s="196"/>
      <c r="R102" s="196"/>
      <c r="S102" s="196"/>
      <c r="T102" s="196"/>
      <c r="U102" s="196"/>
      <c r="V102" s="196"/>
      <c r="W102" s="196"/>
      <c r="X102" s="196"/>
      <c r="Y102" s="196"/>
      <c r="Z102" s="196"/>
      <c r="AA102" s="196"/>
      <c r="AB102" s="196"/>
      <c r="AC102" s="196"/>
      <c r="AD102" s="196"/>
      <c r="AE102" s="196"/>
      <c r="AF102" s="196"/>
      <c r="AG102" s="196"/>
      <c r="AH102" s="196"/>
    </row>
    <row r="103">
      <c r="A103" s="196"/>
      <c r="B103" s="196"/>
      <c r="C103" s="196"/>
      <c r="D103" s="196"/>
      <c r="E103" s="196"/>
      <c r="F103" s="196"/>
      <c r="G103" s="196"/>
      <c r="H103" s="196"/>
      <c r="I103" s="139"/>
      <c r="J103" s="196"/>
      <c r="K103" s="196"/>
      <c r="L103" s="139"/>
      <c r="M103" s="196"/>
      <c r="N103" s="196"/>
      <c r="O103" s="196"/>
      <c r="P103" s="196"/>
      <c r="Q103" s="196"/>
      <c r="R103" s="196"/>
      <c r="S103" s="196"/>
      <c r="T103" s="196"/>
      <c r="U103" s="196"/>
      <c r="V103" s="196"/>
      <c r="W103" s="196"/>
      <c r="X103" s="196"/>
      <c r="Y103" s="196"/>
      <c r="Z103" s="196"/>
      <c r="AA103" s="196"/>
      <c r="AB103" s="196"/>
      <c r="AC103" s="196"/>
      <c r="AD103" s="196"/>
      <c r="AE103" s="196"/>
      <c r="AF103" s="196"/>
      <c r="AG103" s="196"/>
      <c r="AH103" s="196"/>
    </row>
    <row r="104">
      <c r="A104" s="196"/>
      <c r="B104" s="196"/>
      <c r="C104" s="196"/>
      <c r="D104" s="196"/>
      <c r="E104" s="196"/>
      <c r="F104" s="196"/>
      <c r="G104" s="196"/>
      <c r="H104" s="196"/>
      <c r="I104" s="139"/>
      <c r="J104" s="196"/>
      <c r="K104" s="196"/>
      <c r="L104" s="139"/>
      <c r="M104" s="196"/>
      <c r="N104" s="196"/>
      <c r="O104" s="196"/>
      <c r="P104" s="196"/>
      <c r="Q104" s="196"/>
      <c r="R104" s="196"/>
      <c r="S104" s="196"/>
      <c r="T104" s="196"/>
      <c r="U104" s="196"/>
      <c r="V104" s="196"/>
      <c r="W104" s="196"/>
      <c r="X104" s="196"/>
      <c r="Y104" s="196"/>
      <c r="Z104" s="196"/>
      <c r="AA104" s="196"/>
      <c r="AB104" s="196"/>
      <c r="AC104" s="196"/>
      <c r="AD104" s="196"/>
      <c r="AE104" s="196"/>
      <c r="AF104" s="196"/>
      <c r="AG104" s="196"/>
      <c r="AH104" s="196"/>
    </row>
    <row r="105">
      <c r="A105" s="196"/>
      <c r="B105" s="196"/>
      <c r="C105" s="196"/>
      <c r="D105" s="196"/>
      <c r="E105" s="196"/>
      <c r="F105" s="196"/>
      <c r="G105" s="196"/>
      <c r="H105" s="196"/>
      <c r="I105" s="139"/>
      <c r="J105" s="196"/>
      <c r="K105" s="196"/>
      <c r="L105" s="139"/>
      <c r="M105" s="196"/>
      <c r="N105" s="196"/>
      <c r="O105" s="196"/>
      <c r="P105" s="196"/>
      <c r="Q105" s="196"/>
      <c r="R105" s="196"/>
      <c r="S105" s="196"/>
      <c r="T105" s="196"/>
      <c r="U105" s="196"/>
      <c r="V105" s="196"/>
      <c r="W105" s="196"/>
      <c r="X105" s="196"/>
      <c r="Y105" s="196"/>
      <c r="Z105" s="196"/>
      <c r="AA105" s="196"/>
      <c r="AB105" s="196"/>
      <c r="AC105" s="196"/>
      <c r="AD105" s="196"/>
      <c r="AE105" s="196"/>
      <c r="AF105" s="196"/>
      <c r="AG105" s="196"/>
      <c r="AH105" s="196"/>
    </row>
    <row r="106">
      <c r="A106" s="196"/>
      <c r="B106" s="196"/>
      <c r="C106" s="196"/>
      <c r="D106" s="196"/>
      <c r="E106" s="196"/>
      <c r="F106" s="196"/>
      <c r="G106" s="196"/>
      <c r="H106" s="196"/>
      <c r="I106" s="139"/>
      <c r="J106" s="196"/>
      <c r="K106" s="196"/>
      <c r="L106" s="139"/>
      <c r="M106" s="196"/>
      <c r="N106" s="196"/>
      <c r="O106" s="196"/>
      <c r="P106" s="196"/>
      <c r="Q106" s="196"/>
      <c r="R106" s="196"/>
      <c r="S106" s="196"/>
      <c r="T106" s="196"/>
      <c r="U106" s="196"/>
      <c r="V106" s="196"/>
      <c r="W106" s="196"/>
      <c r="X106" s="196"/>
      <c r="Y106" s="196"/>
      <c r="Z106" s="196"/>
      <c r="AA106" s="196"/>
      <c r="AB106" s="196"/>
      <c r="AC106" s="196"/>
      <c r="AD106" s="196"/>
      <c r="AE106" s="196"/>
      <c r="AF106" s="196"/>
      <c r="AG106" s="196"/>
      <c r="AH106" s="196"/>
    </row>
    <row r="107">
      <c r="A107" s="196"/>
      <c r="B107" s="196"/>
      <c r="C107" s="196"/>
      <c r="D107" s="196"/>
      <c r="E107" s="196"/>
      <c r="F107" s="196"/>
      <c r="G107" s="196"/>
      <c r="H107" s="196"/>
      <c r="I107" s="139"/>
      <c r="J107" s="196"/>
      <c r="K107" s="196"/>
      <c r="L107" s="139"/>
      <c r="M107" s="196"/>
      <c r="N107" s="196"/>
      <c r="O107" s="196"/>
      <c r="P107" s="196"/>
      <c r="Q107" s="196"/>
      <c r="R107" s="196"/>
      <c r="S107" s="196"/>
      <c r="T107" s="196"/>
      <c r="U107" s="196"/>
      <c r="V107" s="196"/>
      <c r="W107" s="196"/>
      <c r="X107" s="196"/>
      <c r="Y107" s="196"/>
      <c r="Z107" s="196"/>
      <c r="AA107" s="196"/>
      <c r="AB107" s="196"/>
      <c r="AC107" s="196"/>
      <c r="AD107" s="196"/>
      <c r="AE107" s="196"/>
      <c r="AF107" s="196"/>
      <c r="AG107" s="196"/>
      <c r="AH107" s="196"/>
    </row>
    <row r="108">
      <c r="A108" s="196"/>
      <c r="B108" s="196"/>
      <c r="C108" s="196"/>
      <c r="D108" s="196"/>
      <c r="E108" s="196"/>
      <c r="F108" s="196"/>
      <c r="G108" s="196"/>
      <c r="H108" s="196"/>
      <c r="I108" s="139"/>
      <c r="J108" s="196"/>
      <c r="K108" s="196"/>
      <c r="L108" s="139"/>
      <c r="M108" s="196"/>
      <c r="N108" s="196"/>
      <c r="O108" s="196"/>
      <c r="P108" s="196"/>
      <c r="Q108" s="196"/>
      <c r="R108" s="196"/>
      <c r="S108" s="196"/>
      <c r="T108" s="196"/>
      <c r="U108" s="196"/>
      <c r="V108" s="196"/>
      <c r="W108" s="196"/>
      <c r="X108" s="196"/>
      <c r="Y108" s="196"/>
      <c r="Z108" s="196"/>
      <c r="AA108" s="196"/>
      <c r="AB108" s="196"/>
      <c r="AC108" s="196"/>
      <c r="AD108" s="196"/>
      <c r="AE108" s="196"/>
      <c r="AF108" s="196"/>
      <c r="AG108" s="196"/>
      <c r="AH108" s="196"/>
    </row>
    <row r="109">
      <c r="A109" s="196"/>
      <c r="B109" s="196"/>
      <c r="C109" s="196"/>
      <c r="D109" s="196"/>
      <c r="E109" s="196"/>
      <c r="F109" s="196"/>
      <c r="G109" s="196"/>
      <c r="H109" s="196"/>
      <c r="I109" s="139"/>
      <c r="J109" s="196"/>
      <c r="K109" s="196"/>
      <c r="L109" s="139"/>
      <c r="M109" s="196"/>
      <c r="N109" s="196"/>
      <c r="O109" s="196"/>
      <c r="P109" s="196"/>
      <c r="Q109" s="196"/>
      <c r="R109" s="196"/>
      <c r="S109" s="196"/>
      <c r="T109" s="196"/>
      <c r="U109" s="196"/>
      <c r="V109" s="196"/>
      <c r="W109" s="196"/>
      <c r="X109" s="196"/>
      <c r="Y109" s="196"/>
      <c r="Z109" s="196"/>
      <c r="AA109" s="196"/>
      <c r="AB109" s="196"/>
      <c r="AC109" s="196"/>
      <c r="AD109" s="196"/>
      <c r="AE109" s="196"/>
      <c r="AF109" s="196"/>
      <c r="AG109" s="196"/>
      <c r="AH109" s="196"/>
    </row>
    <row r="110">
      <c r="A110" s="196"/>
      <c r="B110" s="196"/>
      <c r="C110" s="196"/>
      <c r="D110" s="196"/>
      <c r="E110" s="196"/>
      <c r="F110" s="196"/>
      <c r="G110" s="196"/>
      <c r="H110" s="196"/>
      <c r="I110" s="139"/>
      <c r="J110" s="196"/>
      <c r="K110" s="196"/>
      <c r="L110" s="139"/>
      <c r="M110" s="196"/>
      <c r="N110" s="196"/>
      <c r="O110" s="196"/>
      <c r="P110" s="196"/>
      <c r="Q110" s="196"/>
      <c r="R110" s="196"/>
      <c r="S110" s="196"/>
      <c r="T110" s="196"/>
      <c r="U110" s="196"/>
      <c r="V110" s="196"/>
      <c r="W110" s="196"/>
      <c r="X110" s="196"/>
      <c r="Y110" s="196"/>
      <c r="Z110" s="196"/>
      <c r="AA110" s="196"/>
      <c r="AB110" s="196"/>
      <c r="AC110" s="196"/>
      <c r="AD110" s="196"/>
      <c r="AE110" s="196"/>
      <c r="AF110" s="196"/>
      <c r="AG110" s="196"/>
      <c r="AH110" s="196"/>
    </row>
    <row r="111">
      <c r="A111" s="196"/>
      <c r="B111" s="196"/>
      <c r="C111" s="196"/>
      <c r="D111" s="196"/>
      <c r="E111" s="196"/>
      <c r="F111" s="196"/>
      <c r="G111" s="196"/>
      <c r="H111" s="196"/>
      <c r="I111" s="139"/>
      <c r="J111" s="196"/>
      <c r="K111" s="196"/>
      <c r="L111" s="139"/>
      <c r="M111" s="196"/>
      <c r="N111" s="196"/>
      <c r="O111" s="196"/>
      <c r="P111" s="196"/>
      <c r="Q111" s="196"/>
      <c r="R111" s="196"/>
      <c r="S111" s="196"/>
      <c r="T111" s="196"/>
      <c r="U111" s="196"/>
      <c r="V111" s="196"/>
      <c r="W111" s="196"/>
      <c r="X111" s="196"/>
      <c r="Y111" s="196"/>
      <c r="Z111" s="196"/>
      <c r="AA111" s="196"/>
      <c r="AB111" s="196"/>
      <c r="AC111" s="196"/>
      <c r="AD111" s="196"/>
      <c r="AE111" s="196"/>
      <c r="AF111" s="196"/>
      <c r="AG111" s="196"/>
      <c r="AH111" s="196"/>
    </row>
    <row r="112">
      <c r="A112" s="196"/>
      <c r="B112" s="196"/>
      <c r="C112" s="196"/>
      <c r="D112" s="196"/>
      <c r="E112" s="196"/>
      <c r="F112" s="196"/>
      <c r="G112" s="196"/>
      <c r="H112" s="196"/>
      <c r="I112" s="139"/>
      <c r="J112" s="196"/>
      <c r="K112" s="196"/>
      <c r="L112" s="139"/>
      <c r="M112" s="196"/>
      <c r="N112" s="196"/>
      <c r="O112" s="196"/>
      <c r="P112" s="196"/>
      <c r="Q112" s="196"/>
      <c r="R112" s="196"/>
      <c r="S112" s="196"/>
      <c r="T112" s="196"/>
      <c r="U112" s="196"/>
      <c r="V112" s="196"/>
      <c r="W112" s="196"/>
      <c r="X112" s="196"/>
      <c r="Y112" s="196"/>
      <c r="Z112" s="196"/>
      <c r="AA112" s="196"/>
      <c r="AB112" s="196"/>
      <c r="AC112" s="196"/>
      <c r="AD112" s="196"/>
      <c r="AE112" s="196"/>
      <c r="AF112" s="196"/>
      <c r="AG112" s="196"/>
      <c r="AH112" s="196"/>
    </row>
    <row r="113">
      <c r="A113" s="196"/>
      <c r="B113" s="196"/>
      <c r="C113" s="196"/>
      <c r="D113" s="196"/>
      <c r="E113" s="196"/>
      <c r="F113" s="196"/>
      <c r="G113" s="196"/>
      <c r="H113" s="196"/>
      <c r="I113" s="139"/>
      <c r="J113" s="196"/>
      <c r="K113" s="196"/>
      <c r="L113" s="139"/>
      <c r="M113" s="196"/>
      <c r="N113" s="196"/>
      <c r="O113" s="196"/>
      <c r="P113" s="196"/>
      <c r="Q113" s="196"/>
      <c r="R113" s="196"/>
      <c r="S113" s="196"/>
      <c r="T113" s="196"/>
      <c r="U113" s="196"/>
      <c r="V113" s="196"/>
      <c r="W113" s="196"/>
      <c r="X113" s="196"/>
      <c r="Y113" s="196"/>
      <c r="Z113" s="196"/>
      <c r="AA113" s="196"/>
      <c r="AB113" s="196"/>
      <c r="AC113" s="196"/>
      <c r="AD113" s="196"/>
      <c r="AE113" s="196"/>
      <c r="AF113" s="196"/>
      <c r="AG113" s="196"/>
      <c r="AH113" s="196"/>
    </row>
    <row r="114">
      <c r="A114" s="196"/>
      <c r="B114" s="196"/>
      <c r="C114" s="196"/>
      <c r="D114" s="196"/>
      <c r="E114" s="196"/>
      <c r="F114" s="196"/>
      <c r="G114" s="196"/>
      <c r="H114" s="196"/>
      <c r="I114" s="139"/>
      <c r="J114" s="196"/>
      <c r="K114" s="196"/>
      <c r="L114" s="139"/>
      <c r="M114" s="196"/>
      <c r="N114" s="196"/>
      <c r="O114" s="196"/>
      <c r="P114" s="196"/>
      <c r="Q114" s="196"/>
      <c r="R114" s="196"/>
      <c r="S114" s="196"/>
      <c r="T114" s="196"/>
      <c r="U114" s="196"/>
      <c r="V114" s="196"/>
      <c r="W114" s="196"/>
      <c r="X114" s="196"/>
      <c r="Y114" s="196"/>
      <c r="Z114" s="196"/>
      <c r="AA114" s="196"/>
      <c r="AB114" s="196"/>
      <c r="AC114" s="196"/>
      <c r="AD114" s="196"/>
      <c r="AE114" s="196"/>
      <c r="AF114" s="196"/>
      <c r="AG114" s="196"/>
      <c r="AH114" s="196"/>
    </row>
    <row r="115">
      <c r="A115" s="196"/>
      <c r="B115" s="196"/>
      <c r="C115" s="196"/>
      <c r="D115" s="196"/>
      <c r="E115" s="196"/>
      <c r="F115" s="196"/>
      <c r="G115" s="196"/>
      <c r="H115" s="196"/>
      <c r="I115" s="139"/>
      <c r="J115" s="196"/>
      <c r="K115" s="196"/>
      <c r="L115" s="139"/>
      <c r="M115" s="196"/>
      <c r="N115" s="196"/>
      <c r="O115" s="196"/>
      <c r="P115" s="196"/>
      <c r="Q115" s="196"/>
      <c r="R115" s="196"/>
      <c r="S115" s="196"/>
      <c r="T115" s="196"/>
      <c r="U115" s="196"/>
      <c r="V115" s="196"/>
      <c r="W115" s="196"/>
      <c r="X115" s="196"/>
      <c r="Y115" s="196"/>
      <c r="Z115" s="196"/>
      <c r="AA115" s="196"/>
      <c r="AB115" s="196"/>
      <c r="AC115" s="196"/>
      <c r="AD115" s="196"/>
      <c r="AE115" s="196"/>
      <c r="AF115" s="196"/>
      <c r="AG115" s="196"/>
      <c r="AH115" s="196"/>
    </row>
    <row r="116">
      <c r="A116" s="196"/>
      <c r="B116" s="196"/>
      <c r="C116" s="196"/>
      <c r="D116" s="196"/>
      <c r="E116" s="196"/>
      <c r="F116" s="196"/>
      <c r="G116" s="196"/>
      <c r="H116" s="196"/>
      <c r="I116" s="139"/>
      <c r="J116" s="196"/>
      <c r="K116" s="196"/>
      <c r="L116" s="139"/>
      <c r="M116" s="196"/>
      <c r="N116" s="196"/>
      <c r="O116" s="196"/>
      <c r="P116" s="196"/>
      <c r="Q116" s="196"/>
      <c r="R116" s="196"/>
      <c r="S116" s="196"/>
      <c r="T116" s="196"/>
      <c r="U116" s="196"/>
      <c r="V116" s="196"/>
      <c r="W116" s="196"/>
      <c r="X116" s="196"/>
      <c r="Y116" s="196"/>
      <c r="Z116" s="196"/>
      <c r="AA116" s="196"/>
      <c r="AB116" s="196"/>
      <c r="AC116" s="196"/>
      <c r="AD116" s="196"/>
      <c r="AE116" s="196"/>
      <c r="AF116" s="196"/>
      <c r="AG116" s="196"/>
      <c r="AH116" s="196"/>
    </row>
    <row r="117">
      <c r="A117" s="196"/>
      <c r="B117" s="196"/>
      <c r="C117" s="196"/>
      <c r="D117" s="196"/>
      <c r="E117" s="196"/>
      <c r="F117" s="196"/>
      <c r="G117" s="196"/>
      <c r="H117" s="196"/>
      <c r="I117" s="139"/>
      <c r="J117" s="196"/>
      <c r="K117" s="196"/>
      <c r="L117" s="139"/>
      <c r="M117" s="196"/>
      <c r="N117" s="196"/>
      <c r="O117" s="196"/>
      <c r="P117" s="196"/>
      <c r="Q117" s="196"/>
      <c r="R117" s="196"/>
      <c r="S117" s="196"/>
      <c r="T117" s="196"/>
      <c r="U117" s="196"/>
      <c r="V117" s="196"/>
      <c r="W117" s="196"/>
      <c r="X117" s="196"/>
      <c r="Y117" s="196"/>
      <c r="Z117" s="196"/>
      <c r="AA117" s="196"/>
      <c r="AB117" s="196"/>
      <c r="AC117" s="196"/>
      <c r="AD117" s="196"/>
      <c r="AE117" s="196"/>
      <c r="AF117" s="196"/>
      <c r="AG117" s="196"/>
      <c r="AH117" s="196"/>
    </row>
    <row r="118">
      <c r="A118" s="196"/>
      <c r="B118" s="196"/>
      <c r="C118" s="196"/>
      <c r="D118" s="196"/>
      <c r="E118" s="196"/>
      <c r="F118" s="196"/>
      <c r="G118" s="196"/>
      <c r="H118" s="196"/>
      <c r="I118" s="139"/>
      <c r="J118" s="196"/>
      <c r="K118" s="196"/>
      <c r="L118" s="139"/>
      <c r="M118" s="196"/>
      <c r="N118" s="196"/>
      <c r="O118" s="196"/>
      <c r="P118" s="196"/>
      <c r="Q118" s="196"/>
      <c r="R118" s="196"/>
      <c r="S118" s="196"/>
      <c r="T118" s="196"/>
      <c r="U118" s="196"/>
      <c r="V118" s="196"/>
      <c r="W118" s="196"/>
      <c r="X118" s="196"/>
      <c r="Y118" s="196"/>
      <c r="Z118" s="196"/>
      <c r="AA118" s="196"/>
      <c r="AB118" s="196"/>
      <c r="AC118" s="196"/>
      <c r="AD118" s="196"/>
      <c r="AE118" s="196"/>
      <c r="AF118" s="196"/>
      <c r="AG118" s="196"/>
      <c r="AH118" s="196"/>
    </row>
    <row r="119">
      <c r="A119" s="196"/>
      <c r="B119" s="196"/>
      <c r="C119" s="196"/>
      <c r="D119" s="196"/>
      <c r="E119" s="196"/>
      <c r="F119" s="196"/>
      <c r="G119" s="196"/>
      <c r="H119" s="196"/>
      <c r="I119" s="139"/>
      <c r="J119" s="196"/>
      <c r="K119" s="196"/>
      <c r="L119" s="139"/>
      <c r="M119" s="196"/>
      <c r="N119" s="196"/>
      <c r="O119" s="196"/>
      <c r="P119" s="196"/>
      <c r="Q119" s="196"/>
      <c r="R119" s="196"/>
      <c r="S119" s="196"/>
      <c r="T119" s="196"/>
      <c r="U119" s="196"/>
      <c r="V119" s="196"/>
      <c r="W119" s="196"/>
      <c r="X119" s="196"/>
      <c r="Y119" s="196"/>
      <c r="Z119" s="196"/>
      <c r="AA119" s="196"/>
      <c r="AB119" s="196"/>
      <c r="AC119" s="196"/>
      <c r="AD119" s="196"/>
      <c r="AE119" s="196"/>
      <c r="AF119" s="196"/>
      <c r="AG119" s="196"/>
      <c r="AH119" s="196"/>
    </row>
    <row r="120">
      <c r="A120" s="196"/>
      <c r="B120" s="196"/>
      <c r="C120" s="196"/>
      <c r="D120" s="196"/>
      <c r="E120" s="196"/>
      <c r="F120" s="196"/>
      <c r="G120" s="196"/>
      <c r="H120" s="196"/>
      <c r="I120" s="139"/>
      <c r="J120" s="196"/>
      <c r="K120" s="196"/>
      <c r="L120" s="139"/>
      <c r="M120" s="196"/>
      <c r="N120" s="196"/>
      <c r="O120" s="196"/>
      <c r="P120" s="196"/>
      <c r="Q120" s="196"/>
      <c r="R120" s="196"/>
      <c r="S120" s="196"/>
      <c r="T120" s="196"/>
      <c r="U120" s="196"/>
      <c r="V120" s="196"/>
      <c r="W120" s="196"/>
      <c r="X120" s="196"/>
      <c r="Y120" s="196"/>
      <c r="Z120" s="196"/>
      <c r="AA120" s="196"/>
      <c r="AB120" s="196"/>
      <c r="AC120" s="196"/>
      <c r="AD120" s="196"/>
      <c r="AE120" s="196"/>
      <c r="AF120" s="196"/>
      <c r="AG120" s="196"/>
      <c r="AH120" s="196"/>
    </row>
    <row r="121">
      <c r="A121" s="196"/>
      <c r="B121" s="196"/>
      <c r="C121" s="196"/>
      <c r="D121" s="196"/>
      <c r="E121" s="196"/>
      <c r="F121" s="196"/>
      <c r="G121" s="196"/>
      <c r="H121" s="196"/>
      <c r="I121" s="139"/>
      <c r="J121" s="196"/>
      <c r="K121" s="196"/>
      <c r="L121" s="139"/>
      <c r="M121" s="196"/>
      <c r="N121" s="196"/>
      <c r="O121" s="196"/>
      <c r="P121" s="196"/>
      <c r="Q121" s="196"/>
      <c r="R121" s="196"/>
      <c r="S121" s="196"/>
      <c r="T121" s="196"/>
      <c r="U121" s="196"/>
      <c r="V121" s="196"/>
      <c r="W121" s="196"/>
      <c r="X121" s="196"/>
      <c r="Y121" s="196"/>
      <c r="Z121" s="196"/>
      <c r="AA121" s="196"/>
      <c r="AB121" s="196"/>
      <c r="AC121" s="196"/>
      <c r="AD121" s="196"/>
      <c r="AE121" s="196"/>
      <c r="AF121" s="196"/>
      <c r="AG121" s="196"/>
      <c r="AH121" s="196"/>
    </row>
    <row r="122">
      <c r="A122" s="196"/>
      <c r="B122" s="196"/>
      <c r="C122" s="196"/>
      <c r="D122" s="196"/>
      <c r="E122" s="196"/>
      <c r="F122" s="196"/>
      <c r="G122" s="196"/>
      <c r="H122" s="196"/>
      <c r="I122" s="139"/>
      <c r="J122" s="196"/>
      <c r="K122" s="196"/>
      <c r="L122" s="139"/>
      <c r="M122" s="196"/>
      <c r="N122" s="196"/>
      <c r="O122" s="196"/>
      <c r="P122" s="196"/>
      <c r="Q122" s="196"/>
      <c r="R122" s="196"/>
      <c r="S122" s="196"/>
      <c r="T122" s="196"/>
      <c r="U122" s="196"/>
      <c r="V122" s="196"/>
      <c r="W122" s="196"/>
      <c r="X122" s="196"/>
      <c r="Y122" s="196"/>
      <c r="Z122" s="196"/>
      <c r="AA122" s="196"/>
      <c r="AB122" s="196"/>
      <c r="AC122" s="196"/>
      <c r="AD122" s="196"/>
      <c r="AE122" s="196"/>
      <c r="AF122" s="196"/>
      <c r="AG122" s="196"/>
      <c r="AH122" s="196"/>
    </row>
    <row r="123">
      <c r="A123" s="196"/>
      <c r="B123" s="196"/>
      <c r="C123" s="196"/>
      <c r="D123" s="196"/>
      <c r="E123" s="196"/>
      <c r="F123" s="196"/>
      <c r="G123" s="196"/>
      <c r="H123" s="196"/>
      <c r="I123" s="139"/>
      <c r="J123" s="196"/>
      <c r="K123" s="196"/>
      <c r="L123" s="139"/>
      <c r="M123" s="196"/>
      <c r="N123" s="196"/>
      <c r="O123" s="196"/>
      <c r="P123" s="196"/>
      <c r="Q123" s="196"/>
      <c r="R123" s="196"/>
      <c r="S123" s="196"/>
      <c r="T123" s="196"/>
      <c r="U123" s="196"/>
      <c r="V123" s="196"/>
      <c r="W123" s="196"/>
      <c r="X123" s="196"/>
      <c r="Y123" s="196"/>
      <c r="Z123" s="196"/>
      <c r="AA123" s="196"/>
      <c r="AB123" s="196"/>
      <c r="AC123" s="196"/>
      <c r="AD123" s="196"/>
      <c r="AE123" s="196"/>
      <c r="AF123" s="196"/>
      <c r="AG123" s="196"/>
      <c r="AH123" s="196"/>
    </row>
    <row r="124">
      <c r="A124" s="196"/>
      <c r="B124" s="196"/>
      <c r="C124" s="196"/>
      <c r="D124" s="196"/>
      <c r="E124" s="196"/>
      <c r="F124" s="196"/>
      <c r="G124" s="196"/>
      <c r="H124" s="196"/>
      <c r="I124" s="139"/>
      <c r="J124" s="196"/>
      <c r="K124" s="196"/>
      <c r="L124" s="139"/>
      <c r="M124" s="196"/>
      <c r="N124" s="196"/>
      <c r="O124" s="196"/>
      <c r="P124" s="196"/>
      <c r="Q124" s="196"/>
      <c r="R124" s="196"/>
      <c r="S124" s="196"/>
      <c r="T124" s="196"/>
      <c r="U124" s="196"/>
      <c r="V124" s="196"/>
      <c r="W124" s="196"/>
      <c r="X124" s="196"/>
      <c r="Y124" s="196"/>
      <c r="Z124" s="196"/>
      <c r="AA124" s="196"/>
      <c r="AB124" s="196"/>
      <c r="AC124" s="196"/>
      <c r="AD124" s="196"/>
      <c r="AE124" s="196"/>
      <c r="AF124" s="196"/>
      <c r="AG124" s="196"/>
      <c r="AH124" s="196"/>
    </row>
    <row r="125">
      <c r="A125" s="196"/>
      <c r="B125" s="196"/>
      <c r="C125" s="196"/>
      <c r="D125" s="196"/>
      <c r="E125" s="196"/>
      <c r="F125" s="196"/>
      <c r="G125" s="196"/>
      <c r="H125" s="196"/>
      <c r="I125" s="139"/>
      <c r="J125" s="196"/>
      <c r="K125" s="196"/>
      <c r="L125" s="139"/>
      <c r="M125" s="196"/>
      <c r="N125" s="196"/>
      <c r="O125" s="196"/>
      <c r="P125" s="196"/>
      <c r="Q125" s="196"/>
      <c r="R125" s="196"/>
      <c r="S125" s="196"/>
      <c r="T125" s="196"/>
      <c r="U125" s="196"/>
      <c r="V125" s="196"/>
      <c r="W125" s="196"/>
      <c r="X125" s="196"/>
      <c r="Y125" s="196"/>
      <c r="Z125" s="196"/>
      <c r="AA125" s="196"/>
      <c r="AB125" s="196"/>
      <c r="AC125" s="196"/>
      <c r="AD125" s="196"/>
      <c r="AE125" s="196"/>
      <c r="AF125" s="196"/>
      <c r="AG125" s="196"/>
      <c r="AH125" s="196"/>
    </row>
    <row r="126">
      <c r="A126" s="196"/>
      <c r="B126" s="196"/>
      <c r="C126" s="196"/>
      <c r="D126" s="196"/>
      <c r="E126" s="196"/>
      <c r="F126" s="196"/>
      <c r="G126" s="196"/>
      <c r="H126" s="196"/>
      <c r="I126" s="139"/>
      <c r="J126" s="196"/>
      <c r="K126" s="196"/>
      <c r="L126" s="139"/>
      <c r="M126" s="196"/>
      <c r="N126" s="196"/>
      <c r="O126" s="196"/>
      <c r="P126" s="196"/>
      <c r="Q126" s="196"/>
      <c r="R126" s="196"/>
      <c r="S126" s="196"/>
      <c r="T126" s="196"/>
      <c r="U126" s="196"/>
      <c r="V126" s="196"/>
      <c r="W126" s="196"/>
      <c r="X126" s="196"/>
      <c r="Y126" s="196"/>
      <c r="Z126" s="196"/>
      <c r="AA126" s="196"/>
      <c r="AB126" s="196"/>
      <c r="AC126" s="196"/>
      <c r="AD126" s="196"/>
      <c r="AE126" s="196"/>
      <c r="AF126" s="196"/>
      <c r="AG126" s="196"/>
      <c r="AH126" s="196"/>
    </row>
    <row r="127">
      <c r="A127" s="196"/>
      <c r="B127" s="196"/>
      <c r="C127" s="196"/>
      <c r="D127" s="196"/>
      <c r="E127" s="196"/>
      <c r="F127" s="196"/>
      <c r="G127" s="196"/>
      <c r="H127" s="196"/>
      <c r="I127" s="139"/>
      <c r="J127" s="196"/>
      <c r="K127" s="196"/>
      <c r="L127" s="139"/>
      <c r="M127" s="196"/>
      <c r="N127" s="196"/>
      <c r="O127" s="196"/>
      <c r="P127" s="196"/>
      <c r="Q127" s="196"/>
      <c r="R127" s="196"/>
      <c r="S127" s="196"/>
      <c r="T127" s="196"/>
      <c r="U127" s="196"/>
      <c r="V127" s="196"/>
      <c r="W127" s="196"/>
      <c r="X127" s="196"/>
      <c r="Y127" s="196"/>
      <c r="Z127" s="196"/>
      <c r="AA127" s="196"/>
      <c r="AB127" s="196"/>
      <c r="AC127" s="196"/>
      <c r="AD127" s="196"/>
      <c r="AE127" s="196"/>
      <c r="AF127" s="196"/>
      <c r="AG127" s="196"/>
      <c r="AH127" s="196"/>
    </row>
    <row r="128">
      <c r="A128" s="196"/>
      <c r="B128" s="196"/>
      <c r="C128" s="196"/>
      <c r="D128" s="196"/>
      <c r="E128" s="196"/>
      <c r="F128" s="196"/>
      <c r="G128" s="196"/>
      <c r="H128" s="196"/>
      <c r="I128" s="139"/>
      <c r="J128" s="196"/>
      <c r="K128" s="196"/>
      <c r="L128" s="139"/>
      <c r="M128" s="196"/>
      <c r="N128" s="196"/>
      <c r="O128" s="196"/>
      <c r="P128" s="196"/>
      <c r="Q128" s="196"/>
      <c r="R128" s="196"/>
      <c r="S128" s="196"/>
      <c r="T128" s="196"/>
      <c r="U128" s="196"/>
      <c r="V128" s="196"/>
      <c r="W128" s="196"/>
      <c r="X128" s="196"/>
      <c r="Y128" s="196"/>
      <c r="Z128" s="196"/>
      <c r="AA128" s="196"/>
      <c r="AB128" s="196"/>
      <c r="AC128" s="196"/>
      <c r="AD128" s="196"/>
      <c r="AE128" s="196"/>
      <c r="AF128" s="196"/>
      <c r="AG128" s="196"/>
      <c r="AH128" s="196"/>
    </row>
    <row r="129">
      <c r="A129" s="196"/>
      <c r="B129" s="196"/>
      <c r="C129" s="196"/>
      <c r="D129" s="196"/>
      <c r="E129" s="196"/>
      <c r="F129" s="196"/>
      <c r="G129" s="196"/>
      <c r="H129" s="196"/>
      <c r="I129" s="139"/>
      <c r="J129" s="196"/>
      <c r="K129" s="196"/>
      <c r="L129" s="139"/>
      <c r="M129" s="196"/>
      <c r="N129" s="196"/>
      <c r="O129" s="196"/>
      <c r="P129" s="196"/>
      <c r="Q129" s="196"/>
      <c r="R129" s="196"/>
      <c r="S129" s="196"/>
      <c r="T129" s="196"/>
      <c r="U129" s="196"/>
      <c r="V129" s="196"/>
      <c r="W129" s="196"/>
      <c r="X129" s="196"/>
      <c r="Y129" s="196"/>
      <c r="Z129" s="196"/>
      <c r="AA129" s="196"/>
      <c r="AB129" s="196"/>
      <c r="AC129" s="196"/>
      <c r="AD129" s="196"/>
      <c r="AE129" s="196"/>
      <c r="AF129" s="196"/>
      <c r="AG129" s="196"/>
      <c r="AH129" s="196"/>
    </row>
    <row r="130">
      <c r="A130" s="196"/>
      <c r="B130" s="196"/>
      <c r="C130" s="196"/>
      <c r="D130" s="196"/>
      <c r="E130" s="196"/>
      <c r="F130" s="196"/>
      <c r="G130" s="196"/>
      <c r="H130" s="196"/>
      <c r="I130" s="139"/>
      <c r="J130" s="196"/>
      <c r="K130" s="196"/>
      <c r="L130" s="139"/>
      <c r="M130" s="196"/>
      <c r="N130" s="196"/>
      <c r="O130" s="196"/>
      <c r="P130" s="196"/>
      <c r="Q130" s="196"/>
      <c r="R130" s="196"/>
      <c r="S130" s="196"/>
      <c r="T130" s="196"/>
      <c r="U130" s="196"/>
      <c r="V130" s="196"/>
      <c r="W130" s="196"/>
      <c r="X130" s="196"/>
      <c r="Y130" s="196"/>
      <c r="Z130" s="196"/>
      <c r="AA130" s="196"/>
      <c r="AB130" s="196"/>
      <c r="AC130" s="196"/>
      <c r="AD130" s="196"/>
      <c r="AE130" s="196"/>
      <c r="AF130" s="196"/>
      <c r="AG130" s="196"/>
      <c r="AH130" s="196"/>
    </row>
    <row r="131">
      <c r="A131" s="196"/>
      <c r="B131" s="196"/>
      <c r="C131" s="196"/>
      <c r="D131" s="196"/>
      <c r="E131" s="196"/>
      <c r="F131" s="196"/>
      <c r="G131" s="196"/>
      <c r="H131" s="196"/>
      <c r="I131" s="139"/>
      <c r="J131" s="196"/>
      <c r="K131" s="196"/>
      <c r="L131" s="139"/>
      <c r="M131" s="196"/>
      <c r="N131" s="196"/>
      <c r="O131" s="196"/>
      <c r="P131" s="196"/>
      <c r="Q131" s="196"/>
      <c r="R131" s="196"/>
      <c r="S131" s="196"/>
      <c r="T131" s="196"/>
      <c r="U131" s="196"/>
      <c r="V131" s="196"/>
      <c r="W131" s="196"/>
      <c r="X131" s="196"/>
      <c r="Y131" s="196"/>
      <c r="Z131" s="196"/>
      <c r="AA131" s="196"/>
      <c r="AB131" s="196"/>
      <c r="AC131" s="196"/>
      <c r="AD131" s="196"/>
      <c r="AE131" s="196"/>
      <c r="AF131" s="196"/>
      <c r="AG131" s="196"/>
      <c r="AH131" s="196"/>
    </row>
    <row r="132">
      <c r="A132" s="196"/>
      <c r="B132" s="196"/>
      <c r="C132" s="196"/>
      <c r="D132" s="196"/>
      <c r="E132" s="196"/>
      <c r="F132" s="196"/>
      <c r="G132" s="196"/>
      <c r="H132" s="196"/>
      <c r="I132" s="139"/>
      <c r="J132" s="196"/>
      <c r="K132" s="196"/>
      <c r="L132" s="139"/>
      <c r="M132" s="196"/>
      <c r="N132" s="196"/>
      <c r="O132" s="196"/>
      <c r="P132" s="196"/>
      <c r="Q132" s="196"/>
      <c r="R132" s="196"/>
      <c r="S132" s="196"/>
      <c r="T132" s="196"/>
      <c r="U132" s="196"/>
      <c r="V132" s="196"/>
      <c r="W132" s="196"/>
      <c r="X132" s="196"/>
      <c r="Y132" s="196"/>
      <c r="Z132" s="196"/>
      <c r="AA132" s="196"/>
      <c r="AB132" s="196"/>
      <c r="AC132" s="196"/>
      <c r="AD132" s="196"/>
      <c r="AE132" s="196"/>
      <c r="AF132" s="196"/>
      <c r="AG132" s="196"/>
      <c r="AH132" s="196"/>
    </row>
    <row r="133">
      <c r="A133" s="196"/>
      <c r="B133" s="196"/>
      <c r="C133" s="196"/>
      <c r="D133" s="196"/>
      <c r="E133" s="196"/>
      <c r="F133" s="196"/>
      <c r="G133" s="196"/>
      <c r="H133" s="196"/>
      <c r="I133" s="139"/>
      <c r="J133" s="196"/>
      <c r="K133" s="196"/>
      <c r="L133" s="139"/>
      <c r="M133" s="196"/>
      <c r="N133" s="196"/>
      <c r="O133" s="196"/>
      <c r="P133" s="196"/>
      <c r="Q133" s="196"/>
      <c r="R133" s="196"/>
      <c r="S133" s="196"/>
      <c r="T133" s="196"/>
      <c r="U133" s="196"/>
      <c r="V133" s="196"/>
      <c r="W133" s="196"/>
      <c r="X133" s="196"/>
      <c r="Y133" s="196"/>
      <c r="Z133" s="196"/>
      <c r="AA133" s="196"/>
      <c r="AB133" s="196"/>
      <c r="AC133" s="196"/>
      <c r="AD133" s="196"/>
      <c r="AE133" s="196"/>
      <c r="AF133" s="196"/>
      <c r="AG133" s="196"/>
      <c r="AH133" s="196"/>
    </row>
    <row r="134">
      <c r="A134" s="196"/>
      <c r="B134" s="196"/>
      <c r="C134" s="196"/>
      <c r="D134" s="196"/>
      <c r="E134" s="196"/>
      <c r="F134" s="196"/>
      <c r="G134" s="196"/>
      <c r="H134" s="196"/>
      <c r="I134" s="139"/>
      <c r="J134" s="196"/>
      <c r="K134" s="196"/>
      <c r="L134" s="139"/>
      <c r="M134" s="196"/>
      <c r="N134" s="196"/>
      <c r="O134" s="196"/>
      <c r="P134" s="196"/>
      <c r="Q134" s="196"/>
      <c r="R134" s="196"/>
      <c r="S134" s="196"/>
      <c r="T134" s="196"/>
      <c r="U134" s="196"/>
      <c r="V134" s="196"/>
      <c r="W134" s="196"/>
      <c r="X134" s="196"/>
      <c r="Y134" s="196"/>
      <c r="Z134" s="196"/>
      <c r="AA134" s="196"/>
      <c r="AB134" s="196"/>
      <c r="AC134" s="196"/>
      <c r="AD134" s="196"/>
      <c r="AE134" s="196"/>
      <c r="AF134" s="196"/>
      <c r="AG134" s="196"/>
      <c r="AH134" s="196"/>
    </row>
    <row r="135">
      <c r="A135" s="196"/>
      <c r="B135" s="196"/>
      <c r="C135" s="196"/>
      <c r="D135" s="196"/>
      <c r="E135" s="196"/>
      <c r="F135" s="196"/>
      <c r="G135" s="196"/>
      <c r="H135" s="196"/>
      <c r="I135" s="139"/>
      <c r="J135" s="196"/>
      <c r="K135" s="196"/>
      <c r="L135" s="139"/>
      <c r="M135" s="196"/>
      <c r="N135" s="196"/>
      <c r="O135" s="196"/>
      <c r="P135" s="196"/>
      <c r="Q135" s="196"/>
      <c r="R135" s="196"/>
      <c r="S135" s="196"/>
      <c r="T135" s="196"/>
      <c r="U135" s="196"/>
      <c r="V135" s="196"/>
      <c r="W135" s="196"/>
      <c r="X135" s="196"/>
      <c r="Y135" s="196"/>
      <c r="Z135" s="196"/>
      <c r="AA135" s="196"/>
      <c r="AB135" s="196"/>
      <c r="AC135" s="196"/>
      <c r="AD135" s="196"/>
      <c r="AE135" s="196"/>
      <c r="AF135" s="196"/>
      <c r="AG135" s="196"/>
      <c r="AH135" s="196"/>
    </row>
    <row r="136">
      <c r="A136" s="196"/>
      <c r="B136" s="196"/>
      <c r="C136" s="196"/>
      <c r="D136" s="196"/>
      <c r="E136" s="196"/>
      <c r="F136" s="196"/>
      <c r="G136" s="196"/>
      <c r="H136" s="196"/>
      <c r="I136" s="139"/>
      <c r="J136" s="196"/>
      <c r="K136" s="196"/>
      <c r="L136" s="139"/>
      <c r="M136" s="196"/>
      <c r="N136" s="196"/>
      <c r="O136" s="196"/>
      <c r="P136" s="196"/>
      <c r="Q136" s="196"/>
      <c r="R136" s="196"/>
      <c r="S136" s="196"/>
      <c r="T136" s="196"/>
      <c r="U136" s="196"/>
      <c r="V136" s="196"/>
      <c r="W136" s="196"/>
      <c r="X136" s="196"/>
      <c r="Y136" s="196"/>
      <c r="Z136" s="196"/>
      <c r="AA136" s="196"/>
      <c r="AB136" s="196"/>
      <c r="AC136" s="196"/>
      <c r="AD136" s="196"/>
      <c r="AE136" s="196"/>
      <c r="AF136" s="196"/>
      <c r="AG136" s="196"/>
      <c r="AH136" s="196"/>
    </row>
    <row r="137">
      <c r="A137" s="196"/>
      <c r="B137" s="196"/>
      <c r="C137" s="196"/>
      <c r="D137" s="196"/>
      <c r="E137" s="196"/>
      <c r="F137" s="196"/>
      <c r="G137" s="196"/>
      <c r="H137" s="196"/>
      <c r="I137" s="139"/>
      <c r="J137" s="196"/>
      <c r="K137" s="196"/>
      <c r="L137" s="139"/>
      <c r="M137" s="196"/>
      <c r="N137" s="196"/>
      <c r="O137" s="196"/>
      <c r="P137" s="196"/>
      <c r="Q137" s="196"/>
      <c r="R137" s="196"/>
      <c r="S137" s="196"/>
      <c r="T137" s="196"/>
      <c r="U137" s="196"/>
      <c r="V137" s="196"/>
      <c r="W137" s="196"/>
      <c r="X137" s="196"/>
      <c r="Y137" s="196"/>
      <c r="Z137" s="196"/>
      <c r="AA137" s="196"/>
      <c r="AB137" s="196"/>
      <c r="AC137" s="196"/>
      <c r="AD137" s="196"/>
      <c r="AE137" s="196"/>
      <c r="AF137" s="196"/>
      <c r="AG137" s="196"/>
      <c r="AH137" s="196"/>
    </row>
    <row r="138">
      <c r="A138" s="196"/>
      <c r="B138" s="196"/>
      <c r="C138" s="196"/>
      <c r="D138" s="196"/>
      <c r="E138" s="196"/>
      <c r="F138" s="196"/>
      <c r="G138" s="196"/>
      <c r="H138" s="196"/>
      <c r="I138" s="139"/>
      <c r="J138" s="196"/>
      <c r="K138" s="196"/>
      <c r="L138" s="139"/>
      <c r="M138" s="196"/>
      <c r="N138" s="196"/>
      <c r="O138" s="196"/>
      <c r="P138" s="196"/>
      <c r="Q138" s="196"/>
      <c r="R138" s="196"/>
      <c r="S138" s="196"/>
      <c r="T138" s="196"/>
      <c r="U138" s="196"/>
      <c r="V138" s="196"/>
      <c r="W138" s="196"/>
      <c r="X138" s="196"/>
      <c r="Y138" s="196"/>
      <c r="Z138" s="196"/>
      <c r="AA138" s="196"/>
      <c r="AB138" s="196"/>
      <c r="AC138" s="196"/>
      <c r="AD138" s="196"/>
      <c r="AE138" s="196"/>
      <c r="AF138" s="196"/>
      <c r="AG138" s="196"/>
      <c r="AH138" s="196"/>
    </row>
    <row r="139">
      <c r="A139" s="196"/>
      <c r="B139" s="196"/>
      <c r="C139" s="196"/>
      <c r="D139" s="196"/>
      <c r="E139" s="196"/>
      <c r="F139" s="196"/>
      <c r="G139" s="196"/>
      <c r="H139" s="196"/>
      <c r="I139" s="139"/>
      <c r="J139" s="196"/>
      <c r="K139" s="196"/>
      <c r="L139" s="139"/>
      <c r="M139" s="196"/>
      <c r="N139" s="196"/>
      <c r="O139" s="196"/>
      <c r="P139" s="196"/>
      <c r="Q139" s="196"/>
      <c r="R139" s="196"/>
      <c r="S139" s="196"/>
      <c r="T139" s="196"/>
      <c r="U139" s="196"/>
      <c r="V139" s="196"/>
      <c r="W139" s="196"/>
      <c r="X139" s="196"/>
      <c r="Y139" s="196"/>
      <c r="Z139" s="196"/>
      <c r="AA139" s="196"/>
      <c r="AB139" s="196"/>
      <c r="AC139" s="196"/>
      <c r="AD139" s="196"/>
      <c r="AE139" s="196"/>
      <c r="AF139" s="196"/>
      <c r="AG139" s="196"/>
      <c r="AH139" s="196"/>
    </row>
    <row r="140">
      <c r="A140" s="196"/>
      <c r="B140" s="196"/>
      <c r="C140" s="196"/>
      <c r="D140" s="196"/>
      <c r="E140" s="196"/>
      <c r="F140" s="196"/>
      <c r="G140" s="196"/>
      <c r="H140" s="196"/>
      <c r="I140" s="139"/>
      <c r="J140" s="196"/>
      <c r="K140" s="196"/>
      <c r="L140" s="139"/>
      <c r="M140" s="196"/>
      <c r="N140" s="196"/>
      <c r="O140" s="196"/>
      <c r="P140" s="196"/>
      <c r="Q140" s="196"/>
      <c r="R140" s="196"/>
      <c r="S140" s="196"/>
      <c r="T140" s="196"/>
      <c r="U140" s="196"/>
      <c r="V140" s="196"/>
      <c r="W140" s="196"/>
      <c r="X140" s="196"/>
      <c r="Y140" s="196"/>
      <c r="Z140" s="196"/>
      <c r="AA140" s="196"/>
      <c r="AB140" s="196"/>
      <c r="AC140" s="196"/>
      <c r="AD140" s="196"/>
      <c r="AE140" s="196"/>
      <c r="AF140" s="196"/>
      <c r="AG140" s="196"/>
      <c r="AH140" s="196"/>
    </row>
    <row r="141">
      <c r="A141" s="196"/>
      <c r="B141" s="196"/>
      <c r="C141" s="196"/>
      <c r="D141" s="196"/>
      <c r="E141" s="196"/>
      <c r="F141" s="196"/>
      <c r="G141" s="196"/>
      <c r="H141" s="196"/>
      <c r="I141" s="139"/>
      <c r="J141" s="196"/>
      <c r="K141" s="196"/>
      <c r="L141" s="139"/>
      <c r="M141" s="196"/>
      <c r="N141" s="196"/>
      <c r="O141" s="196"/>
      <c r="P141" s="196"/>
      <c r="Q141" s="196"/>
      <c r="R141" s="196"/>
      <c r="S141" s="196"/>
      <c r="T141" s="196"/>
      <c r="U141" s="196"/>
      <c r="V141" s="196"/>
      <c r="W141" s="196"/>
      <c r="X141" s="196"/>
      <c r="Y141" s="196"/>
      <c r="Z141" s="196"/>
      <c r="AA141" s="196"/>
      <c r="AB141" s="196"/>
      <c r="AC141" s="196"/>
      <c r="AD141" s="196"/>
      <c r="AE141" s="196"/>
      <c r="AF141" s="196"/>
      <c r="AG141" s="196"/>
      <c r="AH141" s="196"/>
    </row>
    <row r="142">
      <c r="A142" s="196"/>
      <c r="B142" s="196"/>
      <c r="C142" s="196"/>
      <c r="D142" s="196"/>
      <c r="E142" s="196"/>
      <c r="F142" s="196"/>
      <c r="G142" s="196"/>
      <c r="H142" s="196"/>
      <c r="I142" s="139"/>
      <c r="J142" s="196"/>
      <c r="K142" s="196"/>
      <c r="L142" s="139"/>
      <c r="M142" s="196"/>
      <c r="N142" s="196"/>
      <c r="O142" s="196"/>
      <c r="P142" s="196"/>
      <c r="Q142" s="196"/>
      <c r="R142" s="196"/>
      <c r="S142" s="196"/>
      <c r="T142" s="196"/>
      <c r="U142" s="196"/>
      <c r="V142" s="196"/>
      <c r="W142" s="196"/>
      <c r="X142" s="196"/>
      <c r="Y142" s="196"/>
      <c r="Z142" s="196"/>
      <c r="AA142" s="196"/>
      <c r="AB142" s="196"/>
      <c r="AC142" s="196"/>
      <c r="AD142" s="196"/>
      <c r="AE142" s="196"/>
      <c r="AF142" s="196"/>
      <c r="AG142" s="196"/>
      <c r="AH142" s="196"/>
    </row>
    <row r="143">
      <c r="A143" s="196"/>
      <c r="B143" s="196"/>
      <c r="C143" s="196"/>
      <c r="D143" s="196"/>
      <c r="E143" s="196"/>
      <c r="F143" s="196"/>
      <c r="G143" s="196"/>
      <c r="H143" s="196"/>
      <c r="I143" s="139"/>
      <c r="J143" s="196"/>
      <c r="K143" s="196"/>
      <c r="L143" s="139"/>
      <c r="M143" s="196"/>
      <c r="N143" s="196"/>
      <c r="O143" s="196"/>
      <c r="P143" s="196"/>
      <c r="Q143" s="196"/>
      <c r="R143" s="196"/>
      <c r="S143" s="196"/>
      <c r="T143" s="196"/>
      <c r="U143" s="196"/>
      <c r="V143" s="196"/>
      <c r="W143" s="196"/>
      <c r="X143" s="196"/>
      <c r="Y143" s="196"/>
      <c r="Z143" s="196"/>
      <c r="AA143" s="196"/>
      <c r="AB143" s="196"/>
      <c r="AC143" s="196"/>
      <c r="AD143" s="196"/>
      <c r="AE143" s="196"/>
      <c r="AF143" s="196"/>
      <c r="AG143" s="196"/>
      <c r="AH143" s="196"/>
    </row>
    <row r="144">
      <c r="A144" s="196"/>
      <c r="B144" s="196"/>
      <c r="C144" s="196"/>
      <c r="D144" s="196"/>
      <c r="E144" s="196"/>
      <c r="F144" s="196"/>
      <c r="G144" s="196"/>
      <c r="H144" s="196"/>
      <c r="I144" s="139"/>
      <c r="J144" s="196"/>
      <c r="K144" s="196"/>
      <c r="L144" s="139"/>
      <c r="M144" s="196"/>
      <c r="N144" s="196"/>
      <c r="O144" s="196"/>
      <c r="P144" s="196"/>
      <c r="Q144" s="196"/>
      <c r="R144" s="196"/>
      <c r="S144" s="196"/>
      <c r="T144" s="196"/>
      <c r="U144" s="196"/>
      <c r="V144" s="196"/>
      <c r="W144" s="196"/>
      <c r="X144" s="196"/>
      <c r="Y144" s="196"/>
      <c r="Z144" s="196"/>
      <c r="AA144" s="196"/>
      <c r="AB144" s="196"/>
      <c r="AC144" s="196"/>
      <c r="AD144" s="196"/>
      <c r="AE144" s="196"/>
      <c r="AF144" s="196"/>
      <c r="AG144" s="196"/>
      <c r="AH144" s="196"/>
    </row>
    <row r="145">
      <c r="A145" s="196"/>
      <c r="B145" s="196"/>
      <c r="C145" s="196"/>
      <c r="D145" s="196"/>
      <c r="E145" s="196"/>
      <c r="F145" s="196"/>
      <c r="G145" s="196"/>
      <c r="H145" s="196"/>
      <c r="I145" s="139"/>
      <c r="J145" s="196"/>
      <c r="K145" s="196"/>
      <c r="L145" s="139"/>
      <c r="M145" s="196"/>
      <c r="N145" s="196"/>
      <c r="O145" s="196"/>
      <c r="P145" s="196"/>
      <c r="Q145" s="196"/>
      <c r="R145" s="196"/>
      <c r="S145" s="196"/>
      <c r="T145" s="196"/>
      <c r="U145" s="196"/>
      <c r="V145" s="196"/>
      <c r="W145" s="196"/>
      <c r="X145" s="196"/>
      <c r="Y145" s="196"/>
      <c r="Z145" s="196"/>
      <c r="AA145" s="196"/>
      <c r="AB145" s="196"/>
      <c r="AC145" s="196"/>
      <c r="AD145" s="196"/>
      <c r="AE145" s="196"/>
      <c r="AF145" s="196"/>
      <c r="AG145" s="196"/>
      <c r="AH145" s="196"/>
    </row>
    <row r="146">
      <c r="A146" s="196"/>
      <c r="B146" s="196"/>
      <c r="C146" s="196"/>
      <c r="D146" s="196"/>
      <c r="E146" s="196"/>
      <c r="F146" s="196"/>
      <c r="G146" s="196"/>
      <c r="H146" s="196"/>
      <c r="I146" s="139"/>
      <c r="J146" s="196"/>
      <c r="K146" s="196"/>
      <c r="L146" s="139"/>
      <c r="M146" s="196"/>
      <c r="N146" s="196"/>
      <c r="O146" s="196"/>
      <c r="P146" s="196"/>
      <c r="Q146" s="196"/>
      <c r="R146" s="196"/>
      <c r="S146" s="196"/>
      <c r="T146" s="196"/>
      <c r="U146" s="196"/>
      <c r="V146" s="196"/>
      <c r="W146" s="196"/>
      <c r="X146" s="196"/>
      <c r="Y146" s="196"/>
      <c r="Z146" s="196"/>
      <c r="AA146" s="196"/>
      <c r="AB146" s="196"/>
      <c r="AC146" s="196"/>
      <c r="AD146" s="196"/>
      <c r="AE146" s="196"/>
      <c r="AF146" s="196"/>
      <c r="AG146" s="196"/>
      <c r="AH146" s="196"/>
    </row>
    <row r="147">
      <c r="A147" s="196"/>
      <c r="B147" s="196"/>
      <c r="C147" s="196"/>
      <c r="D147" s="196"/>
      <c r="E147" s="196"/>
      <c r="F147" s="196"/>
      <c r="G147" s="196"/>
      <c r="H147" s="196"/>
      <c r="I147" s="139"/>
      <c r="J147" s="196"/>
      <c r="K147" s="196"/>
      <c r="L147" s="139"/>
      <c r="M147" s="196"/>
      <c r="N147" s="196"/>
      <c r="O147" s="196"/>
      <c r="P147" s="196"/>
      <c r="Q147" s="196"/>
      <c r="R147" s="196"/>
      <c r="S147" s="196"/>
      <c r="T147" s="196"/>
      <c r="U147" s="196"/>
      <c r="V147" s="196"/>
      <c r="W147" s="196"/>
      <c r="X147" s="196"/>
      <c r="Y147" s="196"/>
      <c r="Z147" s="196"/>
      <c r="AA147" s="196"/>
      <c r="AB147" s="196"/>
      <c r="AC147" s="196"/>
      <c r="AD147" s="196"/>
      <c r="AE147" s="196"/>
      <c r="AF147" s="196"/>
      <c r="AG147" s="196"/>
      <c r="AH147" s="196"/>
    </row>
    <row r="148">
      <c r="A148" s="196"/>
      <c r="B148" s="196"/>
      <c r="C148" s="196"/>
      <c r="D148" s="196"/>
      <c r="E148" s="196"/>
      <c r="F148" s="196"/>
      <c r="G148" s="196"/>
      <c r="H148" s="196"/>
      <c r="I148" s="139"/>
      <c r="J148" s="196"/>
      <c r="K148" s="196"/>
      <c r="L148" s="139"/>
      <c r="M148" s="196"/>
      <c r="N148" s="196"/>
      <c r="O148" s="196"/>
      <c r="P148" s="196"/>
      <c r="Q148" s="196"/>
      <c r="R148" s="196"/>
      <c r="S148" s="196"/>
      <c r="T148" s="196"/>
      <c r="U148" s="196"/>
      <c r="V148" s="196"/>
      <c r="W148" s="196"/>
      <c r="X148" s="196"/>
      <c r="Y148" s="196"/>
      <c r="Z148" s="196"/>
      <c r="AA148" s="196"/>
      <c r="AB148" s="196"/>
      <c r="AC148" s="196"/>
      <c r="AD148" s="196"/>
      <c r="AE148" s="196"/>
      <c r="AF148" s="196"/>
      <c r="AG148" s="196"/>
      <c r="AH148" s="196"/>
    </row>
    <row r="149">
      <c r="A149" s="196"/>
      <c r="B149" s="196"/>
      <c r="C149" s="196"/>
      <c r="D149" s="196"/>
      <c r="E149" s="196"/>
      <c r="F149" s="196"/>
      <c r="G149" s="196"/>
      <c r="H149" s="196"/>
      <c r="I149" s="139"/>
      <c r="J149" s="196"/>
      <c r="K149" s="196"/>
      <c r="L149" s="139"/>
      <c r="M149" s="196"/>
      <c r="N149" s="196"/>
      <c r="O149" s="196"/>
      <c r="P149" s="196"/>
      <c r="Q149" s="196"/>
      <c r="R149" s="196"/>
      <c r="S149" s="196"/>
      <c r="T149" s="196"/>
      <c r="U149" s="196"/>
      <c r="V149" s="196"/>
      <c r="W149" s="196"/>
      <c r="X149" s="196"/>
      <c r="Y149" s="196"/>
      <c r="Z149" s="196"/>
      <c r="AA149" s="196"/>
      <c r="AB149" s="196"/>
      <c r="AC149" s="196"/>
      <c r="AD149" s="196"/>
      <c r="AE149" s="196"/>
      <c r="AF149" s="196"/>
      <c r="AG149" s="196"/>
      <c r="AH149" s="196"/>
    </row>
    <row r="150">
      <c r="A150" s="196"/>
      <c r="B150" s="196"/>
      <c r="C150" s="196"/>
      <c r="D150" s="196"/>
      <c r="E150" s="196"/>
      <c r="F150" s="196"/>
      <c r="G150" s="196"/>
      <c r="H150" s="196"/>
      <c r="I150" s="139"/>
      <c r="J150" s="196"/>
      <c r="K150" s="196"/>
      <c r="L150" s="139"/>
      <c r="M150" s="196"/>
      <c r="N150" s="196"/>
      <c r="O150" s="196"/>
      <c r="P150" s="196"/>
      <c r="Q150" s="196"/>
      <c r="R150" s="196"/>
      <c r="S150" s="196"/>
      <c r="T150" s="196"/>
      <c r="U150" s="196"/>
      <c r="V150" s="196"/>
      <c r="W150" s="196"/>
      <c r="X150" s="196"/>
      <c r="Y150" s="196"/>
      <c r="Z150" s="196"/>
      <c r="AA150" s="196"/>
      <c r="AB150" s="196"/>
      <c r="AC150" s="196"/>
      <c r="AD150" s="196"/>
      <c r="AE150" s="196"/>
      <c r="AF150" s="196"/>
      <c r="AG150" s="196"/>
      <c r="AH150" s="196"/>
    </row>
    <row r="151">
      <c r="A151" s="196"/>
      <c r="B151" s="196"/>
      <c r="C151" s="196"/>
      <c r="D151" s="196"/>
      <c r="E151" s="196"/>
      <c r="F151" s="196"/>
      <c r="G151" s="196"/>
      <c r="H151" s="196"/>
      <c r="I151" s="139"/>
      <c r="J151" s="196"/>
      <c r="K151" s="196"/>
      <c r="L151" s="139"/>
      <c r="M151" s="196"/>
      <c r="N151" s="196"/>
      <c r="O151" s="196"/>
      <c r="P151" s="196"/>
      <c r="Q151" s="196"/>
      <c r="R151" s="196"/>
      <c r="S151" s="196"/>
      <c r="T151" s="196"/>
      <c r="U151" s="196"/>
      <c r="V151" s="196"/>
      <c r="W151" s="196"/>
      <c r="X151" s="196"/>
      <c r="Y151" s="196"/>
      <c r="Z151" s="196"/>
      <c r="AA151" s="196"/>
      <c r="AB151" s="196"/>
      <c r="AC151" s="196"/>
      <c r="AD151" s="196"/>
      <c r="AE151" s="196"/>
      <c r="AF151" s="196"/>
      <c r="AG151" s="196"/>
      <c r="AH151" s="196"/>
    </row>
    <row r="152">
      <c r="A152" s="196"/>
      <c r="B152" s="196"/>
      <c r="C152" s="196"/>
      <c r="D152" s="196"/>
      <c r="E152" s="196"/>
      <c r="F152" s="196"/>
      <c r="G152" s="196"/>
      <c r="H152" s="196"/>
      <c r="I152" s="139"/>
      <c r="J152" s="196"/>
      <c r="K152" s="196"/>
      <c r="L152" s="139"/>
      <c r="M152" s="196"/>
      <c r="N152" s="196"/>
      <c r="O152" s="196"/>
      <c r="P152" s="196"/>
      <c r="Q152" s="196"/>
      <c r="R152" s="196"/>
      <c r="S152" s="196"/>
      <c r="T152" s="196"/>
      <c r="U152" s="196"/>
      <c r="V152" s="196"/>
      <c r="W152" s="196"/>
      <c r="X152" s="196"/>
      <c r="Y152" s="196"/>
      <c r="Z152" s="196"/>
      <c r="AA152" s="196"/>
      <c r="AB152" s="196"/>
      <c r="AC152" s="196"/>
      <c r="AD152" s="196"/>
      <c r="AE152" s="196"/>
      <c r="AF152" s="196"/>
      <c r="AG152" s="196"/>
      <c r="AH152" s="196"/>
    </row>
    <row r="153">
      <c r="A153" s="196"/>
      <c r="B153" s="196"/>
      <c r="C153" s="196"/>
      <c r="D153" s="196"/>
      <c r="E153" s="196"/>
      <c r="F153" s="196"/>
      <c r="G153" s="196"/>
      <c r="H153" s="196"/>
      <c r="I153" s="139"/>
      <c r="J153" s="196"/>
      <c r="K153" s="196"/>
      <c r="L153" s="139"/>
      <c r="M153" s="196"/>
      <c r="N153" s="196"/>
      <c r="O153" s="196"/>
      <c r="P153" s="196"/>
      <c r="Q153" s="196"/>
      <c r="R153" s="196"/>
      <c r="S153" s="196"/>
      <c r="T153" s="196"/>
      <c r="U153" s="196"/>
      <c r="V153" s="196"/>
      <c r="W153" s="196"/>
      <c r="X153" s="196"/>
      <c r="Y153" s="196"/>
      <c r="Z153" s="196"/>
      <c r="AA153" s="196"/>
      <c r="AB153" s="196"/>
      <c r="AC153" s="196"/>
      <c r="AD153" s="196"/>
      <c r="AE153" s="196"/>
      <c r="AF153" s="196"/>
      <c r="AG153" s="196"/>
      <c r="AH153" s="196"/>
    </row>
    <row r="154">
      <c r="A154" s="196"/>
      <c r="B154" s="196"/>
      <c r="C154" s="196"/>
      <c r="D154" s="196"/>
      <c r="E154" s="196"/>
      <c r="F154" s="196"/>
      <c r="G154" s="196"/>
      <c r="H154" s="196"/>
      <c r="I154" s="139"/>
      <c r="J154" s="196"/>
      <c r="K154" s="196"/>
      <c r="L154" s="139"/>
      <c r="M154" s="196"/>
      <c r="N154" s="196"/>
      <c r="O154" s="196"/>
      <c r="P154" s="196"/>
      <c r="Q154" s="196"/>
      <c r="R154" s="196"/>
      <c r="S154" s="196"/>
      <c r="T154" s="196"/>
      <c r="U154" s="196"/>
      <c r="V154" s="196"/>
      <c r="W154" s="196"/>
      <c r="X154" s="196"/>
      <c r="Y154" s="196"/>
      <c r="Z154" s="196"/>
      <c r="AA154" s="196"/>
      <c r="AB154" s="196"/>
      <c r="AC154" s="196"/>
      <c r="AD154" s="196"/>
      <c r="AE154" s="196"/>
      <c r="AF154" s="196"/>
      <c r="AG154" s="196"/>
      <c r="AH154" s="196"/>
    </row>
    <row r="155">
      <c r="A155" s="196"/>
      <c r="B155" s="196"/>
      <c r="C155" s="196"/>
      <c r="D155" s="196"/>
      <c r="E155" s="196"/>
      <c r="F155" s="196"/>
      <c r="G155" s="196"/>
      <c r="H155" s="196"/>
      <c r="I155" s="139"/>
      <c r="J155" s="196"/>
      <c r="K155" s="196"/>
      <c r="L155" s="139"/>
      <c r="M155" s="196"/>
      <c r="N155" s="196"/>
      <c r="O155" s="196"/>
      <c r="P155" s="196"/>
      <c r="Q155" s="196"/>
      <c r="R155" s="196"/>
      <c r="S155" s="196"/>
      <c r="T155" s="196"/>
      <c r="U155" s="196"/>
      <c r="V155" s="196"/>
      <c r="W155" s="196"/>
      <c r="X155" s="196"/>
      <c r="Y155" s="196"/>
      <c r="Z155" s="196"/>
      <c r="AA155" s="196"/>
      <c r="AB155" s="196"/>
      <c r="AC155" s="196"/>
      <c r="AD155" s="196"/>
      <c r="AE155" s="196"/>
      <c r="AF155" s="196"/>
      <c r="AG155" s="196"/>
      <c r="AH155" s="196"/>
    </row>
    <row r="156">
      <c r="A156" s="196"/>
      <c r="B156" s="196"/>
      <c r="C156" s="196"/>
      <c r="D156" s="196"/>
      <c r="E156" s="196"/>
      <c r="F156" s="196"/>
      <c r="G156" s="196"/>
      <c r="H156" s="196"/>
      <c r="I156" s="139"/>
      <c r="J156" s="196"/>
      <c r="K156" s="196"/>
      <c r="L156" s="139"/>
      <c r="M156" s="196"/>
      <c r="N156" s="196"/>
      <c r="O156" s="196"/>
      <c r="P156" s="196"/>
      <c r="Q156" s="196"/>
      <c r="R156" s="196"/>
      <c r="S156" s="196"/>
      <c r="T156" s="196"/>
      <c r="U156" s="196"/>
      <c r="V156" s="196"/>
      <c r="W156" s="196"/>
      <c r="X156" s="196"/>
      <c r="Y156" s="196"/>
      <c r="Z156" s="196"/>
      <c r="AA156" s="196"/>
      <c r="AB156" s="196"/>
      <c r="AC156" s="196"/>
      <c r="AD156" s="196"/>
      <c r="AE156" s="196"/>
      <c r="AF156" s="196"/>
      <c r="AG156" s="196"/>
      <c r="AH156" s="196"/>
    </row>
    <row r="157">
      <c r="A157" s="196"/>
      <c r="B157" s="196"/>
      <c r="C157" s="196"/>
      <c r="D157" s="196"/>
      <c r="E157" s="196"/>
      <c r="F157" s="196"/>
      <c r="G157" s="196"/>
      <c r="H157" s="196"/>
      <c r="I157" s="139"/>
      <c r="J157" s="196"/>
      <c r="K157" s="196"/>
      <c r="L157" s="139"/>
      <c r="M157" s="196"/>
      <c r="N157" s="196"/>
      <c r="O157" s="196"/>
      <c r="P157" s="196"/>
      <c r="Q157" s="196"/>
      <c r="R157" s="196"/>
      <c r="S157" s="196"/>
      <c r="T157" s="196"/>
      <c r="U157" s="196"/>
      <c r="V157" s="196"/>
      <c r="W157" s="196"/>
      <c r="X157" s="196"/>
      <c r="Y157" s="196"/>
      <c r="Z157" s="196"/>
      <c r="AA157" s="196"/>
      <c r="AB157" s="196"/>
      <c r="AC157" s="196"/>
      <c r="AD157" s="196"/>
      <c r="AE157" s="196"/>
      <c r="AF157" s="196"/>
      <c r="AG157" s="196"/>
      <c r="AH157" s="196"/>
    </row>
    <row r="158">
      <c r="A158" s="196"/>
      <c r="B158" s="196"/>
      <c r="C158" s="196"/>
      <c r="D158" s="196"/>
      <c r="E158" s="196"/>
      <c r="F158" s="196"/>
      <c r="G158" s="196"/>
      <c r="H158" s="196"/>
      <c r="I158" s="139"/>
      <c r="J158" s="196"/>
      <c r="K158" s="196"/>
      <c r="L158" s="139"/>
      <c r="M158" s="196"/>
      <c r="N158" s="196"/>
      <c r="O158" s="196"/>
      <c r="P158" s="196"/>
      <c r="Q158" s="196"/>
      <c r="R158" s="196"/>
      <c r="S158" s="196"/>
      <c r="T158" s="196"/>
      <c r="U158" s="196"/>
      <c r="V158" s="196"/>
      <c r="W158" s="196"/>
      <c r="X158" s="196"/>
      <c r="Y158" s="196"/>
      <c r="Z158" s="196"/>
      <c r="AA158" s="196"/>
      <c r="AB158" s="196"/>
      <c r="AC158" s="196"/>
      <c r="AD158" s="196"/>
      <c r="AE158" s="196"/>
      <c r="AF158" s="196"/>
      <c r="AG158" s="196"/>
      <c r="AH158" s="196"/>
    </row>
    <row r="159">
      <c r="A159" s="196"/>
      <c r="B159" s="196"/>
      <c r="C159" s="196"/>
      <c r="D159" s="196"/>
      <c r="E159" s="196"/>
      <c r="F159" s="196"/>
      <c r="G159" s="196"/>
      <c r="H159" s="196"/>
      <c r="I159" s="139"/>
      <c r="J159" s="196"/>
      <c r="K159" s="196"/>
      <c r="L159" s="139"/>
      <c r="M159" s="196"/>
      <c r="N159" s="196"/>
      <c r="O159" s="196"/>
      <c r="P159" s="196"/>
      <c r="Q159" s="196"/>
      <c r="R159" s="196"/>
      <c r="S159" s="196"/>
      <c r="T159" s="196"/>
      <c r="U159" s="196"/>
      <c r="V159" s="196"/>
      <c r="W159" s="196"/>
      <c r="X159" s="196"/>
      <c r="Y159" s="196"/>
      <c r="Z159" s="196"/>
      <c r="AA159" s="196"/>
      <c r="AB159" s="196"/>
      <c r="AC159" s="196"/>
      <c r="AD159" s="196"/>
      <c r="AE159" s="196"/>
      <c r="AF159" s="196"/>
      <c r="AG159" s="196"/>
      <c r="AH159" s="196"/>
    </row>
    <row r="160">
      <c r="A160" s="196"/>
      <c r="B160" s="196"/>
      <c r="C160" s="196"/>
      <c r="D160" s="196"/>
      <c r="E160" s="196"/>
      <c r="F160" s="196"/>
      <c r="G160" s="196"/>
      <c r="H160" s="196"/>
      <c r="I160" s="139"/>
      <c r="J160" s="196"/>
      <c r="K160" s="196"/>
      <c r="L160" s="139"/>
      <c r="M160" s="196"/>
      <c r="N160" s="196"/>
      <c r="O160" s="196"/>
      <c r="P160" s="196"/>
      <c r="Q160" s="196"/>
      <c r="R160" s="196"/>
      <c r="S160" s="196"/>
      <c r="T160" s="196"/>
      <c r="U160" s="196"/>
      <c r="V160" s="196"/>
      <c r="W160" s="196"/>
      <c r="X160" s="196"/>
      <c r="Y160" s="196"/>
      <c r="Z160" s="196"/>
      <c r="AA160" s="196"/>
      <c r="AB160" s="196"/>
      <c r="AC160" s="196"/>
      <c r="AD160" s="196"/>
      <c r="AE160" s="196"/>
      <c r="AF160" s="196"/>
      <c r="AG160" s="196"/>
      <c r="AH160" s="196"/>
    </row>
    <row r="161">
      <c r="A161" s="196"/>
      <c r="B161" s="196"/>
      <c r="C161" s="196"/>
      <c r="D161" s="196"/>
      <c r="E161" s="196"/>
      <c r="F161" s="196"/>
      <c r="G161" s="196"/>
      <c r="H161" s="196"/>
      <c r="I161" s="139"/>
      <c r="J161" s="196"/>
      <c r="K161" s="196"/>
      <c r="L161" s="139"/>
      <c r="M161" s="196"/>
      <c r="N161" s="196"/>
      <c r="O161" s="196"/>
      <c r="P161" s="196"/>
      <c r="Q161" s="196"/>
      <c r="R161" s="196"/>
      <c r="S161" s="196"/>
      <c r="T161" s="196"/>
      <c r="U161" s="196"/>
      <c r="V161" s="196"/>
      <c r="W161" s="196"/>
      <c r="X161" s="196"/>
      <c r="Y161" s="196"/>
      <c r="Z161" s="196"/>
      <c r="AA161" s="196"/>
      <c r="AB161" s="196"/>
      <c r="AC161" s="196"/>
      <c r="AD161" s="196"/>
      <c r="AE161" s="196"/>
      <c r="AF161" s="196"/>
      <c r="AG161" s="196"/>
      <c r="AH161" s="196"/>
    </row>
    <row r="162">
      <c r="A162" s="196"/>
      <c r="B162" s="196"/>
      <c r="C162" s="196"/>
      <c r="D162" s="196"/>
      <c r="E162" s="196"/>
      <c r="F162" s="196"/>
      <c r="G162" s="196"/>
      <c r="H162" s="196"/>
      <c r="I162" s="139"/>
      <c r="J162" s="196"/>
      <c r="K162" s="196"/>
      <c r="L162" s="139"/>
      <c r="M162" s="196"/>
      <c r="N162" s="196"/>
      <c r="O162" s="196"/>
      <c r="P162" s="196"/>
      <c r="Q162" s="196"/>
      <c r="R162" s="196"/>
      <c r="S162" s="196"/>
      <c r="T162" s="196"/>
      <c r="U162" s="196"/>
      <c r="V162" s="196"/>
      <c r="W162" s="196"/>
      <c r="X162" s="196"/>
      <c r="Y162" s="196"/>
      <c r="Z162" s="196"/>
      <c r="AA162" s="196"/>
      <c r="AB162" s="196"/>
      <c r="AC162" s="196"/>
      <c r="AD162" s="196"/>
      <c r="AE162" s="196"/>
      <c r="AF162" s="196"/>
      <c r="AG162" s="196"/>
      <c r="AH162" s="196"/>
    </row>
    <row r="163">
      <c r="A163" s="196"/>
      <c r="B163" s="196"/>
      <c r="C163" s="196"/>
      <c r="D163" s="196"/>
      <c r="E163" s="196"/>
      <c r="F163" s="196"/>
      <c r="G163" s="196"/>
      <c r="H163" s="196"/>
      <c r="I163" s="139"/>
      <c r="J163" s="196"/>
      <c r="K163" s="196"/>
      <c r="L163" s="139"/>
      <c r="M163" s="196"/>
      <c r="N163" s="196"/>
      <c r="O163" s="196"/>
      <c r="P163" s="196"/>
      <c r="Q163" s="196"/>
      <c r="R163" s="196"/>
      <c r="S163" s="196"/>
      <c r="T163" s="196"/>
      <c r="U163" s="196"/>
      <c r="V163" s="196"/>
      <c r="W163" s="196"/>
      <c r="X163" s="196"/>
      <c r="Y163" s="196"/>
      <c r="Z163" s="196"/>
      <c r="AA163" s="196"/>
      <c r="AB163" s="196"/>
      <c r="AC163" s="196"/>
      <c r="AD163" s="196"/>
      <c r="AE163" s="196"/>
      <c r="AF163" s="196"/>
      <c r="AG163" s="196"/>
      <c r="AH163" s="196"/>
    </row>
    <row r="164">
      <c r="A164" s="196"/>
      <c r="B164" s="196"/>
      <c r="C164" s="196"/>
      <c r="D164" s="196"/>
      <c r="E164" s="196"/>
      <c r="F164" s="196"/>
      <c r="G164" s="196"/>
      <c r="H164" s="196"/>
      <c r="I164" s="139"/>
      <c r="J164" s="196"/>
      <c r="K164" s="196"/>
      <c r="L164" s="139"/>
      <c r="M164" s="196"/>
      <c r="N164" s="196"/>
      <c r="O164" s="196"/>
      <c r="P164" s="196"/>
      <c r="Q164" s="196"/>
      <c r="R164" s="196"/>
      <c r="S164" s="196"/>
      <c r="T164" s="196"/>
      <c r="U164" s="196"/>
      <c r="V164" s="196"/>
      <c r="W164" s="196"/>
      <c r="X164" s="196"/>
      <c r="Y164" s="196"/>
      <c r="Z164" s="196"/>
      <c r="AA164" s="196"/>
      <c r="AB164" s="196"/>
      <c r="AC164" s="196"/>
      <c r="AD164" s="196"/>
      <c r="AE164" s="196"/>
      <c r="AF164" s="196"/>
      <c r="AG164" s="196"/>
      <c r="AH164" s="196"/>
    </row>
    <row r="165">
      <c r="A165" s="196"/>
      <c r="B165" s="196"/>
      <c r="C165" s="196"/>
      <c r="D165" s="196"/>
      <c r="E165" s="196"/>
      <c r="F165" s="196"/>
      <c r="G165" s="196"/>
      <c r="H165" s="196"/>
      <c r="I165" s="139"/>
      <c r="J165" s="196"/>
      <c r="K165" s="196"/>
      <c r="L165" s="139"/>
      <c r="M165" s="196"/>
      <c r="N165" s="196"/>
      <c r="O165" s="196"/>
      <c r="P165" s="196"/>
      <c r="Q165" s="196"/>
      <c r="R165" s="196"/>
      <c r="S165" s="196"/>
      <c r="T165" s="196"/>
      <c r="U165" s="196"/>
      <c r="V165" s="196"/>
      <c r="W165" s="196"/>
      <c r="X165" s="196"/>
      <c r="Y165" s="196"/>
      <c r="Z165" s="196"/>
      <c r="AA165" s="196"/>
      <c r="AB165" s="196"/>
      <c r="AC165" s="196"/>
      <c r="AD165" s="196"/>
      <c r="AE165" s="196"/>
      <c r="AF165" s="196"/>
      <c r="AG165" s="196"/>
      <c r="AH165" s="196"/>
    </row>
    <row r="166">
      <c r="A166" s="196"/>
      <c r="B166" s="196"/>
      <c r="C166" s="196"/>
      <c r="D166" s="196"/>
      <c r="E166" s="196"/>
      <c r="F166" s="196"/>
      <c r="G166" s="196"/>
      <c r="H166" s="196"/>
      <c r="I166" s="139"/>
      <c r="J166" s="196"/>
      <c r="K166" s="196"/>
      <c r="L166" s="139"/>
      <c r="M166" s="196"/>
      <c r="N166" s="196"/>
      <c r="O166" s="196"/>
      <c r="P166" s="196"/>
      <c r="Q166" s="196"/>
      <c r="R166" s="196"/>
      <c r="S166" s="196"/>
      <c r="T166" s="196"/>
      <c r="U166" s="196"/>
      <c r="V166" s="196"/>
      <c r="W166" s="196"/>
      <c r="X166" s="196"/>
      <c r="Y166" s="196"/>
      <c r="Z166" s="196"/>
      <c r="AA166" s="196"/>
      <c r="AB166" s="196"/>
      <c r="AC166" s="196"/>
      <c r="AD166" s="196"/>
      <c r="AE166" s="196"/>
      <c r="AF166" s="196"/>
      <c r="AG166" s="196"/>
      <c r="AH166" s="196"/>
    </row>
    <row r="167">
      <c r="A167" s="196"/>
      <c r="B167" s="196"/>
      <c r="C167" s="196"/>
      <c r="D167" s="196"/>
      <c r="E167" s="196"/>
      <c r="F167" s="196"/>
      <c r="G167" s="196"/>
      <c r="H167" s="196"/>
      <c r="I167" s="139"/>
      <c r="J167" s="196"/>
      <c r="K167" s="196"/>
      <c r="L167" s="139"/>
      <c r="M167" s="196"/>
      <c r="N167" s="196"/>
      <c r="O167" s="196"/>
      <c r="P167" s="196"/>
      <c r="Q167" s="196"/>
      <c r="R167" s="196"/>
      <c r="S167" s="196"/>
      <c r="T167" s="196"/>
      <c r="U167" s="196"/>
      <c r="V167" s="196"/>
      <c r="W167" s="196"/>
      <c r="X167" s="196"/>
      <c r="Y167" s="196"/>
      <c r="Z167" s="196"/>
      <c r="AA167" s="196"/>
      <c r="AB167" s="196"/>
      <c r="AC167" s="196"/>
      <c r="AD167" s="196"/>
      <c r="AE167" s="196"/>
      <c r="AF167" s="196"/>
      <c r="AG167" s="196"/>
      <c r="AH167" s="196"/>
    </row>
    <row r="168">
      <c r="A168" s="196"/>
      <c r="B168" s="196"/>
      <c r="C168" s="196"/>
      <c r="D168" s="196"/>
      <c r="E168" s="196"/>
      <c r="F168" s="196"/>
      <c r="G168" s="196"/>
      <c r="H168" s="196"/>
      <c r="I168" s="139"/>
      <c r="J168" s="196"/>
      <c r="K168" s="196"/>
      <c r="L168" s="139"/>
      <c r="M168" s="196"/>
      <c r="N168" s="196"/>
      <c r="O168" s="196"/>
      <c r="P168" s="196"/>
      <c r="Q168" s="196"/>
      <c r="R168" s="196"/>
      <c r="S168" s="196"/>
      <c r="T168" s="196"/>
      <c r="U168" s="196"/>
      <c r="V168" s="196"/>
      <c r="W168" s="196"/>
      <c r="X168" s="196"/>
      <c r="Y168" s="196"/>
      <c r="Z168" s="196"/>
      <c r="AA168" s="196"/>
      <c r="AB168" s="196"/>
      <c r="AC168" s="196"/>
      <c r="AD168" s="196"/>
      <c r="AE168" s="196"/>
      <c r="AF168" s="196"/>
      <c r="AG168" s="196"/>
      <c r="AH168" s="196"/>
    </row>
    <row r="169">
      <c r="A169" s="196"/>
      <c r="B169" s="196"/>
      <c r="C169" s="196"/>
      <c r="D169" s="196"/>
      <c r="E169" s="196"/>
      <c r="F169" s="196"/>
      <c r="G169" s="196"/>
      <c r="H169" s="196"/>
      <c r="I169" s="139"/>
      <c r="J169" s="196"/>
      <c r="K169" s="196"/>
      <c r="L169" s="139"/>
      <c r="M169" s="196"/>
      <c r="N169" s="196"/>
      <c r="O169" s="196"/>
      <c r="P169" s="196"/>
      <c r="Q169" s="196"/>
      <c r="R169" s="196"/>
      <c r="S169" s="196"/>
      <c r="T169" s="196"/>
      <c r="U169" s="196"/>
      <c r="V169" s="196"/>
      <c r="W169" s="196"/>
      <c r="X169" s="196"/>
      <c r="Y169" s="196"/>
      <c r="Z169" s="196"/>
      <c r="AA169" s="196"/>
      <c r="AB169" s="196"/>
      <c r="AC169" s="196"/>
      <c r="AD169" s="196"/>
      <c r="AE169" s="196"/>
      <c r="AF169" s="196"/>
      <c r="AG169" s="196"/>
      <c r="AH169" s="196"/>
    </row>
    <row r="170">
      <c r="A170" s="196"/>
      <c r="B170" s="196"/>
      <c r="C170" s="196"/>
      <c r="D170" s="196"/>
      <c r="E170" s="196"/>
      <c r="F170" s="196"/>
      <c r="G170" s="196"/>
      <c r="H170" s="196"/>
      <c r="I170" s="139"/>
      <c r="J170" s="196"/>
      <c r="K170" s="196"/>
      <c r="L170" s="139"/>
      <c r="M170" s="196"/>
      <c r="N170" s="196"/>
      <c r="O170" s="196"/>
      <c r="P170" s="196"/>
      <c r="Q170" s="196"/>
      <c r="R170" s="196"/>
      <c r="S170" s="196"/>
      <c r="T170" s="196"/>
      <c r="U170" s="196"/>
      <c r="V170" s="196"/>
      <c r="W170" s="196"/>
      <c r="X170" s="196"/>
      <c r="Y170" s="196"/>
      <c r="Z170" s="196"/>
      <c r="AA170" s="196"/>
      <c r="AB170" s="196"/>
      <c r="AC170" s="196"/>
      <c r="AD170" s="196"/>
      <c r="AE170" s="196"/>
      <c r="AF170" s="196"/>
      <c r="AG170" s="196"/>
      <c r="AH170" s="196"/>
    </row>
    <row r="171">
      <c r="A171" s="196"/>
      <c r="B171" s="196"/>
      <c r="C171" s="196"/>
      <c r="D171" s="196"/>
      <c r="E171" s="196"/>
      <c r="F171" s="196"/>
      <c r="G171" s="196"/>
      <c r="H171" s="196"/>
      <c r="I171" s="139"/>
      <c r="J171" s="196"/>
      <c r="K171" s="196"/>
      <c r="L171" s="139"/>
      <c r="M171" s="196"/>
      <c r="N171" s="196"/>
      <c r="O171" s="196"/>
      <c r="P171" s="196"/>
      <c r="Q171" s="196"/>
      <c r="R171" s="196"/>
      <c r="S171" s="196"/>
      <c r="T171" s="196"/>
      <c r="U171" s="196"/>
      <c r="V171" s="196"/>
      <c r="W171" s="196"/>
      <c r="X171" s="196"/>
      <c r="Y171" s="196"/>
      <c r="Z171" s="196"/>
      <c r="AA171" s="196"/>
      <c r="AB171" s="196"/>
      <c r="AC171" s="196"/>
      <c r="AD171" s="196"/>
      <c r="AE171" s="196"/>
      <c r="AF171" s="196"/>
      <c r="AG171" s="196"/>
      <c r="AH171" s="196"/>
    </row>
    <row r="172">
      <c r="A172" s="196"/>
      <c r="B172" s="196"/>
      <c r="C172" s="196"/>
      <c r="D172" s="196"/>
      <c r="E172" s="196"/>
      <c r="F172" s="196"/>
      <c r="G172" s="196"/>
      <c r="H172" s="196"/>
      <c r="I172" s="139"/>
      <c r="J172" s="196"/>
      <c r="K172" s="196"/>
      <c r="L172" s="139"/>
      <c r="M172" s="196"/>
      <c r="N172" s="196"/>
      <c r="O172" s="196"/>
      <c r="P172" s="196"/>
      <c r="Q172" s="196"/>
      <c r="R172" s="196"/>
      <c r="S172" s="196"/>
      <c r="T172" s="196"/>
      <c r="U172" s="196"/>
      <c r="V172" s="196"/>
      <c r="W172" s="196"/>
      <c r="X172" s="196"/>
      <c r="Y172" s="196"/>
      <c r="Z172" s="196"/>
      <c r="AA172" s="196"/>
      <c r="AB172" s="196"/>
      <c r="AC172" s="196"/>
      <c r="AD172" s="196"/>
      <c r="AE172" s="196"/>
      <c r="AF172" s="196"/>
      <c r="AG172" s="196"/>
      <c r="AH172" s="196"/>
    </row>
    <row r="173">
      <c r="A173" s="196"/>
      <c r="B173" s="196"/>
      <c r="C173" s="196"/>
      <c r="D173" s="196"/>
      <c r="E173" s="196"/>
      <c r="F173" s="196"/>
      <c r="G173" s="196"/>
      <c r="H173" s="196"/>
      <c r="I173" s="139"/>
      <c r="J173" s="196"/>
      <c r="K173" s="196"/>
      <c r="L173" s="139"/>
      <c r="M173" s="196"/>
      <c r="N173" s="196"/>
      <c r="O173" s="196"/>
      <c r="P173" s="196"/>
      <c r="Q173" s="196"/>
      <c r="R173" s="196"/>
      <c r="S173" s="196"/>
      <c r="T173" s="196"/>
      <c r="U173" s="196"/>
      <c r="V173" s="196"/>
      <c r="W173" s="196"/>
      <c r="X173" s="196"/>
      <c r="Y173" s="196"/>
      <c r="Z173" s="196"/>
      <c r="AA173" s="196"/>
      <c r="AB173" s="196"/>
      <c r="AC173" s="196"/>
      <c r="AD173" s="196"/>
      <c r="AE173" s="196"/>
      <c r="AF173" s="196"/>
      <c r="AG173" s="196"/>
      <c r="AH173" s="196"/>
    </row>
    <row r="174">
      <c r="A174" s="196"/>
      <c r="B174" s="196"/>
      <c r="C174" s="196"/>
      <c r="D174" s="196"/>
      <c r="E174" s="196"/>
      <c r="F174" s="196"/>
      <c r="G174" s="196"/>
      <c r="H174" s="196"/>
      <c r="I174" s="139"/>
      <c r="J174" s="196"/>
      <c r="K174" s="196"/>
      <c r="L174" s="139"/>
      <c r="M174" s="196"/>
      <c r="N174" s="196"/>
      <c r="O174" s="196"/>
      <c r="P174" s="196"/>
      <c r="Q174" s="196"/>
      <c r="R174" s="196"/>
      <c r="S174" s="196"/>
      <c r="T174" s="196"/>
      <c r="U174" s="196"/>
      <c r="V174" s="196"/>
      <c r="W174" s="196"/>
      <c r="X174" s="196"/>
      <c r="Y174" s="196"/>
      <c r="Z174" s="196"/>
      <c r="AA174" s="196"/>
      <c r="AB174" s="196"/>
      <c r="AC174" s="196"/>
      <c r="AD174" s="196"/>
      <c r="AE174" s="196"/>
      <c r="AF174" s="196"/>
      <c r="AG174" s="196"/>
      <c r="AH174" s="196"/>
    </row>
    <row r="175">
      <c r="A175" s="196"/>
      <c r="B175" s="196"/>
      <c r="C175" s="196"/>
      <c r="D175" s="196"/>
      <c r="E175" s="196"/>
      <c r="F175" s="196"/>
      <c r="G175" s="196"/>
      <c r="H175" s="196"/>
      <c r="I175" s="139"/>
      <c r="J175" s="196"/>
      <c r="K175" s="196"/>
      <c r="L175" s="139"/>
      <c r="M175" s="196"/>
      <c r="N175" s="196"/>
      <c r="O175" s="196"/>
      <c r="P175" s="196"/>
      <c r="Q175" s="196"/>
      <c r="R175" s="196"/>
      <c r="S175" s="196"/>
      <c r="T175" s="196"/>
      <c r="U175" s="196"/>
      <c r="V175" s="196"/>
      <c r="W175" s="196"/>
      <c r="X175" s="196"/>
      <c r="Y175" s="196"/>
      <c r="Z175" s="196"/>
      <c r="AA175" s="196"/>
      <c r="AB175" s="196"/>
      <c r="AC175" s="196"/>
      <c r="AD175" s="196"/>
      <c r="AE175" s="196"/>
      <c r="AF175" s="196"/>
      <c r="AG175" s="196"/>
      <c r="AH175" s="196"/>
    </row>
    <row r="176">
      <c r="A176" s="196"/>
      <c r="B176" s="196"/>
      <c r="C176" s="196"/>
      <c r="D176" s="196"/>
      <c r="E176" s="196"/>
      <c r="F176" s="196"/>
      <c r="G176" s="196"/>
      <c r="H176" s="196"/>
      <c r="I176" s="139"/>
      <c r="J176" s="196"/>
      <c r="K176" s="196"/>
      <c r="L176" s="139"/>
      <c r="M176" s="196"/>
      <c r="N176" s="196"/>
      <c r="O176" s="196"/>
      <c r="P176" s="196"/>
      <c r="Q176" s="196"/>
      <c r="R176" s="196"/>
      <c r="S176" s="196"/>
      <c r="T176" s="196"/>
      <c r="U176" s="196"/>
      <c r="V176" s="196"/>
      <c r="W176" s="196"/>
      <c r="X176" s="196"/>
      <c r="Y176" s="196"/>
      <c r="Z176" s="196"/>
      <c r="AA176" s="196"/>
      <c r="AB176" s="196"/>
      <c r="AC176" s="196"/>
      <c r="AD176" s="196"/>
      <c r="AE176" s="196"/>
      <c r="AF176" s="196"/>
      <c r="AG176" s="196"/>
      <c r="AH176" s="196"/>
    </row>
    <row r="177">
      <c r="A177" s="196"/>
      <c r="B177" s="196"/>
      <c r="C177" s="196"/>
      <c r="D177" s="196"/>
      <c r="E177" s="196"/>
      <c r="F177" s="196"/>
      <c r="G177" s="196"/>
      <c r="H177" s="196"/>
      <c r="I177" s="139"/>
      <c r="J177" s="196"/>
      <c r="K177" s="196"/>
      <c r="L177" s="139"/>
      <c r="M177" s="196"/>
      <c r="N177" s="196"/>
      <c r="O177" s="196"/>
      <c r="P177" s="196"/>
      <c r="Q177" s="196"/>
      <c r="R177" s="196"/>
      <c r="S177" s="196"/>
      <c r="T177" s="196"/>
      <c r="U177" s="196"/>
      <c r="V177" s="196"/>
      <c r="W177" s="196"/>
      <c r="X177" s="196"/>
      <c r="Y177" s="196"/>
      <c r="Z177" s="196"/>
      <c r="AA177" s="196"/>
      <c r="AB177" s="196"/>
      <c r="AC177" s="196"/>
      <c r="AD177" s="196"/>
      <c r="AE177" s="196"/>
      <c r="AF177" s="196"/>
      <c r="AG177" s="196"/>
      <c r="AH177" s="196"/>
    </row>
    <row r="178">
      <c r="A178" s="196"/>
      <c r="B178" s="196"/>
      <c r="C178" s="196"/>
      <c r="D178" s="196"/>
      <c r="E178" s="196"/>
      <c r="F178" s="196"/>
      <c r="G178" s="196"/>
      <c r="H178" s="196"/>
      <c r="I178" s="139"/>
      <c r="J178" s="196"/>
      <c r="K178" s="196"/>
      <c r="L178" s="139"/>
      <c r="M178" s="196"/>
      <c r="N178" s="196"/>
      <c r="O178" s="196"/>
      <c r="P178" s="196"/>
      <c r="Q178" s="196"/>
      <c r="R178" s="196"/>
      <c r="S178" s="196"/>
      <c r="T178" s="196"/>
      <c r="U178" s="196"/>
      <c r="V178" s="196"/>
      <c r="W178" s="196"/>
      <c r="X178" s="196"/>
      <c r="Y178" s="196"/>
      <c r="Z178" s="196"/>
      <c r="AA178" s="196"/>
      <c r="AB178" s="196"/>
      <c r="AC178" s="196"/>
      <c r="AD178" s="196"/>
      <c r="AE178" s="196"/>
      <c r="AF178" s="196"/>
      <c r="AG178" s="196"/>
      <c r="AH178" s="196"/>
    </row>
    <row r="179">
      <c r="A179" s="196"/>
      <c r="B179" s="196"/>
      <c r="C179" s="196"/>
      <c r="D179" s="196"/>
      <c r="E179" s="196"/>
      <c r="F179" s="196"/>
      <c r="G179" s="196"/>
      <c r="H179" s="196"/>
      <c r="I179" s="139"/>
      <c r="J179" s="196"/>
      <c r="K179" s="196"/>
      <c r="L179" s="139"/>
      <c r="M179" s="196"/>
      <c r="N179" s="196"/>
      <c r="O179" s="196"/>
      <c r="P179" s="196"/>
      <c r="Q179" s="196"/>
      <c r="R179" s="196"/>
      <c r="S179" s="196"/>
      <c r="T179" s="196"/>
      <c r="U179" s="196"/>
      <c r="V179" s="196"/>
      <c r="W179" s="196"/>
      <c r="X179" s="196"/>
      <c r="Y179" s="196"/>
      <c r="Z179" s="196"/>
      <c r="AA179" s="196"/>
      <c r="AB179" s="196"/>
      <c r="AC179" s="196"/>
      <c r="AD179" s="196"/>
      <c r="AE179" s="196"/>
      <c r="AF179" s="196"/>
      <c r="AG179" s="196"/>
      <c r="AH179" s="196"/>
    </row>
    <row r="180">
      <c r="A180" s="196"/>
      <c r="B180" s="196"/>
      <c r="C180" s="196"/>
      <c r="D180" s="196"/>
      <c r="E180" s="196"/>
      <c r="F180" s="196"/>
      <c r="G180" s="196"/>
      <c r="H180" s="196"/>
      <c r="I180" s="139"/>
      <c r="J180" s="196"/>
      <c r="K180" s="196"/>
      <c r="L180" s="139"/>
      <c r="M180" s="196"/>
      <c r="N180" s="196"/>
      <c r="O180" s="196"/>
      <c r="P180" s="196"/>
      <c r="Q180" s="196"/>
      <c r="R180" s="196"/>
      <c r="S180" s="196"/>
      <c r="T180" s="196"/>
      <c r="U180" s="196"/>
      <c r="V180" s="196"/>
      <c r="W180" s="196"/>
      <c r="X180" s="196"/>
      <c r="Y180" s="196"/>
      <c r="Z180" s="196"/>
      <c r="AA180" s="196"/>
      <c r="AB180" s="196"/>
      <c r="AC180" s="196"/>
      <c r="AD180" s="196"/>
      <c r="AE180" s="196"/>
      <c r="AF180" s="196"/>
      <c r="AG180" s="196"/>
      <c r="AH180" s="196"/>
    </row>
    <row r="181">
      <c r="A181" s="196"/>
      <c r="B181" s="196"/>
      <c r="C181" s="196"/>
      <c r="D181" s="196"/>
      <c r="E181" s="196"/>
      <c r="F181" s="196"/>
      <c r="G181" s="196"/>
      <c r="H181" s="196"/>
      <c r="I181" s="139"/>
      <c r="J181" s="196"/>
      <c r="K181" s="196"/>
      <c r="L181" s="139"/>
      <c r="M181" s="196"/>
      <c r="N181" s="196"/>
      <c r="O181" s="196"/>
      <c r="P181" s="196"/>
      <c r="Q181" s="196"/>
      <c r="R181" s="196"/>
      <c r="S181" s="196"/>
      <c r="T181" s="196"/>
      <c r="U181" s="196"/>
      <c r="V181" s="196"/>
      <c r="W181" s="196"/>
      <c r="X181" s="196"/>
      <c r="Y181" s="196"/>
      <c r="Z181" s="196"/>
      <c r="AA181" s="196"/>
      <c r="AB181" s="196"/>
      <c r="AC181" s="196"/>
      <c r="AD181" s="196"/>
      <c r="AE181" s="196"/>
      <c r="AF181" s="196"/>
      <c r="AG181" s="196"/>
      <c r="AH181" s="196"/>
    </row>
    <row r="182">
      <c r="A182" s="196"/>
      <c r="B182" s="196"/>
      <c r="C182" s="196"/>
      <c r="D182" s="196"/>
      <c r="E182" s="196"/>
      <c r="F182" s="196"/>
      <c r="G182" s="196"/>
      <c r="H182" s="196"/>
      <c r="I182" s="139"/>
      <c r="J182" s="196"/>
      <c r="K182" s="196"/>
      <c r="L182" s="139"/>
      <c r="M182" s="196"/>
      <c r="N182" s="196"/>
      <c r="O182" s="196"/>
      <c r="P182" s="196"/>
      <c r="Q182" s="196"/>
      <c r="R182" s="196"/>
      <c r="S182" s="196"/>
      <c r="T182" s="196"/>
      <c r="U182" s="196"/>
      <c r="V182" s="196"/>
      <c r="W182" s="196"/>
      <c r="X182" s="196"/>
      <c r="Y182" s="196"/>
      <c r="Z182" s="196"/>
      <c r="AA182" s="196"/>
      <c r="AB182" s="196"/>
      <c r="AC182" s="196"/>
      <c r="AD182" s="196"/>
      <c r="AE182" s="196"/>
      <c r="AF182" s="196"/>
      <c r="AG182" s="196"/>
      <c r="AH182" s="196"/>
    </row>
    <row r="183">
      <c r="A183" s="196"/>
      <c r="B183" s="196"/>
      <c r="C183" s="196"/>
      <c r="D183" s="196"/>
      <c r="E183" s="196"/>
      <c r="F183" s="196"/>
      <c r="G183" s="196"/>
      <c r="H183" s="196"/>
      <c r="I183" s="139"/>
      <c r="J183" s="196"/>
      <c r="K183" s="196"/>
      <c r="L183" s="139"/>
      <c r="M183" s="196"/>
      <c r="N183" s="196"/>
      <c r="O183" s="196"/>
      <c r="P183" s="196"/>
      <c r="Q183" s="196"/>
      <c r="R183" s="196"/>
      <c r="S183" s="196"/>
      <c r="T183" s="196"/>
      <c r="U183" s="196"/>
      <c r="V183" s="196"/>
      <c r="W183" s="196"/>
      <c r="X183" s="196"/>
      <c r="Y183" s="196"/>
      <c r="Z183" s="196"/>
      <c r="AA183" s="196"/>
      <c r="AB183" s="196"/>
      <c r="AC183" s="196"/>
      <c r="AD183" s="196"/>
      <c r="AE183" s="196"/>
      <c r="AF183" s="196"/>
      <c r="AG183" s="196"/>
      <c r="AH183" s="196"/>
    </row>
    <row r="184">
      <c r="A184" s="196"/>
      <c r="B184" s="196"/>
      <c r="C184" s="196"/>
      <c r="D184" s="196"/>
      <c r="E184" s="196"/>
      <c r="F184" s="196"/>
      <c r="G184" s="196"/>
      <c r="H184" s="196"/>
      <c r="I184" s="139"/>
      <c r="J184" s="196"/>
      <c r="K184" s="196"/>
      <c r="L184" s="139"/>
      <c r="M184" s="196"/>
      <c r="N184" s="196"/>
      <c r="O184" s="196"/>
      <c r="P184" s="196"/>
      <c r="Q184" s="196"/>
      <c r="R184" s="196"/>
      <c r="S184" s="196"/>
      <c r="T184" s="196"/>
      <c r="U184" s="196"/>
      <c r="V184" s="196"/>
      <c r="W184" s="196"/>
      <c r="X184" s="196"/>
      <c r="Y184" s="196"/>
      <c r="Z184" s="196"/>
      <c r="AA184" s="196"/>
      <c r="AB184" s="196"/>
      <c r="AC184" s="196"/>
      <c r="AD184" s="196"/>
      <c r="AE184" s="196"/>
      <c r="AF184" s="196"/>
      <c r="AG184" s="196"/>
      <c r="AH184" s="196"/>
    </row>
    <row r="185">
      <c r="A185" s="196"/>
      <c r="B185" s="196"/>
      <c r="C185" s="196"/>
      <c r="D185" s="196"/>
      <c r="E185" s="196"/>
      <c r="F185" s="196"/>
      <c r="G185" s="196"/>
      <c r="H185" s="196"/>
      <c r="I185" s="139"/>
      <c r="J185" s="196"/>
      <c r="K185" s="196"/>
      <c r="L185" s="139"/>
      <c r="M185" s="196"/>
      <c r="N185" s="196"/>
      <c r="O185" s="196"/>
      <c r="P185" s="196"/>
      <c r="Q185" s="196"/>
      <c r="R185" s="196"/>
      <c r="S185" s="196"/>
      <c r="T185" s="196"/>
      <c r="U185" s="196"/>
      <c r="V185" s="196"/>
      <c r="W185" s="196"/>
      <c r="X185" s="196"/>
      <c r="Y185" s="196"/>
      <c r="Z185" s="196"/>
      <c r="AA185" s="196"/>
      <c r="AB185" s="196"/>
      <c r="AC185" s="196"/>
      <c r="AD185" s="196"/>
      <c r="AE185" s="196"/>
      <c r="AF185" s="196"/>
      <c r="AG185" s="196"/>
      <c r="AH185" s="196"/>
    </row>
    <row r="186">
      <c r="A186" s="196"/>
      <c r="B186" s="196"/>
      <c r="C186" s="196"/>
      <c r="D186" s="196"/>
      <c r="E186" s="196"/>
      <c r="F186" s="196"/>
      <c r="G186" s="196"/>
      <c r="H186" s="196"/>
      <c r="I186" s="139"/>
      <c r="J186" s="196"/>
      <c r="K186" s="196"/>
      <c r="L186" s="139"/>
      <c r="M186" s="196"/>
      <c r="N186" s="196"/>
      <c r="O186" s="196"/>
      <c r="P186" s="196"/>
      <c r="Q186" s="196"/>
      <c r="R186" s="196"/>
      <c r="S186" s="196"/>
      <c r="T186" s="196"/>
      <c r="U186" s="196"/>
      <c r="V186" s="196"/>
      <c r="W186" s="196"/>
      <c r="X186" s="196"/>
      <c r="Y186" s="196"/>
      <c r="Z186" s="196"/>
      <c r="AA186" s="196"/>
      <c r="AB186" s="196"/>
      <c r="AC186" s="196"/>
      <c r="AD186" s="196"/>
      <c r="AE186" s="196"/>
      <c r="AF186" s="196"/>
      <c r="AG186" s="196"/>
      <c r="AH186" s="196"/>
    </row>
    <row r="187">
      <c r="A187" s="196"/>
      <c r="B187" s="196"/>
      <c r="C187" s="196"/>
      <c r="D187" s="196"/>
      <c r="E187" s="196"/>
      <c r="F187" s="196"/>
      <c r="G187" s="196"/>
      <c r="H187" s="196"/>
      <c r="I187" s="139"/>
      <c r="J187" s="196"/>
      <c r="K187" s="196"/>
      <c r="L187" s="139"/>
      <c r="M187" s="196"/>
      <c r="N187" s="196"/>
      <c r="O187" s="196"/>
      <c r="P187" s="196"/>
      <c r="Q187" s="196"/>
      <c r="R187" s="196"/>
      <c r="S187" s="196"/>
      <c r="T187" s="196"/>
      <c r="U187" s="196"/>
      <c r="V187" s="196"/>
      <c r="W187" s="196"/>
      <c r="X187" s="196"/>
      <c r="Y187" s="196"/>
      <c r="Z187" s="196"/>
      <c r="AA187" s="196"/>
      <c r="AB187" s="196"/>
      <c r="AC187" s="196"/>
      <c r="AD187" s="196"/>
      <c r="AE187" s="196"/>
      <c r="AF187" s="196"/>
      <c r="AG187" s="196"/>
      <c r="AH187" s="196"/>
    </row>
    <row r="188">
      <c r="A188" s="196"/>
      <c r="B188" s="196"/>
      <c r="C188" s="196"/>
      <c r="D188" s="196"/>
      <c r="E188" s="196"/>
      <c r="F188" s="196"/>
      <c r="G188" s="196"/>
      <c r="H188" s="196"/>
      <c r="I188" s="139"/>
      <c r="J188" s="196"/>
      <c r="K188" s="196"/>
      <c r="L188" s="139"/>
      <c r="M188" s="196"/>
      <c r="N188" s="196"/>
      <c r="O188" s="196"/>
      <c r="P188" s="196"/>
      <c r="Q188" s="196"/>
      <c r="R188" s="196"/>
      <c r="S188" s="196"/>
      <c r="T188" s="196"/>
      <c r="U188" s="196"/>
      <c r="V188" s="196"/>
      <c r="W188" s="196"/>
      <c r="X188" s="196"/>
      <c r="Y188" s="196"/>
      <c r="Z188" s="196"/>
      <c r="AA188" s="196"/>
      <c r="AB188" s="196"/>
      <c r="AC188" s="196"/>
      <c r="AD188" s="196"/>
      <c r="AE188" s="196"/>
      <c r="AF188" s="196"/>
      <c r="AG188" s="196"/>
      <c r="AH188" s="196"/>
    </row>
    <row r="189">
      <c r="A189" s="196"/>
      <c r="B189" s="196"/>
      <c r="C189" s="196"/>
      <c r="D189" s="196"/>
      <c r="E189" s="196"/>
      <c r="F189" s="196"/>
      <c r="G189" s="196"/>
      <c r="H189" s="196"/>
      <c r="I189" s="139"/>
      <c r="J189" s="196"/>
      <c r="K189" s="196"/>
      <c r="L189" s="139"/>
      <c r="M189" s="196"/>
      <c r="N189" s="196"/>
      <c r="O189" s="196"/>
      <c r="P189" s="196"/>
      <c r="Q189" s="196"/>
      <c r="R189" s="196"/>
      <c r="S189" s="196"/>
      <c r="T189" s="196"/>
      <c r="U189" s="196"/>
      <c r="V189" s="196"/>
      <c r="W189" s="196"/>
      <c r="X189" s="196"/>
      <c r="Y189" s="196"/>
      <c r="Z189" s="196"/>
      <c r="AA189" s="196"/>
      <c r="AB189" s="196"/>
      <c r="AC189" s="196"/>
      <c r="AD189" s="196"/>
      <c r="AE189" s="196"/>
      <c r="AF189" s="196"/>
      <c r="AG189" s="196"/>
      <c r="AH189" s="196"/>
    </row>
    <row r="190">
      <c r="A190" s="196"/>
      <c r="B190" s="196"/>
      <c r="C190" s="196"/>
      <c r="D190" s="196"/>
      <c r="E190" s="196"/>
      <c r="F190" s="196"/>
      <c r="G190" s="196"/>
      <c r="H190" s="196"/>
      <c r="I190" s="139"/>
      <c r="J190" s="196"/>
      <c r="K190" s="196"/>
      <c r="L190" s="139"/>
      <c r="M190" s="196"/>
      <c r="N190" s="196"/>
      <c r="O190" s="196"/>
      <c r="P190" s="196"/>
      <c r="Q190" s="196"/>
      <c r="R190" s="196"/>
      <c r="S190" s="196"/>
      <c r="T190" s="196"/>
      <c r="U190" s="196"/>
      <c r="V190" s="196"/>
      <c r="W190" s="196"/>
      <c r="X190" s="196"/>
      <c r="Y190" s="196"/>
      <c r="Z190" s="196"/>
      <c r="AA190" s="196"/>
      <c r="AB190" s="196"/>
      <c r="AC190" s="196"/>
      <c r="AD190" s="196"/>
      <c r="AE190" s="196"/>
      <c r="AF190" s="196"/>
      <c r="AG190" s="196"/>
      <c r="AH190" s="196"/>
    </row>
    <row r="191">
      <c r="A191" s="196"/>
      <c r="B191" s="196"/>
      <c r="C191" s="196"/>
      <c r="D191" s="196"/>
      <c r="E191" s="196"/>
      <c r="F191" s="196"/>
      <c r="G191" s="196"/>
      <c r="H191" s="196"/>
      <c r="I191" s="139"/>
      <c r="J191" s="196"/>
      <c r="K191" s="196"/>
      <c r="L191" s="139"/>
      <c r="M191" s="196"/>
      <c r="N191" s="196"/>
      <c r="O191" s="196"/>
      <c r="P191" s="196"/>
      <c r="Q191" s="196"/>
      <c r="R191" s="196"/>
      <c r="S191" s="196"/>
      <c r="T191" s="196"/>
      <c r="U191" s="196"/>
      <c r="V191" s="196"/>
      <c r="W191" s="196"/>
      <c r="X191" s="196"/>
      <c r="Y191" s="196"/>
      <c r="Z191" s="196"/>
      <c r="AA191" s="196"/>
      <c r="AB191" s="196"/>
      <c r="AC191" s="196"/>
      <c r="AD191" s="196"/>
      <c r="AE191" s="196"/>
      <c r="AF191" s="196"/>
      <c r="AG191" s="196"/>
      <c r="AH191" s="196"/>
    </row>
    <row r="192">
      <c r="A192" s="196"/>
      <c r="B192" s="196"/>
      <c r="C192" s="196"/>
      <c r="D192" s="196"/>
      <c r="E192" s="196"/>
      <c r="F192" s="196"/>
      <c r="G192" s="196"/>
      <c r="H192" s="196"/>
      <c r="I192" s="139"/>
      <c r="J192" s="196"/>
      <c r="K192" s="196"/>
      <c r="L192" s="139"/>
      <c r="M192" s="196"/>
      <c r="N192" s="196"/>
      <c r="O192" s="196"/>
      <c r="P192" s="196"/>
      <c r="Q192" s="196"/>
      <c r="R192" s="196"/>
      <c r="S192" s="196"/>
      <c r="T192" s="196"/>
      <c r="U192" s="196"/>
      <c r="V192" s="196"/>
      <c r="W192" s="196"/>
      <c r="X192" s="196"/>
      <c r="Y192" s="196"/>
      <c r="Z192" s="196"/>
      <c r="AA192" s="196"/>
      <c r="AB192" s="196"/>
      <c r="AC192" s="196"/>
      <c r="AD192" s="196"/>
      <c r="AE192" s="196"/>
      <c r="AF192" s="196"/>
      <c r="AG192" s="196"/>
      <c r="AH192" s="196"/>
    </row>
    <row r="193">
      <c r="A193" s="196"/>
      <c r="B193" s="196"/>
      <c r="C193" s="196"/>
      <c r="D193" s="196"/>
      <c r="E193" s="196"/>
      <c r="F193" s="196"/>
      <c r="G193" s="196"/>
      <c r="H193" s="196"/>
      <c r="I193" s="139"/>
      <c r="J193" s="196"/>
      <c r="K193" s="196"/>
      <c r="L193" s="139"/>
      <c r="M193" s="196"/>
      <c r="N193" s="196"/>
      <c r="O193" s="196"/>
      <c r="P193" s="196"/>
      <c r="Q193" s="196"/>
      <c r="R193" s="196"/>
      <c r="S193" s="196"/>
      <c r="T193" s="196"/>
      <c r="U193" s="196"/>
      <c r="V193" s="196"/>
      <c r="W193" s="196"/>
      <c r="X193" s="196"/>
      <c r="Y193" s="196"/>
      <c r="Z193" s="196"/>
      <c r="AA193" s="196"/>
      <c r="AB193" s="196"/>
      <c r="AC193" s="196"/>
      <c r="AD193" s="196"/>
      <c r="AE193" s="196"/>
      <c r="AF193" s="196"/>
      <c r="AG193" s="196"/>
      <c r="AH193" s="196"/>
    </row>
    <row r="194">
      <c r="A194" s="196"/>
      <c r="B194" s="196"/>
      <c r="C194" s="196"/>
      <c r="D194" s="196"/>
      <c r="E194" s="196"/>
      <c r="F194" s="196"/>
      <c r="G194" s="196"/>
      <c r="H194" s="196"/>
      <c r="I194" s="139"/>
      <c r="J194" s="196"/>
      <c r="K194" s="196"/>
      <c r="L194" s="139"/>
      <c r="M194" s="196"/>
      <c r="N194" s="196"/>
      <c r="O194" s="196"/>
      <c r="P194" s="196"/>
      <c r="Q194" s="196"/>
      <c r="R194" s="196"/>
      <c r="S194" s="196"/>
      <c r="T194" s="196"/>
      <c r="U194" s="196"/>
      <c r="V194" s="196"/>
      <c r="W194" s="196"/>
      <c r="X194" s="196"/>
      <c r="Y194" s="196"/>
      <c r="Z194" s="196"/>
      <c r="AA194" s="196"/>
      <c r="AB194" s="196"/>
      <c r="AC194" s="196"/>
      <c r="AD194" s="196"/>
      <c r="AE194" s="196"/>
      <c r="AF194" s="196"/>
      <c r="AG194" s="196"/>
      <c r="AH194" s="196"/>
    </row>
    <row r="195">
      <c r="A195" s="196"/>
      <c r="B195" s="196"/>
      <c r="C195" s="196"/>
      <c r="D195" s="196"/>
      <c r="E195" s="196"/>
      <c r="F195" s="196"/>
      <c r="G195" s="196"/>
      <c r="H195" s="196"/>
      <c r="I195" s="139"/>
      <c r="J195" s="196"/>
      <c r="K195" s="196"/>
      <c r="L195" s="139"/>
      <c r="M195" s="196"/>
      <c r="N195" s="196"/>
      <c r="O195" s="196"/>
      <c r="P195" s="196"/>
      <c r="Q195" s="196"/>
      <c r="R195" s="196"/>
      <c r="S195" s="196"/>
      <c r="T195" s="196"/>
      <c r="U195" s="196"/>
      <c r="V195" s="196"/>
      <c r="W195" s="196"/>
      <c r="X195" s="196"/>
      <c r="Y195" s="196"/>
      <c r="Z195" s="196"/>
      <c r="AA195" s="196"/>
      <c r="AB195" s="196"/>
      <c r="AC195" s="196"/>
      <c r="AD195" s="196"/>
      <c r="AE195" s="196"/>
      <c r="AF195" s="196"/>
      <c r="AG195" s="196"/>
      <c r="AH195" s="196"/>
    </row>
    <row r="196">
      <c r="A196" s="196"/>
      <c r="B196" s="196"/>
      <c r="C196" s="196"/>
      <c r="D196" s="196"/>
      <c r="E196" s="196"/>
      <c r="F196" s="196"/>
      <c r="G196" s="196"/>
      <c r="H196" s="196"/>
      <c r="I196" s="139"/>
      <c r="J196" s="196"/>
      <c r="K196" s="196"/>
      <c r="L196" s="139"/>
      <c r="M196" s="196"/>
      <c r="N196" s="196"/>
      <c r="O196" s="196"/>
      <c r="P196" s="196"/>
      <c r="Q196" s="196"/>
      <c r="R196" s="196"/>
      <c r="S196" s="196"/>
      <c r="T196" s="196"/>
      <c r="U196" s="196"/>
      <c r="V196" s="196"/>
      <c r="W196" s="196"/>
      <c r="X196" s="196"/>
      <c r="Y196" s="196"/>
      <c r="Z196" s="196"/>
      <c r="AA196" s="196"/>
      <c r="AB196" s="196"/>
      <c r="AC196" s="196"/>
      <c r="AD196" s="196"/>
      <c r="AE196" s="196"/>
      <c r="AF196" s="196"/>
      <c r="AG196" s="196"/>
      <c r="AH196" s="196"/>
    </row>
    <row r="197">
      <c r="A197" s="196"/>
      <c r="B197" s="196"/>
      <c r="C197" s="196"/>
      <c r="D197" s="196"/>
      <c r="E197" s="196"/>
      <c r="F197" s="196"/>
      <c r="G197" s="196"/>
      <c r="H197" s="196"/>
      <c r="I197" s="139"/>
      <c r="J197" s="196"/>
      <c r="K197" s="196"/>
      <c r="L197" s="139"/>
      <c r="M197" s="196"/>
      <c r="N197" s="196"/>
      <c r="O197" s="196"/>
      <c r="P197" s="196"/>
      <c r="Q197" s="196"/>
      <c r="R197" s="196"/>
      <c r="S197" s="196"/>
      <c r="T197" s="196"/>
      <c r="U197" s="196"/>
      <c r="V197" s="196"/>
      <c r="W197" s="196"/>
      <c r="X197" s="196"/>
      <c r="Y197" s="196"/>
      <c r="Z197" s="196"/>
      <c r="AA197" s="196"/>
      <c r="AB197" s="196"/>
      <c r="AC197" s="196"/>
      <c r="AD197" s="196"/>
      <c r="AE197" s="196"/>
      <c r="AF197" s="196"/>
      <c r="AG197" s="196"/>
      <c r="AH197" s="196"/>
    </row>
    <row r="198">
      <c r="A198" s="196"/>
      <c r="B198" s="196"/>
      <c r="C198" s="196"/>
      <c r="D198" s="196"/>
      <c r="E198" s="196"/>
      <c r="F198" s="196"/>
      <c r="G198" s="196"/>
      <c r="H198" s="196"/>
      <c r="I198" s="139"/>
      <c r="J198" s="196"/>
      <c r="K198" s="196"/>
      <c r="L198" s="139"/>
      <c r="M198" s="196"/>
      <c r="N198" s="196"/>
      <c r="O198" s="196"/>
      <c r="P198" s="196"/>
      <c r="Q198" s="196"/>
      <c r="R198" s="196"/>
      <c r="S198" s="196"/>
      <c r="T198" s="196"/>
      <c r="U198" s="196"/>
      <c r="V198" s="196"/>
      <c r="W198" s="196"/>
      <c r="X198" s="196"/>
      <c r="Y198" s="196"/>
      <c r="Z198" s="196"/>
      <c r="AA198" s="196"/>
      <c r="AB198" s="196"/>
      <c r="AC198" s="196"/>
      <c r="AD198" s="196"/>
      <c r="AE198" s="196"/>
      <c r="AF198" s="196"/>
      <c r="AG198" s="196"/>
      <c r="AH198" s="196"/>
    </row>
    <row r="199">
      <c r="A199" s="196"/>
      <c r="B199" s="196"/>
      <c r="C199" s="196"/>
      <c r="D199" s="196"/>
      <c r="E199" s="196"/>
      <c r="F199" s="196"/>
      <c r="G199" s="196"/>
      <c r="H199" s="196"/>
      <c r="I199" s="139"/>
      <c r="J199" s="196"/>
      <c r="K199" s="196"/>
      <c r="L199" s="139"/>
      <c r="M199" s="196"/>
      <c r="N199" s="196"/>
      <c r="O199" s="196"/>
      <c r="P199" s="196"/>
      <c r="Q199" s="196"/>
      <c r="R199" s="196"/>
      <c r="S199" s="196"/>
      <c r="T199" s="196"/>
      <c r="U199" s="196"/>
      <c r="V199" s="196"/>
      <c r="W199" s="196"/>
      <c r="X199" s="196"/>
      <c r="Y199" s="196"/>
      <c r="Z199" s="196"/>
      <c r="AA199" s="196"/>
      <c r="AB199" s="196"/>
      <c r="AC199" s="196"/>
      <c r="AD199" s="196"/>
      <c r="AE199" s="196"/>
      <c r="AF199" s="196"/>
      <c r="AG199" s="196"/>
      <c r="AH199" s="196"/>
    </row>
    <row r="200">
      <c r="A200" s="196"/>
      <c r="B200" s="196"/>
      <c r="C200" s="196"/>
      <c r="D200" s="196"/>
      <c r="E200" s="196"/>
      <c r="F200" s="196"/>
      <c r="G200" s="196"/>
      <c r="H200" s="196"/>
      <c r="I200" s="139"/>
      <c r="J200" s="196"/>
      <c r="K200" s="196"/>
      <c r="L200" s="139"/>
      <c r="M200" s="196"/>
      <c r="N200" s="196"/>
      <c r="O200" s="196"/>
      <c r="P200" s="196"/>
      <c r="Q200" s="196"/>
      <c r="R200" s="196"/>
      <c r="S200" s="196"/>
      <c r="T200" s="196"/>
      <c r="U200" s="196"/>
      <c r="V200" s="196"/>
      <c r="W200" s="196"/>
      <c r="X200" s="196"/>
      <c r="Y200" s="196"/>
      <c r="Z200" s="196"/>
      <c r="AA200" s="196"/>
      <c r="AB200" s="196"/>
      <c r="AC200" s="196"/>
      <c r="AD200" s="196"/>
      <c r="AE200" s="196"/>
      <c r="AF200" s="196"/>
      <c r="AG200" s="196"/>
      <c r="AH200" s="196"/>
    </row>
    <row r="201">
      <c r="A201" s="196"/>
      <c r="B201" s="196"/>
      <c r="C201" s="196"/>
      <c r="D201" s="196"/>
      <c r="E201" s="196"/>
      <c r="F201" s="196"/>
      <c r="G201" s="196"/>
      <c r="H201" s="196"/>
      <c r="I201" s="139"/>
      <c r="J201" s="196"/>
      <c r="K201" s="196"/>
      <c r="L201" s="139"/>
      <c r="M201" s="196"/>
      <c r="N201" s="196"/>
      <c r="O201" s="196"/>
      <c r="P201" s="196"/>
      <c r="Q201" s="196"/>
      <c r="R201" s="196"/>
      <c r="S201" s="196"/>
      <c r="T201" s="196"/>
      <c r="U201" s="196"/>
      <c r="V201" s="196"/>
      <c r="W201" s="196"/>
      <c r="X201" s="196"/>
      <c r="Y201" s="196"/>
      <c r="Z201" s="196"/>
      <c r="AA201" s="196"/>
      <c r="AB201" s="196"/>
      <c r="AC201" s="196"/>
      <c r="AD201" s="196"/>
      <c r="AE201" s="196"/>
      <c r="AF201" s="196"/>
      <c r="AG201" s="196"/>
      <c r="AH201" s="196"/>
    </row>
    <row r="202">
      <c r="A202" s="196"/>
      <c r="B202" s="196"/>
      <c r="C202" s="196"/>
      <c r="D202" s="196"/>
      <c r="E202" s="196"/>
      <c r="F202" s="196"/>
      <c r="G202" s="196"/>
      <c r="H202" s="196"/>
      <c r="I202" s="139"/>
      <c r="J202" s="196"/>
      <c r="K202" s="196"/>
      <c r="L202" s="139"/>
      <c r="M202" s="196"/>
      <c r="N202" s="196"/>
      <c r="O202" s="196"/>
      <c r="P202" s="196"/>
      <c r="Q202" s="196"/>
      <c r="R202" s="196"/>
      <c r="S202" s="196"/>
      <c r="T202" s="196"/>
      <c r="U202" s="196"/>
      <c r="V202" s="196"/>
      <c r="W202" s="196"/>
      <c r="X202" s="196"/>
      <c r="Y202" s="196"/>
      <c r="Z202" s="196"/>
      <c r="AA202" s="196"/>
      <c r="AB202" s="196"/>
      <c r="AC202" s="196"/>
      <c r="AD202" s="196"/>
      <c r="AE202" s="196"/>
      <c r="AF202" s="196"/>
      <c r="AG202" s="196"/>
      <c r="AH202" s="196"/>
    </row>
    <row r="203">
      <c r="A203" s="196"/>
      <c r="B203" s="196"/>
      <c r="C203" s="196"/>
      <c r="D203" s="196"/>
      <c r="E203" s="196"/>
      <c r="F203" s="196"/>
      <c r="G203" s="196"/>
      <c r="H203" s="196"/>
      <c r="I203" s="139"/>
      <c r="J203" s="196"/>
      <c r="K203" s="196"/>
      <c r="L203" s="139"/>
      <c r="M203" s="196"/>
      <c r="N203" s="196"/>
      <c r="O203" s="196"/>
      <c r="P203" s="196"/>
      <c r="Q203" s="196"/>
      <c r="R203" s="196"/>
      <c r="S203" s="196"/>
      <c r="T203" s="196"/>
      <c r="U203" s="196"/>
      <c r="V203" s="196"/>
      <c r="W203" s="196"/>
      <c r="X203" s="196"/>
      <c r="Y203" s="196"/>
      <c r="Z203" s="196"/>
      <c r="AA203" s="196"/>
      <c r="AB203" s="196"/>
      <c r="AC203" s="196"/>
      <c r="AD203" s="196"/>
      <c r="AE203" s="196"/>
      <c r="AF203" s="196"/>
      <c r="AG203" s="196"/>
      <c r="AH203" s="196"/>
    </row>
    <row r="204">
      <c r="A204" s="196"/>
      <c r="B204" s="196"/>
      <c r="C204" s="196"/>
      <c r="D204" s="196"/>
      <c r="E204" s="196"/>
      <c r="F204" s="196"/>
      <c r="G204" s="196"/>
      <c r="H204" s="196"/>
      <c r="I204" s="139"/>
      <c r="J204" s="196"/>
      <c r="K204" s="196"/>
      <c r="L204" s="139"/>
      <c r="M204" s="196"/>
      <c r="N204" s="196"/>
      <c r="O204" s="196"/>
      <c r="P204" s="196"/>
      <c r="Q204" s="196"/>
      <c r="R204" s="196"/>
      <c r="S204" s="196"/>
      <c r="T204" s="196"/>
      <c r="U204" s="196"/>
      <c r="V204" s="196"/>
      <c r="W204" s="196"/>
      <c r="X204" s="196"/>
      <c r="Y204" s="196"/>
      <c r="Z204" s="196"/>
      <c r="AA204" s="196"/>
      <c r="AB204" s="196"/>
      <c r="AC204" s="196"/>
      <c r="AD204" s="196"/>
      <c r="AE204" s="196"/>
      <c r="AF204" s="196"/>
      <c r="AG204" s="196"/>
      <c r="AH204" s="196"/>
    </row>
    <row r="205">
      <c r="A205" s="196"/>
      <c r="B205" s="196"/>
      <c r="C205" s="196"/>
      <c r="D205" s="196"/>
      <c r="E205" s="196"/>
      <c r="F205" s="196"/>
      <c r="G205" s="196"/>
      <c r="H205" s="196"/>
      <c r="I205" s="139"/>
      <c r="J205" s="196"/>
      <c r="K205" s="196"/>
      <c r="L205" s="139"/>
      <c r="M205" s="196"/>
      <c r="N205" s="196"/>
      <c r="O205" s="196"/>
      <c r="P205" s="196"/>
      <c r="Q205" s="196"/>
      <c r="R205" s="196"/>
      <c r="S205" s="196"/>
      <c r="T205" s="196"/>
      <c r="U205" s="196"/>
      <c r="V205" s="196"/>
      <c r="W205" s="196"/>
      <c r="X205" s="196"/>
      <c r="Y205" s="196"/>
      <c r="Z205" s="196"/>
      <c r="AA205" s="196"/>
      <c r="AB205" s="196"/>
      <c r="AC205" s="196"/>
      <c r="AD205" s="196"/>
      <c r="AE205" s="196"/>
      <c r="AF205" s="196"/>
      <c r="AG205" s="196"/>
      <c r="AH205" s="196"/>
    </row>
    <row r="206">
      <c r="A206" s="196"/>
      <c r="B206" s="196"/>
      <c r="C206" s="196"/>
      <c r="D206" s="196"/>
      <c r="E206" s="196"/>
      <c r="F206" s="196"/>
      <c r="G206" s="196"/>
      <c r="H206" s="196"/>
      <c r="I206" s="139"/>
      <c r="J206" s="196"/>
      <c r="K206" s="196"/>
      <c r="L206" s="139"/>
      <c r="M206" s="196"/>
      <c r="N206" s="196"/>
      <c r="O206" s="196"/>
      <c r="P206" s="196"/>
      <c r="Q206" s="196"/>
      <c r="R206" s="196"/>
      <c r="S206" s="196"/>
      <c r="T206" s="196"/>
      <c r="U206" s="196"/>
      <c r="V206" s="196"/>
      <c r="W206" s="196"/>
      <c r="X206" s="196"/>
      <c r="Y206" s="196"/>
      <c r="Z206" s="196"/>
      <c r="AA206" s="196"/>
      <c r="AB206" s="196"/>
      <c r="AC206" s="196"/>
      <c r="AD206" s="196"/>
      <c r="AE206" s="196"/>
      <c r="AF206" s="196"/>
      <c r="AG206" s="196"/>
      <c r="AH206" s="196"/>
    </row>
    <row r="207">
      <c r="A207" s="196"/>
      <c r="B207" s="196"/>
      <c r="C207" s="196"/>
      <c r="D207" s="196"/>
      <c r="E207" s="196"/>
      <c r="F207" s="196"/>
      <c r="G207" s="196"/>
      <c r="H207" s="196"/>
      <c r="I207" s="139"/>
      <c r="J207" s="196"/>
      <c r="K207" s="196"/>
      <c r="L207" s="139"/>
      <c r="M207" s="196"/>
      <c r="N207" s="196"/>
      <c r="O207" s="196"/>
      <c r="P207" s="196"/>
      <c r="Q207" s="196"/>
      <c r="R207" s="196"/>
      <c r="S207" s="196"/>
      <c r="T207" s="196"/>
      <c r="U207" s="196"/>
      <c r="V207" s="196"/>
      <c r="W207" s="196"/>
      <c r="X207" s="196"/>
      <c r="Y207" s="196"/>
      <c r="Z207" s="196"/>
      <c r="AA207" s="196"/>
      <c r="AB207" s="196"/>
      <c r="AC207" s="196"/>
      <c r="AD207" s="196"/>
      <c r="AE207" s="196"/>
      <c r="AF207" s="196"/>
      <c r="AG207" s="196"/>
      <c r="AH207" s="196"/>
    </row>
    <row r="208">
      <c r="A208" s="196"/>
      <c r="B208" s="196"/>
      <c r="C208" s="196"/>
      <c r="D208" s="196"/>
      <c r="E208" s="196"/>
      <c r="F208" s="196"/>
      <c r="G208" s="196"/>
      <c r="H208" s="196"/>
      <c r="I208" s="139"/>
      <c r="J208" s="196"/>
      <c r="K208" s="196"/>
      <c r="L208" s="139"/>
      <c r="M208" s="196"/>
      <c r="N208" s="196"/>
      <c r="O208" s="196"/>
      <c r="P208" s="196"/>
      <c r="Q208" s="196"/>
      <c r="R208" s="196"/>
      <c r="S208" s="196"/>
      <c r="T208" s="196"/>
      <c r="U208" s="196"/>
      <c r="V208" s="196"/>
      <c r="W208" s="196"/>
      <c r="X208" s="196"/>
      <c r="Y208" s="196"/>
      <c r="Z208" s="196"/>
      <c r="AA208" s="196"/>
      <c r="AB208" s="196"/>
      <c r="AC208" s="196"/>
      <c r="AD208" s="196"/>
      <c r="AE208" s="196"/>
      <c r="AF208" s="196"/>
      <c r="AG208" s="196"/>
      <c r="AH208" s="196"/>
    </row>
    <row r="209">
      <c r="A209" s="196"/>
      <c r="B209" s="196"/>
      <c r="C209" s="196"/>
      <c r="D209" s="196"/>
      <c r="E209" s="196"/>
      <c r="F209" s="196"/>
      <c r="G209" s="196"/>
      <c r="H209" s="196"/>
      <c r="I209" s="139"/>
      <c r="J209" s="196"/>
      <c r="K209" s="196"/>
      <c r="L209" s="139"/>
      <c r="M209" s="196"/>
      <c r="N209" s="196"/>
      <c r="O209" s="196"/>
      <c r="P209" s="196"/>
      <c r="Q209" s="196"/>
      <c r="R209" s="196"/>
      <c r="S209" s="196"/>
      <c r="T209" s="196"/>
      <c r="U209" s="196"/>
      <c r="V209" s="196"/>
      <c r="W209" s="196"/>
      <c r="X209" s="196"/>
      <c r="Y209" s="196"/>
      <c r="Z209" s="196"/>
      <c r="AA209" s="196"/>
      <c r="AB209" s="196"/>
      <c r="AC209" s="196"/>
      <c r="AD209" s="196"/>
      <c r="AE209" s="196"/>
      <c r="AF209" s="196"/>
      <c r="AG209" s="196"/>
      <c r="AH209" s="196"/>
    </row>
    <row r="210">
      <c r="A210" s="196"/>
      <c r="B210" s="196"/>
      <c r="C210" s="196"/>
      <c r="D210" s="196"/>
      <c r="E210" s="196"/>
      <c r="F210" s="196"/>
      <c r="G210" s="196"/>
      <c r="H210" s="196"/>
      <c r="I210" s="139"/>
      <c r="J210" s="196"/>
      <c r="K210" s="196"/>
      <c r="L210" s="139"/>
      <c r="M210" s="196"/>
      <c r="N210" s="196"/>
      <c r="O210" s="196"/>
      <c r="P210" s="196"/>
      <c r="Q210" s="196"/>
      <c r="R210" s="196"/>
      <c r="S210" s="196"/>
      <c r="T210" s="196"/>
      <c r="U210" s="196"/>
      <c r="V210" s="196"/>
      <c r="W210" s="196"/>
      <c r="X210" s="196"/>
      <c r="Y210" s="196"/>
      <c r="Z210" s="196"/>
      <c r="AA210" s="196"/>
      <c r="AB210" s="196"/>
      <c r="AC210" s="196"/>
      <c r="AD210" s="196"/>
      <c r="AE210" s="196"/>
      <c r="AF210" s="196"/>
      <c r="AG210" s="196"/>
      <c r="AH210" s="196"/>
    </row>
    <row r="211">
      <c r="A211" s="196"/>
      <c r="B211" s="196"/>
      <c r="C211" s="196"/>
      <c r="D211" s="196"/>
      <c r="E211" s="196"/>
      <c r="F211" s="196"/>
      <c r="G211" s="196"/>
      <c r="H211" s="196"/>
      <c r="I211" s="139"/>
      <c r="J211" s="196"/>
      <c r="K211" s="196"/>
      <c r="L211" s="139"/>
      <c r="M211" s="196"/>
      <c r="N211" s="196"/>
      <c r="O211" s="196"/>
      <c r="P211" s="196"/>
      <c r="Q211" s="196"/>
      <c r="R211" s="196"/>
      <c r="S211" s="196"/>
      <c r="T211" s="196"/>
      <c r="U211" s="196"/>
      <c r="V211" s="196"/>
      <c r="W211" s="196"/>
      <c r="X211" s="196"/>
      <c r="Y211" s="196"/>
      <c r="Z211" s="196"/>
      <c r="AA211" s="196"/>
      <c r="AB211" s="196"/>
      <c r="AC211" s="196"/>
      <c r="AD211" s="196"/>
      <c r="AE211" s="196"/>
      <c r="AF211" s="196"/>
      <c r="AG211" s="196"/>
      <c r="AH211" s="196"/>
    </row>
    <row r="212">
      <c r="A212" s="196"/>
      <c r="B212" s="196"/>
      <c r="C212" s="196"/>
      <c r="D212" s="196"/>
      <c r="E212" s="196"/>
      <c r="F212" s="196"/>
      <c r="G212" s="196"/>
      <c r="H212" s="196"/>
      <c r="I212" s="139"/>
      <c r="J212" s="196"/>
      <c r="K212" s="196"/>
      <c r="L212" s="139"/>
      <c r="M212" s="196"/>
      <c r="N212" s="196"/>
      <c r="O212" s="196"/>
      <c r="P212" s="196"/>
      <c r="Q212" s="196"/>
      <c r="R212" s="196"/>
      <c r="S212" s="196"/>
      <c r="T212" s="196"/>
      <c r="U212" s="196"/>
      <c r="V212" s="196"/>
      <c r="W212" s="196"/>
      <c r="X212" s="196"/>
      <c r="Y212" s="196"/>
      <c r="Z212" s="196"/>
      <c r="AA212" s="196"/>
      <c r="AB212" s="196"/>
      <c r="AC212" s="196"/>
      <c r="AD212" s="196"/>
      <c r="AE212" s="196"/>
      <c r="AF212" s="196"/>
      <c r="AG212" s="196"/>
      <c r="AH212" s="196"/>
    </row>
    <row r="213">
      <c r="A213" s="196"/>
      <c r="B213" s="196"/>
      <c r="C213" s="196"/>
      <c r="D213" s="196"/>
      <c r="E213" s="196"/>
      <c r="F213" s="196"/>
      <c r="G213" s="196"/>
      <c r="H213" s="196"/>
      <c r="I213" s="139"/>
      <c r="J213" s="196"/>
      <c r="K213" s="196"/>
      <c r="L213" s="139"/>
      <c r="M213" s="196"/>
      <c r="N213" s="196"/>
      <c r="O213" s="196"/>
      <c r="P213" s="196"/>
      <c r="Q213" s="196"/>
      <c r="R213" s="196"/>
      <c r="S213" s="196"/>
      <c r="T213" s="196"/>
      <c r="U213" s="196"/>
      <c r="V213" s="196"/>
      <c r="W213" s="196"/>
      <c r="X213" s="196"/>
      <c r="Y213" s="196"/>
      <c r="Z213" s="196"/>
      <c r="AA213" s="196"/>
      <c r="AB213" s="196"/>
      <c r="AC213" s="196"/>
      <c r="AD213" s="196"/>
      <c r="AE213" s="196"/>
      <c r="AF213" s="196"/>
      <c r="AG213" s="196"/>
      <c r="AH213" s="196"/>
    </row>
    <row r="214">
      <c r="A214" s="196"/>
      <c r="B214" s="196"/>
      <c r="C214" s="196"/>
      <c r="D214" s="196"/>
      <c r="E214" s="196"/>
      <c r="F214" s="196"/>
      <c r="G214" s="196"/>
      <c r="H214" s="196"/>
      <c r="I214" s="139"/>
      <c r="J214" s="196"/>
      <c r="K214" s="196"/>
      <c r="L214" s="139"/>
      <c r="M214" s="196"/>
      <c r="N214" s="196"/>
      <c r="O214" s="196"/>
      <c r="P214" s="196"/>
      <c r="Q214" s="196"/>
      <c r="R214" s="196"/>
      <c r="S214" s="196"/>
      <c r="T214" s="196"/>
      <c r="U214" s="196"/>
      <c r="V214" s="196"/>
      <c r="W214" s="196"/>
      <c r="X214" s="196"/>
      <c r="Y214" s="196"/>
      <c r="Z214" s="196"/>
      <c r="AA214" s="196"/>
      <c r="AB214" s="196"/>
      <c r="AC214" s="196"/>
      <c r="AD214" s="196"/>
      <c r="AE214" s="196"/>
      <c r="AF214" s="196"/>
      <c r="AG214" s="196"/>
      <c r="AH214" s="196"/>
    </row>
    <row r="215">
      <c r="A215" s="196"/>
      <c r="B215" s="196"/>
      <c r="C215" s="196"/>
      <c r="D215" s="196"/>
      <c r="E215" s="196"/>
      <c r="F215" s="196"/>
      <c r="G215" s="196"/>
      <c r="H215" s="196"/>
      <c r="I215" s="139"/>
      <c r="J215" s="196"/>
      <c r="K215" s="196"/>
      <c r="L215" s="139"/>
      <c r="M215" s="196"/>
      <c r="N215" s="196"/>
      <c r="O215" s="196"/>
      <c r="P215" s="196"/>
      <c r="Q215" s="196"/>
      <c r="R215" s="196"/>
      <c r="S215" s="196"/>
      <c r="T215" s="196"/>
      <c r="U215" s="196"/>
      <c r="V215" s="196"/>
      <c r="W215" s="196"/>
      <c r="X215" s="196"/>
      <c r="Y215" s="196"/>
      <c r="Z215" s="196"/>
      <c r="AA215" s="196"/>
      <c r="AB215" s="196"/>
      <c r="AC215" s="196"/>
      <c r="AD215" s="196"/>
      <c r="AE215" s="196"/>
      <c r="AF215" s="196"/>
      <c r="AG215" s="196"/>
      <c r="AH215" s="196"/>
    </row>
    <row r="216">
      <c r="A216" s="196"/>
      <c r="B216" s="196"/>
      <c r="C216" s="196"/>
      <c r="D216" s="196"/>
      <c r="E216" s="196"/>
      <c r="F216" s="196"/>
      <c r="G216" s="196"/>
      <c r="H216" s="196"/>
      <c r="I216" s="139"/>
      <c r="J216" s="196"/>
      <c r="K216" s="196"/>
      <c r="L216" s="139"/>
      <c r="M216" s="196"/>
      <c r="N216" s="196"/>
      <c r="O216" s="196"/>
      <c r="P216" s="196"/>
      <c r="Q216" s="196"/>
      <c r="R216" s="196"/>
      <c r="S216" s="196"/>
      <c r="T216" s="196"/>
      <c r="U216" s="196"/>
      <c r="V216" s="196"/>
      <c r="W216" s="196"/>
      <c r="X216" s="196"/>
      <c r="Y216" s="196"/>
      <c r="Z216" s="196"/>
      <c r="AA216" s="196"/>
      <c r="AB216" s="196"/>
      <c r="AC216" s="196"/>
      <c r="AD216" s="196"/>
      <c r="AE216" s="196"/>
      <c r="AF216" s="196"/>
      <c r="AG216" s="196"/>
      <c r="AH216" s="196"/>
    </row>
    <row r="217">
      <c r="A217" s="196"/>
      <c r="B217" s="196"/>
      <c r="C217" s="196"/>
      <c r="D217" s="196"/>
      <c r="E217" s="196"/>
      <c r="F217" s="196"/>
      <c r="G217" s="196"/>
      <c r="H217" s="196"/>
      <c r="I217" s="139"/>
      <c r="J217" s="196"/>
      <c r="K217" s="196"/>
      <c r="L217" s="139"/>
      <c r="M217" s="196"/>
      <c r="N217" s="196"/>
      <c r="O217" s="196"/>
      <c r="P217" s="196"/>
      <c r="Q217" s="196"/>
      <c r="R217" s="196"/>
      <c r="S217" s="196"/>
      <c r="T217" s="196"/>
      <c r="U217" s="196"/>
      <c r="V217" s="196"/>
      <c r="W217" s="196"/>
      <c r="X217" s="196"/>
      <c r="Y217" s="196"/>
      <c r="Z217" s="196"/>
      <c r="AA217" s="196"/>
      <c r="AB217" s="196"/>
      <c r="AC217" s="196"/>
      <c r="AD217" s="196"/>
      <c r="AE217" s="196"/>
      <c r="AF217" s="196"/>
      <c r="AG217" s="196"/>
      <c r="AH217" s="196"/>
    </row>
    <row r="218">
      <c r="A218" s="196"/>
      <c r="B218" s="196"/>
      <c r="C218" s="196"/>
      <c r="D218" s="196"/>
      <c r="E218" s="196"/>
      <c r="F218" s="196"/>
      <c r="G218" s="196"/>
      <c r="H218" s="196"/>
      <c r="I218" s="139"/>
      <c r="J218" s="196"/>
      <c r="K218" s="196"/>
      <c r="L218" s="139"/>
      <c r="M218" s="196"/>
      <c r="N218" s="196"/>
      <c r="O218" s="196"/>
      <c r="P218" s="196"/>
      <c r="Q218" s="196"/>
      <c r="R218" s="196"/>
      <c r="S218" s="196"/>
      <c r="T218" s="196"/>
      <c r="U218" s="196"/>
      <c r="V218" s="196"/>
      <c r="W218" s="196"/>
      <c r="X218" s="196"/>
      <c r="Y218" s="196"/>
      <c r="Z218" s="196"/>
      <c r="AA218" s="196"/>
      <c r="AB218" s="196"/>
      <c r="AC218" s="196"/>
      <c r="AD218" s="196"/>
      <c r="AE218" s="196"/>
      <c r="AF218" s="196"/>
      <c r="AG218" s="196"/>
      <c r="AH218" s="196"/>
    </row>
    <row r="219">
      <c r="A219" s="196"/>
      <c r="B219" s="196"/>
      <c r="C219" s="196"/>
      <c r="D219" s="196"/>
      <c r="E219" s="196"/>
      <c r="F219" s="196"/>
      <c r="G219" s="196"/>
      <c r="H219" s="196"/>
      <c r="I219" s="139"/>
      <c r="J219" s="196"/>
      <c r="K219" s="196"/>
      <c r="L219" s="139"/>
      <c r="M219" s="196"/>
      <c r="N219" s="196"/>
      <c r="O219" s="196"/>
      <c r="P219" s="196"/>
      <c r="Q219" s="196"/>
      <c r="R219" s="196"/>
      <c r="S219" s="196"/>
      <c r="T219" s="196"/>
      <c r="U219" s="196"/>
      <c r="V219" s="196"/>
      <c r="W219" s="196"/>
      <c r="X219" s="196"/>
      <c r="Y219" s="196"/>
      <c r="Z219" s="196"/>
      <c r="AA219" s="196"/>
      <c r="AB219" s="196"/>
      <c r="AC219" s="196"/>
      <c r="AD219" s="196"/>
      <c r="AE219" s="196"/>
      <c r="AF219" s="196"/>
      <c r="AG219" s="196"/>
      <c r="AH219" s="196"/>
    </row>
    <row r="220">
      <c r="A220" s="196"/>
      <c r="B220" s="196"/>
      <c r="C220" s="196"/>
      <c r="D220" s="196"/>
      <c r="E220" s="196"/>
      <c r="F220" s="196"/>
      <c r="G220" s="196"/>
      <c r="H220" s="196"/>
      <c r="I220" s="139"/>
      <c r="J220" s="196"/>
      <c r="K220" s="196"/>
      <c r="L220" s="139"/>
      <c r="M220" s="196"/>
      <c r="N220" s="196"/>
      <c r="O220" s="196"/>
      <c r="P220" s="196"/>
      <c r="Q220" s="196"/>
      <c r="R220" s="196"/>
      <c r="S220" s="196"/>
      <c r="T220" s="196"/>
      <c r="U220" s="196"/>
      <c r="V220" s="196"/>
      <c r="W220" s="196"/>
      <c r="X220" s="196"/>
      <c r="Y220" s="196"/>
      <c r="Z220" s="196"/>
      <c r="AA220" s="196"/>
      <c r="AB220" s="196"/>
      <c r="AC220" s="196"/>
      <c r="AD220" s="196"/>
      <c r="AE220" s="196"/>
      <c r="AF220" s="196"/>
      <c r="AG220" s="196"/>
      <c r="AH220" s="196"/>
    </row>
    <row r="221">
      <c r="A221" s="196"/>
      <c r="B221" s="196"/>
      <c r="C221" s="196"/>
      <c r="D221" s="196"/>
      <c r="E221" s="196"/>
      <c r="F221" s="196"/>
      <c r="G221" s="196"/>
      <c r="H221" s="196"/>
      <c r="I221" s="139"/>
      <c r="J221" s="196"/>
      <c r="K221" s="196"/>
      <c r="L221" s="139"/>
      <c r="M221" s="196"/>
      <c r="N221" s="196"/>
      <c r="O221" s="196"/>
      <c r="P221" s="196"/>
      <c r="Q221" s="196"/>
      <c r="R221" s="196"/>
      <c r="S221" s="196"/>
      <c r="T221" s="196"/>
      <c r="U221" s="196"/>
      <c r="V221" s="196"/>
      <c r="W221" s="196"/>
      <c r="X221" s="196"/>
      <c r="Y221" s="196"/>
      <c r="Z221" s="196"/>
      <c r="AA221" s="196"/>
      <c r="AB221" s="196"/>
      <c r="AC221" s="196"/>
      <c r="AD221" s="196"/>
      <c r="AE221" s="196"/>
      <c r="AF221" s="196"/>
      <c r="AG221" s="196"/>
      <c r="AH221" s="196"/>
    </row>
    <row r="222">
      <c r="A222" s="196"/>
      <c r="B222" s="196"/>
      <c r="C222" s="196"/>
      <c r="D222" s="196"/>
      <c r="E222" s="196"/>
      <c r="F222" s="196"/>
      <c r="G222" s="196"/>
      <c r="H222" s="196"/>
      <c r="I222" s="139"/>
      <c r="J222" s="196"/>
      <c r="K222" s="196"/>
      <c r="L222" s="139"/>
      <c r="M222" s="196"/>
      <c r="N222" s="196"/>
      <c r="O222" s="196"/>
      <c r="P222" s="196"/>
      <c r="Q222" s="196"/>
      <c r="R222" s="196"/>
      <c r="S222" s="196"/>
      <c r="T222" s="196"/>
      <c r="U222" s="196"/>
      <c r="V222" s="196"/>
      <c r="W222" s="196"/>
      <c r="X222" s="196"/>
      <c r="Y222" s="196"/>
      <c r="Z222" s="196"/>
      <c r="AA222" s="196"/>
      <c r="AB222" s="196"/>
      <c r="AC222" s="196"/>
      <c r="AD222" s="196"/>
      <c r="AE222" s="196"/>
      <c r="AF222" s="196"/>
      <c r="AG222" s="196"/>
      <c r="AH222" s="196"/>
    </row>
    <row r="223">
      <c r="A223" s="196"/>
      <c r="B223" s="196"/>
      <c r="C223" s="196"/>
      <c r="D223" s="196"/>
      <c r="E223" s="196"/>
      <c r="F223" s="196"/>
      <c r="G223" s="196"/>
      <c r="H223" s="196"/>
      <c r="I223" s="139"/>
      <c r="J223" s="196"/>
      <c r="K223" s="196"/>
      <c r="L223" s="139"/>
      <c r="M223" s="196"/>
      <c r="N223" s="196"/>
      <c r="O223" s="196"/>
      <c r="P223" s="196"/>
      <c r="Q223" s="196"/>
      <c r="R223" s="196"/>
      <c r="S223" s="196"/>
      <c r="T223" s="196"/>
      <c r="U223" s="196"/>
      <c r="V223" s="196"/>
      <c r="W223" s="196"/>
      <c r="X223" s="196"/>
      <c r="Y223" s="196"/>
      <c r="Z223" s="196"/>
      <c r="AA223" s="196"/>
      <c r="AB223" s="196"/>
      <c r="AC223" s="196"/>
      <c r="AD223" s="196"/>
      <c r="AE223" s="196"/>
      <c r="AF223" s="196"/>
      <c r="AG223" s="196"/>
      <c r="AH223" s="196"/>
    </row>
    <row r="224">
      <c r="A224" s="196"/>
      <c r="B224" s="196"/>
      <c r="C224" s="196"/>
      <c r="D224" s="196"/>
      <c r="E224" s="196"/>
      <c r="F224" s="196"/>
      <c r="G224" s="196"/>
      <c r="H224" s="196"/>
      <c r="I224" s="139"/>
      <c r="J224" s="196"/>
      <c r="K224" s="196"/>
      <c r="L224" s="139"/>
      <c r="M224" s="196"/>
      <c r="N224" s="196"/>
      <c r="O224" s="196"/>
      <c r="P224" s="196"/>
      <c r="Q224" s="196"/>
      <c r="R224" s="196"/>
      <c r="S224" s="196"/>
      <c r="T224" s="196"/>
      <c r="U224" s="196"/>
      <c r="V224" s="196"/>
      <c r="W224" s="196"/>
      <c r="X224" s="196"/>
      <c r="Y224" s="196"/>
      <c r="Z224" s="196"/>
      <c r="AA224" s="196"/>
      <c r="AB224" s="196"/>
      <c r="AC224" s="196"/>
      <c r="AD224" s="196"/>
      <c r="AE224" s="196"/>
      <c r="AF224" s="196"/>
      <c r="AG224" s="196"/>
      <c r="AH224" s="196"/>
    </row>
    <row r="225">
      <c r="A225" s="196"/>
      <c r="B225" s="196"/>
      <c r="C225" s="196"/>
      <c r="D225" s="196"/>
      <c r="E225" s="196"/>
      <c r="F225" s="196"/>
      <c r="G225" s="196"/>
      <c r="H225" s="196"/>
      <c r="I225" s="139"/>
      <c r="J225" s="196"/>
      <c r="K225" s="196"/>
      <c r="L225" s="139"/>
      <c r="M225" s="196"/>
      <c r="N225" s="196"/>
      <c r="O225" s="196"/>
      <c r="P225" s="196"/>
      <c r="Q225" s="196"/>
      <c r="R225" s="196"/>
      <c r="S225" s="196"/>
      <c r="T225" s="196"/>
      <c r="U225" s="196"/>
      <c r="V225" s="196"/>
      <c r="W225" s="196"/>
      <c r="X225" s="196"/>
      <c r="Y225" s="196"/>
      <c r="Z225" s="196"/>
      <c r="AA225" s="196"/>
      <c r="AB225" s="196"/>
      <c r="AC225" s="196"/>
      <c r="AD225" s="196"/>
      <c r="AE225" s="196"/>
      <c r="AF225" s="196"/>
      <c r="AG225" s="196"/>
      <c r="AH225" s="196"/>
    </row>
    <row r="226">
      <c r="A226" s="196"/>
      <c r="B226" s="196"/>
      <c r="C226" s="196"/>
      <c r="D226" s="196"/>
      <c r="E226" s="196"/>
      <c r="F226" s="196"/>
      <c r="G226" s="196"/>
      <c r="H226" s="196"/>
      <c r="I226" s="139"/>
      <c r="J226" s="196"/>
      <c r="K226" s="196"/>
      <c r="L226" s="139"/>
      <c r="M226" s="196"/>
      <c r="N226" s="196"/>
      <c r="O226" s="196"/>
      <c r="P226" s="196"/>
      <c r="Q226" s="196"/>
      <c r="R226" s="196"/>
      <c r="S226" s="196"/>
      <c r="T226" s="196"/>
      <c r="U226" s="196"/>
      <c r="V226" s="196"/>
      <c r="W226" s="196"/>
      <c r="X226" s="196"/>
      <c r="Y226" s="196"/>
      <c r="Z226" s="196"/>
      <c r="AA226" s="196"/>
      <c r="AB226" s="196"/>
      <c r="AC226" s="196"/>
      <c r="AD226" s="196"/>
      <c r="AE226" s="196"/>
      <c r="AF226" s="196"/>
      <c r="AG226" s="196"/>
      <c r="AH226" s="196"/>
    </row>
    <row r="227">
      <c r="A227" s="196"/>
      <c r="B227" s="196"/>
      <c r="C227" s="196"/>
      <c r="D227" s="196"/>
      <c r="E227" s="196"/>
      <c r="F227" s="196"/>
      <c r="G227" s="196"/>
      <c r="H227" s="196"/>
      <c r="I227" s="139"/>
      <c r="J227" s="196"/>
      <c r="K227" s="196"/>
      <c r="L227" s="139"/>
      <c r="M227" s="196"/>
      <c r="N227" s="196"/>
      <c r="O227" s="196"/>
      <c r="P227" s="196"/>
      <c r="Q227" s="196"/>
      <c r="R227" s="196"/>
      <c r="S227" s="196"/>
      <c r="T227" s="196"/>
      <c r="U227" s="196"/>
      <c r="V227" s="196"/>
      <c r="W227" s="196"/>
      <c r="X227" s="196"/>
      <c r="Y227" s="196"/>
      <c r="Z227" s="196"/>
      <c r="AA227" s="196"/>
      <c r="AB227" s="196"/>
      <c r="AC227" s="196"/>
      <c r="AD227" s="196"/>
      <c r="AE227" s="196"/>
      <c r="AF227" s="196"/>
      <c r="AG227" s="196"/>
      <c r="AH227" s="196"/>
    </row>
    <row r="228">
      <c r="A228" s="196"/>
      <c r="B228" s="196"/>
      <c r="C228" s="196"/>
      <c r="D228" s="196"/>
      <c r="E228" s="196"/>
      <c r="F228" s="196"/>
      <c r="G228" s="196"/>
      <c r="H228" s="196"/>
      <c r="I228" s="139"/>
      <c r="J228" s="196"/>
      <c r="K228" s="196"/>
      <c r="L228" s="139"/>
      <c r="M228" s="196"/>
      <c r="N228" s="196"/>
      <c r="O228" s="196"/>
      <c r="P228" s="196"/>
      <c r="Q228" s="196"/>
      <c r="R228" s="196"/>
      <c r="S228" s="196"/>
      <c r="T228" s="196"/>
      <c r="U228" s="196"/>
      <c r="V228" s="196"/>
      <c r="W228" s="196"/>
      <c r="X228" s="196"/>
      <c r="Y228" s="196"/>
      <c r="Z228" s="196"/>
      <c r="AA228" s="196"/>
      <c r="AB228" s="196"/>
      <c r="AC228" s="196"/>
      <c r="AD228" s="196"/>
      <c r="AE228" s="196"/>
      <c r="AF228" s="196"/>
      <c r="AG228" s="196"/>
      <c r="AH228" s="196"/>
    </row>
    <row r="229">
      <c r="A229" s="196"/>
      <c r="B229" s="196"/>
      <c r="C229" s="196"/>
      <c r="D229" s="196"/>
      <c r="E229" s="196"/>
      <c r="F229" s="196"/>
      <c r="G229" s="196"/>
      <c r="H229" s="196"/>
      <c r="I229" s="139"/>
      <c r="J229" s="196"/>
      <c r="K229" s="196"/>
      <c r="L229" s="139"/>
      <c r="M229" s="196"/>
      <c r="N229" s="196"/>
      <c r="O229" s="196"/>
      <c r="P229" s="196"/>
      <c r="Q229" s="196"/>
      <c r="R229" s="196"/>
      <c r="S229" s="196"/>
      <c r="T229" s="196"/>
      <c r="U229" s="196"/>
      <c r="V229" s="196"/>
      <c r="W229" s="196"/>
      <c r="X229" s="196"/>
      <c r="Y229" s="196"/>
      <c r="Z229" s="196"/>
      <c r="AA229" s="196"/>
      <c r="AB229" s="196"/>
      <c r="AC229" s="196"/>
      <c r="AD229" s="196"/>
      <c r="AE229" s="196"/>
      <c r="AF229" s="196"/>
      <c r="AG229" s="196"/>
      <c r="AH229" s="196"/>
    </row>
    <row r="230">
      <c r="A230" s="196"/>
      <c r="B230" s="196"/>
      <c r="C230" s="196"/>
      <c r="D230" s="196"/>
      <c r="E230" s="196"/>
      <c r="F230" s="196"/>
      <c r="G230" s="196"/>
      <c r="H230" s="196"/>
      <c r="I230" s="139"/>
      <c r="J230" s="196"/>
      <c r="K230" s="196"/>
      <c r="L230" s="139"/>
      <c r="M230" s="196"/>
      <c r="N230" s="196"/>
      <c r="O230" s="196"/>
      <c r="P230" s="196"/>
      <c r="Q230" s="196"/>
      <c r="R230" s="196"/>
      <c r="S230" s="196"/>
      <c r="T230" s="196"/>
      <c r="U230" s="196"/>
      <c r="V230" s="196"/>
      <c r="W230" s="196"/>
      <c r="X230" s="196"/>
      <c r="Y230" s="196"/>
      <c r="Z230" s="196"/>
      <c r="AA230" s="196"/>
      <c r="AB230" s="196"/>
      <c r="AC230" s="196"/>
      <c r="AD230" s="196"/>
      <c r="AE230" s="196"/>
      <c r="AF230" s="196"/>
      <c r="AG230" s="196"/>
      <c r="AH230" s="196"/>
    </row>
    <row r="231">
      <c r="A231" s="196"/>
      <c r="B231" s="196"/>
      <c r="C231" s="196"/>
      <c r="D231" s="196"/>
      <c r="E231" s="196"/>
      <c r="F231" s="196"/>
      <c r="G231" s="196"/>
      <c r="H231" s="196"/>
      <c r="I231" s="139"/>
      <c r="J231" s="196"/>
      <c r="K231" s="196"/>
      <c r="L231" s="139"/>
      <c r="M231" s="196"/>
      <c r="N231" s="196"/>
      <c r="O231" s="196"/>
      <c r="P231" s="196"/>
      <c r="Q231" s="196"/>
      <c r="R231" s="196"/>
      <c r="S231" s="196"/>
      <c r="T231" s="196"/>
      <c r="U231" s="196"/>
      <c r="V231" s="196"/>
      <c r="W231" s="196"/>
      <c r="X231" s="196"/>
      <c r="Y231" s="196"/>
      <c r="Z231" s="196"/>
      <c r="AA231" s="196"/>
      <c r="AB231" s="196"/>
      <c r="AC231" s="196"/>
      <c r="AD231" s="196"/>
      <c r="AE231" s="196"/>
      <c r="AF231" s="196"/>
      <c r="AG231" s="196"/>
      <c r="AH231" s="196"/>
    </row>
    <row r="232">
      <c r="A232" s="196"/>
      <c r="B232" s="196"/>
      <c r="C232" s="196"/>
      <c r="D232" s="196"/>
      <c r="E232" s="196"/>
      <c r="F232" s="196"/>
      <c r="G232" s="196"/>
      <c r="H232" s="196"/>
      <c r="I232" s="139"/>
      <c r="J232" s="196"/>
      <c r="K232" s="196"/>
      <c r="L232" s="139"/>
      <c r="M232" s="196"/>
      <c r="N232" s="196"/>
      <c r="O232" s="196"/>
      <c r="P232" s="196"/>
      <c r="Q232" s="196"/>
      <c r="R232" s="196"/>
      <c r="S232" s="196"/>
      <c r="T232" s="196"/>
      <c r="U232" s="196"/>
      <c r="V232" s="196"/>
      <c r="W232" s="196"/>
      <c r="X232" s="196"/>
      <c r="Y232" s="196"/>
      <c r="Z232" s="196"/>
      <c r="AA232" s="196"/>
      <c r="AB232" s="196"/>
      <c r="AC232" s="196"/>
      <c r="AD232" s="196"/>
      <c r="AE232" s="196"/>
      <c r="AF232" s="196"/>
      <c r="AG232" s="196"/>
      <c r="AH232" s="196"/>
    </row>
    <row r="233">
      <c r="A233" s="196"/>
      <c r="B233" s="196"/>
      <c r="C233" s="196"/>
      <c r="D233" s="196"/>
      <c r="E233" s="196"/>
      <c r="F233" s="196"/>
      <c r="G233" s="196"/>
      <c r="H233" s="196"/>
      <c r="I233" s="139"/>
      <c r="J233" s="196"/>
      <c r="K233" s="196"/>
      <c r="L233" s="139"/>
      <c r="M233" s="196"/>
      <c r="N233" s="196"/>
      <c r="O233" s="196"/>
      <c r="P233" s="196"/>
      <c r="Q233" s="196"/>
      <c r="R233" s="196"/>
      <c r="S233" s="196"/>
      <c r="T233" s="196"/>
      <c r="U233" s="196"/>
      <c r="V233" s="196"/>
      <c r="W233" s="196"/>
      <c r="X233" s="196"/>
      <c r="Y233" s="196"/>
      <c r="Z233" s="196"/>
      <c r="AA233" s="196"/>
      <c r="AB233" s="196"/>
      <c r="AC233" s="196"/>
      <c r="AD233" s="196"/>
      <c r="AE233" s="196"/>
      <c r="AF233" s="196"/>
      <c r="AG233" s="196"/>
      <c r="AH233" s="196"/>
    </row>
    <row r="234">
      <c r="A234" s="196"/>
      <c r="B234" s="196"/>
      <c r="C234" s="196"/>
      <c r="D234" s="196"/>
      <c r="E234" s="196"/>
      <c r="F234" s="196"/>
      <c r="G234" s="196"/>
      <c r="H234" s="196"/>
      <c r="I234" s="139"/>
      <c r="J234" s="196"/>
      <c r="K234" s="196"/>
      <c r="L234" s="139"/>
      <c r="M234" s="196"/>
      <c r="N234" s="196"/>
      <c r="O234" s="196"/>
      <c r="P234" s="196"/>
      <c r="Q234" s="196"/>
      <c r="R234" s="196"/>
      <c r="S234" s="196"/>
      <c r="T234" s="196"/>
      <c r="U234" s="196"/>
      <c r="V234" s="196"/>
      <c r="W234" s="196"/>
      <c r="X234" s="196"/>
      <c r="Y234" s="196"/>
      <c r="Z234" s="196"/>
      <c r="AA234" s="196"/>
      <c r="AB234" s="196"/>
      <c r="AC234" s="196"/>
      <c r="AD234" s="196"/>
      <c r="AE234" s="196"/>
      <c r="AF234" s="196"/>
      <c r="AG234" s="196"/>
      <c r="AH234" s="196"/>
    </row>
    <row r="235">
      <c r="A235" s="196"/>
      <c r="B235" s="196"/>
      <c r="C235" s="196"/>
      <c r="D235" s="196"/>
      <c r="E235" s="196"/>
      <c r="F235" s="196"/>
      <c r="G235" s="196"/>
      <c r="H235" s="196"/>
      <c r="I235" s="139"/>
      <c r="J235" s="196"/>
      <c r="K235" s="196"/>
      <c r="L235" s="139"/>
      <c r="M235" s="196"/>
      <c r="N235" s="196"/>
      <c r="O235" s="196"/>
      <c r="P235" s="196"/>
      <c r="Q235" s="196"/>
      <c r="R235" s="196"/>
      <c r="S235" s="196"/>
      <c r="T235" s="196"/>
      <c r="U235" s="196"/>
      <c r="V235" s="196"/>
      <c r="W235" s="196"/>
      <c r="X235" s="196"/>
      <c r="Y235" s="196"/>
      <c r="Z235" s="196"/>
      <c r="AA235" s="196"/>
      <c r="AB235" s="196"/>
      <c r="AC235" s="196"/>
      <c r="AD235" s="196"/>
      <c r="AE235" s="196"/>
      <c r="AF235" s="196"/>
      <c r="AG235" s="196"/>
      <c r="AH235" s="196"/>
    </row>
    <row r="236">
      <c r="A236" s="196"/>
      <c r="B236" s="196"/>
      <c r="C236" s="196"/>
      <c r="D236" s="196"/>
      <c r="E236" s="196"/>
      <c r="F236" s="196"/>
      <c r="G236" s="196"/>
      <c r="H236" s="196"/>
      <c r="I236" s="139"/>
      <c r="J236" s="196"/>
      <c r="K236" s="196"/>
      <c r="L236" s="139"/>
      <c r="M236" s="196"/>
      <c r="N236" s="196"/>
      <c r="O236" s="196"/>
      <c r="P236" s="196"/>
      <c r="Q236" s="196"/>
      <c r="R236" s="196"/>
      <c r="S236" s="196"/>
      <c r="T236" s="196"/>
      <c r="U236" s="196"/>
      <c r="V236" s="196"/>
      <c r="W236" s="196"/>
      <c r="X236" s="196"/>
      <c r="Y236" s="196"/>
      <c r="Z236" s="196"/>
      <c r="AA236" s="196"/>
      <c r="AB236" s="196"/>
      <c r="AC236" s="196"/>
      <c r="AD236" s="196"/>
      <c r="AE236" s="196"/>
      <c r="AF236" s="196"/>
      <c r="AG236" s="196"/>
      <c r="AH236" s="196"/>
    </row>
    <row r="237">
      <c r="A237" s="196"/>
      <c r="B237" s="196"/>
      <c r="C237" s="196"/>
      <c r="D237" s="196"/>
      <c r="E237" s="196"/>
      <c r="F237" s="196"/>
      <c r="G237" s="196"/>
      <c r="H237" s="196"/>
      <c r="I237" s="139"/>
      <c r="J237" s="196"/>
      <c r="K237" s="196"/>
      <c r="L237" s="139"/>
      <c r="M237" s="196"/>
      <c r="N237" s="196"/>
      <c r="O237" s="196"/>
      <c r="P237" s="196"/>
      <c r="Q237" s="196"/>
      <c r="R237" s="196"/>
      <c r="S237" s="196"/>
      <c r="T237" s="196"/>
      <c r="U237" s="196"/>
      <c r="V237" s="196"/>
      <c r="W237" s="196"/>
      <c r="X237" s="196"/>
      <c r="Y237" s="196"/>
      <c r="Z237" s="196"/>
      <c r="AA237" s="196"/>
      <c r="AB237" s="196"/>
      <c r="AC237" s="196"/>
      <c r="AD237" s="196"/>
      <c r="AE237" s="196"/>
      <c r="AF237" s="196"/>
      <c r="AG237" s="196"/>
      <c r="AH237" s="196"/>
    </row>
    <row r="238">
      <c r="A238" s="196"/>
      <c r="B238" s="196"/>
      <c r="C238" s="196"/>
      <c r="D238" s="196"/>
      <c r="E238" s="196"/>
      <c r="F238" s="196"/>
      <c r="G238" s="196"/>
      <c r="H238" s="196"/>
      <c r="I238" s="139"/>
      <c r="J238" s="196"/>
      <c r="K238" s="196"/>
      <c r="L238" s="139"/>
      <c r="M238" s="196"/>
      <c r="N238" s="196"/>
      <c r="O238" s="196"/>
      <c r="P238" s="196"/>
      <c r="Q238" s="196"/>
      <c r="R238" s="196"/>
      <c r="S238" s="196"/>
      <c r="T238" s="196"/>
      <c r="U238" s="196"/>
      <c r="V238" s="196"/>
      <c r="W238" s="196"/>
      <c r="X238" s="196"/>
      <c r="Y238" s="196"/>
      <c r="Z238" s="196"/>
      <c r="AA238" s="196"/>
      <c r="AB238" s="196"/>
      <c r="AC238" s="196"/>
      <c r="AD238" s="196"/>
      <c r="AE238" s="196"/>
      <c r="AF238" s="196"/>
      <c r="AG238" s="196"/>
      <c r="AH238" s="196"/>
    </row>
    <row r="239">
      <c r="A239" s="196"/>
      <c r="B239" s="196"/>
      <c r="C239" s="196"/>
      <c r="D239" s="196"/>
      <c r="E239" s="196"/>
      <c r="F239" s="196"/>
      <c r="G239" s="196"/>
      <c r="H239" s="196"/>
      <c r="I239" s="139"/>
      <c r="J239" s="196"/>
      <c r="K239" s="196"/>
      <c r="L239" s="139"/>
      <c r="M239" s="196"/>
      <c r="N239" s="196"/>
      <c r="O239" s="196"/>
      <c r="P239" s="196"/>
      <c r="Q239" s="196"/>
      <c r="R239" s="196"/>
      <c r="S239" s="196"/>
      <c r="T239" s="196"/>
      <c r="U239" s="196"/>
      <c r="V239" s="196"/>
      <c r="W239" s="196"/>
      <c r="X239" s="196"/>
      <c r="Y239" s="196"/>
      <c r="Z239" s="196"/>
      <c r="AA239" s="196"/>
      <c r="AB239" s="196"/>
      <c r="AC239" s="196"/>
      <c r="AD239" s="196"/>
      <c r="AE239" s="196"/>
      <c r="AF239" s="196"/>
      <c r="AG239" s="196"/>
      <c r="AH239" s="196"/>
    </row>
    <row r="240">
      <c r="A240" s="196"/>
      <c r="B240" s="196"/>
      <c r="C240" s="196"/>
      <c r="D240" s="196"/>
      <c r="E240" s="196"/>
      <c r="F240" s="196"/>
      <c r="G240" s="196"/>
      <c r="H240" s="196"/>
      <c r="I240" s="139"/>
      <c r="J240" s="196"/>
      <c r="K240" s="196"/>
      <c r="L240" s="139"/>
      <c r="M240" s="196"/>
      <c r="N240" s="196"/>
      <c r="O240" s="196"/>
      <c r="P240" s="196"/>
      <c r="Q240" s="196"/>
      <c r="R240" s="196"/>
      <c r="S240" s="196"/>
      <c r="T240" s="196"/>
      <c r="U240" s="196"/>
      <c r="V240" s="196"/>
      <c r="W240" s="196"/>
      <c r="X240" s="196"/>
      <c r="Y240" s="196"/>
      <c r="Z240" s="196"/>
      <c r="AA240" s="196"/>
      <c r="AB240" s="196"/>
      <c r="AC240" s="196"/>
      <c r="AD240" s="196"/>
      <c r="AE240" s="196"/>
      <c r="AF240" s="196"/>
      <c r="AG240" s="196"/>
      <c r="AH240" s="196"/>
    </row>
    <row r="241">
      <c r="A241" s="196"/>
      <c r="B241" s="196"/>
      <c r="C241" s="196"/>
      <c r="D241" s="196"/>
      <c r="E241" s="196"/>
      <c r="F241" s="196"/>
      <c r="G241" s="196"/>
      <c r="H241" s="196"/>
      <c r="I241" s="139"/>
      <c r="J241" s="196"/>
      <c r="K241" s="196"/>
      <c r="L241" s="139"/>
      <c r="M241" s="196"/>
      <c r="N241" s="196"/>
      <c r="O241" s="196"/>
      <c r="P241" s="196"/>
      <c r="Q241" s="196"/>
      <c r="R241" s="196"/>
      <c r="S241" s="196"/>
      <c r="T241" s="196"/>
      <c r="U241" s="196"/>
      <c r="V241" s="196"/>
      <c r="W241" s="196"/>
      <c r="X241" s="196"/>
      <c r="Y241" s="196"/>
      <c r="Z241" s="196"/>
      <c r="AA241" s="196"/>
      <c r="AB241" s="196"/>
      <c r="AC241" s="196"/>
      <c r="AD241" s="196"/>
      <c r="AE241" s="196"/>
      <c r="AF241" s="196"/>
      <c r="AG241" s="196"/>
      <c r="AH241" s="196"/>
    </row>
    <row r="242">
      <c r="A242" s="196"/>
      <c r="B242" s="196"/>
      <c r="C242" s="196"/>
      <c r="D242" s="196"/>
      <c r="E242" s="196"/>
      <c r="F242" s="196"/>
      <c r="G242" s="196"/>
      <c r="H242" s="196"/>
      <c r="I242" s="139"/>
      <c r="J242" s="196"/>
      <c r="K242" s="196"/>
      <c r="L242" s="139"/>
      <c r="M242" s="196"/>
      <c r="N242" s="196"/>
      <c r="O242" s="196"/>
      <c r="P242" s="196"/>
      <c r="Q242" s="196"/>
      <c r="R242" s="196"/>
      <c r="S242" s="196"/>
      <c r="T242" s="196"/>
      <c r="U242" s="196"/>
      <c r="V242" s="196"/>
      <c r="W242" s="196"/>
      <c r="X242" s="196"/>
      <c r="Y242" s="196"/>
      <c r="Z242" s="196"/>
      <c r="AA242" s="196"/>
      <c r="AB242" s="196"/>
      <c r="AC242" s="196"/>
      <c r="AD242" s="196"/>
      <c r="AE242" s="196"/>
      <c r="AF242" s="196"/>
      <c r="AG242" s="196"/>
      <c r="AH242" s="196"/>
    </row>
    <row r="243">
      <c r="A243" s="196"/>
      <c r="B243" s="196"/>
      <c r="C243" s="196"/>
      <c r="D243" s="196"/>
      <c r="E243" s="196"/>
      <c r="F243" s="196"/>
      <c r="G243" s="196"/>
      <c r="H243" s="196"/>
      <c r="I243" s="139"/>
      <c r="J243" s="196"/>
      <c r="K243" s="196"/>
      <c r="L243" s="139"/>
      <c r="M243" s="196"/>
      <c r="N243" s="196"/>
      <c r="O243" s="196"/>
      <c r="P243" s="196"/>
      <c r="Q243" s="196"/>
      <c r="R243" s="196"/>
      <c r="S243" s="196"/>
      <c r="T243" s="196"/>
      <c r="U243" s="196"/>
      <c r="V243" s="196"/>
      <c r="W243" s="196"/>
      <c r="X243" s="196"/>
      <c r="Y243" s="196"/>
      <c r="Z243" s="196"/>
      <c r="AA243" s="196"/>
      <c r="AB243" s="196"/>
      <c r="AC243" s="196"/>
      <c r="AD243" s="196"/>
      <c r="AE243" s="196"/>
      <c r="AF243" s="196"/>
      <c r="AG243" s="196"/>
      <c r="AH243" s="196"/>
    </row>
    <row r="244">
      <c r="A244" s="196"/>
      <c r="B244" s="196"/>
      <c r="C244" s="196"/>
      <c r="D244" s="196"/>
      <c r="E244" s="196"/>
      <c r="F244" s="196"/>
      <c r="G244" s="196"/>
      <c r="H244" s="196"/>
      <c r="I244" s="139"/>
      <c r="J244" s="196"/>
      <c r="K244" s="196"/>
      <c r="L244" s="139"/>
      <c r="M244" s="196"/>
      <c r="N244" s="196"/>
      <c r="O244" s="196"/>
      <c r="P244" s="196"/>
      <c r="Q244" s="196"/>
      <c r="R244" s="196"/>
      <c r="S244" s="196"/>
      <c r="T244" s="196"/>
      <c r="U244" s="196"/>
      <c r="V244" s="196"/>
      <c r="W244" s="196"/>
      <c r="X244" s="196"/>
      <c r="Y244" s="196"/>
      <c r="Z244" s="196"/>
      <c r="AA244" s="196"/>
      <c r="AB244" s="196"/>
      <c r="AC244" s="196"/>
      <c r="AD244" s="196"/>
      <c r="AE244" s="196"/>
      <c r="AF244" s="196"/>
      <c r="AG244" s="196"/>
      <c r="AH244" s="196"/>
    </row>
    <row r="245">
      <c r="A245" s="196"/>
      <c r="B245" s="196"/>
      <c r="C245" s="196"/>
      <c r="D245" s="196"/>
      <c r="E245" s="196"/>
      <c r="F245" s="196"/>
      <c r="G245" s="196"/>
      <c r="H245" s="196"/>
      <c r="I245" s="139"/>
      <c r="J245" s="196"/>
      <c r="K245" s="196"/>
      <c r="L245" s="139"/>
      <c r="M245" s="196"/>
      <c r="N245" s="196"/>
      <c r="O245" s="196"/>
      <c r="P245" s="196"/>
      <c r="Q245" s="196"/>
      <c r="R245" s="196"/>
      <c r="S245" s="196"/>
      <c r="T245" s="196"/>
      <c r="U245" s="196"/>
      <c r="V245" s="196"/>
      <c r="W245" s="196"/>
      <c r="X245" s="196"/>
      <c r="Y245" s="196"/>
      <c r="Z245" s="196"/>
      <c r="AA245" s="196"/>
      <c r="AB245" s="196"/>
      <c r="AC245" s="196"/>
      <c r="AD245" s="196"/>
      <c r="AE245" s="196"/>
      <c r="AF245" s="196"/>
      <c r="AG245" s="196"/>
      <c r="AH245" s="196"/>
    </row>
    <row r="246">
      <c r="A246" s="196"/>
      <c r="B246" s="196"/>
      <c r="C246" s="196"/>
      <c r="D246" s="196"/>
      <c r="E246" s="196"/>
      <c r="F246" s="196"/>
      <c r="G246" s="196"/>
      <c r="H246" s="196"/>
      <c r="I246" s="139"/>
      <c r="J246" s="196"/>
      <c r="K246" s="196"/>
      <c r="L246" s="139"/>
      <c r="M246" s="196"/>
      <c r="N246" s="196"/>
      <c r="O246" s="196"/>
      <c r="P246" s="196"/>
      <c r="Q246" s="196"/>
      <c r="R246" s="196"/>
      <c r="S246" s="196"/>
      <c r="T246" s="196"/>
      <c r="U246" s="196"/>
      <c r="V246" s="196"/>
      <c r="W246" s="196"/>
      <c r="X246" s="196"/>
      <c r="Y246" s="196"/>
      <c r="Z246" s="196"/>
      <c r="AA246" s="196"/>
      <c r="AB246" s="196"/>
      <c r="AC246" s="196"/>
      <c r="AD246" s="196"/>
      <c r="AE246" s="196"/>
      <c r="AF246" s="196"/>
      <c r="AG246" s="196"/>
      <c r="AH246" s="196"/>
    </row>
    <row r="247">
      <c r="A247" s="196"/>
      <c r="B247" s="196"/>
      <c r="C247" s="196"/>
      <c r="D247" s="196"/>
      <c r="E247" s="196"/>
      <c r="F247" s="196"/>
      <c r="G247" s="196"/>
      <c r="H247" s="196"/>
      <c r="I247" s="139"/>
      <c r="J247" s="196"/>
      <c r="K247" s="196"/>
      <c r="L247" s="139"/>
      <c r="M247" s="196"/>
      <c r="N247" s="196"/>
      <c r="O247" s="196"/>
      <c r="P247" s="196"/>
      <c r="Q247" s="196"/>
      <c r="R247" s="196"/>
      <c r="S247" s="196"/>
      <c r="T247" s="196"/>
      <c r="U247" s="196"/>
      <c r="V247" s="196"/>
      <c r="W247" s="196"/>
      <c r="X247" s="196"/>
      <c r="Y247" s="196"/>
      <c r="Z247" s="196"/>
      <c r="AA247" s="196"/>
      <c r="AB247" s="196"/>
      <c r="AC247" s="196"/>
      <c r="AD247" s="196"/>
      <c r="AE247" s="196"/>
      <c r="AF247" s="196"/>
      <c r="AG247" s="196"/>
      <c r="AH247" s="196"/>
    </row>
    <row r="248">
      <c r="A248" s="196"/>
      <c r="B248" s="196"/>
      <c r="C248" s="196"/>
      <c r="D248" s="196"/>
      <c r="E248" s="196"/>
      <c r="F248" s="196"/>
      <c r="G248" s="196"/>
      <c r="H248" s="196"/>
      <c r="I248" s="139"/>
      <c r="J248" s="196"/>
      <c r="K248" s="196"/>
      <c r="L248" s="139"/>
      <c r="M248" s="196"/>
      <c r="N248" s="196"/>
      <c r="O248" s="196"/>
      <c r="P248" s="196"/>
      <c r="Q248" s="196"/>
      <c r="R248" s="196"/>
      <c r="S248" s="196"/>
      <c r="T248" s="196"/>
      <c r="U248" s="196"/>
      <c r="V248" s="196"/>
      <c r="W248" s="196"/>
      <c r="X248" s="196"/>
      <c r="Y248" s="196"/>
      <c r="Z248" s="196"/>
      <c r="AA248" s="196"/>
      <c r="AB248" s="196"/>
      <c r="AC248" s="196"/>
      <c r="AD248" s="196"/>
      <c r="AE248" s="196"/>
      <c r="AF248" s="196"/>
      <c r="AG248" s="196"/>
      <c r="AH248" s="196"/>
    </row>
    <row r="249">
      <c r="A249" s="196"/>
      <c r="B249" s="196"/>
      <c r="C249" s="196"/>
      <c r="D249" s="196"/>
      <c r="E249" s="196"/>
      <c r="F249" s="196"/>
      <c r="G249" s="196"/>
      <c r="H249" s="196"/>
      <c r="I249" s="139"/>
      <c r="J249" s="196"/>
      <c r="K249" s="196"/>
      <c r="L249" s="139"/>
      <c r="M249" s="196"/>
      <c r="N249" s="196"/>
      <c r="O249" s="196"/>
      <c r="P249" s="196"/>
      <c r="Q249" s="196"/>
      <c r="R249" s="196"/>
      <c r="S249" s="196"/>
      <c r="T249" s="196"/>
      <c r="U249" s="196"/>
      <c r="V249" s="196"/>
      <c r="W249" s="196"/>
      <c r="X249" s="196"/>
      <c r="Y249" s="196"/>
      <c r="Z249" s="196"/>
      <c r="AA249" s="196"/>
      <c r="AB249" s="196"/>
      <c r="AC249" s="196"/>
      <c r="AD249" s="196"/>
      <c r="AE249" s="196"/>
      <c r="AF249" s="196"/>
      <c r="AG249" s="196"/>
      <c r="AH249" s="196"/>
    </row>
    <row r="250">
      <c r="A250" s="196"/>
      <c r="B250" s="196"/>
      <c r="C250" s="196"/>
      <c r="D250" s="196"/>
      <c r="E250" s="196"/>
      <c r="F250" s="196"/>
      <c r="G250" s="196"/>
      <c r="H250" s="196"/>
      <c r="I250" s="139"/>
      <c r="J250" s="196"/>
      <c r="K250" s="196"/>
      <c r="L250" s="139"/>
      <c r="M250" s="196"/>
      <c r="N250" s="196"/>
      <c r="O250" s="196"/>
      <c r="P250" s="196"/>
      <c r="Q250" s="196"/>
      <c r="R250" s="196"/>
      <c r="S250" s="196"/>
      <c r="T250" s="196"/>
      <c r="U250" s="196"/>
      <c r="V250" s="196"/>
      <c r="W250" s="196"/>
      <c r="X250" s="196"/>
      <c r="Y250" s="196"/>
      <c r="Z250" s="196"/>
      <c r="AA250" s="196"/>
      <c r="AB250" s="196"/>
      <c r="AC250" s="196"/>
      <c r="AD250" s="196"/>
      <c r="AE250" s="196"/>
      <c r="AF250" s="196"/>
      <c r="AG250" s="196"/>
      <c r="AH250" s="196"/>
    </row>
    <row r="251">
      <c r="A251" s="196"/>
      <c r="B251" s="196"/>
      <c r="C251" s="196"/>
      <c r="D251" s="196"/>
      <c r="E251" s="196"/>
      <c r="F251" s="196"/>
      <c r="G251" s="196"/>
      <c r="H251" s="196"/>
      <c r="I251" s="139"/>
      <c r="J251" s="196"/>
      <c r="K251" s="196"/>
      <c r="L251" s="139"/>
      <c r="M251" s="196"/>
      <c r="N251" s="196"/>
      <c r="O251" s="196"/>
      <c r="P251" s="196"/>
      <c r="Q251" s="196"/>
      <c r="R251" s="196"/>
      <c r="S251" s="196"/>
      <c r="T251" s="196"/>
      <c r="U251" s="196"/>
      <c r="V251" s="196"/>
      <c r="W251" s="196"/>
      <c r="X251" s="196"/>
      <c r="Y251" s="196"/>
      <c r="Z251" s="196"/>
      <c r="AA251" s="196"/>
      <c r="AB251" s="196"/>
      <c r="AC251" s="196"/>
      <c r="AD251" s="196"/>
      <c r="AE251" s="196"/>
      <c r="AF251" s="196"/>
      <c r="AG251" s="196"/>
      <c r="AH251" s="196"/>
    </row>
    <row r="252">
      <c r="A252" s="196"/>
      <c r="B252" s="196"/>
      <c r="C252" s="196"/>
      <c r="D252" s="196"/>
      <c r="E252" s="196"/>
      <c r="F252" s="196"/>
      <c r="G252" s="196"/>
      <c r="H252" s="196"/>
      <c r="I252" s="139"/>
      <c r="J252" s="196"/>
      <c r="K252" s="196"/>
      <c r="L252" s="139"/>
      <c r="M252" s="196"/>
      <c r="N252" s="196"/>
      <c r="O252" s="196"/>
      <c r="P252" s="196"/>
      <c r="Q252" s="196"/>
      <c r="R252" s="196"/>
      <c r="S252" s="196"/>
      <c r="T252" s="196"/>
      <c r="U252" s="196"/>
      <c r="V252" s="196"/>
      <c r="W252" s="196"/>
      <c r="X252" s="196"/>
      <c r="Y252" s="196"/>
      <c r="Z252" s="196"/>
      <c r="AA252" s="196"/>
      <c r="AB252" s="196"/>
      <c r="AC252" s="196"/>
      <c r="AD252" s="196"/>
      <c r="AE252" s="196"/>
      <c r="AF252" s="196"/>
      <c r="AG252" s="196"/>
      <c r="AH252" s="196"/>
    </row>
    <row r="253">
      <c r="A253" s="196"/>
      <c r="B253" s="196"/>
      <c r="C253" s="196"/>
      <c r="D253" s="196"/>
      <c r="E253" s="196"/>
      <c r="F253" s="196"/>
      <c r="G253" s="196"/>
      <c r="H253" s="196"/>
      <c r="I253" s="139"/>
      <c r="J253" s="196"/>
      <c r="K253" s="196"/>
      <c r="L253" s="139"/>
      <c r="M253" s="196"/>
      <c r="N253" s="196"/>
      <c r="O253" s="196"/>
      <c r="P253" s="196"/>
      <c r="Q253" s="196"/>
      <c r="R253" s="196"/>
      <c r="S253" s="196"/>
      <c r="T253" s="196"/>
      <c r="U253" s="196"/>
      <c r="V253" s="196"/>
      <c r="W253" s="196"/>
      <c r="X253" s="196"/>
      <c r="Y253" s="196"/>
      <c r="Z253" s="196"/>
      <c r="AA253" s="196"/>
      <c r="AB253" s="196"/>
      <c r="AC253" s="196"/>
      <c r="AD253" s="196"/>
      <c r="AE253" s="196"/>
      <c r="AF253" s="196"/>
      <c r="AG253" s="196"/>
      <c r="AH253" s="196"/>
    </row>
    <row r="254">
      <c r="A254" s="196"/>
      <c r="B254" s="196"/>
      <c r="C254" s="196"/>
      <c r="D254" s="196"/>
      <c r="E254" s="196"/>
      <c r="F254" s="196"/>
      <c r="G254" s="196"/>
      <c r="H254" s="196"/>
      <c r="I254" s="139"/>
      <c r="J254" s="196"/>
      <c r="K254" s="196"/>
      <c r="L254" s="139"/>
      <c r="M254" s="196"/>
      <c r="N254" s="196"/>
      <c r="O254" s="196"/>
      <c r="P254" s="196"/>
      <c r="Q254" s="196"/>
      <c r="R254" s="196"/>
      <c r="S254" s="196"/>
      <c r="T254" s="196"/>
      <c r="U254" s="196"/>
      <c r="V254" s="196"/>
      <c r="W254" s="196"/>
      <c r="X254" s="196"/>
      <c r="Y254" s="196"/>
      <c r="Z254" s="196"/>
      <c r="AA254" s="196"/>
      <c r="AB254" s="196"/>
      <c r="AC254" s="196"/>
      <c r="AD254" s="196"/>
      <c r="AE254" s="196"/>
      <c r="AF254" s="196"/>
      <c r="AG254" s="196"/>
      <c r="AH254" s="196"/>
    </row>
    <row r="255">
      <c r="A255" s="196"/>
      <c r="B255" s="196"/>
      <c r="C255" s="196"/>
      <c r="D255" s="196"/>
      <c r="E255" s="196"/>
      <c r="F255" s="196"/>
      <c r="G255" s="196"/>
      <c r="H255" s="196"/>
      <c r="I255" s="139"/>
      <c r="J255" s="196"/>
      <c r="K255" s="196"/>
      <c r="L255" s="139"/>
      <c r="M255" s="196"/>
      <c r="N255" s="196"/>
      <c r="O255" s="196"/>
      <c r="P255" s="196"/>
      <c r="Q255" s="196"/>
      <c r="R255" s="196"/>
      <c r="S255" s="196"/>
      <c r="T255" s="196"/>
      <c r="U255" s="196"/>
      <c r="V255" s="196"/>
      <c r="W255" s="196"/>
      <c r="X255" s="196"/>
      <c r="Y255" s="196"/>
      <c r="Z255" s="196"/>
      <c r="AA255" s="196"/>
      <c r="AB255" s="196"/>
      <c r="AC255" s="196"/>
      <c r="AD255" s="196"/>
      <c r="AE255" s="196"/>
      <c r="AF255" s="196"/>
      <c r="AG255" s="196"/>
      <c r="AH255" s="196"/>
    </row>
    <row r="256">
      <c r="A256" s="196"/>
      <c r="B256" s="196"/>
      <c r="C256" s="196"/>
      <c r="D256" s="196"/>
      <c r="E256" s="196"/>
      <c r="F256" s="196"/>
      <c r="G256" s="196"/>
      <c r="H256" s="196"/>
      <c r="I256" s="139"/>
      <c r="J256" s="196"/>
      <c r="K256" s="196"/>
      <c r="L256" s="139"/>
      <c r="M256" s="196"/>
      <c r="N256" s="196"/>
      <c r="O256" s="196"/>
      <c r="P256" s="196"/>
      <c r="Q256" s="196"/>
      <c r="R256" s="196"/>
      <c r="S256" s="196"/>
      <c r="T256" s="196"/>
      <c r="U256" s="196"/>
      <c r="V256" s="196"/>
      <c r="W256" s="196"/>
      <c r="X256" s="196"/>
      <c r="Y256" s="196"/>
      <c r="Z256" s="196"/>
      <c r="AA256" s="196"/>
      <c r="AB256" s="196"/>
      <c r="AC256" s="196"/>
      <c r="AD256" s="196"/>
      <c r="AE256" s="196"/>
      <c r="AF256" s="196"/>
      <c r="AG256" s="196"/>
      <c r="AH256" s="196"/>
    </row>
    <row r="257">
      <c r="A257" s="196"/>
      <c r="B257" s="196"/>
      <c r="C257" s="196"/>
      <c r="D257" s="196"/>
      <c r="E257" s="196"/>
      <c r="F257" s="196"/>
      <c r="G257" s="196"/>
      <c r="H257" s="196"/>
      <c r="I257" s="139"/>
      <c r="J257" s="196"/>
      <c r="K257" s="196"/>
      <c r="L257" s="139"/>
      <c r="M257" s="196"/>
      <c r="N257" s="196"/>
      <c r="O257" s="196"/>
      <c r="P257" s="196"/>
      <c r="Q257" s="196"/>
      <c r="R257" s="196"/>
      <c r="S257" s="196"/>
      <c r="T257" s="196"/>
      <c r="U257" s="196"/>
      <c r="V257" s="196"/>
      <c r="W257" s="196"/>
      <c r="X257" s="196"/>
      <c r="Y257" s="196"/>
      <c r="Z257" s="196"/>
      <c r="AA257" s="196"/>
      <c r="AB257" s="196"/>
      <c r="AC257" s="196"/>
      <c r="AD257" s="196"/>
      <c r="AE257" s="196"/>
      <c r="AF257" s="196"/>
      <c r="AG257" s="196"/>
      <c r="AH257" s="196"/>
    </row>
    <row r="258">
      <c r="A258" s="196"/>
      <c r="B258" s="196"/>
      <c r="C258" s="196"/>
      <c r="D258" s="196"/>
      <c r="E258" s="196"/>
      <c r="F258" s="196"/>
      <c r="G258" s="196"/>
      <c r="H258" s="196"/>
      <c r="I258" s="139"/>
      <c r="J258" s="196"/>
      <c r="K258" s="196"/>
      <c r="L258" s="139"/>
      <c r="M258" s="196"/>
      <c r="N258" s="196"/>
      <c r="O258" s="196"/>
      <c r="P258" s="196"/>
      <c r="Q258" s="196"/>
      <c r="R258" s="196"/>
      <c r="S258" s="196"/>
      <c r="T258" s="196"/>
      <c r="U258" s="196"/>
      <c r="V258" s="196"/>
      <c r="W258" s="196"/>
      <c r="X258" s="196"/>
      <c r="Y258" s="196"/>
      <c r="Z258" s="196"/>
      <c r="AA258" s="196"/>
      <c r="AB258" s="196"/>
      <c r="AC258" s="196"/>
      <c r="AD258" s="196"/>
      <c r="AE258" s="196"/>
      <c r="AF258" s="196"/>
      <c r="AG258" s="196"/>
      <c r="AH258" s="196"/>
    </row>
    <row r="259">
      <c r="A259" s="196"/>
      <c r="B259" s="196"/>
      <c r="C259" s="196"/>
      <c r="D259" s="196"/>
      <c r="E259" s="196"/>
      <c r="F259" s="196"/>
      <c r="G259" s="196"/>
      <c r="H259" s="196"/>
      <c r="I259" s="139"/>
      <c r="J259" s="196"/>
      <c r="K259" s="196"/>
      <c r="L259" s="139"/>
      <c r="M259" s="196"/>
      <c r="N259" s="196"/>
      <c r="O259" s="196"/>
      <c r="P259" s="196"/>
      <c r="Q259" s="196"/>
      <c r="R259" s="196"/>
      <c r="S259" s="196"/>
      <c r="T259" s="196"/>
      <c r="U259" s="196"/>
      <c r="V259" s="196"/>
      <c r="W259" s="196"/>
      <c r="X259" s="196"/>
      <c r="Y259" s="196"/>
      <c r="Z259" s="196"/>
      <c r="AA259" s="196"/>
      <c r="AB259" s="196"/>
      <c r="AC259" s="196"/>
      <c r="AD259" s="196"/>
      <c r="AE259" s="196"/>
      <c r="AF259" s="196"/>
      <c r="AG259" s="196"/>
      <c r="AH259" s="196"/>
    </row>
    <row r="260">
      <c r="A260" s="196"/>
      <c r="B260" s="196"/>
      <c r="C260" s="196"/>
      <c r="D260" s="196"/>
      <c r="E260" s="196"/>
      <c r="F260" s="196"/>
      <c r="G260" s="196"/>
      <c r="H260" s="196"/>
      <c r="I260" s="139"/>
      <c r="J260" s="196"/>
      <c r="K260" s="196"/>
      <c r="L260" s="139"/>
      <c r="M260" s="196"/>
      <c r="N260" s="196"/>
      <c r="O260" s="196"/>
      <c r="P260" s="196"/>
      <c r="Q260" s="196"/>
      <c r="R260" s="196"/>
      <c r="S260" s="196"/>
      <c r="T260" s="196"/>
      <c r="U260" s="196"/>
      <c r="V260" s="196"/>
      <c r="W260" s="196"/>
      <c r="X260" s="196"/>
      <c r="Y260" s="196"/>
      <c r="Z260" s="196"/>
      <c r="AA260" s="196"/>
      <c r="AB260" s="196"/>
      <c r="AC260" s="196"/>
      <c r="AD260" s="196"/>
      <c r="AE260" s="196"/>
      <c r="AF260" s="196"/>
      <c r="AG260" s="196"/>
      <c r="AH260" s="196"/>
    </row>
    <row r="261">
      <c r="A261" s="196"/>
      <c r="B261" s="196"/>
      <c r="C261" s="196"/>
      <c r="D261" s="196"/>
      <c r="E261" s="196"/>
      <c r="F261" s="196"/>
      <c r="G261" s="196"/>
      <c r="H261" s="196"/>
      <c r="I261" s="139"/>
      <c r="J261" s="196"/>
      <c r="K261" s="196"/>
      <c r="L261" s="139"/>
      <c r="M261" s="196"/>
      <c r="N261" s="196"/>
      <c r="O261" s="196"/>
      <c r="P261" s="196"/>
      <c r="Q261" s="196"/>
      <c r="R261" s="196"/>
      <c r="S261" s="196"/>
      <c r="T261" s="196"/>
      <c r="U261" s="196"/>
      <c r="V261" s="196"/>
      <c r="W261" s="196"/>
      <c r="X261" s="196"/>
      <c r="Y261" s="196"/>
      <c r="Z261" s="196"/>
      <c r="AA261" s="196"/>
      <c r="AB261" s="196"/>
      <c r="AC261" s="196"/>
      <c r="AD261" s="196"/>
      <c r="AE261" s="196"/>
      <c r="AF261" s="196"/>
      <c r="AG261" s="196"/>
      <c r="AH261" s="196"/>
    </row>
    <row r="262">
      <c r="A262" s="196"/>
      <c r="B262" s="196"/>
      <c r="C262" s="196"/>
      <c r="D262" s="196"/>
      <c r="E262" s="196"/>
      <c r="F262" s="196"/>
      <c r="G262" s="196"/>
      <c r="H262" s="196"/>
      <c r="I262" s="139"/>
      <c r="J262" s="196"/>
      <c r="K262" s="196"/>
      <c r="L262" s="139"/>
      <c r="M262" s="196"/>
      <c r="N262" s="196"/>
      <c r="O262" s="196"/>
      <c r="P262" s="196"/>
      <c r="Q262" s="196"/>
      <c r="R262" s="196"/>
      <c r="S262" s="196"/>
      <c r="T262" s="196"/>
      <c r="U262" s="196"/>
      <c r="V262" s="196"/>
      <c r="W262" s="196"/>
      <c r="X262" s="196"/>
      <c r="Y262" s="196"/>
      <c r="Z262" s="196"/>
      <c r="AA262" s="196"/>
      <c r="AB262" s="196"/>
      <c r="AC262" s="196"/>
      <c r="AD262" s="196"/>
      <c r="AE262" s="196"/>
      <c r="AF262" s="196"/>
      <c r="AG262" s="196"/>
      <c r="AH262" s="196"/>
    </row>
    <row r="263">
      <c r="A263" s="196"/>
      <c r="B263" s="196"/>
      <c r="C263" s="196"/>
      <c r="D263" s="196"/>
      <c r="E263" s="196"/>
      <c r="F263" s="196"/>
      <c r="G263" s="196"/>
      <c r="H263" s="196"/>
      <c r="I263" s="139"/>
      <c r="J263" s="196"/>
      <c r="K263" s="196"/>
      <c r="L263" s="139"/>
      <c r="M263" s="196"/>
      <c r="N263" s="196"/>
      <c r="O263" s="196"/>
      <c r="P263" s="196"/>
      <c r="Q263" s="196"/>
      <c r="R263" s="196"/>
      <c r="S263" s="196"/>
      <c r="T263" s="196"/>
      <c r="U263" s="196"/>
      <c r="V263" s="196"/>
      <c r="W263" s="196"/>
      <c r="X263" s="196"/>
      <c r="Y263" s="196"/>
      <c r="Z263" s="196"/>
      <c r="AA263" s="196"/>
      <c r="AB263" s="196"/>
      <c r="AC263" s="196"/>
      <c r="AD263" s="196"/>
      <c r="AE263" s="196"/>
      <c r="AF263" s="196"/>
      <c r="AG263" s="196"/>
      <c r="AH263" s="196"/>
    </row>
    <row r="264">
      <c r="A264" s="196"/>
      <c r="B264" s="196"/>
      <c r="C264" s="196"/>
      <c r="D264" s="196"/>
      <c r="E264" s="196"/>
      <c r="F264" s="196"/>
      <c r="G264" s="196"/>
      <c r="H264" s="196"/>
      <c r="I264" s="139"/>
      <c r="J264" s="196"/>
      <c r="K264" s="196"/>
      <c r="L264" s="139"/>
      <c r="M264" s="196"/>
      <c r="N264" s="196"/>
      <c r="O264" s="196"/>
      <c r="P264" s="196"/>
      <c r="Q264" s="196"/>
      <c r="R264" s="196"/>
      <c r="S264" s="196"/>
      <c r="T264" s="196"/>
      <c r="U264" s="196"/>
      <c r="V264" s="196"/>
      <c r="W264" s="196"/>
      <c r="X264" s="196"/>
      <c r="Y264" s="196"/>
      <c r="Z264" s="196"/>
      <c r="AA264" s="196"/>
      <c r="AB264" s="196"/>
      <c r="AC264" s="196"/>
      <c r="AD264" s="196"/>
      <c r="AE264" s="196"/>
      <c r="AF264" s="196"/>
      <c r="AG264" s="196"/>
      <c r="AH264" s="196"/>
    </row>
    <row r="265">
      <c r="A265" s="196"/>
      <c r="B265" s="196"/>
      <c r="C265" s="196"/>
      <c r="D265" s="196"/>
      <c r="E265" s="196"/>
      <c r="F265" s="196"/>
      <c r="G265" s="196"/>
      <c r="H265" s="196"/>
      <c r="I265" s="139"/>
      <c r="J265" s="196"/>
      <c r="K265" s="196"/>
      <c r="L265" s="139"/>
      <c r="M265" s="196"/>
      <c r="N265" s="196"/>
      <c r="O265" s="196"/>
      <c r="P265" s="196"/>
      <c r="Q265" s="196"/>
      <c r="R265" s="196"/>
      <c r="S265" s="196"/>
      <c r="T265" s="196"/>
      <c r="U265" s="196"/>
      <c r="V265" s="196"/>
      <c r="W265" s="196"/>
      <c r="X265" s="196"/>
      <c r="Y265" s="196"/>
      <c r="Z265" s="196"/>
      <c r="AA265" s="196"/>
      <c r="AB265" s="196"/>
      <c r="AC265" s="196"/>
      <c r="AD265" s="196"/>
      <c r="AE265" s="196"/>
      <c r="AF265" s="196"/>
      <c r="AG265" s="196"/>
      <c r="AH265" s="196"/>
    </row>
    <row r="266">
      <c r="A266" s="196"/>
      <c r="B266" s="196"/>
      <c r="C266" s="196"/>
      <c r="D266" s="196"/>
      <c r="E266" s="196"/>
      <c r="F266" s="196"/>
      <c r="G266" s="196"/>
      <c r="H266" s="196"/>
      <c r="I266" s="139"/>
      <c r="J266" s="196"/>
      <c r="K266" s="196"/>
      <c r="L266" s="139"/>
      <c r="M266" s="196"/>
      <c r="N266" s="196"/>
      <c r="O266" s="196"/>
      <c r="P266" s="196"/>
      <c r="Q266" s="196"/>
      <c r="R266" s="196"/>
      <c r="S266" s="196"/>
      <c r="T266" s="196"/>
      <c r="U266" s="196"/>
      <c r="V266" s="196"/>
      <c r="W266" s="196"/>
      <c r="X266" s="196"/>
      <c r="Y266" s="196"/>
      <c r="Z266" s="196"/>
      <c r="AA266" s="196"/>
      <c r="AB266" s="196"/>
      <c r="AC266" s="196"/>
      <c r="AD266" s="196"/>
      <c r="AE266" s="196"/>
      <c r="AF266" s="196"/>
      <c r="AG266" s="196"/>
      <c r="AH266" s="196"/>
    </row>
    <row r="267">
      <c r="A267" s="196"/>
      <c r="B267" s="196"/>
      <c r="C267" s="196"/>
      <c r="D267" s="196"/>
      <c r="E267" s="196"/>
      <c r="F267" s="196"/>
      <c r="G267" s="196"/>
      <c r="H267" s="196"/>
      <c r="I267" s="139"/>
      <c r="J267" s="196"/>
      <c r="K267" s="196"/>
      <c r="L267" s="139"/>
      <c r="M267" s="196"/>
      <c r="N267" s="196"/>
      <c r="O267" s="196"/>
      <c r="P267" s="196"/>
      <c r="Q267" s="196"/>
      <c r="R267" s="196"/>
      <c r="S267" s="196"/>
      <c r="T267" s="196"/>
      <c r="U267" s="196"/>
      <c r="V267" s="196"/>
      <c r="W267" s="196"/>
      <c r="X267" s="196"/>
      <c r="Y267" s="196"/>
      <c r="Z267" s="196"/>
      <c r="AA267" s="196"/>
      <c r="AB267" s="196"/>
      <c r="AC267" s="196"/>
      <c r="AD267" s="196"/>
      <c r="AE267" s="196"/>
      <c r="AF267" s="196"/>
      <c r="AG267" s="196"/>
      <c r="AH267" s="196"/>
    </row>
    <row r="268">
      <c r="A268" s="196"/>
      <c r="B268" s="196"/>
      <c r="C268" s="196"/>
      <c r="D268" s="196"/>
      <c r="E268" s="196"/>
      <c r="F268" s="196"/>
      <c r="G268" s="196"/>
      <c r="H268" s="196"/>
      <c r="I268" s="139"/>
      <c r="J268" s="196"/>
      <c r="K268" s="196"/>
      <c r="L268" s="139"/>
      <c r="M268" s="196"/>
      <c r="N268" s="196"/>
      <c r="O268" s="196"/>
      <c r="P268" s="196"/>
      <c r="Q268" s="196"/>
      <c r="R268" s="196"/>
      <c r="S268" s="196"/>
      <c r="T268" s="196"/>
      <c r="U268" s="196"/>
      <c r="V268" s="196"/>
      <c r="W268" s="196"/>
      <c r="X268" s="196"/>
      <c r="Y268" s="196"/>
      <c r="Z268" s="196"/>
      <c r="AA268" s="196"/>
      <c r="AB268" s="196"/>
      <c r="AC268" s="196"/>
      <c r="AD268" s="196"/>
      <c r="AE268" s="196"/>
      <c r="AF268" s="196"/>
      <c r="AG268" s="196"/>
      <c r="AH268" s="196"/>
    </row>
    <row r="269">
      <c r="A269" s="196"/>
      <c r="B269" s="196"/>
      <c r="C269" s="196"/>
      <c r="D269" s="196"/>
      <c r="E269" s="196"/>
      <c r="F269" s="196"/>
      <c r="G269" s="196"/>
      <c r="H269" s="196"/>
      <c r="I269" s="139"/>
      <c r="J269" s="196"/>
      <c r="K269" s="196"/>
      <c r="L269" s="139"/>
      <c r="M269" s="196"/>
      <c r="N269" s="196"/>
      <c r="O269" s="196"/>
      <c r="P269" s="196"/>
      <c r="Q269" s="196"/>
      <c r="R269" s="196"/>
      <c r="S269" s="196"/>
      <c r="T269" s="196"/>
      <c r="U269" s="196"/>
      <c r="V269" s="196"/>
      <c r="W269" s="196"/>
      <c r="X269" s="196"/>
      <c r="Y269" s="196"/>
      <c r="Z269" s="196"/>
      <c r="AA269" s="196"/>
      <c r="AB269" s="196"/>
      <c r="AC269" s="196"/>
      <c r="AD269" s="196"/>
      <c r="AE269" s="196"/>
      <c r="AF269" s="196"/>
      <c r="AG269" s="196"/>
      <c r="AH269" s="196"/>
    </row>
    <row r="270">
      <c r="A270" s="196"/>
      <c r="B270" s="196"/>
      <c r="C270" s="196"/>
      <c r="D270" s="196"/>
      <c r="E270" s="196"/>
      <c r="F270" s="196"/>
      <c r="G270" s="196"/>
      <c r="H270" s="196"/>
      <c r="I270" s="139"/>
      <c r="J270" s="196"/>
      <c r="K270" s="196"/>
      <c r="L270" s="139"/>
      <c r="M270" s="196"/>
      <c r="N270" s="196"/>
      <c r="O270" s="196"/>
      <c r="P270" s="196"/>
      <c r="Q270" s="196"/>
      <c r="R270" s="196"/>
      <c r="S270" s="196"/>
      <c r="T270" s="196"/>
      <c r="U270" s="196"/>
      <c r="V270" s="196"/>
      <c r="W270" s="196"/>
      <c r="X270" s="196"/>
      <c r="Y270" s="196"/>
      <c r="Z270" s="196"/>
      <c r="AA270" s="196"/>
      <c r="AB270" s="196"/>
      <c r="AC270" s="196"/>
      <c r="AD270" s="196"/>
      <c r="AE270" s="196"/>
      <c r="AF270" s="196"/>
      <c r="AG270" s="196"/>
      <c r="AH270" s="196"/>
    </row>
    <row r="271">
      <c r="A271" s="196"/>
      <c r="B271" s="196"/>
      <c r="C271" s="196"/>
      <c r="D271" s="196"/>
      <c r="E271" s="196"/>
      <c r="F271" s="196"/>
      <c r="G271" s="196"/>
      <c r="H271" s="196"/>
      <c r="I271" s="139"/>
      <c r="J271" s="196"/>
      <c r="K271" s="196"/>
      <c r="L271" s="139"/>
      <c r="M271" s="196"/>
      <c r="N271" s="196"/>
      <c r="O271" s="196"/>
      <c r="P271" s="196"/>
      <c r="Q271" s="196"/>
      <c r="R271" s="196"/>
      <c r="S271" s="196"/>
      <c r="T271" s="196"/>
      <c r="U271" s="196"/>
      <c r="V271" s="196"/>
      <c r="W271" s="196"/>
      <c r="X271" s="196"/>
      <c r="Y271" s="196"/>
      <c r="Z271" s="196"/>
      <c r="AA271" s="196"/>
      <c r="AB271" s="196"/>
      <c r="AC271" s="196"/>
      <c r="AD271" s="196"/>
      <c r="AE271" s="196"/>
      <c r="AF271" s="196"/>
      <c r="AG271" s="196"/>
      <c r="AH271" s="196"/>
    </row>
    <row r="272">
      <c r="A272" s="196"/>
      <c r="B272" s="196"/>
      <c r="C272" s="196"/>
      <c r="D272" s="196"/>
      <c r="E272" s="196"/>
      <c r="F272" s="196"/>
      <c r="G272" s="196"/>
      <c r="H272" s="196"/>
      <c r="I272" s="139"/>
      <c r="J272" s="196"/>
      <c r="K272" s="196"/>
      <c r="L272" s="139"/>
      <c r="M272" s="196"/>
      <c r="N272" s="196"/>
      <c r="O272" s="196"/>
      <c r="P272" s="196"/>
      <c r="Q272" s="196"/>
      <c r="R272" s="196"/>
      <c r="S272" s="196"/>
      <c r="T272" s="196"/>
      <c r="U272" s="196"/>
      <c r="V272" s="196"/>
      <c r="W272" s="196"/>
      <c r="X272" s="196"/>
      <c r="Y272" s="196"/>
      <c r="Z272" s="196"/>
      <c r="AA272" s="196"/>
      <c r="AB272" s="196"/>
      <c r="AC272" s="196"/>
      <c r="AD272" s="196"/>
      <c r="AE272" s="196"/>
      <c r="AF272" s="196"/>
      <c r="AG272" s="196"/>
      <c r="AH272" s="196"/>
    </row>
    <row r="273">
      <c r="A273" s="196"/>
      <c r="B273" s="196"/>
      <c r="C273" s="196"/>
      <c r="D273" s="196"/>
      <c r="E273" s="196"/>
      <c r="F273" s="196"/>
      <c r="G273" s="196"/>
      <c r="H273" s="196"/>
      <c r="I273" s="139"/>
      <c r="J273" s="196"/>
      <c r="K273" s="196"/>
      <c r="L273" s="139"/>
      <c r="M273" s="196"/>
      <c r="N273" s="196"/>
      <c r="O273" s="196"/>
      <c r="P273" s="196"/>
      <c r="Q273" s="196"/>
      <c r="R273" s="196"/>
      <c r="S273" s="196"/>
      <c r="T273" s="196"/>
      <c r="U273" s="196"/>
      <c r="V273" s="196"/>
      <c r="W273" s="196"/>
      <c r="X273" s="196"/>
      <c r="Y273" s="196"/>
      <c r="Z273" s="196"/>
      <c r="AA273" s="196"/>
      <c r="AB273" s="196"/>
      <c r="AC273" s="196"/>
      <c r="AD273" s="196"/>
      <c r="AE273" s="196"/>
      <c r="AF273" s="196"/>
      <c r="AG273" s="196"/>
      <c r="AH273" s="196"/>
    </row>
    <row r="274">
      <c r="A274" s="196"/>
      <c r="B274" s="196"/>
      <c r="C274" s="196"/>
      <c r="D274" s="196"/>
      <c r="E274" s="196"/>
      <c r="F274" s="196"/>
      <c r="G274" s="196"/>
      <c r="H274" s="196"/>
      <c r="I274" s="139"/>
      <c r="J274" s="196"/>
      <c r="K274" s="196"/>
      <c r="L274" s="139"/>
      <c r="M274" s="196"/>
      <c r="N274" s="196"/>
      <c r="O274" s="196"/>
      <c r="P274" s="196"/>
      <c r="Q274" s="196"/>
      <c r="R274" s="196"/>
      <c r="S274" s="196"/>
      <c r="T274" s="196"/>
      <c r="U274" s="196"/>
      <c r="V274" s="196"/>
      <c r="W274" s="196"/>
      <c r="X274" s="196"/>
      <c r="Y274" s="196"/>
      <c r="Z274" s="196"/>
      <c r="AA274" s="196"/>
      <c r="AB274" s="196"/>
      <c r="AC274" s="196"/>
      <c r="AD274" s="196"/>
      <c r="AE274" s="196"/>
      <c r="AF274" s="196"/>
      <c r="AG274" s="196"/>
      <c r="AH274" s="196"/>
    </row>
    <row r="275">
      <c r="A275" s="196"/>
      <c r="B275" s="196"/>
      <c r="C275" s="196"/>
      <c r="D275" s="196"/>
      <c r="E275" s="196"/>
      <c r="F275" s="196"/>
      <c r="G275" s="196"/>
      <c r="H275" s="196"/>
      <c r="I275" s="139"/>
      <c r="J275" s="196"/>
      <c r="K275" s="196"/>
      <c r="L275" s="139"/>
      <c r="M275" s="196"/>
      <c r="N275" s="196"/>
      <c r="O275" s="196"/>
      <c r="P275" s="196"/>
      <c r="Q275" s="196"/>
      <c r="R275" s="196"/>
      <c r="S275" s="196"/>
      <c r="T275" s="196"/>
      <c r="U275" s="196"/>
      <c r="V275" s="196"/>
      <c r="W275" s="196"/>
      <c r="X275" s="196"/>
      <c r="Y275" s="196"/>
      <c r="Z275" s="196"/>
      <c r="AA275" s="196"/>
      <c r="AB275" s="196"/>
      <c r="AC275" s="196"/>
      <c r="AD275" s="196"/>
      <c r="AE275" s="196"/>
      <c r="AF275" s="196"/>
      <c r="AG275" s="196"/>
      <c r="AH275" s="196"/>
    </row>
    <row r="276">
      <c r="A276" s="196"/>
      <c r="B276" s="196"/>
      <c r="C276" s="196"/>
      <c r="D276" s="196"/>
      <c r="E276" s="196"/>
      <c r="F276" s="196"/>
      <c r="G276" s="196"/>
      <c r="H276" s="196"/>
      <c r="I276" s="139"/>
      <c r="J276" s="196"/>
      <c r="K276" s="196"/>
      <c r="L276" s="139"/>
      <c r="M276" s="196"/>
      <c r="N276" s="196"/>
      <c r="O276" s="196"/>
      <c r="P276" s="196"/>
      <c r="Q276" s="196"/>
      <c r="R276" s="196"/>
      <c r="S276" s="196"/>
      <c r="T276" s="196"/>
      <c r="U276" s="196"/>
      <c r="V276" s="196"/>
      <c r="W276" s="196"/>
      <c r="X276" s="196"/>
      <c r="Y276" s="196"/>
      <c r="Z276" s="196"/>
      <c r="AA276" s="196"/>
      <c r="AB276" s="196"/>
      <c r="AC276" s="196"/>
      <c r="AD276" s="196"/>
      <c r="AE276" s="196"/>
      <c r="AF276" s="196"/>
      <c r="AG276" s="196"/>
      <c r="AH276" s="196"/>
    </row>
    <row r="277">
      <c r="A277" s="196"/>
      <c r="B277" s="196"/>
      <c r="C277" s="196"/>
      <c r="D277" s="196"/>
      <c r="E277" s="196"/>
      <c r="F277" s="196"/>
      <c r="G277" s="196"/>
      <c r="H277" s="196"/>
      <c r="I277" s="139"/>
      <c r="J277" s="196"/>
      <c r="K277" s="196"/>
      <c r="L277" s="139"/>
      <c r="M277" s="196"/>
      <c r="N277" s="196"/>
      <c r="O277" s="196"/>
      <c r="P277" s="196"/>
      <c r="Q277" s="196"/>
      <c r="R277" s="196"/>
      <c r="S277" s="196"/>
      <c r="T277" s="196"/>
      <c r="U277" s="196"/>
      <c r="V277" s="196"/>
      <c r="W277" s="196"/>
      <c r="X277" s="196"/>
      <c r="Y277" s="196"/>
      <c r="Z277" s="196"/>
      <c r="AA277" s="196"/>
      <c r="AB277" s="196"/>
      <c r="AC277" s="196"/>
      <c r="AD277" s="196"/>
      <c r="AE277" s="196"/>
      <c r="AF277" s="196"/>
      <c r="AG277" s="196"/>
      <c r="AH277" s="196"/>
    </row>
    <row r="278">
      <c r="A278" s="196"/>
      <c r="B278" s="196"/>
      <c r="C278" s="196"/>
      <c r="D278" s="196"/>
      <c r="E278" s="196"/>
      <c r="F278" s="196"/>
      <c r="G278" s="196"/>
      <c r="H278" s="196"/>
      <c r="I278" s="139"/>
      <c r="J278" s="196"/>
      <c r="K278" s="196"/>
      <c r="L278" s="139"/>
      <c r="M278" s="196"/>
      <c r="N278" s="196"/>
      <c r="O278" s="196"/>
      <c r="P278" s="196"/>
      <c r="Q278" s="196"/>
      <c r="R278" s="196"/>
      <c r="S278" s="196"/>
      <c r="T278" s="196"/>
      <c r="U278" s="196"/>
      <c r="V278" s="196"/>
      <c r="W278" s="196"/>
      <c r="X278" s="196"/>
      <c r="Y278" s="196"/>
      <c r="Z278" s="196"/>
      <c r="AA278" s="196"/>
      <c r="AB278" s="196"/>
      <c r="AC278" s="196"/>
      <c r="AD278" s="196"/>
      <c r="AE278" s="196"/>
      <c r="AF278" s="196"/>
      <c r="AG278" s="196"/>
      <c r="AH278" s="196"/>
    </row>
    <row r="279">
      <c r="A279" s="196"/>
      <c r="B279" s="196"/>
      <c r="C279" s="196"/>
      <c r="D279" s="196"/>
      <c r="E279" s="196"/>
      <c r="F279" s="196"/>
      <c r="G279" s="196"/>
      <c r="H279" s="196"/>
      <c r="I279" s="139"/>
      <c r="J279" s="196"/>
      <c r="K279" s="196"/>
      <c r="L279" s="139"/>
      <c r="M279" s="196"/>
      <c r="N279" s="196"/>
      <c r="O279" s="196"/>
      <c r="P279" s="196"/>
      <c r="Q279" s="196"/>
      <c r="R279" s="196"/>
      <c r="S279" s="196"/>
      <c r="T279" s="196"/>
      <c r="U279" s="196"/>
      <c r="V279" s="196"/>
      <c r="W279" s="196"/>
      <c r="X279" s="196"/>
      <c r="Y279" s="196"/>
      <c r="Z279" s="196"/>
      <c r="AA279" s="196"/>
      <c r="AB279" s="196"/>
      <c r="AC279" s="196"/>
      <c r="AD279" s="196"/>
      <c r="AE279" s="196"/>
      <c r="AF279" s="196"/>
      <c r="AG279" s="196"/>
      <c r="AH279" s="196"/>
    </row>
    <row r="280">
      <c r="A280" s="196"/>
      <c r="B280" s="196"/>
      <c r="C280" s="196"/>
      <c r="D280" s="196"/>
      <c r="E280" s="196"/>
      <c r="F280" s="196"/>
      <c r="G280" s="196"/>
      <c r="H280" s="196"/>
      <c r="I280" s="139"/>
      <c r="J280" s="196"/>
      <c r="K280" s="196"/>
      <c r="L280" s="139"/>
      <c r="M280" s="196"/>
      <c r="N280" s="196"/>
      <c r="O280" s="196"/>
      <c r="P280" s="196"/>
      <c r="Q280" s="196"/>
      <c r="R280" s="196"/>
      <c r="S280" s="196"/>
      <c r="T280" s="196"/>
      <c r="U280" s="196"/>
      <c r="V280" s="196"/>
      <c r="W280" s="196"/>
      <c r="X280" s="196"/>
      <c r="Y280" s="196"/>
      <c r="Z280" s="196"/>
      <c r="AA280" s="196"/>
      <c r="AB280" s="196"/>
      <c r="AC280" s="196"/>
      <c r="AD280" s="196"/>
      <c r="AE280" s="196"/>
      <c r="AF280" s="196"/>
      <c r="AG280" s="196"/>
      <c r="AH280" s="196"/>
    </row>
    <row r="281">
      <c r="A281" s="196"/>
      <c r="B281" s="196"/>
      <c r="C281" s="196"/>
      <c r="D281" s="196"/>
      <c r="E281" s="196"/>
      <c r="F281" s="196"/>
      <c r="G281" s="196"/>
      <c r="H281" s="196"/>
      <c r="I281" s="139"/>
      <c r="J281" s="196"/>
      <c r="K281" s="196"/>
      <c r="L281" s="139"/>
      <c r="M281" s="196"/>
      <c r="N281" s="196"/>
      <c r="O281" s="196"/>
      <c r="P281" s="196"/>
      <c r="Q281" s="196"/>
      <c r="R281" s="196"/>
      <c r="S281" s="196"/>
      <c r="T281" s="196"/>
      <c r="U281" s="196"/>
      <c r="V281" s="196"/>
      <c r="W281" s="196"/>
      <c r="X281" s="196"/>
      <c r="Y281" s="196"/>
      <c r="Z281" s="196"/>
      <c r="AA281" s="196"/>
      <c r="AB281" s="196"/>
      <c r="AC281" s="196"/>
      <c r="AD281" s="196"/>
      <c r="AE281" s="196"/>
      <c r="AF281" s="196"/>
      <c r="AG281" s="196"/>
      <c r="AH281" s="196"/>
    </row>
    <row r="282">
      <c r="A282" s="196"/>
      <c r="B282" s="196"/>
      <c r="C282" s="196"/>
      <c r="D282" s="196"/>
      <c r="E282" s="196"/>
      <c r="F282" s="196"/>
      <c r="G282" s="196"/>
      <c r="H282" s="196"/>
      <c r="I282" s="139"/>
      <c r="J282" s="196"/>
      <c r="K282" s="196"/>
      <c r="L282" s="139"/>
      <c r="M282" s="196"/>
      <c r="N282" s="196"/>
      <c r="O282" s="196"/>
      <c r="P282" s="196"/>
      <c r="Q282" s="196"/>
      <c r="R282" s="196"/>
      <c r="S282" s="196"/>
      <c r="T282" s="196"/>
      <c r="U282" s="196"/>
      <c r="V282" s="196"/>
      <c r="W282" s="196"/>
      <c r="X282" s="196"/>
      <c r="Y282" s="196"/>
      <c r="Z282" s="196"/>
      <c r="AA282" s="196"/>
      <c r="AB282" s="196"/>
      <c r="AC282" s="196"/>
      <c r="AD282" s="196"/>
      <c r="AE282" s="196"/>
      <c r="AF282" s="196"/>
      <c r="AG282" s="196"/>
      <c r="AH282" s="196"/>
    </row>
    <row r="283">
      <c r="A283" s="196"/>
      <c r="B283" s="196"/>
      <c r="C283" s="196"/>
      <c r="D283" s="196"/>
      <c r="E283" s="196"/>
      <c r="F283" s="196"/>
      <c r="G283" s="196"/>
      <c r="H283" s="196"/>
      <c r="I283" s="139"/>
      <c r="J283" s="196"/>
      <c r="K283" s="196"/>
      <c r="L283" s="139"/>
      <c r="M283" s="196"/>
      <c r="N283" s="196"/>
      <c r="O283" s="196"/>
      <c r="P283" s="196"/>
      <c r="Q283" s="196"/>
      <c r="R283" s="196"/>
      <c r="S283" s="196"/>
      <c r="T283" s="196"/>
      <c r="U283" s="196"/>
      <c r="V283" s="196"/>
      <c r="W283" s="196"/>
      <c r="X283" s="196"/>
      <c r="Y283" s="196"/>
      <c r="Z283" s="196"/>
      <c r="AA283" s="196"/>
      <c r="AB283" s="196"/>
      <c r="AC283" s="196"/>
      <c r="AD283" s="196"/>
      <c r="AE283" s="196"/>
      <c r="AF283" s="196"/>
      <c r="AG283" s="196"/>
      <c r="AH283" s="196"/>
    </row>
    <row r="284">
      <c r="A284" s="196"/>
      <c r="B284" s="196"/>
      <c r="C284" s="196"/>
      <c r="D284" s="196"/>
      <c r="E284" s="196"/>
      <c r="F284" s="196"/>
      <c r="G284" s="196"/>
      <c r="H284" s="196"/>
      <c r="I284" s="139"/>
      <c r="J284" s="196"/>
      <c r="K284" s="196"/>
      <c r="L284" s="139"/>
      <c r="M284" s="196"/>
      <c r="N284" s="196"/>
      <c r="O284" s="196"/>
      <c r="P284" s="196"/>
      <c r="Q284" s="196"/>
      <c r="R284" s="196"/>
      <c r="S284" s="196"/>
      <c r="T284" s="196"/>
      <c r="U284" s="196"/>
      <c r="V284" s="196"/>
      <c r="W284" s="196"/>
      <c r="X284" s="196"/>
      <c r="Y284" s="196"/>
      <c r="Z284" s="196"/>
      <c r="AA284" s="196"/>
      <c r="AB284" s="196"/>
      <c r="AC284" s="196"/>
      <c r="AD284" s="196"/>
      <c r="AE284" s="196"/>
      <c r="AF284" s="196"/>
      <c r="AG284" s="196"/>
      <c r="AH284" s="196"/>
    </row>
    <row r="285">
      <c r="A285" s="196"/>
      <c r="B285" s="196"/>
      <c r="C285" s="196"/>
      <c r="D285" s="196"/>
      <c r="E285" s="196"/>
      <c r="F285" s="196"/>
      <c r="G285" s="196"/>
      <c r="H285" s="196"/>
      <c r="I285" s="139"/>
      <c r="J285" s="196"/>
      <c r="K285" s="196"/>
      <c r="L285" s="139"/>
      <c r="M285" s="196"/>
      <c r="N285" s="196"/>
      <c r="O285" s="196"/>
      <c r="P285" s="196"/>
      <c r="Q285" s="196"/>
      <c r="R285" s="196"/>
      <c r="S285" s="196"/>
      <c r="T285" s="196"/>
      <c r="U285" s="196"/>
      <c r="V285" s="196"/>
      <c r="W285" s="196"/>
      <c r="X285" s="196"/>
      <c r="Y285" s="196"/>
      <c r="Z285" s="196"/>
      <c r="AA285" s="196"/>
      <c r="AB285" s="196"/>
      <c r="AC285" s="196"/>
      <c r="AD285" s="196"/>
      <c r="AE285" s="196"/>
      <c r="AF285" s="196"/>
      <c r="AG285" s="196"/>
      <c r="AH285" s="196"/>
    </row>
    <row r="286">
      <c r="A286" s="196"/>
      <c r="B286" s="196"/>
      <c r="C286" s="196"/>
      <c r="D286" s="196"/>
      <c r="E286" s="196"/>
      <c r="F286" s="196"/>
      <c r="G286" s="196"/>
      <c r="H286" s="196"/>
      <c r="I286" s="139"/>
      <c r="J286" s="196"/>
      <c r="K286" s="196"/>
      <c r="L286" s="139"/>
      <c r="M286" s="196"/>
      <c r="N286" s="196"/>
      <c r="O286" s="196"/>
      <c r="P286" s="196"/>
      <c r="Q286" s="196"/>
      <c r="R286" s="196"/>
      <c r="S286" s="196"/>
      <c r="T286" s="196"/>
      <c r="U286" s="196"/>
      <c r="V286" s="196"/>
      <c r="W286" s="196"/>
      <c r="X286" s="196"/>
      <c r="Y286" s="196"/>
      <c r="Z286" s="196"/>
      <c r="AA286" s="196"/>
      <c r="AB286" s="196"/>
      <c r="AC286" s="196"/>
      <c r="AD286" s="196"/>
      <c r="AE286" s="196"/>
      <c r="AF286" s="196"/>
      <c r="AG286" s="196"/>
      <c r="AH286" s="196"/>
    </row>
    <row r="287">
      <c r="A287" s="196"/>
      <c r="B287" s="196"/>
      <c r="C287" s="196"/>
      <c r="D287" s="196"/>
      <c r="E287" s="196"/>
      <c r="F287" s="196"/>
      <c r="G287" s="196"/>
      <c r="H287" s="196"/>
      <c r="I287" s="139"/>
      <c r="J287" s="196"/>
      <c r="K287" s="196"/>
      <c r="L287" s="139"/>
      <c r="M287" s="196"/>
      <c r="N287" s="196"/>
      <c r="O287" s="196"/>
      <c r="P287" s="196"/>
      <c r="Q287" s="196"/>
      <c r="R287" s="196"/>
      <c r="S287" s="196"/>
      <c r="T287" s="196"/>
      <c r="U287" s="196"/>
      <c r="V287" s="196"/>
      <c r="W287" s="196"/>
      <c r="X287" s="196"/>
      <c r="Y287" s="196"/>
      <c r="Z287" s="196"/>
      <c r="AA287" s="196"/>
      <c r="AB287" s="196"/>
      <c r="AC287" s="196"/>
      <c r="AD287" s="196"/>
      <c r="AE287" s="196"/>
      <c r="AF287" s="196"/>
      <c r="AG287" s="196"/>
      <c r="AH287" s="196"/>
    </row>
    <row r="288">
      <c r="A288" s="196"/>
      <c r="B288" s="196"/>
      <c r="C288" s="196"/>
      <c r="D288" s="196"/>
      <c r="E288" s="196"/>
      <c r="F288" s="196"/>
      <c r="G288" s="196"/>
      <c r="H288" s="196"/>
      <c r="I288" s="139"/>
      <c r="J288" s="196"/>
      <c r="K288" s="196"/>
      <c r="L288" s="139"/>
      <c r="M288" s="196"/>
      <c r="N288" s="196"/>
      <c r="O288" s="196"/>
      <c r="P288" s="196"/>
      <c r="Q288" s="196"/>
      <c r="R288" s="196"/>
      <c r="S288" s="196"/>
      <c r="T288" s="196"/>
      <c r="U288" s="196"/>
      <c r="V288" s="196"/>
      <c r="W288" s="196"/>
      <c r="X288" s="196"/>
      <c r="Y288" s="196"/>
      <c r="Z288" s="196"/>
      <c r="AA288" s="196"/>
      <c r="AB288" s="196"/>
      <c r="AC288" s="196"/>
      <c r="AD288" s="196"/>
      <c r="AE288" s="196"/>
      <c r="AF288" s="196"/>
      <c r="AG288" s="196"/>
      <c r="AH288" s="196"/>
    </row>
    <row r="289">
      <c r="A289" s="196"/>
      <c r="B289" s="196"/>
      <c r="C289" s="196"/>
      <c r="D289" s="196"/>
      <c r="E289" s="196"/>
      <c r="F289" s="196"/>
      <c r="G289" s="196"/>
      <c r="H289" s="196"/>
      <c r="I289" s="139"/>
      <c r="J289" s="196"/>
      <c r="K289" s="196"/>
      <c r="L289" s="139"/>
      <c r="M289" s="196"/>
      <c r="N289" s="196"/>
      <c r="O289" s="196"/>
      <c r="P289" s="196"/>
      <c r="Q289" s="196"/>
      <c r="R289" s="196"/>
      <c r="S289" s="196"/>
      <c r="T289" s="196"/>
      <c r="U289" s="196"/>
      <c r="V289" s="196"/>
      <c r="W289" s="196"/>
      <c r="X289" s="196"/>
      <c r="Y289" s="196"/>
      <c r="Z289" s="196"/>
      <c r="AA289" s="196"/>
      <c r="AB289" s="196"/>
      <c r="AC289" s="196"/>
      <c r="AD289" s="196"/>
      <c r="AE289" s="196"/>
      <c r="AF289" s="196"/>
      <c r="AG289" s="196"/>
      <c r="AH289" s="196"/>
    </row>
    <row r="290">
      <c r="A290" s="196"/>
      <c r="B290" s="196"/>
      <c r="C290" s="196"/>
      <c r="D290" s="196"/>
      <c r="E290" s="196"/>
      <c r="F290" s="196"/>
      <c r="G290" s="196"/>
      <c r="H290" s="196"/>
      <c r="I290" s="139"/>
      <c r="J290" s="196"/>
      <c r="K290" s="196"/>
      <c r="L290" s="139"/>
      <c r="M290" s="196"/>
      <c r="N290" s="196"/>
      <c r="O290" s="196"/>
      <c r="P290" s="196"/>
      <c r="Q290" s="196"/>
      <c r="R290" s="196"/>
      <c r="S290" s="196"/>
      <c r="T290" s="196"/>
      <c r="U290" s="196"/>
      <c r="V290" s="196"/>
      <c r="W290" s="196"/>
      <c r="X290" s="196"/>
      <c r="Y290" s="196"/>
      <c r="Z290" s="196"/>
      <c r="AA290" s="196"/>
      <c r="AB290" s="196"/>
      <c r="AC290" s="196"/>
      <c r="AD290" s="196"/>
      <c r="AE290" s="196"/>
      <c r="AF290" s="196"/>
      <c r="AG290" s="196"/>
      <c r="AH290" s="196"/>
    </row>
    <row r="291">
      <c r="A291" s="196"/>
      <c r="B291" s="196"/>
      <c r="C291" s="196"/>
      <c r="D291" s="196"/>
      <c r="E291" s="196"/>
      <c r="F291" s="196"/>
      <c r="G291" s="196"/>
      <c r="H291" s="196"/>
      <c r="I291" s="139"/>
      <c r="J291" s="196"/>
      <c r="K291" s="196"/>
      <c r="L291" s="139"/>
      <c r="M291" s="196"/>
      <c r="N291" s="196"/>
      <c r="O291" s="196"/>
      <c r="P291" s="196"/>
      <c r="Q291" s="196"/>
      <c r="R291" s="196"/>
      <c r="S291" s="196"/>
      <c r="T291" s="196"/>
      <c r="U291" s="196"/>
      <c r="V291" s="196"/>
      <c r="W291" s="196"/>
      <c r="X291" s="196"/>
      <c r="Y291" s="196"/>
      <c r="Z291" s="196"/>
      <c r="AA291" s="196"/>
      <c r="AB291" s="196"/>
      <c r="AC291" s="196"/>
      <c r="AD291" s="196"/>
      <c r="AE291" s="196"/>
      <c r="AF291" s="196"/>
      <c r="AG291" s="196"/>
      <c r="AH291" s="196"/>
    </row>
    <row r="292">
      <c r="A292" s="196"/>
      <c r="B292" s="196"/>
      <c r="C292" s="196"/>
      <c r="D292" s="196"/>
      <c r="E292" s="196"/>
      <c r="F292" s="196"/>
      <c r="G292" s="196"/>
      <c r="H292" s="196"/>
      <c r="I292" s="139"/>
      <c r="J292" s="196"/>
      <c r="K292" s="196"/>
      <c r="L292" s="139"/>
      <c r="M292" s="196"/>
      <c r="N292" s="196"/>
      <c r="O292" s="196"/>
      <c r="P292" s="196"/>
      <c r="Q292" s="196"/>
      <c r="R292" s="196"/>
      <c r="S292" s="196"/>
      <c r="T292" s="196"/>
      <c r="U292" s="196"/>
      <c r="V292" s="196"/>
      <c r="W292" s="196"/>
      <c r="X292" s="196"/>
      <c r="Y292" s="196"/>
      <c r="Z292" s="196"/>
      <c r="AA292" s="196"/>
      <c r="AB292" s="196"/>
      <c r="AC292" s="196"/>
      <c r="AD292" s="196"/>
      <c r="AE292" s="196"/>
      <c r="AF292" s="196"/>
      <c r="AG292" s="196"/>
      <c r="AH292" s="196"/>
    </row>
    <row r="293">
      <c r="A293" s="196"/>
      <c r="B293" s="196"/>
      <c r="C293" s="196"/>
      <c r="D293" s="196"/>
      <c r="E293" s="196"/>
      <c r="F293" s="196"/>
      <c r="G293" s="196"/>
      <c r="H293" s="196"/>
      <c r="I293" s="139"/>
      <c r="J293" s="196"/>
      <c r="K293" s="196"/>
      <c r="L293" s="139"/>
      <c r="M293" s="196"/>
      <c r="N293" s="196"/>
      <c r="O293" s="196"/>
      <c r="P293" s="196"/>
      <c r="Q293" s="196"/>
      <c r="R293" s="196"/>
      <c r="S293" s="196"/>
      <c r="T293" s="196"/>
      <c r="U293" s="196"/>
      <c r="V293" s="196"/>
      <c r="W293" s="196"/>
      <c r="X293" s="196"/>
      <c r="Y293" s="196"/>
      <c r="Z293" s="196"/>
      <c r="AA293" s="196"/>
      <c r="AB293" s="196"/>
      <c r="AC293" s="196"/>
      <c r="AD293" s="196"/>
      <c r="AE293" s="196"/>
      <c r="AF293" s="196"/>
      <c r="AG293" s="196"/>
      <c r="AH293" s="196"/>
    </row>
    <row r="294">
      <c r="A294" s="196"/>
      <c r="B294" s="196"/>
      <c r="C294" s="196"/>
      <c r="D294" s="196"/>
      <c r="E294" s="196"/>
      <c r="F294" s="196"/>
      <c r="G294" s="196"/>
      <c r="H294" s="196"/>
      <c r="I294" s="139"/>
      <c r="J294" s="196"/>
      <c r="K294" s="196"/>
      <c r="L294" s="139"/>
      <c r="M294" s="196"/>
      <c r="N294" s="196"/>
      <c r="O294" s="196"/>
      <c r="P294" s="196"/>
      <c r="Q294" s="196"/>
      <c r="R294" s="196"/>
      <c r="S294" s="196"/>
      <c r="T294" s="196"/>
      <c r="U294" s="196"/>
      <c r="V294" s="196"/>
      <c r="W294" s="196"/>
      <c r="X294" s="196"/>
      <c r="Y294" s="196"/>
      <c r="Z294" s="196"/>
      <c r="AA294" s="196"/>
      <c r="AB294" s="196"/>
      <c r="AC294" s="196"/>
      <c r="AD294" s="196"/>
      <c r="AE294" s="196"/>
      <c r="AF294" s="196"/>
      <c r="AG294" s="196"/>
      <c r="AH294" s="196"/>
    </row>
    <row r="295">
      <c r="A295" s="196"/>
      <c r="B295" s="196"/>
      <c r="C295" s="196"/>
      <c r="D295" s="196"/>
      <c r="E295" s="196"/>
      <c r="F295" s="196"/>
      <c r="G295" s="196"/>
      <c r="H295" s="196"/>
      <c r="I295" s="139"/>
      <c r="J295" s="196"/>
      <c r="K295" s="196"/>
      <c r="L295" s="139"/>
      <c r="M295" s="196"/>
      <c r="N295" s="196"/>
      <c r="O295" s="196"/>
      <c r="P295" s="196"/>
      <c r="Q295" s="196"/>
      <c r="R295" s="196"/>
      <c r="S295" s="196"/>
      <c r="T295" s="196"/>
      <c r="U295" s="196"/>
      <c r="V295" s="196"/>
      <c r="W295" s="196"/>
      <c r="X295" s="196"/>
      <c r="Y295" s="196"/>
      <c r="Z295" s="196"/>
      <c r="AA295" s="196"/>
      <c r="AB295" s="196"/>
      <c r="AC295" s="196"/>
      <c r="AD295" s="196"/>
      <c r="AE295" s="196"/>
      <c r="AF295" s="196"/>
      <c r="AG295" s="196"/>
      <c r="AH295" s="196"/>
    </row>
    <row r="296">
      <c r="A296" s="196"/>
      <c r="B296" s="196"/>
      <c r="C296" s="196"/>
      <c r="D296" s="196"/>
      <c r="E296" s="196"/>
      <c r="F296" s="196"/>
      <c r="G296" s="196"/>
      <c r="H296" s="196"/>
      <c r="I296" s="139"/>
      <c r="J296" s="196"/>
      <c r="K296" s="196"/>
      <c r="L296" s="139"/>
      <c r="M296" s="196"/>
      <c r="N296" s="196"/>
      <c r="O296" s="196"/>
      <c r="P296" s="196"/>
      <c r="Q296" s="196"/>
      <c r="R296" s="196"/>
      <c r="S296" s="196"/>
      <c r="T296" s="196"/>
      <c r="U296" s="196"/>
      <c r="V296" s="196"/>
      <c r="W296" s="196"/>
      <c r="X296" s="196"/>
      <c r="Y296" s="196"/>
      <c r="Z296" s="196"/>
      <c r="AA296" s="196"/>
      <c r="AB296" s="196"/>
      <c r="AC296" s="196"/>
      <c r="AD296" s="196"/>
      <c r="AE296" s="196"/>
      <c r="AF296" s="196"/>
      <c r="AG296" s="196"/>
      <c r="AH296" s="196"/>
    </row>
    <row r="297">
      <c r="A297" s="196"/>
      <c r="B297" s="196"/>
      <c r="C297" s="196"/>
      <c r="D297" s="196"/>
      <c r="E297" s="196"/>
      <c r="F297" s="196"/>
      <c r="G297" s="196"/>
      <c r="H297" s="196"/>
      <c r="I297" s="139"/>
      <c r="J297" s="196"/>
      <c r="K297" s="196"/>
      <c r="L297" s="139"/>
      <c r="M297" s="196"/>
      <c r="N297" s="196"/>
      <c r="O297" s="196"/>
      <c r="P297" s="196"/>
      <c r="Q297" s="196"/>
      <c r="R297" s="196"/>
      <c r="S297" s="196"/>
      <c r="T297" s="196"/>
      <c r="U297" s="196"/>
      <c r="V297" s="196"/>
      <c r="W297" s="196"/>
      <c r="X297" s="196"/>
      <c r="Y297" s="196"/>
      <c r="Z297" s="196"/>
      <c r="AA297" s="196"/>
      <c r="AB297" s="196"/>
      <c r="AC297" s="196"/>
      <c r="AD297" s="196"/>
      <c r="AE297" s="196"/>
      <c r="AF297" s="196"/>
      <c r="AG297" s="196"/>
      <c r="AH297" s="196"/>
    </row>
    <row r="298">
      <c r="A298" s="196"/>
      <c r="B298" s="196"/>
      <c r="C298" s="196"/>
      <c r="D298" s="196"/>
      <c r="E298" s="196"/>
      <c r="F298" s="196"/>
      <c r="G298" s="196"/>
      <c r="H298" s="196"/>
      <c r="I298" s="139"/>
      <c r="J298" s="196"/>
      <c r="K298" s="196"/>
      <c r="L298" s="139"/>
      <c r="M298" s="196"/>
      <c r="N298" s="196"/>
      <c r="O298" s="196"/>
      <c r="P298" s="196"/>
      <c r="Q298" s="196"/>
      <c r="R298" s="196"/>
      <c r="S298" s="196"/>
      <c r="T298" s="196"/>
      <c r="U298" s="196"/>
      <c r="V298" s="196"/>
      <c r="W298" s="196"/>
      <c r="X298" s="196"/>
      <c r="Y298" s="196"/>
      <c r="Z298" s="196"/>
      <c r="AA298" s="196"/>
      <c r="AB298" s="196"/>
      <c r="AC298" s="196"/>
      <c r="AD298" s="196"/>
      <c r="AE298" s="196"/>
      <c r="AF298" s="196"/>
      <c r="AG298" s="196"/>
      <c r="AH298" s="196"/>
    </row>
    <row r="299">
      <c r="A299" s="196"/>
      <c r="B299" s="196"/>
      <c r="C299" s="196"/>
      <c r="D299" s="196"/>
      <c r="E299" s="196"/>
      <c r="F299" s="196"/>
      <c r="G299" s="196"/>
      <c r="H299" s="196"/>
      <c r="I299" s="139"/>
      <c r="J299" s="196"/>
      <c r="K299" s="196"/>
      <c r="L299" s="139"/>
      <c r="M299" s="196"/>
      <c r="N299" s="196"/>
      <c r="O299" s="196"/>
      <c r="P299" s="196"/>
      <c r="Q299" s="196"/>
      <c r="R299" s="196"/>
      <c r="S299" s="196"/>
      <c r="T299" s="196"/>
      <c r="U299" s="196"/>
      <c r="V299" s="196"/>
      <c r="W299" s="196"/>
      <c r="X299" s="196"/>
      <c r="Y299" s="196"/>
      <c r="Z299" s="196"/>
      <c r="AA299" s="196"/>
      <c r="AB299" s="196"/>
      <c r="AC299" s="196"/>
      <c r="AD299" s="196"/>
      <c r="AE299" s="196"/>
      <c r="AF299" s="196"/>
      <c r="AG299" s="196"/>
      <c r="AH299" s="196"/>
    </row>
    <row r="300">
      <c r="A300" s="196"/>
      <c r="B300" s="196"/>
      <c r="C300" s="196"/>
      <c r="D300" s="196"/>
      <c r="E300" s="196"/>
      <c r="F300" s="196"/>
      <c r="G300" s="196"/>
      <c r="H300" s="196"/>
      <c r="I300" s="139"/>
      <c r="J300" s="196"/>
      <c r="K300" s="196"/>
      <c r="L300" s="139"/>
      <c r="M300" s="196"/>
      <c r="N300" s="196"/>
      <c r="O300" s="196"/>
      <c r="P300" s="196"/>
      <c r="Q300" s="196"/>
      <c r="R300" s="196"/>
      <c r="S300" s="196"/>
      <c r="T300" s="196"/>
      <c r="U300" s="196"/>
      <c r="V300" s="196"/>
      <c r="W300" s="196"/>
      <c r="X300" s="196"/>
      <c r="Y300" s="196"/>
      <c r="Z300" s="196"/>
      <c r="AA300" s="196"/>
      <c r="AB300" s="196"/>
      <c r="AC300" s="196"/>
      <c r="AD300" s="196"/>
      <c r="AE300" s="196"/>
      <c r="AF300" s="196"/>
      <c r="AG300" s="196"/>
      <c r="AH300" s="196"/>
    </row>
    <row r="301">
      <c r="A301" s="196"/>
      <c r="B301" s="196"/>
      <c r="C301" s="196"/>
      <c r="D301" s="196"/>
      <c r="E301" s="196"/>
      <c r="F301" s="196"/>
      <c r="G301" s="196"/>
      <c r="H301" s="196"/>
      <c r="I301" s="139"/>
      <c r="J301" s="196"/>
      <c r="K301" s="196"/>
      <c r="L301" s="139"/>
      <c r="M301" s="196"/>
      <c r="N301" s="196"/>
      <c r="O301" s="196"/>
      <c r="P301" s="196"/>
      <c r="Q301" s="196"/>
      <c r="R301" s="196"/>
      <c r="S301" s="196"/>
      <c r="T301" s="196"/>
      <c r="U301" s="196"/>
      <c r="V301" s="196"/>
      <c r="W301" s="196"/>
      <c r="X301" s="196"/>
      <c r="Y301" s="196"/>
      <c r="Z301" s="196"/>
      <c r="AA301" s="196"/>
      <c r="AB301" s="196"/>
      <c r="AC301" s="196"/>
      <c r="AD301" s="196"/>
      <c r="AE301" s="196"/>
      <c r="AF301" s="196"/>
      <c r="AG301" s="196"/>
      <c r="AH301" s="196"/>
    </row>
    <row r="302">
      <c r="A302" s="196"/>
      <c r="B302" s="196"/>
      <c r="C302" s="196"/>
      <c r="D302" s="196"/>
      <c r="E302" s="196"/>
      <c r="F302" s="196"/>
      <c r="G302" s="196"/>
      <c r="H302" s="196"/>
      <c r="I302" s="139"/>
      <c r="J302" s="196"/>
      <c r="K302" s="196"/>
      <c r="L302" s="139"/>
      <c r="M302" s="196"/>
      <c r="N302" s="196"/>
      <c r="O302" s="196"/>
      <c r="P302" s="196"/>
      <c r="Q302" s="196"/>
      <c r="R302" s="196"/>
      <c r="S302" s="196"/>
      <c r="T302" s="196"/>
      <c r="U302" s="196"/>
      <c r="V302" s="196"/>
      <c r="W302" s="196"/>
      <c r="X302" s="196"/>
      <c r="Y302" s="196"/>
      <c r="Z302" s="196"/>
      <c r="AA302" s="196"/>
      <c r="AB302" s="196"/>
      <c r="AC302" s="196"/>
      <c r="AD302" s="196"/>
      <c r="AE302" s="196"/>
      <c r="AF302" s="196"/>
      <c r="AG302" s="196"/>
      <c r="AH302" s="196"/>
    </row>
    <row r="303">
      <c r="A303" s="196"/>
      <c r="B303" s="196"/>
      <c r="C303" s="196"/>
      <c r="D303" s="196"/>
      <c r="E303" s="196"/>
      <c r="F303" s="196"/>
      <c r="G303" s="196"/>
      <c r="H303" s="196"/>
      <c r="I303" s="139"/>
      <c r="J303" s="196"/>
      <c r="K303" s="196"/>
      <c r="L303" s="139"/>
      <c r="M303" s="196"/>
      <c r="N303" s="196"/>
      <c r="O303" s="196"/>
      <c r="P303" s="196"/>
      <c r="Q303" s="196"/>
      <c r="R303" s="196"/>
      <c r="S303" s="196"/>
      <c r="T303" s="196"/>
      <c r="U303" s="196"/>
      <c r="V303" s="196"/>
      <c r="W303" s="196"/>
      <c r="X303" s="196"/>
      <c r="Y303" s="196"/>
      <c r="Z303" s="196"/>
      <c r="AA303" s="196"/>
      <c r="AB303" s="196"/>
      <c r="AC303" s="196"/>
      <c r="AD303" s="196"/>
      <c r="AE303" s="196"/>
      <c r="AF303" s="196"/>
      <c r="AG303" s="196"/>
      <c r="AH303" s="196"/>
    </row>
    <row r="304">
      <c r="A304" s="196"/>
      <c r="B304" s="196"/>
      <c r="C304" s="196"/>
      <c r="D304" s="196"/>
      <c r="E304" s="196"/>
      <c r="F304" s="196"/>
      <c r="G304" s="196"/>
      <c r="H304" s="196"/>
      <c r="I304" s="139"/>
      <c r="J304" s="196"/>
      <c r="K304" s="196"/>
      <c r="L304" s="139"/>
      <c r="M304" s="196"/>
      <c r="N304" s="196"/>
      <c r="O304" s="196"/>
      <c r="P304" s="196"/>
      <c r="Q304" s="196"/>
      <c r="R304" s="196"/>
      <c r="S304" s="196"/>
      <c r="T304" s="196"/>
      <c r="U304" s="196"/>
      <c r="V304" s="196"/>
      <c r="W304" s="196"/>
      <c r="X304" s="196"/>
      <c r="Y304" s="196"/>
      <c r="Z304" s="196"/>
      <c r="AA304" s="196"/>
      <c r="AB304" s="196"/>
      <c r="AC304" s="196"/>
      <c r="AD304" s="196"/>
      <c r="AE304" s="196"/>
      <c r="AF304" s="196"/>
      <c r="AG304" s="196"/>
      <c r="AH304" s="196"/>
    </row>
    <row r="305">
      <c r="A305" s="196"/>
      <c r="B305" s="196"/>
      <c r="C305" s="196"/>
      <c r="D305" s="196"/>
      <c r="E305" s="196"/>
      <c r="F305" s="196"/>
      <c r="G305" s="196"/>
      <c r="H305" s="196"/>
      <c r="I305" s="139"/>
      <c r="J305" s="196"/>
      <c r="K305" s="196"/>
      <c r="L305" s="139"/>
      <c r="M305" s="196"/>
      <c r="N305" s="196"/>
      <c r="O305" s="196"/>
      <c r="P305" s="196"/>
      <c r="Q305" s="196"/>
      <c r="R305" s="196"/>
      <c r="S305" s="196"/>
      <c r="T305" s="196"/>
      <c r="U305" s="196"/>
      <c r="V305" s="196"/>
      <c r="W305" s="196"/>
      <c r="X305" s="196"/>
      <c r="Y305" s="196"/>
      <c r="Z305" s="196"/>
      <c r="AA305" s="196"/>
      <c r="AB305" s="196"/>
      <c r="AC305" s="196"/>
      <c r="AD305" s="196"/>
      <c r="AE305" s="196"/>
      <c r="AF305" s="196"/>
      <c r="AG305" s="196"/>
      <c r="AH305" s="196"/>
    </row>
    <row r="306">
      <c r="A306" s="196"/>
      <c r="B306" s="196"/>
      <c r="C306" s="196"/>
      <c r="D306" s="196"/>
      <c r="E306" s="196"/>
      <c r="F306" s="196"/>
      <c r="G306" s="196"/>
      <c r="H306" s="196"/>
      <c r="I306" s="139"/>
      <c r="J306" s="196"/>
      <c r="K306" s="196"/>
      <c r="L306" s="139"/>
      <c r="M306" s="196"/>
      <c r="N306" s="196"/>
      <c r="O306" s="196"/>
      <c r="P306" s="196"/>
      <c r="Q306" s="196"/>
      <c r="R306" s="196"/>
      <c r="S306" s="196"/>
      <c r="T306" s="196"/>
      <c r="U306" s="196"/>
      <c r="V306" s="196"/>
      <c r="W306" s="196"/>
      <c r="X306" s="196"/>
      <c r="Y306" s="196"/>
      <c r="Z306" s="196"/>
      <c r="AA306" s="196"/>
      <c r="AB306" s="196"/>
      <c r="AC306" s="196"/>
      <c r="AD306" s="196"/>
      <c r="AE306" s="196"/>
      <c r="AF306" s="196"/>
      <c r="AG306" s="196"/>
      <c r="AH306" s="196"/>
    </row>
    <row r="307">
      <c r="A307" s="196"/>
      <c r="B307" s="196"/>
      <c r="C307" s="196"/>
      <c r="D307" s="196"/>
      <c r="E307" s="196"/>
      <c r="F307" s="196"/>
      <c r="G307" s="196"/>
      <c r="H307" s="196"/>
      <c r="I307" s="139"/>
      <c r="J307" s="196"/>
      <c r="K307" s="196"/>
      <c r="L307" s="139"/>
      <c r="M307" s="196"/>
      <c r="N307" s="196"/>
      <c r="O307" s="196"/>
      <c r="P307" s="196"/>
      <c r="Q307" s="196"/>
      <c r="R307" s="196"/>
      <c r="S307" s="196"/>
      <c r="T307" s="196"/>
      <c r="U307" s="196"/>
      <c r="V307" s="196"/>
      <c r="W307" s="196"/>
      <c r="X307" s="196"/>
      <c r="Y307" s="196"/>
      <c r="Z307" s="196"/>
      <c r="AA307" s="196"/>
      <c r="AB307" s="196"/>
      <c r="AC307" s="196"/>
      <c r="AD307" s="196"/>
      <c r="AE307" s="196"/>
      <c r="AF307" s="196"/>
      <c r="AG307" s="196"/>
      <c r="AH307" s="196"/>
    </row>
    <row r="308">
      <c r="A308" s="196"/>
      <c r="B308" s="196"/>
      <c r="C308" s="196"/>
      <c r="D308" s="196"/>
      <c r="E308" s="196"/>
      <c r="F308" s="196"/>
      <c r="G308" s="196"/>
      <c r="H308" s="196"/>
      <c r="I308" s="139"/>
      <c r="J308" s="196"/>
      <c r="K308" s="196"/>
      <c r="L308" s="139"/>
      <c r="M308" s="196"/>
      <c r="N308" s="196"/>
      <c r="O308" s="196"/>
      <c r="P308" s="196"/>
      <c r="Q308" s="196"/>
      <c r="R308" s="196"/>
      <c r="S308" s="196"/>
      <c r="T308" s="196"/>
      <c r="U308" s="196"/>
      <c r="V308" s="196"/>
      <c r="W308" s="196"/>
      <c r="X308" s="196"/>
      <c r="Y308" s="196"/>
      <c r="Z308" s="196"/>
      <c r="AA308" s="196"/>
      <c r="AB308" s="196"/>
      <c r="AC308" s="196"/>
      <c r="AD308" s="196"/>
      <c r="AE308" s="196"/>
      <c r="AF308" s="196"/>
      <c r="AG308" s="196"/>
      <c r="AH308" s="196"/>
    </row>
    <row r="309">
      <c r="A309" s="196"/>
      <c r="B309" s="196"/>
      <c r="C309" s="196"/>
      <c r="D309" s="196"/>
      <c r="E309" s="196"/>
      <c r="F309" s="196"/>
      <c r="G309" s="196"/>
      <c r="H309" s="196"/>
      <c r="I309" s="139"/>
      <c r="J309" s="196"/>
      <c r="K309" s="196"/>
      <c r="L309" s="139"/>
      <c r="M309" s="196"/>
      <c r="N309" s="196"/>
      <c r="O309" s="196"/>
      <c r="P309" s="196"/>
      <c r="Q309" s="196"/>
      <c r="R309" s="196"/>
      <c r="S309" s="196"/>
      <c r="T309" s="196"/>
      <c r="U309" s="196"/>
      <c r="V309" s="196"/>
      <c r="W309" s="196"/>
      <c r="X309" s="196"/>
      <c r="Y309" s="196"/>
      <c r="Z309" s="196"/>
      <c r="AA309" s="196"/>
      <c r="AB309" s="196"/>
      <c r="AC309" s="196"/>
      <c r="AD309" s="196"/>
      <c r="AE309" s="196"/>
      <c r="AF309" s="196"/>
      <c r="AG309" s="196"/>
      <c r="AH309" s="196"/>
    </row>
    <row r="310">
      <c r="A310" s="196"/>
      <c r="B310" s="196"/>
      <c r="C310" s="196"/>
      <c r="D310" s="196"/>
      <c r="E310" s="196"/>
      <c r="F310" s="196"/>
      <c r="G310" s="196"/>
      <c r="H310" s="196"/>
      <c r="I310" s="139"/>
      <c r="J310" s="196"/>
      <c r="K310" s="196"/>
      <c r="L310" s="139"/>
      <c r="M310" s="196"/>
      <c r="N310" s="196"/>
      <c r="O310" s="196"/>
      <c r="P310" s="196"/>
      <c r="Q310" s="196"/>
      <c r="R310" s="196"/>
      <c r="S310" s="196"/>
      <c r="T310" s="196"/>
      <c r="U310" s="196"/>
      <c r="V310" s="196"/>
      <c r="W310" s="196"/>
      <c r="X310" s="196"/>
      <c r="Y310" s="196"/>
      <c r="Z310" s="196"/>
      <c r="AA310" s="196"/>
      <c r="AB310" s="196"/>
      <c r="AC310" s="196"/>
      <c r="AD310" s="196"/>
      <c r="AE310" s="196"/>
      <c r="AF310" s="196"/>
      <c r="AG310" s="196"/>
      <c r="AH310" s="196"/>
    </row>
    <row r="311">
      <c r="A311" s="196"/>
      <c r="B311" s="196"/>
      <c r="C311" s="196"/>
      <c r="D311" s="196"/>
      <c r="E311" s="196"/>
      <c r="F311" s="196"/>
      <c r="G311" s="196"/>
      <c r="H311" s="196"/>
      <c r="I311" s="139"/>
      <c r="J311" s="196"/>
      <c r="K311" s="196"/>
      <c r="L311" s="139"/>
      <c r="M311" s="196"/>
      <c r="N311" s="196"/>
      <c r="O311" s="196"/>
      <c r="P311" s="196"/>
      <c r="Q311" s="196"/>
      <c r="R311" s="196"/>
      <c r="S311" s="196"/>
      <c r="T311" s="196"/>
      <c r="U311" s="196"/>
      <c r="V311" s="196"/>
      <c r="W311" s="196"/>
      <c r="X311" s="196"/>
      <c r="Y311" s="196"/>
      <c r="Z311" s="196"/>
      <c r="AA311" s="196"/>
      <c r="AB311" s="196"/>
      <c r="AC311" s="196"/>
      <c r="AD311" s="196"/>
      <c r="AE311" s="196"/>
      <c r="AF311" s="196"/>
      <c r="AG311" s="196"/>
      <c r="AH311" s="196"/>
    </row>
    <row r="312">
      <c r="A312" s="196"/>
      <c r="B312" s="196"/>
      <c r="C312" s="196"/>
      <c r="D312" s="196"/>
      <c r="E312" s="196"/>
      <c r="F312" s="196"/>
      <c r="G312" s="196"/>
      <c r="H312" s="196"/>
      <c r="I312" s="139"/>
      <c r="J312" s="196"/>
      <c r="K312" s="196"/>
      <c r="L312" s="139"/>
      <c r="M312" s="196"/>
      <c r="N312" s="196"/>
      <c r="O312" s="196"/>
      <c r="P312" s="196"/>
      <c r="Q312" s="196"/>
      <c r="R312" s="196"/>
      <c r="S312" s="196"/>
      <c r="T312" s="196"/>
      <c r="U312" s="196"/>
      <c r="V312" s="196"/>
      <c r="W312" s="196"/>
      <c r="X312" s="196"/>
      <c r="Y312" s="196"/>
      <c r="Z312" s="196"/>
      <c r="AA312" s="196"/>
      <c r="AB312" s="196"/>
      <c r="AC312" s="196"/>
      <c r="AD312" s="196"/>
      <c r="AE312" s="196"/>
      <c r="AF312" s="196"/>
      <c r="AG312" s="196"/>
      <c r="AH312" s="196"/>
    </row>
    <row r="313">
      <c r="A313" s="196"/>
      <c r="B313" s="196"/>
      <c r="C313" s="196"/>
      <c r="D313" s="196"/>
      <c r="E313" s="196"/>
      <c r="F313" s="196"/>
      <c r="G313" s="196"/>
      <c r="H313" s="196"/>
      <c r="I313" s="139"/>
      <c r="J313" s="196"/>
      <c r="K313" s="196"/>
      <c r="L313" s="139"/>
      <c r="M313" s="196"/>
      <c r="N313" s="196"/>
      <c r="O313" s="196"/>
      <c r="P313" s="196"/>
      <c r="Q313" s="196"/>
      <c r="R313" s="196"/>
      <c r="S313" s="196"/>
      <c r="T313" s="196"/>
      <c r="U313" s="196"/>
      <c r="V313" s="196"/>
      <c r="W313" s="196"/>
      <c r="X313" s="196"/>
      <c r="Y313" s="196"/>
      <c r="Z313" s="196"/>
      <c r="AA313" s="196"/>
      <c r="AB313" s="196"/>
      <c r="AC313" s="196"/>
      <c r="AD313" s="196"/>
      <c r="AE313" s="196"/>
      <c r="AF313" s="196"/>
      <c r="AG313" s="196"/>
      <c r="AH313" s="196"/>
    </row>
    <row r="314">
      <c r="A314" s="196"/>
      <c r="B314" s="196"/>
      <c r="C314" s="196"/>
      <c r="D314" s="196"/>
      <c r="E314" s="196"/>
      <c r="F314" s="196"/>
      <c r="G314" s="196"/>
      <c r="H314" s="196"/>
      <c r="I314" s="139"/>
      <c r="J314" s="196"/>
      <c r="K314" s="196"/>
      <c r="L314" s="139"/>
      <c r="M314" s="196"/>
      <c r="N314" s="196"/>
      <c r="O314" s="196"/>
      <c r="P314" s="196"/>
      <c r="Q314" s="196"/>
      <c r="R314" s="196"/>
      <c r="S314" s="196"/>
      <c r="T314" s="196"/>
      <c r="U314" s="196"/>
      <c r="V314" s="196"/>
      <c r="W314" s="196"/>
      <c r="X314" s="196"/>
      <c r="Y314" s="196"/>
      <c r="Z314" s="196"/>
      <c r="AA314" s="196"/>
      <c r="AB314" s="196"/>
      <c r="AC314" s="196"/>
      <c r="AD314" s="196"/>
      <c r="AE314" s="196"/>
      <c r="AF314" s="196"/>
      <c r="AG314" s="196"/>
      <c r="AH314" s="196"/>
    </row>
    <row r="315">
      <c r="A315" s="196"/>
      <c r="B315" s="196"/>
      <c r="C315" s="196"/>
      <c r="D315" s="196"/>
      <c r="E315" s="196"/>
      <c r="F315" s="196"/>
      <c r="G315" s="196"/>
      <c r="H315" s="196"/>
      <c r="I315" s="139"/>
      <c r="J315" s="196"/>
      <c r="K315" s="196"/>
      <c r="L315" s="139"/>
      <c r="M315" s="196"/>
      <c r="N315" s="196"/>
      <c r="O315" s="196"/>
      <c r="P315" s="196"/>
      <c r="Q315" s="196"/>
      <c r="R315" s="196"/>
      <c r="S315" s="196"/>
      <c r="T315" s="196"/>
      <c r="U315" s="196"/>
      <c r="V315" s="196"/>
      <c r="W315" s="196"/>
      <c r="X315" s="196"/>
      <c r="Y315" s="196"/>
      <c r="Z315" s="196"/>
      <c r="AA315" s="196"/>
      <c r="AB315" s="196"/>
      <c r="AC315" s="196"/>
      <c r="AD315" s="196"/>
      <c r="AE315" s="196"/>
      <c r="AF315" s="196"/>
      <c r="AG315" s="196"/>
      <c r="AH315" s="196"/>
    </row>
    <row r="316">
      <c r="A316" s="196"/>
      <c r="B316" s="196"/>
      <c r="C316" s="196"/>
      <c r="D316" s="196"/>
      <c r="E316" s="196"/>
      <c r="F316" s="196"/>
      <c r="G316" s="196"/>
      <c r="H316" s="196"/>
      <c r="I316" s="139"/>
      <c r="J316" s="196"/>
      <c r="K316" s="196"/>
      <c r="L316" s="139"/>
      <c r="M316" s="196"/>
      <c r="N316" s="196"/>
      <c r="O316" s="196"/>
      <c r="P316" s="196"/>
      <c r="Q316" s="196"/>
      <c r="R316" s="196"/>
      <c r="S316" s="196"/>
      <c r="T316" s="196"/>
      <c r="U316" s="196"/>
      <c r="V316" s="196"/>
      <c r="W316" s="196"/>
      <c r="X316" s="196"/>
      <c r="Y316" s="196"/>
      <c r="Z316" s="196"/>
      <c r="AA316" s="196"/>
      <c r="AB316" s="196"/>
      <c r="AC316" s="196"/>
      <c r="AD316" s="196"/>
      <c r="AE316" s="196"/>
      <c r="AF316" s="196"/>
      <c r="AG316" s="196"/>
      <c r="AH316" s="196"/>
    </row>
    <row r="317">
      <c r="A317" s="196"/>
      <c r="B317" s="196"/>
      <c r="C317" s="196"/>
      <c r="D317" s="196"/>
      <c r="E317" s="196"/>
      <c r="F317" s="196"/>
      <c r="G317" s="196"/>
      <c r="H317" s="196"/>
      <c r="I317" s="139"/>
      <c r="J317" s="196"/>
      <c r="K317" s="196"/>
      <c r="L317" s="139"/>
      <c r="M317" s="196"/>
      <c r="N317" s="196"/>
      <c r="O317" s="196"/>
      <c r="P317" s="196"/>
      <c r="Q317" s="196"/>
      <c r="R317" s="196"/>
      <c r="S317" s="196"/>
      <c r="T317" s="196"/>
      <c r="U317" s="196"/>
      <c r="V317" s="196"/>
      <c r="W317" s="196"/>
      <c r="X317" s="196"/>
      <c r="Y317" s="196"/>
      <c r="Z317" s="196"/>
      <c r="AA317" s="196"/>
      <c r="AB317" s="196"/>
      <c r="AC317" s="196"/>
      <c r="AD317" s="196"/>
      <c r="AE317" s="196"/>
      <c r="AF317" s="196"/>
      <c r="AG317" s="196"/>
      <c r="AH317" s="196"/>
    </row>
    <row r="318">
      <c r="A318" s="196"/>
      <c r="B318" s="196"/>
      <c r="C318" s="196"/>
      <c r="D318" s="196"/>
      <c r="E318" s="196"/>
      <c r="F318" s="196"/>
      <c r="G318" s="196"/>
      <c r="H318" s="196"/>
      <c r="I318" s="139"/>
      <c r="J318" s="196"/>
      <c r="K318" s="196"/>
      <c r="L318" s="139"/>
      <c r="M318" s="196"/>
      <c r="N318" s="196"/>
      <c r="O318" s="196"/>
      <c r="P318" s="196"/>
      <c r="Q318" s="196"/>
      <c r="R318" s="196"/>
      <c r="S318" s="196"/>
      <c r="T318" s="196"/>
      <c r="U318" s="196"/>
      <c r="V318" s="196"/>
      <c r="W318" s="196"/>
      <c r="X318" s="196"/>
      <c r="Y318" s="196"/>
      <c r="Z318" s="196"/>
      <c r="AA318" s="196"/>
      <c r="AB318" s="196"/>
      <c r="AC318" s="196"/>
      <c r="AD318" s="196"/>
      <c r="AE318" s="196"/>
      <c r="AF318" s="196"/>
      <c r="AG318" s="196"/>
      <c r="AH318" s="196"/>
    </row>
    <row r="319">
      <c r="A319" s="196"/>
      <c r="B319" s="196"/>
      <c r="C319" s="196"/>
      <c r="D319" s="196"/>
      <c r="E319" s="196"/>
      <c r="F319" s="196"/>
      <c r="G319" s="196"/>
      <c r="H319" s="196"/>
      <c r="I319" s="139"/>
      <c r="J319" s="196"/>
      <c r="K319" s="196"/>
      <c r="L319" s="139"/>
      <c r="M319" s="196"/>
      <c r="N319" s="196"/>
      <c r="O319" s="196"/>
      <c r="P319" s="196"/>
      <c r="Q319" s="196"/>
      <c r="R319" s="196"/>
      <c r="S319" s="196"/>
      <c r="T319" s="196"/>
      <c r="U319" s="196"/>
      <c r="V319" s="196"/>
      <c r="W319" s="196"/>
      <c r="X319" s="196"/>
      <c r="Y319" s="196"/>
      <c r="Z319" s="196"/>
      <c r="AA319" s="196"/>
      <c r="AB319" s="196"/>
      <c r="AC319" s="196"/>
      <c r="AD319" s="196"/>
      <c r="AE319" s="196"/>
      <c r="AF319" s="196"/>
      <c r="AG319" s="196"/>
      <c r="AH319" s="196"/>
    </row>
    <row r="320">
      <c r="A320" s="196"/>
      <c r="B320" s="196"/>
      <c r="C320" s="196"/>
      <c r="D320" s="196"/>
      <c r="E320" s="196"/>
      <c r="F320" s="196"/>
      <c r="G320" s="196"/>
      <c r="H320" s="196"/>
      <c r="I320" s="139"/>
      <c r="J320" s="196"/>
      <c r="K320" s="196"/>
      <c r="L320" s="139"/>
      <c r="M320" s="196"/>
      <c r="N320" s="196"/>
      <c r="O320" s="196"/>
      <c r="P320" s="196"/>
      <c r="Q320" s="196"/>
      <c r="R320" s="196"/>
      <c r="S320" s="196"/>
      <c r="T320" s="196"/>
      <c r="U320" s="196"/>
      <c r="V320" s="196"/>
      <c r="W320" s="196"/>
      <c r="X320" s="196"/>
      <c r="Y320" s="196"/>
      <c r="Z320" s="196"/>
      <c r="AA320" s="196"/>
      <c r="AB320" s="196"/>
      <c r="AC320" s="196"/>
      <c r="AD320" s="196"/>
      <c r="AE320" s="196"/>
      <c r="AF320" s="196"/>
      <c r="AG320" s="196"/>
      <c r="AH320" s="196"/>
    </row>
    <row r="321">
      <c r="A321" s="196"/>
      <c r="B321" s="196"/>
      <c r="C321" s="196"/>
      <c r="D321" s="196"/>
      <c r="E321" s="196"/>
      <c r="F321" s="196"/>
      <c r="G321" s="196"/>
      <c r="H321" s="196"/>
      <c r="I321" s="139"/>
      <c r="J321" s="196"/>
      <c r="K321" s="196"/>
      <c r="L321" s="139"/>
      <c r="M321" s="196"/>
      <c r="N321" s="196"/>
      <c r="O321" s="196"/>
      <c r="P321" s="196"/>
      <c r="Q321" s="196"/>
      <c r="R321" s="196"/>
      <c r="S321" s="196"/>
      <c r="T321" s="196"/>
      <c r="U321" s="196"/>
      <c r="V321" s="196"/>
      <c r="W321" s="196"/>
      <c r="X321" s="196"/>
      <c r="Y321" s="196"/>
      <c r="Z321" s="196"/>
      <c r="AA321" s="196"/>
      <c r="AB321" s="196"/>
      <c r="AC321" s="196"/>
      <c r="AD321" s="196"/>
      <c r="AE321" s="196"/>
      <c r="AF321" s="196"/>
      <c r="AG321" s="196"/>
      <c r="AH321" s="196"/>
    </row>
    <row r="322">
      <c r="A322" s="196"/>
      <c r="B322" s="196"/>
      <c r="C322" s="196"/>
      <c r="D322" s="196"/>
      <c r="E322" s="196"/>
      <c r="F322" s="196"/>
      <c r="G322" s="196"/>
      <c r="H322" s="196"/>
      <c r="I322" s="139"/>
      <c r="J322" s="196"/>
      <c r="K322" s="196"/>
      <c r="L322" s="139"/>
      <c r="M322" s="196"/>
      <c r="N322" s="196"/>
      <c r="O322" s="196"/>
      <c r="P322" s="196"/>
      <c r="Q322" s="196"/>
      <c r="R322" s="196"/>
      <c r="S322" s="196"/>
      <c r="T322" s="196"/>
      <c r="U322" s="196"/>
      <c r="V322" s="196"/>
      <c r="W322" s="196"/>
      <c r="X322" s="196"/>
      <c r="Y322" s="196"/>
      <c r="Z322" s="196"/>
      <c r="AA322" s="196"/>
      <c r="AB322" s="196"/>
      <c r="AC322" s="196"/>
      <c r="AD322" s="196"/>
      <c r="AE322" s="196"/>
      <c r="AF322" s="196"/>
      <c r="AG322" s="196"/>
      <c r="AH322" s="196"/>
    </row>
    <row r="323">
      <c r="A323" s="196"/>
      <c r="B323" s="196"/>
      <c r="C323" s="196"/>
      <c r="D323" s="196"/>
      <c r="E323" s="196"/>
      <c r="F323" s="196"/>
      <c r="G323" s="196"/>
      <c r="H323" s="196"/>
      <c r="I323" s="139"/>
      <c r="J323" s="196"/>
      <c r="K323" s="196"/>
      <c r="L323" s="139"/>
      <c r="M323" s="196"/>
      <c r="N323" s="196"/>
      <c r="O323" s="196"/>
      <c r="P323" s="196"/>
      <c r="Q323" s="196"/>
      <c r="R323" s="196"/>
      <c r="S323" s="196"/>
      <c r="T323" s="196"/>
      <c r="U323" s="196"/>
      <c r="V323" s="196"/>
      <c r="W323" s="196"/>
      <c r="X323" s="196"/>
      <c r="Y323" s="196"/>
      <c r="Z323" s="196"/>
      <c r="AA323" s="196"/>
      <c r="AB323" s="196"/>
      <c r="AC323" s="196"/>
      <c r="AD323" s="196"/>
      <c r="AE323" s="196"/>
      <c r="AF323" s="196"/>
      <c r="AG323" s="196"/>
      <c r="AH323" s="196"/>
    </row>
    <row r="324">
      <c r="A324" s="196"/>
      <c r="B324" s="196"/>
      <c r="C324" s="196"/>
      <c r="D324" s="196"/>
      <c r="E324" s="196"/>
      <c r="F324" s="196"/>
      <c r="G324" s="196"/>
      <c r="H324" s="196"/>
      <c r="I324" s="139"/>
      <c r="J324" s="196"/>
      <c r="K324" s="196"/>
      <c r="L324" s="139"/>
      <c r="M324" s="196"/>
      <c r="N324" s="196"/>
      <c r="O324" s="196"/>
      <c r="P324" s="196"/>
      <c r="Q324" s="196"/>
      <c r="R324" s="196"/>
      <c r="S324" s="196"/>
      <c r="T324" s="196"/>
      <c r="U324" s="196"/>
      <c r="V324" s="196"/>
      <c r="W324" s="196"/>
      <c r="X324" s="196"/>
      <c r="Y324" s="196"/>
      <c r="Z324" s="196"/>
      <c r="AA324" s="196"/>
      <c r="AB324" s="196"/>
      <c r="AC324" s="196"/>
      <c r="AD324" s="196"/>
      <c r="AE324" s="196"/>
      <c r="AF324" s="196"/>
      <c r="AG324" s="196"/>
      <c r="AH324" s="196"/>
    </row>
    <row r="325">
      <c r="A325" s="196"/>
      <c r="B325" s="196"/>
      <c r="C325" s="196"/>
      <c r="D325" s="196"/>
      <c r="E325" s="196"/>
      <c r="F325" s="196"/>
      <c r="G325" s="196"/>
      <c r="H325" s="196"/>
      <c r="I325" s="139"/>
      <c r="J325" s="196"/>
      <c r="K325" s="196"/>
      <c r="L325" s="139"/>
      <c r="M325" s="196"/>
      <c r="N325" s="196"/>
      <c r="O325" s="196"/>
      <c r="P325" s="196"/>
      <c r="Q325" s="196"/>
      <c r="R325" s="196"/>
      <c r="S325" s="196"/>
      <c r="T325" s="196"/>
      <c r="U325" s="196"/>
      <c r="V325" s="196"/>
      <c r="W325" s="196"/>
      <c r="X325" s="196"/>
      <c r="Y325" s="196"/>
      <c r="Z325" s="196"/>
      <c r="AA325" s="196"/>
      <c r="AB325" s="196"/>
      <c r="AC325" s="196"/>
      <c r="AD325" s="196"/>
      <c r="AE325" s="196"/>
      <c r="AF325" s="196"/>
      <c r="AG325" s="196"/>
      <c r="AH325" s="196"/>
    </row>
    <row r="326">
      <c r="A326" s="196"/>
      <c r="B326" s="196"/>
      <c r="C326" s="196"/>
      <c r="D326" s="196"/>
      <c r="E326" s="196"/>
      <c r="F326" s="196"/>
      <c r="G326" s="196"/>
      <c r="H326" s="196"/>
      <c r="I326" s="139"/>
      <c r="J326" s="196"/>
      <c r="K326" s="196"/>
      <c r="L326" s="139"/>
      <c r="M326" s="196"/>
      <c r="N326" s="196"/>
      <c r="O326" s="196"/>
      <c r="P326" s="196"/>
      <c r="Q326" s="196"/>
      <c r="R326" s="196"/>
      <c r="S326" s="196"/>
      <c r="T326" s="196"/>
      <c r="U326" s="196"/>
      <c r="V326" s="196"/>
      <c r="W326" s="196"/>
      <c r="X326" s="196"/>
      <c r="Y326" s="196"/>
      <c r="Z326" s="196"/>
      <c r="AA326" s="196"/>
      <c r="AB326" s="196"/>
      <c r="AC326" s="196"/>
      <c r="AD326" s="196"/>
      <c r="AE326" s="196"/>
      <c r="AF326" s="196"/>
      <c r="AG326" s="196"/>
      <c r="AH326" s="196"/>
    </row>
    <row r="327">
      <c r="A327" s="196"/>
      <c r="B327" s="196"/>
      <c r="C327" s="196"/>
      <c r="D327" s="196"/>
      <c r="E327" s="196"/>
      <c r="F327" s="196"/>
      <c r="G327" s="196"/>
      <c r="H327" s="196"/>
      <c r="I327" s="139"/>
      <c r="J327" s="196"/>
      <c r="K327" s="196"/>
      <c r="L327" s="139"/>
      <c r="M327" s="196"/>
      <c r="N327" s="196"/>
      <c r="O327" s="196"/>
      <c r="P327" s="196"/>
      <c r="Q327" s="196"/>
      <c r="R327" s="196"/>
      <c r="S327" s="196"/>
      <c r="T327" s="196"/>
      <c r="U327" s="196"/>
      <c r="V327" s="196"/>
      <c r="W327" s="196"/>
      <c r="X327" s="196"/>
      <c r="Y327" s="196"/>
      <c r="Z327" s="196"/>
      <c r="AA327" s="196"/>
      <c r="AB327" s="196"/>
      <c r="AC327" s="196"/>
      <c r="AD327" s="196"/>
      <c r="AE327" s="196"/>
      <c r="AF327" s="196"/>
      <c r="AG327" s="196"/>
      <c r="AH327" s="196"/>
    </row>
    <row r="328">
      <c r="A328" s="196"/>
      <c r="B328" s="196"/>
      <c r="C328" s="196"/>
      <c r="D328" s="196"/>
      <c r="E328" s="196"/>
      <c r="F328" s="196"/>
      <c r="G328" s="196"/>
      <c r="H328" s="196"/>
      <c r="I328" s="139"/>
      <c r="J328" s="196"/>
      <c r="K328" s="196"/>
      <c r="L328" s="139"/>
      <c r="M328" s="196"/>
      <c r="N328" s="196"/>
      <c r="O328" s="196"/>
      <c r="P328" s="196"/>
      <c r="Q328" s="196"/>
      <c r="R328" s="196"/>
      <c r="S328" s="196"/>
      <c r="T328" s="196"/>
      <c r="U328" s="196"/>
      <c r="V328" s="196"/>
      <c r="W328" s="196"/>
      <c r="X328" s="196"/>
      <c r="Y328" s="196"/>
      <c r="Z328" s="196"/>
      <c r="AA328" s="196"/>
      <c r="AB328" s="196"/>
      <c r="AC328" s="196"/>
      <c r="AD328" s="196"/>
      <c r="AE328" s="196"/>
      <c r="AF328" s="196"/>
      <c r="AG328" s="196"/>
      <c r="AH328" s="196"/>
    </row>
    <row r="329">
      <c r="A329" s="196"/>
      <c r="B329" s="196"/>
      <c r="C329" s="196"/>
      <c r="D329" s="196"/>
      <c r="E329" s="196"/>
      <c r="F329" s="196"/>
      <c r="G329" s="196"/>
      <c r="H329" s="196"/>
      <c r="I329" s="139"/>
      <c r="J329" s="196"/>
      <c r="K329" s="196"/>
      <c r="L329" s="139"/>
      <c r="M329" s="196"/>
      <c r="N329" s="196"/>
      <c r="O329" s="196"/>
      <c r="P329" s="196"/>
      <c r="Q329" s="196"/>
      <c r="R329" s="196"/>
      <c r="S329" s="196"/>
      <c r="T329" s="196"/>
      <c r="U329" s="196"/>
      <c r="V329" s="196"/>
      <c r="W329" s="196"/>
      <c r="X329" s="196"/>
      <c r="Y329" s="196"/>
      <c r="Z329" s="196"/>
      <c r="AA329" s="196"/>
      <c r="AB329" s="196"/>
      <c r="AC329" s="196"/>
      <c r="AD329" s="196"/>
      <c r="AE329" s="196"/>
      <c r="AF329" s="196"/>
      <c r="AG329" s="196"/>
      <c r="AH329" s="196"/>
    </row>
    <row r="330">
      <c r="A330" s="196"/>
      <c r="B330" s="196"/>
      <c r="C330" s="196"/>
      <c r="D330" s="196"/>
      <c r="E330" s="196"/>
      <c r="F330" s="196"/>
      <c r="G330" s="196"/>
      <c r="H330" s="196"/>
      <c r="I330" s="139"/>
      <c r="J330" s="196"/>
      <c r="K330" s="196"/>
      <c r="L330" s="139"/>
      <c r="M330" s="196"/>
      <c r="N330" s="196"/>
      <c r="O330" s="196"/>
      <c r="P330" s="196"/>
      <c r="Q330" s="196"/>
      <c r="R330" s="196"/>
      <c r="S330" s="196"/>
      <c r="T330" s="196"/>
      <c r="U330" s="196"/>
      <c r="V330" s="196"/>
      <c r="W330" s="196"/>
      <c r="X330" s="196"/>
      <c r="Y330" s="196"/>
      <c r="Z330" s="196"/>
      <c r="AA330" s="196"/>
      <c r="AB330" s="196"/>
      <c r="AC330" s="196"/>
      <c r="AD330" s="196"/>
      <c r="AE330" s="196"/>
      <c r="AF330" s="196"/>
      <c r="AG330" s="196"/>
      <c r="AH330" s="196"/>
    </row>
    <row r="331">
      <c r="A331" s="196"/>
      <c r="B331" s="196"/>
      <c r="C331" s="196"/>
      <c r="D331" s="196"/>
      <c r="E331" s="196"/>
      <c r="F331" s="196"/>
      <c r="G331" s="196"/>
      <c r="H331" s="196"/>
      <c r="I331" s="139"/>
      <c r="J331" s="196"/>
      <c r="K331" s="196"/>
      <c r="L331" s="139"/>
      <c r="M331" s="196"/>
      <c r="N331" s="196"/>
      <c r="O331" s="196"/>
      <c r="P331" s="196"/>
      <c r="Q331" s="196"/>
      <c r="R331" s="196"/>
      <c r="S331" s="196"/>
      <c r="T331" s="196"/>
      <c r="U331" s="196"/>
      <c r="V331" s="196"/>
      <c r="W331" s="196"/>
      <c r="X331" s="196"/>
      <c r="Y331" s="196"/>
      <c r="Z331" s="196"/>
      <c r="AA331" s="196"/>
      <c r="AB331" s="196"/>
      <c r="AC331" s="196"/>
      <c r="AD331" s="196"/>
      <c r="AE331" s="196"/>
      <c r="AF331" s="196"/>
      <c r="AG331" s="196"/>
      <c r="AH331" s="196"/>
    </row>
    <row r="332">
      <c r="A332" s="196"/>
      <c r="B332" s="196"/>
      <c r="C332" s="196"/>
      <c r="D332" s="196"/>
      <c r="E332" s="196"/>
      <c r="F332" s="196"/>
      <c r="G332" s="196"/>
      <c r="H332" s="196"/>
      <c r="I332" s="139"/>
      <c r="J332" s="196"/>
      <c r="K332" s="196"/>
      <c r="L332" s="139"/>
      <c r="M332" s="196"/>
      <c r="N332" s="196"/>
      <c r="O332" s="196"/>
      <c r="P332" s="196"/>
      <c r="Q332" s="196"/>
      <c r="R332" s="196"/>
      <c r="S332" s="196"/>
      <c r="T332" s="196"/>
      <c r="U332" s="196"/>
      <c r="V332" s="196"/>
      <c r="W332" s="196"/>
      <c r="X332" s="196"/>
      <c r="Y332" s="196"/>
      <c r="Z332" s="196"/>
      <c r="AA332" s="196"/>
      <c r="AB332" s="196"/>
      <c r="AC332" s="196"/>
      <c r="AD332" s="196"/>
      <c r="AE332" s="196"/>
      <c r="AF332" s="196"/>
      <c r="AG332" s="196"/>
      <c r="AH332" s="196"/>
    </row>
    <row r="333">
      <c r="A333" s="196"/>
      <c r="B333" s="196"/>
      <c r="C333" s="196"/>
      <c r="D333" s="196"/>
      <c r="E333" s="196"/>
      <c r="F333" s="196"/>
      <c r="G333" s="196"/>
      <c r="H333" s="196"/>
      <c r="I333" s="139"/>
      <c r="J333" s="196"/>
      <c r="K333" s="196"/>
      <c r="L333" s="139"/>
      <c r="M333" s="196"/>
      <c r="N333" s="196"/>
      <c r="O333" s="196"/>
      <c r="P333" s="196"/>
      <c r="Q333" s="196"/>
      <c r="R333" s="196"/>
      <c r="S333" s="196"/>
      <c r="T333" s="196"/>
      <c r="U333" s="196"/>
      <c r="V333" s="196"/>
      <c r="W333" s="196"/>
      <c r="X333" s="196"/>
      <c r="Y333" s="196"/>
      <c r="Z333" s="196"/>
      <c r="AA333" s="196"/>
      <c r="AB333" s="196"/>
      <c r="AC333" s="196"/>
      <c r="AD333" s="196"/>
      <c r="AE333" s="196"/>
      <c r="AF333" s="196"/>
      <c r="AG333" s="196"/>
      <c r="AH333" s="196"/>
    </row>
    <row r="334">
      <c r="A334" s="196"/>
      <c r="B334" s="196"/>
      <c r="C334" s="196"/>
      <c r="D334" s="196"/>
      <c r="E334" s="196"/>
      <c r="F334" s="196"/>
      <c r="G334" s="196"/>
      <c r="H334" s="196"/>
      <c r="I334" s="139"/>
      <c r="J334" s="196"/>
      <c r="K334" s="196"/>
      <c r="L334" s="139"/>
      <c r="M334" s="196"/>
      <c r="N334" s="196"/>
      <c r="O334" s="196"/>
      <c r="P334" s="196"/>
      <c r="Q334" s="196"/>
      <c r="R334" s="196"/>
      <c r="S334" s="196"/>
      <c r="T334" s="196"/>
      <c r="U334" s="196"/>
      <c r="V334" s="196"/>
      <c r="W334" s="196"/>
      <c r="X334" s="196"/>
      <c r="Y334" s="196"/>
      <c r="Z334" s="196"/>
      <c r="AA334" s="196"/>
      <c r="AB334" s="196"/>
      <c r="AC334" s="196"/>
      <c r="AD334" s="196"/>
      <c r="AE334" s="196"/>
      <c r="AF334" s="196"/>
      <c r="AG334" s="196"/>
      <c r="AH334" s="196"/>
    </row>
    <row r="335">
      <c r="A335" s="196"/>
      <c r="B335" s="196"/>
      <c r="C335" s="196"/>
      <c r="D335" s="196"/>
      <c r="E335" s="196"/>
      <c r="F335" s="196"/>
      <c r="G335" s="196"/>
      <c r="H335" s="196"/>
      <c r="I335" s="139"/>
      <c r="J335" s="196"/>
      <c r="K335" s="196"/>
      <c r="L335" s="139"/>
      <c r="M335" s="196"/>
      <c r="N335" s="196"/>
      <c r="O335" s="196"/>
      <c r="P335" s="196"/>
      <c r="Q335" s="196"/>
      <c r="R335" s="196"/>
      <c r="S335" s="196"/>
      <c r="T335" s="196"/>
      <c r="U335" s="196"/>
      <c r="V335" s="196"/>
      <c r="W335" s="196"/>
      <c r="X335" s="196"/>
      <c r="Y335" s="196"/>
      <c r="Z335" s="196"/>
      <c r="AA335" s="196"/>
      <c r="AB335" s="196"/>
      <c r="AC335" s="196"/>
      <c r="AD335" s="196"/>
      <c r="AE335" s="196"/>
      <c r="AF335" s="196"/>
      <c r="AG335" s="196"/>
      <c r="AH335" s="196"/>
    </row>
    <row r="336">
      <c r="A336" s="196"/>
      <c r="B336" s="196"/>
      <c r="C336" s="196"/>
      <c r="D336" s="196"/>
      <c r="E336" s="196"/>
      <c r="F336" s="196"/>
      <c r="G336" s="196"/>
      <c r="H336" s="196"/>
      <c r="I336" s="139"/>
      <c r="J336" s="196"/>
      <c r="K336" s="196"/>
      <c r="L336" s="139"/>
      <c r="M336" s="196"/>
      <c r="N336" s="196"/>
      <c r="O336" s="196"/>
      <c r="P336" s="196"/>
      <c r="Q336" s="196"/>
      <c r="R336" s="196"/>
      <c r="S336" s="196"/>
      <c r="T336" s="196"/>
      <c r="U336" s="196"/>
      <c r="V336" s="196"/>
      <c r="W336" s="196"/>
      <c r="X336" s="196"/>
      <c r="Y336" s="196"/>
      <c r="Z336" s="196"/>
      <c r="AA336" s="196"/>
      <c r="AB336" s="196"/>
      <c r="AC336" s="196"/>
      <c r="AD336" s="196"/>
      <c r="AE336" s="196"/>
      <c r="AF336" s="196"/>
      <c r="AG336" s="196"/>
      <c r="AH336" s="196"/>
    </row>
    <row r="337">
      <c r="A337" s="196"/>
      <c r="B337" s="196"/>
      <c r="C337" s="196"/>
      <c r="D337" s="196"/>
      <c r="E337" s="196"/>
      <c r="F337" s="196"/>
      <c r="G337" s="196"/>
      <c r="H337" s="196"/>
      <c r="I337" s="139"/>
      <c r="J337" s="196"/>
      <c r="K337" s="196"/>
      <c r="L337" s="139"/>
      <c r="M337" s="196"/>
      <c r="N337" s="196"/>
      <c r="O337" s="196"/>
      <c r="P337" s="196"/>
      <c r="Q337" s="196"/>
      <c r="R337" s="196"/>
      <c r="S337" s="196"/>
      <c r="T337" s="196"/>
      <c r="U337" s="196"/>
      <c r="V337" s="196"/>
      <c r="W337" s="196"/>
      <c r="X337" s="196"/>
      <c r="Y337" s="196"/>
      <c r="Z337" s="196"/>
      <c r="AA337" s="196"/>
      <c r="AB337" s="196"/>
      <c r="AC337" s="196"/>
      <c r="AD337" s="196"/>
      <c r="AE337" s="196"/>
      <c r="AF337" s="196"/>
      <c r="AG337" s="196"/>
      <c r="AH337" s="196"/>
    </row>
    <row r="338">
      <c r="A338" s="196"/>
      <c r="B338" s="196"/>
      <c r="C338" s="196"/>
      <c r="D338" s="196"/>
      <c r="E338" s="196"/>
      <c r="F338" s="196"/>
      <c r="G338" s="196"/>
      <c r="H338" s="196"/>
      <c r="I338" s="139"/>
      <c r="J338" s="196"/>
      <c r="K338" s="196"/>
      <c r="L338" s="139"/>
      <c r="M338" s="196"/>
      <c r="N338" s="196"/>
      <c r="O338" s="196"/>
      <c r="P338" s="196"/>
      <c r="Q338" s="196"/>
      <c r="R338" s="196"/>
      <c r="S338" s="196"/>
      <c r="T338" s="196"/>
      <c r="U338" s="196"/>
      <c r="V338" s="196"/>
      <c r="W338" s="196"/>
      <c r="X338" s="196"/>
      <c r="Y338" s="196"/>
      <c r="Z338" s="196"/>
      <c r="AA338" s="196"/>
      <c r="AB338" s="196"/>
      <c r="AC338" s="196"/>
      <c r="AD338" s="196"/>
      <c r="AE338" s="196"/>
      <c r="AF338" s="196"/>
      <c r="AG338" s="196"/>
      <c r="AH338" s="196"/>
    </row>
    <row r="339">
      <c r="A339" s="196"/>
      <c r="B339" s="196"/>
      <c r="C339" s="196"/>
      <c r="D339" s="196"/>
      <c r="E339" s="196"/>
      <c r="F339" s="196"/>
      <c r="G339" s="196"/>
      <c r="H339" s="196"/>
      <c r="I339" s="139"/>
      <c r="J339" s="196"/>
      <c r="K339" s="196"/>
      <c r="L339" s="139"/>
      <c r="M339" s="196"/>
      <c r="N339" s="196"/>
      <c r="O339" s="196"/>
      <c r="P339" s="196"/>
      <c r="Q339" s="196"/>
      <c r="R339" s="196"/>
      <c r="S339" s="196"/>
      <c r="T339" s="196"/>
      <c r="U339" s="196"/>
      <c r="V339" s="196"/>
      <c r="W339" s="196"/>
      <c r="X339" s="196"/>
      <c r="Y339" s="196"/>
      <c r="Z339" s="196"/>
      <c r="AA339" s="196"/>
      <c r="AB339" s="196"/>
      <c r="AC339" s="196"/>
      <c r="AD339" s="196"/>
      <c r="AE339" s="196"/>
      <c r="AF339" s="196"/>
      <c r="AG339" s="196"/>
      <c r="AH339" s="196"/>
    </row>
    <row r="340">
      <c r="A340" s="196"/>
      <c r="B340" s="196"/>
      <c r="C340" s="196"/>
      <c r="D340" s="196"/>
      <c r="E340" s="196"/>
      <c r="F340" s="196"/>
      <c r="G340" s="196"/>
      <c r="H340" s="196"/>
      <c r="I340" s="139"/>
      <c r="J340" s="196"/>
      <c r="K340" s="196"/>
      <c r="L340" s="139"/>
      <c r="M340" s="196"/>
      <c r="N340" s="196"/>
      <c r="O340" s="196"/>
      <c r="P340" s="196"/>
      <c r="Q340" s="196"/>
      <c r="R340" s="196"/>
      <c r="S340" s="196"/>
      <c r="T340" s="196"/>
      <c r="U340" s="196"/>
      <c r="V340" s="196"/>
      <c r="W340" s="196"/>
      <c r="X340" s="196"/>
      <c r="Y340" s="196"/>
      <c r="Z340" s="196"/>
      <c r="AA340" s="196"/>
      <c r="AB340" s="196"/>
      <c r="AC340" s="196"/>
      <c r="AD340" s="196"/>
      <c r="AE340" s="196"/>
      <c r="AF340" s="196"/>
      <c r="AG340" s="196"/>
      <c r="AH340" s="196"/>
    </row>
    <row r="341">
      <c r="A341" s="196"/>
      <c r="B341" s="196"/>
      <c r="C341" s="196"/>
      <c r="D341" s="196"/>
      <c r="E341" s="196"/>
      <c r="F341" s="196"/>
      <c r="G341" s="196"/>
      <c r="H341" s="196"/>
      <c r="I341" s="139"/>
      <c r="J341" s="196"/>
      <c r="K341" s="196"/>
      <c r="L341" s="139"/>
      <c r="M341" s="196"/>
      <c r="N341" s="196"/>
      <c r="O341" s="196"/>
      <c r="P341" s="196"/>
      <c r="Q341" s="196"/>
      <c r="R341" s="196"/>
      <c r="S341" s="196"/>
      <c r="T341" s="196"/>
      <c r="U341" s="196"/>
      <c r="V341" s="196"/>
      <c r="W341" s="196"/>
      <c r="X341" s="196"/>
      <c r="Y341" s="196"/>
      <c r="Z341" s="196"/>
      <c r="AA341" s="196"/>
      <c r="AB341" s="196"/>
      <c r="AC341" s="196"/>
      <c r="AD341" s="196"/>
      <c r="AE341" s="196"/>
      <c r="AF341" s="196"/>
      <c r="AG341" s="196"/>
      <c r="AH341" s="196"/>
    </row>
    <row r="342">
      <c r="A342" s="196"/>
      <c r="B342" s="196"/>
      <c r="C342" s="196"/>
      <c r="D342" s="196"/>
      <c r="E342" s="196"/>
      <c r="F342" s="196"/>
      <c r="G342" s="196"/>
      <c r="H342" s="196"/>
      <c r="I342" s="139"/>
      <c r="J342" s="196"/>
      <c r="K342" s="196"/>
      <c r="L342" s="139"/>
      <c r="M342" s="196"/>
      <c r="N342" s="196"/>
      <c r="O342" s="196"/>
      <c r="P342" s="196"/>
      <c r="Q342" s="196"/>
      <c r="R342" s="196"/>
      <c r="S342" s="196"/>
      <c r="T342" s="196"/>
      <c r="U342" s="196"/>
      <c r="V342" s="196"/>
      <c r="W342" s="196"/>
      <c r="X342" s="196"/>
      <c r="Y342" s="196"/>
      <c r="Z342" s="196"/>
      <c r="AA342" s="196"/>
      <c r="AB342" s="196"/>
      <c r="AC342" s="196"/>
      <c r="AD342" s="196"/>
      <c r="AE342" s="196"/>
      <c r="AF342" s="196"/>
      <c r="AG342" s="196"/>
      <c r="AH342" s="196"/>
    </row>
    <row r="343">
      <c r="A343" s="196"/>
      <c r="B343" s="196"/>
      <c r="C343" s="196"/>
      <c r="D343" s="196"/>
      <c r="E343" s="196"/>
      <c r="F343" s="196"/>
      <c r="G343" s="196"/>
      <c r="H343" s="196"/>
      <c r="I343" s="139"/>
      <c r="J343" s="196"/>
      <c r="K343" s="196"/>
      <c r="L343" s="139"/>
      <c r="M343" s="196"/>
      <c r="N343" s="196"/>
      <c r="O343" s="196"/>
      <c r="P343" s="196"/>
      <c r="Q343" s="196"/>
      <c r="R343" s="196"/>
      <c r="S343" s="196"/>
      <c r="T343" s="196"/>
      <c r="U343" s="196"/>
      <c r="V343" s="196"/>
      <c r="W343" s="196"/>
      <c r="X343" s="196"/>
      <c r="Y343" s="196"/>
      <c r="Z343" s="196"/>
      <c r="AA343" s="196"/>
      <c r="AB343" s="196"/>
      <c r="AC343" s="196"/>
      <c r="AD343" s="196"/>
      <c r="AE343" s="196"/>
      <c r="AF343" s="196"/>
      <c r="AG343" s="196"/>
      <c r="AH343" s="196"/>
    </row>
    <row r="344">
      <c r="A344" s="196"/>
      <c r="B344" s="196"/>
      <c r="C344" s="196"/>
      <c r="D344" s="196"/>
      <c r="E344" s="196"/>
      <c r="F344" s="196"/>
      <c r="G344" s="196"/>
      <c r="H344" s="196"/>
      <c r="I344" s="139"/>
      <c r="J344" s="196"/>
      <c r="K344" s="196"/>
      <c r="L344" s="139"/>
      <c r="M344" s="196"/>
      <c r="N344" s="196"/>
      <c r="O344" s="196"/>
      <c r="P344" s="196"/>
      <c r="Q344" s="196"/>
      <c r="R344" s="196"/>
      <c r="S344" s="196"/>
      <c r="T344" s="196"/>
      <c r="U344" s="196"/>
      <c r="V344" s="196"/>
      <c r="W344" s="196"/>
      <c r="X344" s="196"/>
      <c r="Y344" s="196"/>
      <c r="Z344" s="196"/>
      <c r="AA344" s="196"/>
      <c r="AB344" s="196"/>
      <c r="AC344" s="196"/>
      <c r="AD344" s="196"/>
      <c r="AE344" s="196"/>
      <c r="AF344" s="196"/>
      <c r="AG344" s="196"/>
      <c r="AH344" s="196"/>
    </row>
    <row r="345">
      <c r="A345" s="196"/>
      <c r="B345" s="196"/>
      <c r="C345" s="196"/>
      <c r="D345" s="196"/>
      <c r="E345" s="196"/>
      <c r="F345" s="196"/>
      <c r="G345" s="196"/>
      <c r="H345" s="196"/>
      <c r="I345" s="139"/>
      <c r="J345" s="196"/>
      <c r="K345" s="196"/>
      <c r="L345" s="139"/>
      <c r="M345" s="196"/>
      <c r="N345" s="196"/>
      <c r="O345" s="196"/>
      <c r="P345" s="196"/>
      <c r="Q345" s="196"/>
      <c r="R345" s="196"/>
      <c r="S345" s="196"/>
      <c r="T345" s="196"/>
      <c r="U345" s="196"/>
      <c r="V345" s="196"/>
      <c r="W345" s="196"/>
      <c r="X345" s="196"/>
      <c r="Y345" s="196"/>
      <c r="Z345" s="196"/>
      <c r="AA345" s="196"/>
      <c r="AB345" s="196"/>
      <c r="AC345" s="196"/>
      <c r="AD345" s="196"/>
      <c r="AE345" s="196"/>
      <c r="AF345" s="196"/>
      <c r="AG345" s="196"/>
      <c r="AH345" s="196"/>
    </row>
    <row r="346">
      <c r="A346" s="196"/>
      <c r="B346" s="196"/>
      <c r="C346" s="196"/>
      <c r="D346" s="196"/>
      <c r="E346" s="196"/>
      <c r="F346" s="196"/>
      <c r="G346" s="196"/>
      <c r="H346" s="196"/>
      <c r="I346" s="139"/>
      <c r="J346" s="196"/>
      <c r="K346" s="196"/>
      <c r="L346" s="139"/>
      <c r="M346" s="196"/>
      <c r="N346" s="196"/>
      <c r="O346" s="196"/>
      <c r="P346" s="196"/>
      <c r="Q346" s="196"/>
      <c r="R346" s="196"/>
      <c r="S346" s="196"/>
      <c r="T346" s="196"/>
      <c r="U346" s="196"/>
      <c r="V346" s="196"/>
      <c r="W346" s="196"/>
      <c r="X346" s="196"/>
      <c r="Y346" s="196"/>
      <c r="Z346" s="196"/>
      <c r="AA346" s="196"/>
      <c r="AB346" s="196"/>
      <c r="AC346" s="196"/>
      <c r="AD346" s="196"/>
      <c r="AE346" s="196"/>
      <c r="AF346" s="196"/>
      <c r="AG346" s="196"/>
      <c r="AH346" s="196"/>
    </row>
    <row r="347">
      <c r="A347" s="196"/>
      <c r="B347" s="196"/>
      <c r="C347" s="196"/>
      <c r="D347" s="196"/>
      <c r="E347" s="196"/>
      <c r="F347" s="196"/>
      <c r="G347" s="196"/>
      <c r="H347" s="196"/>
      <c r="I347" s="139"/>
      <c r="J347" s="196"/>
      <c r="K347" s="196"/>
      <c r="L347" s="139"/>
      <c r="M347" s="196"/>
      <c r="N347" s="196"/>
      <c r="O347" s="196"/>
      <c r="P347" s="196"/>
      <c r="Q347" s="196"/>
      <c r="R347" s="196"/>
      <c r="S347" s="196"/>
      <c r="T347" s="196"/>
      <c r="U347" s="196"/>
      <c r="V347" s="196"/>
      <c r="W347" s="196"/>
      <c r="X347" s="196"/>
      <c r="Y347" s="196"/>
      <c r="Z347" s="196"/>
      <c r="AA347" s="196"/>
      <c r="AB347" s="196"/>
      <c r="AC347" s="196"/>
      <c r="AD347" s="196"/>
      <c r="AE347" s="196"/>
      <c r="AF347" s="196"/>
      <c r="AG347" s="196"/>
      <c r="AH347" s="196"/>
    </row>
    <row r="348">
      <c r="A348" s="196"/>
      <c r="B348" s="196"/>
      <c r="C348" s="196"/>
      <c r="D348" s="196"/>
      <c r="E348" s="196"/>
      <c r="F348" s="196"/>
      <c r="G348" s="196"/>
      <c r="H348" s="196"/>
      <c r="I348" s="139"/>
      <c r="J348" s="196"/>
      <c r="K348" s="196"/>
      <c r="L348" s="139"/>
      <c r="M348" s="196"/>
      <c r="N348" s="196"/>
      <c r="O348" s="196"/>
      <c r="P348" s="196"/>
      <c r="Q348" s="196"/>
      <c r="R348" s="196"/>
      <c r="S348" s="196"/>
      <c r="T348" s="196"/>
      <c r="U348" s="196"/>
      <c r="V348" s="196"/>
      <c r="W348" s="196"/>
      <c r="X348" s="196"/>
      <c r="Y348" s="196"/>
      <c r="Z348" s="196"/>
      <c r="AA348" s="196"/>
      <c r="AB348" s="196"/>
      <c r="AC348" s="196"/>
      <c r="AD348" s="196"/>
      <c r="AE348" s="196"/>
      <c r="AF348" s="196"/>
      <c r="AG348" s="196"/>
      <c r="AH348" s="196"/>
    </row>
    <row r="349">
      <c r="A349" s="196"/>
      <c r="B349" s="196"/>
      <c r="C349" s="196"/>
      <c r="D349" s="196"/>
      <c r="E349" s="196"/>
      <c r="F349" s="196"/>
      <c r="G349" s="196"/>
      <c r="H349" s="196"/>
      <c r="I349" s="139"/>
      <c r="J349" s="196"/>
      <c r="K349" s="196"/>
      <c r="L349" s="139"/>
      <c r="M349" s="196"/>
      <c r="N349" s="196"/>
      <c r="O349" s="196"/>
      <c r="P349" s="196"/>
      <c r="Q349" s="196"/>
      <c r="R349" s="196"/>
      <c r="S349" s="196"/>
      <c r="T349" s="196"/>
      <c r="U349" s="196"/>
      <c r="V349" s="196"/>
      <c r="W349" s="196"/>
      <c r="X349" s="196"/>
      <c r="Y349" s="196"/>
      <c r="Z349" s="196"/>
      <c r="AA349" s="196"/>
      <c r="AB349" s="196"/>
      <c r="AC349" s="196"/>
      <c r="AD349" s="196"/>
      <c r="AE349" s="196"/>
      <c r="AF349" s="196"/>
      <c r="AG349" s="196"/>
      <c r="AH349" s="196"/>
    </row>
    <row r="350">
      <c r="A350" s="196"/>
      <c r="B350" s="196"/>
      <c r="C350" s="196"/>
      <c r="D350" s="196"/>
      <c r="E350" s="196"/>
      <c r="F350" s="196"/>
      <c r="G350" s="196"/>
      <c r="H350" s="196"/>
      <c r="I350" s="139"/>
      <c r="J350" s="196"/>
      <c r="K350" s="196"/>
      <c r="L350" s="139"/>
      <c r="M350" s="196"/>
      <c r="N350" s="196"/>
      <c r="O350" s="196"/>
      <c r="P350" s="196"/>
      <c r="Q350" s="196"/>
      <c r="R350" s="196"/>
      <c r="S350" s="196"/>
      <c r="T350" s="196"/>
      <c r="U350" s="196"/>
      <c r="V350" s="196"/>
      <c r="W350" s="196"/>
      <c r="X350" s="196"/>
      <c r="Y350" s="196"/>
      <c r="Z350" s="196"/>
      <c r="AA350" s="196"/>
      <c r="AB350" s="196"/>
      <c r="AC350" s="196"/>
      <c r="AD350" s="196"/>
      <c r="AE350" s="196"/>
      <c r="AF350" s="196"/>
      <c r="AG350" s="196"/>
      <c r="AH350" s="196"/>
    </row>
    <row r="351">
      <c r="A351" s="196"/>
      <c r="B351" s="196"/>
      <c r="C351" s="196"/>
      <c r="D351" s="196"/>
      <c r="E351" s="196"/>
      <c r="F351" s="196"/>
      <c r="G351" s="196"/>
      <c r="H351" s="196"/>
      <c r="I351" s="139"/>
      <c r="J351" s="196"/>
      <c r="K351" s="196"/>
      <c r="L351" s="139"/>
      <c r="M351" s="196"/>
      <c r="N351" s="196"/>
      <c r="O351" s="196"/>
      <c r="P351" s="196"/>
      <c r="Q351" s="196"/>
      <c r="R351" s="196"/>
      <c r="S351" s="196"/>
      <c r="T351" s="196"/>
      <c r="U351" s="196"/>
      <c r="V351" s="196"/>
      <c r="W351" s="196"/>
      <c r="X351" s="196"/>
      <c r="Y351" s="196"/>
      <c r="Z351" s="196"/>
      <c r="AA351" s="196"/>
      <c r="AB351" s="196"/>
      <c r="AC351" s="196"/>
      <c r="AD351" s="196"/>
      <c r="AE351" s="196"/>
      <c r="AF351" s="196"/>
      <c r="AG351" s="196"/>
      <c r="AH351" s="196"/>
    </row>
    <row r="352">
      <c r="A352" s="196"/>
      <c r="B352" s="196"/>
      <c r="C352" s="196"/>
      <c r="D352" s="196"/>
      <c r="E352" s="196"/>
      <c r="F352" s="196"/>
      <c r="G352" s="196"/>
      <c r="H352" s="196"/>
      <c r="I352" s="139"/>
      <c r="J352" s="196"/>
      <c r="K352" s="196"/>
      <c r="L352" s="139"/>
      <c r="M352" s="196"/>
      <c r="N352" s="196"/>
      <c r="O352" s="196"/>
      <c r="P352" s="196"/>
      <c r="Q352" s="196"/>
      <c r="R352" s="196"/>
      <c r="S352" s="196"/>
      <c r="T352" s="196"/>
      <c r="U352" s="196"/>
      <c r="V352" s="196"/>
      <c r="W352" s="196"/>
      <c r="X352" s="196"/>
      <c r="Y352" s="196"/>
      <c r="Z352" s="196"/>
      <c r="AA352" s="196"/>
      <c r="AB352" s="196"/>
      <c r="AC352" s="196"/>
      <c r="AD352" s="196"/>
      <c r="AE352" s="196"/>
      <c r="AF352" s="196"/>
      <c r="AG352" s="196"/>
      <c r="AH352" s="196"/>
    </row>
    <row r="353">
      <c r="A353" s="196"/>
      <c r="B353" s="196"/>
      <c r="C353" s="196"/>
      <c r="D353" s="196"/>
      <c r="E353" s="196"/>
      <c r="F353" s="196"/>
      <c r="G353" s="196"/>
      <c r="H353" s="196"/>
      <c r="I353" s="139"/>
      <c r="J353" s="196"/>
      <c r="K353" s="196"/>
      <c r="L353" s="139"/>
      <c r="M353" s="196"/>
      <c r="N353" s="196"/>
      <c r="O353" s="196"/>
      <c r="P353" s="196"/>
      <c r="Q353" s="196"/>
      <c r="R353" s="196"/>
      <c r="S353" s="196"/>
      <c r="T353" s="196"/>
      <c r="U353" s="196"/>
      <c r="V353" s="196"/>
      <c r="W353" s="196"/>
      <c r="X353" s="196"/>
      <c r="Y353" s="196"/>
      <c r="Z353" s="196"/>
      <c r="AA353" s="196"/>
      <c r="AB353" s="196"/>
      <c r="AC353" s="196"/>
      <c r="AD353" s="196"/>
      <c r="AE353" s="196"/>
      <c r="AF353" s="196"/>
      <c r="AG353" s="196"/>
      <c r="AH353" s="196"/>
    </row>
    <row r="354">
      <c r="A354" s="196"/>
      <c r="B354" s="196"/>
      <c r="C354" s="196"/>
      <c r="D354" s="196"/>
      <c r="E354" s="196"/>
      <c r="F354" s="196"/>
      <c r="G354" s="196"/>
      <c r="H354" s="196"/>
      <c r="I354" s="139"/>
      <c r="J354" s="196"/>
      <c r="K354" s="196"/>
      <c r="L354" s="139"/>
      <c r="M354" s="196"/>
      <c r="N354" s="196"/>
      <c r="O354" s="196"/>
      <c r="P354" s="196"/>
      <c r="Q354" s="196"/>
      <c r="R354" s="196"/>
      <c r="S354" s="196"/>
      <c r="T354" s="196"/>
      <c r="U354" s="196"/>
      <c r="V354" s="196"/>
      <c r="W354" s="196"/>
      <c r="X354" s="196"/>
      <c r="Y354" s="196"/>
      <c r="Z354" s="196"/>
      <c r="AA354" s="196"/>
      <c r="AB354" s="196"/>
      <c r="AC354" s="196"/>
      <c r="AD354" s="196"/>
      <c r="AE354" s="196"/>
      <c r="AF354" s="196"/>
      <c r="AG354" s="196"/>
      <c r="AH354" s="196"/>
    </row>
    <row r="355">
      <c r="A355" s="196"/>
      <c r="B355" s="196"/>
      <c r="C355" s="196"/>
      <c r="D355" s="196"/>
      <c r="E355" s="196"/>
      <c r="F355" s="196"/>
      <c r="G355" s="196"/>
      <c r="H355" s="196"/>
      <c r="I355" s="139"/>
      <c r="J355" s="196"/>
      <c r="K355" s="196"/>
      <c r="L355" s="139"/>
      <c r="M355" s="196"/>
      <c r="N355" s="196"/>
      <c r="O355" s="196"/>
      <c r="P355" s="196"/>
      <c r="Q355" s="196"/>
      <c r="R355" s="196"/>
      <c r="S355" s="196"/>
      <c r="T355" s="196"/>
      <c r="U355" s="196"/>
      <c r="V355" s="196"/>
      <c r="W355" s="196"/>
      <c r="X355" s="196"/>
      <c r="Y355" s="196"/>
      <c r="Z355" s="196"/>
      <c r="AA355" s="196"/>
      <c r="AB355" s="196"/>
      <c r="AC355" s="196"/>
      <c r="AD355" s="196"/>
      <c r="AE355" s="196"/>
      <c r="AF355" s="196"/>
      <c r="AG355" s="196"/>
      <c r="AH355" s="196"/>
    </row>
    <row r="356">
      <c r="A356" s="196"/>
      <c r="B356" s="196"/>
      <c r="C356" s="196"/>
      <c r="D356" s="196"/>
      <c r="E356" s="196"/>
      <c r="F356" s="196"/>
      <c r="G356" s="196"/>
      <c r="H356" s="196"/>
      <c r="I356" s="139"/>
      <c r="J356" s="196"/>
      <c r="K356" s="196"/>
      <c r="L356" s="139"/>
      <c r="M356" s="196"/>
      <c r="N356" s="196"/>
      <c r="O356" s="196"/>
      <c r="P356" s="196"/>
      <c r="Q356" s="196"/>
      <c r="R356" s="196"/>
      <c r="S356" s="196"/>
      <c r="T356" s="196"/>
      <c r="U356" s="196"/>
      <c r="V356" s="196"/>
      <c r="W356" s="196"/>
      <c r="X356" s="196"/>
      <c r="Y356" s="196"/>
      <c r="Z356" s="196"/>
      <c r="AA356" s="196"/>
      <c r="AB356" s="196"/>
      <c r="AC356" s="196"/>
      <c r="AD356" s="196"/>
      <c r="AE356" s="196"/>
      <c r="AF356" s="196"/>
      <c r="AG356" s="196"/>
      <c r="AH356" s="196"/>
    </row>
    <row r="357">
      <c r="A357" s="196"/>
      <c r="B357" s="196"/>
      <c r="C357" s="196"/>
      <c r="D357" s="196"/>
      <c r="E357" s="196"/>
      <c r="F357" s="196"/>
      <c r="G357" s="196"/>
      <c r="H357" s="196"/>
      <c r="I357" s="139"/>
      <c r="J357" s="196"/>
      <c r="K357" s="196"/>
      <c r="L357" s="139"/>
      <c r="M357" s="196"/>
      <c r="N357" s="196"/>
      <c r="O357" s="196"/>
      <c r="P357" s="196"/>
      <c r="Q357" s="196"/>
      <c r="R357" s="196"/>
      <c r="S357" s="196"/>
      <c r="T357" s="196"/>
      <c r="U357" s="196"/>
      <c r="V357" s="196"/>
      <c r="W357" s="196"/>
      <c r="X357" s="196"/>
      <c r="Y357" s="196"/>
      <c r="Z357" s="196"/>
      <c r="AA357" s="196"/>
      <c r="AB357" s="196"/>
      <c r="AC357" s="196"/>
      <c r="AD357" s="196"/>
      <c r="AE357" s="196"/>
      <c r="AF357" s="196"/>
      <c r="AG357" s="196"/>
      <c r="AH357" s="196"/>
    </row>
    <row r="358">
      <c r="A358" s="196"/>
      <c r="B358" s="196"/>
      <c r="C358" s="196"/>
      <c r="D358" s="196"/>
      <c r="E358" s="196"/>
      <c r="F358" s="196"/>
      <c r="G358" s="196"/>
      <c r="H358" s="196"/>
      <c r="I358" s="139"/>
      <c r="J358" s="196"/>
      <c r="K358" s="196"/>
      <c r="L358" s="139"/>
      <c r="M358" s="196"/>
      <c r="N358" s="196"/>
      <c r="O358" s="196"/>
      <c r="P358" s="196"/>
      <c r="Q358" s="196"/>
      <c r="R358" s="196"/>
      <c r="S358" s="196"/>
      <c r="T358" s="196"/>
      <c r="U358" s="196"/>
      <c r="V358" s="196"/>
      <c r="W358" s="196"/>
      <c r="X358" s="196"/>
      <c r="Y358" s="196"/>
      <c r="Z358" s="196"/>
      <c r="AA358" s="196"/>
      <c r="AB358" s="196"/>
      <c r="AC358" s="196"/>
      <c r="AD358" s="196"/>
      <c r="AE358" s="196"/>
      <c r="AF358" s="196"/>
      <c r="AG358" s="196"/>
      <c r="AH358" s="196"/>
    </row>
    <row r="359">
      <c r="A359" s="196"/>
      <c r="B359" s="196"/>
      <c r="C359" s="196"/>
      <c r="D359" s="196"/>
      <c r="E359" s="196"/>
      <c r="F359" s="196"/>
      <c r="G359" s="196"/>
      <c r="H359" s="196"/>
      <c r="I359" s="139"/>
      <c r="J359" s="196"/>
      <c r="K359" s="196"/>
      <c r="L359" s="139"/>
      <c r="M359" s="196"/>
      <c r="N359" s="196"/>
      <c r="O359" s="196"/>
      <c r="P359" s="196"/>
      <c r="Q359" s="196"/>
      <c r="R359" s="196"/>
      <c r="S359" s="196"/>
      <c r="T359" s="196"/>
      <c r="U359" s="196"/>
      <c r="V359" s="196"/>
      <c r="W359" s="196"/>
      <c r="X359" s="196"/>
      <c r="Y359" s="196"/>
      <c r="Z359" s="196"/>
      <c r="AA359" s="196"/>
      <c r="AB359" s="196"/>
      <c r="AC359" s="196"/>
      <c r="AD359" s="196"/>
      <c r="AE359" s="196"/>
      <c r="AF359" s="196"/>
      <c r="AG359" s="196"/>
      <c r="AH359" s="196"/>
    </row>
    <row r="360">
      <c r="A360" s="196"/>
      <c r="B360" s="196"/>
      <c r="C360" s="196"/>
      <c r="D360" s="196"/>
      <c r="E360" s="196"/>
      <c r="F360" s="196"/>
      <c r="G360" s="196"/>
      <c r="H360" s="196"/>
      <c r="I360" s="139"/>
      <c r="J360" s="196"/>
      <c r="K360" s="196"/>
      <c r="L360" s="139"/>
      <c r="M360" s="196"/>
      <c r="N360" s="196"/>
      <c r="O360" s="196"/>
      <c r="P360" s="196"/>
      <c r="Q360" s="196"/>
      <c r="R360" s="196"/>
      <c r="S360" s="196"/>
      <c r="T360" s="196"/>
      <c r="U360" s="196"/>
      <c r="V360" s="196"/>
      <c r="W360" s="196"/>
      <c r="X360" s="196"/>
      <c r="Y360" s="196"/>
      <c r="Z360" s="196"/>
      <c r="AA360" s="196"/>
      <c r="AB360" s="196"/>
      <c r="AC360" s="196"/>
      <c r="AD360" s="196"/>
      <c r="AE360" s="196"/>
      <c r="AF360" s="196"/>
      <c r="AG360" s="196"/>
      <c r="AH360" s="196"/>
    </row>
    <row r="361">
      <c r="A361" s="196"/>
      <c r="B361" s="196"/>
      <c r="C361" s="196"/>
      <c r="D361" s="196"/>
      <c r="E361" s="196"/>
      <c r="F361" s="196"/>
      <c r="G361" s="196"/>
      <c r="H361" s="196"/>
      <c r="I361" s="139"/>
      <c r="J361" s="196"/>
      <c r="K361" s="196"/>
      <c r="L361" s="139"/>
      <c r="M361" s="196"/>
      <c r="N361" s="196"/>
      <c r="O361" s="196"/>
      <c r="P361" s="196"/>
      <c r="Q361" s="196"/>
      <c r="R361" s="196"/>
      <c r="S361" s="196"/>
      <c r="T361" s="196"/>
      <c r="U361" s="196"/>
      <c r="V361" s="196"/>
      <c r="W361" s="196"/>
      <c r="X361" s="196"/>
      <c r="Y361" s="196"/>
      <c r="Z361" s="196"/>
      <c r="AA361" s="196"/>
      <c r="AB361" s="196"/>
      <c r="AC361" s="196"/>
      <c r="AD361" s="196"/>
      <c r="AE361" s="196"/>
      <c r="AF361" s="196"/>
      <c r="AG361" s="196"/>
      <c r="AH361" s="196"/>
    </row>
    <row r="362">
      <c r="A362" s="196"/>
      <c r="B362" s="196"/>
      <c r="C362" s="196"/>
      <c r="D362" s="196"/>
      <c r="E362" s="196"/>
      <c r="F362" s="196"/>
      <c r="G362" s="196"/>
      <c r="H362" s="196"/>
      <c r="I362" s="139"/>
      <c r="J362" s="196"/>
      <c r="K362" s="196"/>
      <c r="L362" s="139"/>
      <c r="M362" s="196"/>
      <c r="N362" s="196"/>
      <c r="O362" s="196"/>
      <c r="P362" s="196"/>
      <c r="Q362" s="196"/>
      <c r="R362" s="196"/>
      <c r="S362" s="196"/>
      <c r="T362" s="196"/>
      <c r="U362" s="196"/>
      <c r="V362" s="196"/>
      <c r="W362" s="196"/>
      <c r="X362" s="196"/>
      <c r="Y362" s="196"/>
      <c r="Z362" s="196"/>
      <c r="AA362" s="196"/>
      <c r="AB362" s="196"/>
      <c r="AC362" s="196"/>
      <c r="AD362" s="196"/>
      <c r="AE362" s="196"/>
      <c r="AF362" s="196"/>
      <c r="AG362" s="196"/>
      <c r="AH362" s="196"/>
    </row>
    <row r="363">
      <c r="A363" s="196"/>
      <c r="B363" s="196"/>
      <c r="C363" s="196"/>
      <c r="D363" s="196"/>
      <c r="E363" s="196"/>
      <c r="F363" s="196"/>
      <c r="G363" s="196"/>
      <c r="H363" s="196"/>
      <c r="I363" s="139"/>
      <c r="J363" s="196"/>
      <c r="K363" s="196"/>
      <c r="L363" s="139"/>
      <c r="M363" s="196"/>
      <c r="N363" s="196"/>
      <c r="O363" s="196"/>
      <c r="P363" s="196"/>
      <c r="Q363" s="196"/>
      <c r="R363" s="196"/>
      <c r="S363" s="196"/>
      <c r="T363" s="196"/>
      <c r="U363" s="196"/>
      <c r="V363" s="196"/>
      <c r="W363" s="196"/>
      <c r="X363" s="196"/>
      <c r="Y363" s="196"/>
      <c r="Z363" s="196"/>
      <c r="AA363" s="196"/>
      <c r="AB363" s="196"/>
      <c r="AC363" s="196"/>
      <c r="AD363" s="196"/>
      <c r="AE363" s="196"/>
      <c r="AF363" s="196"/>
      <c r="AG363" s="196"/>
      <c r="AH363" s="196"/>
    </row>
    <row r="364">
      <c r="A364" s="196"/>
      <c r="B364" s="196"/>
      <c r="C364" s="196"/>
      <c r="D364" s="196"/>
      <c r="E364" s="196"/>
      <c r="F364" s="196"/>
      <c r="G364" s="196"/>
      <c r="H364" s="196"/>
      <c r="I364" s="139"/>
      <c r="J364" s="196"/>
      <c r="K364" s="196"/>
      <c r="L364" s="139"/>
      <c r="M364" s="196"/>
      <c r="N364" s="196"/>
      <c r="O364" s="196"/>
      <c r="P364" s="196"/>
      <c r="Q364" s="196"/>
      <c r="R364" s="196"/>
      <c r="S364" s="196"/>
      <c r="T364" s="196"/>
      <c r="U364" s="196"/>
      <c r="V364" s="196"/>
      <c r="W364" s="196"/>
      <c r="X364" s="196"/>
      <c r="Y364" s="196"/>
      <c r="Z364" s="196"/>
      <c r="AA364" s="196"/>
      <c r="AB364" s="196"/>
      <c r="AC364" s="196"/>
      <c r="AD364" s="196"/>
      <c r="AE364" s="196"/>
      <c r="AF364" s="196"/>
      <c r="AG364" s="196"/>
      <c r="AH364" s="196"/>
    </row>
    <row r="365">
      <c r="A365" s="196"/>
      <c r="B365" s="196"/>
      <c r="C365" s="196"/>
      <c r="D365" s="196"/>
      <c r="E365" s="196"/>
      <c r="F365" s="196"/>
      <c r="G365" s="196"/>
      <c r="H365" s="196"/>
      <c r="I365" s="139"/>
      <c r="J365" s="196"/>
      <c r="K365" s="196"/>
      <c r="L365" s="139"/>
      <c r="M365" s="196"/>
      <c r="N365" s="196"/>
      <c r="O365" s="196"/>
      <c r="P365" s="196"/>
      <c r="Q365" s="196"/>
      <c r="R365" s="196"/>
      <c r="S365" s="196"/>
      <c r="T365" s="196"/>
      <c r="U365" s="196"/>
      <c r="V365" s="196"/>
      <c r="W365" s="196"/>
      <c r="X365" s="196"/>
      <c r="Y365" s="196"/>
      <c r="Z365" s="196"/>
      <c r="AA365" s="196"/>
      <c r="AB365" s="196"/>
      <c r="AC365" s="196"/>
      <c r="AD365" s="196"/>
      <c r="AE365" s="196"/>
      <c r="AF365" s="196"/>
      <c r="AG365" s="196"/>
      <c r="AH365" s="196"/>
    </row>
    <row r="366">
      <c r="A366" s="196"/>
      <c r="B366" s="196"/>
      <c r="C366" s="196"/>
      <c r="D366" s="196"/>
      <c r="E366" s="196"/>
      <c r="F366" s="196"/>
      <c r="G366" s="196"/>
      <c r="H366" s="196"/>
      <c r="I366" s="139"/>
      <c r="J366" s="196"/>
      <c r="K366" s="196"/>
      <c r="L366" s="139"/>
      <c r="M366" s="196"/>
      <c r="N366" s="196"/>
      <c r="O366" s="196"/>
      <c r="P366" s="196"/>
      <c r="Q366" s="196"/>
      <c r="R366" s="196"/>
      <c r="S366" s="196"/>
      <c r="T366" s="196"/>
      <c r="U366" s="196"/>
      <c r="V366" s="196"/>
      <c r="W366" s="196"/>
      <c r="X366" s="196"/>
      <c r="Y366" s="196"/>
      <c r="Z366" s="196"/>
      <c r="AA366" s="196"/>
      <c r="AB366" s="196"/>
      <c r="AC366" s="196"/>
      <c r="AD366" s="196"/>
      <c r="AE366" s="196"/>
      <c r="AF366" s="196"/>
      <c r="AG366" s="196"/>
      <c r="AH366" s="196"/>
    </row>
    <row r="367">
      <c r="A367" s="196"/>
      <c r="B367" s="196"/>
      <c r="C367" s="196"/>
      <c r="D367" s="196"/>
      <c r="E367" s="196"/>
      <c r="F367" s="196"/>
      <c r="G367" s="196"/>
      <c r="H367" s="196"/>
      <c r="I367" s="139"/>
      <c r="J367" s="196"/>
      <c r="K367" s="196"/>
      <c r="L367" s="139"/>
      <c r="M367" s="196"/>
      <c r="N367" s="196"/>
      <c r="O367" s="196"/>
      <c r="P367" s="196"/>
      <c r="Q367" s="196"/>
      <c r="R367" s="196"/>
      <c r="S367" s="196"/>
      <c r="T367" s="196"/>
      <c r="U367" s="196"/>
      <c r="V367" s="196"/>
      <c r="W367" s="196"/>
      <c r="X367" s="196"/>
      <c r="Y367" s="196"/>
      <c r="Z367" s="196"/>
      <c r="AA367" s="196"/>
      <c r="AB367" s="196"/>
      <c r="AC367" s="196"/>
      <c r="AD367" s="196"/>
      <c r="AE367" s="196"/>
      <c r="AF367" s="196"/>
      <c r="AG367" s="196"/>
      <c r="AH367" s="196"/>
    </row>
    <row r="368">
      <c r="A368" s="196"/>
      <c r="B368" s="196"/>
      <c r="C368" s="196"/>
      <c r="D368" s="196"/>
      <c r="E368" s="196"/>
      <c r="F368" s="196"/>
      <c r="G368" s="196"/>
      <c r="H368" s="196"/>
      <c r="I368" s="139"/>
      <c r="J368" s="196"/>
      <c r="K368" s="196"/>
      <c r="L368" s="139"/>
      <c r="M368" s="196"/>
      <c r="N368" s="196"/>
      <c r="O368" s="196"/>
      <c r="P368" s="196"/>
      <c r="Q368" s="196"/>
      <c r="R368" s="196"/>
      <c r="S368" s="196"/>
      <c r="T368" s="196"/>
      <c r="U368" s="196"/>
      <c r="V368" s="196"/>
      <c r="W368" s="196"/>
      <c r="X368" s="196"/>
      <c r="Y368" s="196"/>
      <c r="Z368" s="196"/>
      <c r="AA368" s="196"/>
      <c r="AB368" s="196"/>
      <c r="AC368" s="196"/>
      <c r="AD368" s="196"/>
      <c r="AE368" s="196"/>
      <c r="AF368" s="196"/>
      <c r="AG368" s="196"/>
      <c r="AH368" s="196"/>
    </row>
    <row r="369">
      <c r="A369" s="196"/>
      <c r="B369" s="196"/>
      <c r="C369" s="196"/>
      <c r="D369" s="196"/>
      <c r="E369" s="196"/>
      <c r="F369" s="196"/>
      <c r="G369" s="196"/>
      <c r="H369" s="196"/>
      <c r="I369" s="139"/>
      <c r="J369" s="196"/>
      <c r="K369" s="196"/>
      <c r="L369" s="139"/>
      <c r="M369" s="196"/>
      <c r="N369" s="196"/>
      <c r="O369" s="196"/>
      <c r="P369" s="196"/>
      <c r="Q369" s="196"/>
      <c r="R369" s="196"/>
      <c r="S369" s="196"/>
      <c r="T369" s="196"/>
      <c r="U369" s="196"/>
      <c r="V369" s="196"/>
      <c r="W369" s="196"/>
      <c r="X369" s="196"/>
      <c r="Y369" s="196"/>
      <c r="Z369" s="196"/>
      <c r="AA369" s="196"/>
      <c r="AB369" s="196"/>
      <c r="AC369" s="196"/>
      <c r="AD369" s="196"/>
      <c r="AE369" s="196"/>
      <c r="AF369" s="196"/>
      <c r="AG369" s="196"/>
      <c r="AH369" s="196"/>
    </row>
    <row r="370">
      <c r="A370" s="196"/>
      <c r="B370" s="196"/>
      <c r="C370" s="196"/>
      <c r="D370" s="196"/>
      <c r="E370" s="196"/>
      <c r="F370" s="196"/>
      <c r="G370" s="196"/>
      <c r="H370" s="196"/>
      <c r="I370" s="139"/>
      <c r="J370" s="196"/>
      <c r="K370" s="196"/>
      <c r="L370" s="139"/>
      <c r="M370" s="196"/>
      <c r="N370" s="196"/>
      <c r="O370" s="196"/>
      <c r="P370" s="196"/>
      <c r="Q370" s="196"/>
      <c r="R370" s="196"/>
      <c r="S370" s="196"/>
      <c r="T370" s="196"/>
      <c r="U370" s="196"/>
      <c r="V370" s="196"/>
      <c r="W370" s="196"/>
      <c r="X370" s="196"/>
      <c r="Y370" s="196"/>
      <c r="Z370" s="196"/>
      <c r="AA370" s="196"/>
      <c r="AB370" s="196"/>
      <c r="AC370" s="196"/>
      <c r="AD370" s="196"/>
      <c r="AE370" s="196"/>
      <c r="AF370" s="196"/>
      <c r="AG370" s="196"/>
      <c r="AH370" s="196"/>
    </row>
    <row r="371">
      <c r="A371" s="196"/>
      <c r="B371" s="196"/>
      <c r="C371" s="196"/>
      <c r="D371" s="196"/>
      <c r="E371" s="196"/>
      <c r="F371" s="196"/>
      <c r="G371" s="196"/>
      <c r="H371" s="196"/>
      <c r="I371" s="139"/>
      <c r="J371" s="196"/>
      <c r="K371" s="196"/>
      <c r="L371" s="139"/>
      <c r="M371" s="196"/>
      <c r="N371" s="196"/>
      <c r="O371" s="196"/>
      <c r="P371" s="196"/>
      <c r="Q371" s="196"/>
      <c r="R371" s="196"/>
      <c r="S371" s="196"/>
      <c r="T371" s="196"/>
      <c r="U371" s="196"/>
      <c r="V371" s="196"/>
      <c r="W371" s="196"/>
      <c r="X371" s="196"/>
      <c r="Y371" s="196"/>
      <c r="Z371" s="196"/>
      <c r="AA371" s="196"/>
      <c r="AB371" s="196"/>
      <c r="AC371" s="196"/>
      <c r="AD371" s="196"/>
      <c r="AE371" s="196"/>
      <c r="AF371" s="196"/>
      <c r="AG371" s="196"/>
      <c r="AH371" s="196"/>
    </row>
    <row r="372">
      <c r="A372" s="196"/>
      <c r="B372" s="196"/>
      <c r="C372" s="196"/>
      <c r="D372" s="196"/>
      <c r="E372" s="196"/>
      <c r="F372" s="196"/>
      <c r="G372" s="196"/>
      <c r="H372" s="196"/>
      <c r="I372" s="139"/>
      <c r="J372" s="196"/>
      <c r="K372" s="196"/>
      <c r="L372" s="139"/>
      <c r="M372" s="196"/>
      <c r="N372" s="196"/>
      <c r="O372" s="196"/>
      <c r="P372" s="196"/>
      <c r="Q372" s="196"/>
      <c r="R372" s="196"/>
      <c r="S372" s="196"/>
      <c r="T372" s="196"/>
      <c r="U372" s="196"/>
      <c r="V372" s="196"/>
      <c r="W372" s="196"/>
      <c r="X372" s="196"/>
      <c r="Y372" s="196"/>
      <c r="Z372" s="196"/>
      <c r="AA372" s="196"/>
      <c r="AB372" s="196"/>
      <c r="AC372" s="196"/>
      <c r="AD372" s="196"/>
      <c r="AE372" s="196"/>
      <c r="AF372" s="196"/>
      <c r="AG372" s="196"/>
      <c r="AH372" s="196"/>
    </row>
    <row r="373">
      <c r="A373" s="196"/>
      <c r="B373" s="196"/>
      <c r="C373" s="196"/>
      <c r="D373" s="196"/>
      <c r="E373" s="196"/>
      <c r="F373" s="196"/>
      <c r="G373" s="196"/>
      <c r="H373" s="196"/>
      <c r="I373" s="139"/>
      <c r="J373" s="196"/>
      <c r="K373" s="196"/>
      <c r="L373" s="139"/>
      <c r="M373" s="196"/>
      <c r="N373" s="196"/>
      <c r="O373" s="196"/>
      <c r="P373" s="196"/>
      <c r="Q373" s="196"/>
      <c r="R373" s="196"/>
      <c r="S373" s="196"/>
      <c r="T373" s="196"/>
      <c r="U373" s="196"/>
      <c r="V373" s="196"/>
      <c r="W373" s="196"/>
      <c r="X373" s="196"/>
      <c r="Y373" s="196"/>
      <c r="Z373" s="196"/>
      <c r="AA373" s="196"/>
      <c r="AB373" s="196"/>
      <c r="AC373" s="196"/>
      <c r="AD373" s="196"/>
      <c r="AE373" s="196"/>
      <c r="AF373" s="196"/>
      <c r="AG373" s="196"/>
      <c r="AH373" s="196"/>
    </row>
    <row r="374">
      <c r="A374" s="196"/>
      <c r="B374" s="196"/>
      <c r="C374" s="196"/>
      <c r="D374" s="196"/>
      <c r="E374" s="196"/>
      <c r="F374" s="196"/>
      <c r="G374" s="196"/>
      <c r="H374" s="196"/>
      <c r="I374" s="139"/>
      <c r="J374" s="196"/>
      <c r="K374" s="196"/>
      <c r="L374" s="139"/>
      <c r="M374" s="196"/>
      <c r="N374" s="196"/>
      <c r="O374" s="196"/>
      <c r="P374" s="196"/>
      <c r="Q374" s="196"/>
      <c r="R374" s="196"/>
      <c r="S374" s="196"/>
      <c r="T374" s="196"/>
      <c r="U374" s="196"/>
      <c r="V374" s="196"/>
      <c r="W374" s="196"/>
      <c r="X374" s="196"/>
      <c r="Y374" s="196"/>
      <c r="Z374" s="196"/>
      <c r="AA374" s="196"/>
      <c r="AB374" s="196"/>
      <c r="AC374" s="196"/>
      <c r="AD374" s="196"/>
      <c r="AE374" s="196"/>
      <c r="AF374" s="196"/>
      <c r="AG374" s="196"/>
      <c r="AH374" s="196"/>
    </row>
    <row r="375">
      <c r="A375" s="196"/>
      <c r="B375" s="196"/>
      <c r="C375" s="196"/>
      <c r="D375" s="196"/>
      <c r="E375" s="196"/>
      <c r="F375" s="196"/>
      <c r="G375" s="196"/>
      <c r="H375" s="196"/>
      <c r="I375" s="139"/>
      <c r="J375" s="196"/>
      <c r="K375" s="196"/>
      <c r="L375" s="139"/>
      <c r="M375" s="196"/>
      <c r="N375" s="196"/>
      <c r="O375" s="196"/>
      <c r="P375" s="196"/>
      <c r="Q375" s="196"/>
      <c r="R375" s="196"/>
      <c r="S375" s="196"/>
      <c r="T375" s="196"/>
      <c r="U375" s="196"/>
      <c r="V375" s="196"/>
      <c r="W375" s="196"/>
      <c r="X375" s="196"/>
      <c r="Y375" s="196"/>
      <c r="Z375" s="196"/>
      <c r="AA375" s="196"/>
      <c r="AB375" s="196"/>
      <c r="AC375" s="196"/>
      <c r="AD375" s="196"/>
      <c r="AE375" s="196"/>
      <c r="AF375" s="196"/>
      <c r="AG375" s="196"/>
      <c r="AH375" s="196"/>
    </row>
    <row r="376">
      <c r="A376" s="196"/>
      <c r="B376" s="196"/>
      <c r="C376" s="196"/>
      <c r="D376" s="196"/>
      <c r="E376" s="196"/>
      <c r="F376" s="196"/>
      <c r="G376" s="196"/>
      <c r="H376" s="196"/>
      <c r="I376" s="139"/>
      <c r="J376" s="196"/>
      <c r="K376" s="196"/>
      <c r="L376" s="139"/>
      <c r="M376" s="196"/>
      <c r="N376" s="196"/>
      <c r="O376" s="196"/>
      <c r="P376" s="196"/>
      <c r="Q376" s="196"/>
      <c r="R376" s="196"/>
      <c r="S376" s="196"/>
      <c r="T376" s="196"/>
      <c r="U376" s="196"/>
      <c r="V376" s="196"/>
      <c r="W376" s="196"/>
      <c r="X376" s="196"/>
      <c r="Y376" s="196"/>
      <c r="Z376" s="196"/>
      <c r="AA376" s="196"/>
      <c r="AB376" s="196"/>
      <c r="AC376" s="196"/>
      <c r="AD376" s="196"/>
      <c r="AE376" s="196"/>
      <c r="AF376" s="196"/>
      <c r="AG376" s="196"/>
      <c r="AH376" s="196"/>
    </row>
    <row r="377">
      <c r="A377" s="196"/>
      <c r="B377" s="196"/>
      <c r="C377" s="196"/>
      <c r="D377" s="196"/>
      <c r="E377" s="196"/>
      <c r="F377" s="196"/>
      <c r="G377" s="196"/>
      <c r="H377" s="196"/>
      <c r="I377" s="139"/>
      <c r="J377" s="196"/>
      <c r="K377" s="196"/>
      <c r="L377" s="139"/>
      <c r="M377" s="196"/>
      <c r="N377" s="196"/>
      <c r="O377" s="196"/>
      <c r="P377" s="196"/>
      <c r="Q377" s="196"/>
      <c r="R377" s="196"/>
      <c r="S377" s="196"/>
      <c r="T377" s="196"/>
      <c r="U377" s="196"/>
      <c r="V377" s="196"/>
      <c r="W377" s="196"/>
      <c r="X377" s="196"/>
      <c r="Y377" s="196"/>
      <c r="Z377" s="196"/>
      <c r="AA377" s="196"/>
      <c r="AB377" s="196"/>
      <c r="AC377" s="196"/>
      <c r="AD377" s="196"/>
      <c r="AE377" s="196"/>
      <c r="AF377" s="196"/>
      <c r="AG377" s="196"/>
      <c r="AH377" s="196"/>
    </row>
    <row r="378">
      <c r="A378" s="196"/>
      <c r="B378" s="196"/>
      <c r="C378" s="196"/>
      <c r="D378" s="196"/>
      <c r="E378" s="196"/>
      <c r="F378" s="196"/>
      <c r="G378" s="196"/>
      <c r="H378" s="196"/>
      <c r="I378" s="139"/>
      <c r="J378" s="196"/>
      <c r="K378" s="196"/>
      <c r="L378" s="139"/>
      <c r="M378" s="196"/>
      <c r="N378" s="196"/>
      <c r="O378" s="196"/>
      <c r="P378" s="196"/>
      <c r="Q378" s="196"/>
      <c r="R378" s="196"/>
      <c r="S378" s="196"/>
      <c r="T378" s="196"/>
      <c r="U378" s="196"/>
      <c r="V378" s="196"/>
      <c r="W378" s="196"/>
      <c r="X378" s="196"/>
      <c r="Y378" s="196"/>
      <c r="Z378" s="196"/>
      <c r="AA378" s="196"/>
      <c r="AB378" s="196"/>
      <c r="AC378" s="196"/>
      <c r="AD378" s="196"/>
      <c r="AE378" s="196"/>
      <c r="AF378" s="196"/>
      <c r="AG378" s="196"/>
      <c r="AH378" s="196"/>
    </row>
    <row r="379">
      <c r="A379" s="196"/>
      <c r="B379" s="196"/>
      <c r="C379" s="196"/>
      <c r="D379" s="196"/>
      <c r="E379" s="196"/>
      <c r="F379" s="196"/>
      <c r="G379" s="196"/>
      <c r="H379" s="196"/>
      <c r="I379" s="139"/>
      <c r="J379" s="196"/>
      <c r="K379" s="196"/>
      <c r="L379" s="139"/>
      <c r="M379" s="196"/>
      <c r="N379" s="196"/>
      <c r="O379" s="196"/>
      <c r="P379" s="196"/>
      <c r="Q379" s="196"/>
      <c r="R379" s="196"/>
      <c r="S379" s="196"/>
      <c r="T379" s="196"/>
      <c r="U379" s="196"/>
      <c r="V379" s="196"/>
      <c r="W379" s="196"/>
      <c r="X379" s="196"/>
      <c r="Y379" s="196"/>
      <c r="Z379" s="196"/>
      <c r="AA379" s="196"/>
      <c r="AB379" s="196"/>
      <c r="AC379" s="196"/>
      <c r="AD379" s="196"/>
      <c r="AE379" s="196"/>
      <c r="AF379" s="196"/>
      <c r="AG379" s="196"/>
      <c r="AH379" s="196"/>
    </row>
    <row r="380">
      <c r="A380" s="196"/>
      <c r="B380" s="196"/>
      <c r="C380" s="196"/>
      <c r="D380" s="196"/>
      <c r="E380" s="196"/>
      <c r="F380" s="196"/>
      <c r="G380" s="196"/>
      <c r="H380" s="196"/>
      <c r="I380" s="139"/>
      <c r="J380" s="196"/>
      <c r="K380" s="196"/>
      <c r="L380" s="139"/>
      <c r="M380" s="196"/>
      <c r="N380" s="196"/>
      <c r="O380" s="196"/>
      <c r="P380" s="196"/>
      <c r="Q380" s="196"/>
      <c r="R380" s="196"/>
      <c r="S380" s="196"/>
      <c r="T380" s="196"/>
      <c r="U380" s="196"/>
      <c r="V380" s="196"/>
      <c r="W380" s="196"/>
      <c r="X380" s="196"/>
      <c r="Y380" s="196"/>
      <c r="Z380" s="196"/>
      <c r="AA380" s="196"/>
      <c r="AB380" s="196"/>
      <c r="AC380" s="196"/>
      <c r="AD380" s="196"/>
      <c r="AE380" s="196"/>
      <c r="AF380" s="196"/>
      <c r="AG380" s="196"/>
      <c r="AH380" s="196"/>
    </row>
    <row r="381">
      <c r="A381" s="196"/>
      <c r="B381" s="196"/>
      <c r="C381" s="196"/>
      <c r="D381" s="196"/>
      <c r="E381" s="196"/>
      <c r="F381" s="196"/>
      <c r="G381" s="196"/>
      <c r="H381" s="196"/>
      <c r="I381" s="139"/>
      <c r="J381" s="196"/>
      <c r="K381" s="196"/>
      <c r="L381" s="139"/>
      <c r="M381" s="196"/>
      <c r="N381" s="196"/>
      <c r="O381" s="196"/>
      <c r="P381" s="196"/>
      <c r="Q381" s="196"/>
      <c r="R381" s="196"/>
      <c r="S381" s="196"/>
      <c r="T381" s="196"/>
      <c r="U381" s="196"/>
      <c r="V381" s="196"/>
      <c r="W381" s="196"/>
      <c r="X381" s="196"/>
      <c r="Y381" s="196"/>
      <c r="Z381" s="196"/>
      <c r="AA381" s="196"/>
      <c r="AB381" s="196"/>
      <c r="AC381" s="196"/>
      <c r="AD381" s="196"/>
      <c r="AE381" s="196"/>
      <c r="AF381" s="196"/>
      <c r="AG381" s="196"/>
      <c r="AH381" s="196"/>
    </row>
    <row r="382">
      <c r="A382" s="196"/>
      <c r="B382" s="196"/>
      <c r="C382" s="196"/>
      <c r="D382" s="196"/>
      <c r="E382" s="196"/>
      <c r="F382" s="196"/>
      <c r="G382" s="196"/>
      <c r="H382" s="196"/>
      <c r="I382" s="139"/>
      <c r="J382" s="196"/>
      <c r="K382" s="196"/>
      <c r="L382" s="139"/>
      <c r="M382" s="196"/>
      <c r="N382" s="196"/>
      <c r="O382" s="196"/>
      <c r="P382" s="196"/>
      <c r="Q382" s="196"/>
      <c r="R382" s="196"/>
      <c r="S382" s="196"/>
      <c r="T382" s="196"/>
      <c r="U382" s="196"/>
      <c r="V382" s="196"/>
      <c r="W382" s="196"/>
      <c r="X382" s="196"/>
      <c r="Y382" s="196"/>
      <c r="Z382" s="196"/>
      <c r="AA382" s="196"/>
      <c r="AB382" s="196"/>
      <c r="AC382" s="196"/>
      <c r="AD382" s="196"/>
      <c r="AE382" s="196"/>
      <c r="AF382" s="196"/>
      <c r="AG382" s="196"/>
      <c r="AH382" s="196"/>
    </row>
    <row r="383">
      <c r="A383" s="196"/>
      <c r="B383" s="196"/>
      <c r="C383" s="196"/>
      <c r="D383" s="196"/>
      <c r="E383" s="196"/>
      <c r="F383" s="196"/>
      <c r="G383" s="196"/>
      <c r="H383" s="196"/>
      <c r="I383" s="139"/>
      <c r="J383" s="196"/>
      <c r="K383" s="196"/>
      <c r="L383" s="139"/>
      <c r="M383" s="196"/>
      <c r="N383" s="196"/>
      <c r="O383" s="196"/>
      <c r="P383" s="196"/>
      <c r="Q383" s="196"/>
      <c r="R383" s="196"/>
      <c r="S383" s="196"/>
      <c r="T383" s="196"/>
      <c r="U383" s="196"/>
      <c r="V383" s="196"/>
      <c r="W383" s="196"/>
      <c r="X383" s="196"/>
      <c r="Y383" s="196"/>
      <c r="Z383" s="196"/>
      <c r="AA383" s="196"/>
      <c r="AB383" s="196"/>
      <c r="AC383" s="196"/>
      <c r="AD383" s="196"/>
      <c r="AE383" s="196"/>
      <c r="AF383" s="196"/>
      <c r="AG383" s="196"/>
      <c r="AH383" s="196"/>
    </row>
    <row r="384">
      <c r="A384" s="196"/>
      <c r="B384" s="196"/>
      <c r="C384" s="196"/>
      <c r="D384" s="196"/>
      <c r="E384" s="196"/>
      <c r="F384" s="196"/>
      <c r="G384" s="196"/>
      <c r="H384" s="196"/>
      <c r="I384" s="139"/>
      <c r="J384" s="196"/>
      <c r="K384" s="196"/>
      <c r="L384" s="139"/>
      <c r="M384" s="196"/>
      <c r="N384" s="196"/>
      <c r="O384" s="196"/>
      <c r="P384" s="196"/>
      <c r="Q384" s="196"/>
      <c r="R384" s="196"/>
      <c r="S384" s="196"/>
      <c r="T384" s="196"/>
      <c r="U384" s="196"/>
      <c r="V384" s="196"/>
      <c r="W384" s="196"/>
      <c r="X384" s="196"/>
      <c r="Y384" s="196"/>
      <c r="Z384" s="196"/>
      <c r="AA384" s="196"/>
      <c r="AB384" s="196"/>
      <c r="AC384" s="196"/>
      <c r="AD384" s="196"/>
      <c r="AE384" s="196"/>
      <c r="AF384" s="196"/>
      <c r="AG384" s="196"/>
      <c r="AH384" s="196"/>
    </row>
    <row r="385">
      <c r="A385" s="196"/>
      <c r="B385" s="196"/>
      <c r="C385" s="196"/>
      <c r="D385" s="196"/>
      <c r="E385" s="196"/>
      <c r="F385" s="196"/>
      <c r="G385" s="196"/>
      <c r="H385" s="196"/>
      <c r="I385" s="139"/>
      <c r="J385" s="196"/>
      <c r="K385" s="196"/>
      <c r="L385" s="139"/>
      <c r="M385" s="196"/>
      <c r="N385" s="196"/>
      <c r="O385" s="196"/>
      <c r="P385" s="196"/>
      <c r="Q385" s="196"/>
      <c r="R385" s="196"/>
      <c r="S385" s="196"/>
      <c r="T385" s="196"/>
      <c r="U385" s="196"/>
      <c r="V385" s="196"/>
      <c r="W385" s="196"/>
      <c r="X385" s="196"/>
      <c r="Y385" s="196"/>
      <c r="Z385" s="196"/>
      <c r="AA385" s="196"/>
      <c r="AB385" s="196"/>
      <c r="AC385" s="196"/>
      <c r="AD385" s="196"/>
      <c r="AE385" s="196"/>
      <c r="AF385" s="196"/>
      <c r="AG385" s="196"/>
      <c r="AH385" s="196"/>
    </row>
    <row r="386">
      <c r="A386" s="196"/>
      <c r="B386" s="196"/>
      <c r="C386" s="196"/>
      <c r="D386" s="196"/>
      <c r="E386" s="196"/>
      <c r="F386" s="196"/>
      <c r="G386" s="196"/>
      <c r="H386" s="196"/>
      <c r="I386" s="139"/>
      <c r="J386" s="196"/>
      <c r="K386" s="196"/>
      <c r="L386" s="139"/>
      <c r="M386" s="196"/>
      <c r="N386" s="196"/>
      <c r="O386" s="196"/>
      <c r="P386" s="196"/>
      <c r="Q386" s="196"/>
      <c r="R386" s="196"/>
      <c r="S386" s="196"/>
      <c r="T386" s="196"/>
      <c r="U386" s="196"/>
      <c r="V386" s="196"/>
      <c r="W386" s="196"/>
      <c r="X386" s="196"/>
      <c r="Y386" s="196"/>
      <c r="Z386" s="196"/>
      <c r="AA386" s="196"/>
      <c r="AB386" s="196"/>
      <c r="AC386" s="196"/>
      <c r="AD386" s="196"/>
      <c r="AE386" s="196"/>
      <c r="AF386" s="196"/>
      <c r="AG386" s="196"/>
      <c r="AH386" s="196"/>
    </row>
    <row r="387">
      <c r="A387" s="196"/>
      <c r="B387" s="196"/>
      <c r="C387" s="196"/>
      <c r="D387" s="196"/>
      <c r="E387" s="196"/>
      <c r="F387" s="196"/>
      <c r="G387" s="196"/>
      <c r="H387" s="196"/>
      <c r="I387" s="139"/>
      <c r="J387" s="196"/>
      <c r="K387" s="196"/>
      <c r="L387" s="139"/>
      <c r="M387" s="196"/>
      <c r="N387" s="196"/>
      <c r="O387" s="196"/>
      <c r="P387" s="196"/>
      <c r="Q387" s="196"/>
      <c r="R387" s="196"/>
      <c r="S387" s="196"/>
      <c r="T387" s="196"/>
      <c r="U387" s="196"/>
      <c r="V387" s="196"/>
      <c r="W387" s="196"/>
      <c r="X387" s="196"/>
      <c r="Y387" s="196"/>
      <c r="Z387" s="196"/>
      <c r="AA387" s="196"/>
      <c r="AB387" s="196"/>
      <c r="AC387" s="196"/>
      <c r="AD387" s="196"/>
      <c r="AE387" s="196"/>
      <c r="AF387" s="196"/>
      <c r="AG387" s="196"/>
      <c r="AH387" s="196"/>
    </row>
    <row r="388">
      <c r="A388" s="196"/>
      <c r="B388" s="196"/>
      <c r="C388" s="196"/>
      <c r="D388" s="196"/>
      <c r="E388" s="196"/>
      <c r="F388" s="196"/>
      <c r="G388" s="196"/>
      <c r="H388" s="196"/>
      <c r="I388" s="139"/>
      <c r="J388" s="196"/>
      <c r="K388" s="196"/>
      <c r="L388" s="139"/>
      <c r="M388" s="196"/>
      <c r="N388" s="196"/>
      <c r="O388" s="196"/>
      <c r="P388" s="196"/>
      <c r="Q388" s="196"/>
      <c r="R388" s="196"/>
      <c r="S388" s="196"/>
      <c r="T388" s="196"/>
      <c r="U388" s="196"/>
      <c r="V388" s="196"/>
      <c r="W388" s="196"/>
      <c r="X388" s="196"/>
      <c r="Y388" s="196"/>
      <c r="Z388" s="196"/>
      <c r="AA388" s="196"/>
      <c r="AB388" s="196"/>
      <c r="AC388" s="196"/>
      <c r="AD388" s="196"/>
      <c r="AE388" s="196"/>
      <c r="AF388" s="196"/>
      <c r="AG388" s="196"/>
      <c r="AH388" s="196"/>
    </row>
    <row r="389">
      <c r="A389" s="196"/>
      <c r="B389" s="196"/>
      <c r="C389" s="196"/>
      <c r="D389" s="196"/>
      <c r="E389" s="196"/>
      <c r="F389" s="196"/>
      <c r="G389" s="196"/>
      <c r="H389" s="196"/>
      <c r="I389" s="139"/>
      <c r="J389" s="196"/>
      <c r="K389" s="196"/>
      <c r="L389" s="139"/>
      <c r="M389" s="196"/>
      <c r="N389" s="196"/>
      <c r="O389" s="196"/>
      <c r="P389" s="196"/>
      <c r="Q389" s="196"/>
      <c r="R389" s="196"/>
      <c r="S389" s="196"/>
      <c r="T389" s="196"/>
      <c r="U389" s="196"/>
      <c r="V389" s="196"/>
      <c r="W389" s="196"/>
      <c r="X389" s="196"/>
      <c r="Y389" s="196"/>
      <c r="Z389" s="196"/>
      <c r="AA389" s="196"/>
      <c r="AB389" s="196"/>
      <c r="AC389" s="196"/>
      <c r="AD389" s="196"/>
      <c r="AE389" s="196"/>
      <c r="AF389" s="196"/>
      <c r="AG389" s="196"/>
      <c r="AH389" s="196"/>
    </row>
    <row r="390">
      <c r="A390" s="196"/>
      <c r="B390" s="196"/>
      <c r="C390" s="196"/>
      <c r="D390" s="196"/>
      <c r="E390" s="196"/>
      <c r="F390" s="196"/>
      <c r="G390" s="196"/>
      <c r="H390" s="196"/>
      <c r="I390" s="139"/>
      <c r="J390" s="196"/>
      <c r="K390" s="196"/>
      <c r="L390" s="139"/>
      <c r="M390" s="196"/>
      <c r="N390" s="196"/>
      <c r="O390" s="196"/>
      <c r="P390" s="196"/>
      <c r="Q390" s="196"/>
      <c r="R390" s="196"/>
      <c r="S390" s="196"/>
      <c r="T390" s="196"/>
      <c r="U390" s="196"/>
      <c r="V390" s="196"/>
      <c r="W390" s="196"/>
      <c r="X390" s="196"/>
      <c r="Y390" s="196"/>
      <c r="Z390" s="196"/>
      <c r="AA390" s="196"/>
      <c r="AB390" s="196"/>
      <c r="AC390" s="196"/>
      <c r="AD390" s="196"/>
      <c r="AE390" s="196"/>
      <c r="AF390" s="196"/>
      <c r="AG390" s="196"/>
      <c r="AH390" s="196"/>
    </row>
    <row r="391">
      <c r="A391" s="196"/>
      <c r="B391" s="196"/>
      <c r="C391" s="196"/>
      <c r="D391" s="196"/>
      <c r="E391" s="196"/>
      <c r="F391" s="196"/>
      <c r="G391" s="196"/>
      <c r="H391" s="196"/>
      <c r="I391" s="139"/>
      <c r="J391" s="196"/>
      <c r="K391" s="196"/>
      <c r="L391" s="139"/>
      <c r="M391" s="196"/>
      <c r="N391" s="196"/>
      <c r="O391" s="196"/>
      <c r="P391" s="196"/>
      <c r="Q391" s="196"/>
      <c r="R391" s="196"/>
      <c r="S391" s="196"/>
      <c r="T391" s="196"/>
      <c r="U391" s="196"/>
      <c r="V391" s="196"/>
      <c r="W391" s="196"/>
      <c r="X391" s="196"/>
      <c r="Y391" s="196"/>
      <c r="Z391" s="196"/>
      <c r="AA391" s="196"/>
      <c r="AB391" s="196"/>
      <c r="AC391" s="196"/>
      <c r="AD391" s="196"/>
      <c r="AE391" s="196"/>
      <c r="AF391" s="196"/>
      <c r="AG391" s="196"/>
      <c r="AH391" s="196"/>
    </row>
    <row r="392">
      <c r="A392" s="196"/>
      <c r="B392" s="196"/>
      <c r="C392" s="196"/>
      <c r="D392" s="196"/>
      <c r="E392" s="196"/>
      <c r="F392" s="196"/>
      <c r="G392" s="196"/>
      <c r="H392" s="196"/>
      <c r="I392" s="139"/>
      <c r="J392" s="196"/>
      <c r="K392" s="196"/>
      <c r="L392" s="139"/>
      <c r="M392" s="196"/>
      <c r="N392" s="196"/>
      <c r="O392" s="196"/>
      <c r="P392" s="196"/>
      <c r="Q392" s="196"/>
      <c r="R392" s="196"/>
      <c r="S392" s="196"/>
      <c r="T392" s="196"/>
      <c r="U392" s="196"/>
      <c r="V392" s="196"/>
      <c r="W392" s="196"/>
      <c r="X392" s="196"/>
      <c r="Y392" s="196"/>
      <c r="Z392" s="196"/>
      <c r="AA392" s="196"/>
      <c r="AB392" s="196"/>
      <c r="AC392" s="196"/>
      <c r="AD392" s="196"/>
      <c r="AE392" s="196"/>
      <c r="AF392" s="196"/>
      <c r="AG392" s="196"/>
      <c r="AH392" s="196"/>
    </row>
    <row r="393">
      <c r="A393" s="196"/>
      <c r="B393" s="196"/>
      <c r="C393" s="196"/>
      <c r="D393" s="196"/>
      <c r="E393" s="196"/>
      <c r="F393" s="196"/>
      <c r="G393" s="196"/>
      <c r="H393" s="196"/>
      <c r="I393" s="139"/>
      <c r="J393" s="196"/>
      <c r="K393" s="196"/>
      <c r="L393" s="139"/>
      <c r="M393" s="196"/>
      <c r="N393" s="196"/>
      <c r="O393" s="196"/>
      <c r="P393" s="196"/>
      <c r="Q393" s="196"/>
      <c r="R393" s="196"/>
      <c r="S393" s="196"/>
      <c r="T393" s="196"/>
      <c r="U393" s="196"/>
      <c r="V393" s="196"/>
      <c r="W393" s="196"/>
      <c r="X393" s="196"/>
      <c r="Y393" s="196"/>
      <c r="Z393" s="196"/>
      <c r="AA393" s="196"/>
      <c r="AB393" s="196"/>
      <c r="AC393" s="196"/>
      <c r="AD393" s="196"/>
      <c r="AE393" s="196"/>
      <c r="AF393" s="196"/>
      <c r="AG393" s="196"/>
      <c r="AH393" s="196"/>
    </row>
    <row r="394">
      <c r="A394" s="196"/>
      <c r="B394" s="196"/>
      <c r="C394" s="196"/>
      <c r="D394" s="196"/>
      <c r="E394" s="196"/>
      <c r="F394" s="196"/>
      <c r="G394" s="196"/>
      <c r="H394" s="196"/>
      <c r="I394" s="139"/>
      <c r="J394" s="196"/>
      <c r="K394" s="196"/>
      <c r="L394" s="139"/>
      <c r="M394" s="196"/>
      <c r="N394" s="196"/>
      <c r="O394" s="196"/>
      <c r="P394" s="196"/>
      <c r="Q394" s="196"/>
      <c r="R394" s="196"/>
      <c r="S394" s="196"/>
      <c r="T394" s="196"/>
      <c r="U394" s="196"/>
      <c r="V394" s="196"/>
      <c r="W394" s="196"/>
      <c r="X394" s="196"/>
      <c r="Y394" s="196"/>
      <c r="Z394" s="196"/>
      <c r="AA394" s="196"/>
      <c r="AB394" s="196"/>
      <c r="AC394" s="196"/>
      <c r="AD394" s="196"/>
      <c r="AE394" s="196"/>
      <c r="AF394" s="196"/>
      <c r="AG394" s="196"/>
      <c r="AH394" s="196"/>
    </row>
    <row r="395">
      <c r="A395" s="196"/>
      <c r="B395" s="196"/>
      <c r="C395" s="196"/>
      <c r="D395" s="196"/>
      <c r="E395" s="196"/>
      <c r="F395" s="196"/>
      <c r="G395" s="196"/>
      <c r="H395" s="196"/>
      <c r="I395" s="139"/>
      <c r="J395" s="196"/>
      <c r="K395" s="196"/>
      <c r="L395" s="139"/>
      <c r="M395" s="196"/>
      <c r="N395" s="196"/>
      <c r="O395" s="196"/>
      <c r="P395" s="196"/>
      <c r="Q395" s="196"/>
      <c r="R395" s="196"/>
      <c r="S395" s="196"/>
      <c r="T395" s="196"/>
      <c r="U395" s="196"/>
      <c r="V395" s="196"/>
      <c r="W395" s="196"/>
      <c r="X395" s="196"/>
      <c r="Y395" s="196"/>
      <c r="Z395" s="196"/>
      <c r="AA395" s="196"/>
      <c r="AB395" s="196"/>
      <c r="AC395" s="196"/>
      <c r="AD395" s="196"/>
      <c r="AE395" s="196"/>
      <c r="AF395" s="196"/>
      <c r="AG395" s="196"/>
      <c r="AH395" s="196"/>
    </row>
    <row r="396">
      <c r="A396" s="196"/>
      <c r="B396" s="196"/>
      <c r="C396" s="196"/>
      <c r="D396" s="196"/>
      <c r="E396" s="196"/>
      <c r="F396" s="196"/>
      <c r="G396" s="196"/>
      <c r="H396" s="196"/>
      <c r="I396" s="139"/>
      <c r="J396" s="196"/>
      <c r="K396" s="196"/>
      <c r="L396" s="139"/>
      <c r="M396" s="196"/>
      <c r="N396" s="196"/>
      <c r="O396" s="196"/>
      <c r="P396" s="196"/>
      <c r="Q396" s="196"/>
      <c r="R396" s="196"/>
      <c r="S396" s="196"/>
      <c r="T396" s="196"/>
      <c r="U396" s="196"/>
      <c r="V396" s="196"/>
      <c r="W396" s="196"/>
      <c r="X396" s="196"/>
      <c r="Y396" s="196"/>
      <c r="Z396" s="196"/>
      <c r="AA396" s="196"/>
      <c r="AB396" s="196"/>
      <c r="AC396" s="196"/>
      <c r="AD396" s="196"/>
      <c r="AE396" s="196"/>
      <c r="AF396" s="196"/>
      <c r="AG396" s="196"/>
      <c r="AH396" s="196"/>
    </row>
    <row r="397">
      <c r="A397" s="196"/>
      <c r="B397" s="196"/>
      <c r="C397" s="196"/>
      <c r="D397" s="196"/>
      <c r="E397" s="196"/>
      <c r="F397" s="196"/>
      <c r="G397" s="196"/>
      <c r="H397" s="196"/>
      <c r="I397" s="139"/>
      <c r="J397" s="196"/>
      <c r="K397" s="196"/>
      <c r="L397" s="139"/>
      <c r="M397" s="196"/>
      <c r="N397" s="196"/>
      <c r="O397" s="196"/>
      <c r="P397" s="196"/>
      <c r="Q397" s="196"/>
      <c r="R397" s="196"/>
      <c r="S397" s="196"/>
      <c r="T397" s="196"/>
      <c r="U397" s="196"/>
      <c r="V397" s="196"/>
      <c r="W397" s="196"/>
      <c r="X397" s="196"/>
      <c r="Y397" s="196"/>
      <c r="Z397" s="196"/>
      <c r="AA397" s="196"/>
      <c r="AB397" s="196"/>
      <c r="AC397" s="196"/>
      <c r="AD397" s="196"/>
      <c r="AE397" s="196"/>
      <c r="AF397" s="196"/>
      <c r="AG397" s="196"/>
      <c r="AH397" s="196"/>
    </row>
    <row r="398">
      <c r="A398" s="196"/>
      <c r="B398" s="196"/>
      <c r="C398" s="196"/>
      <c r="D398" s="196"/>
      <c r="E398" s="196"/>
      <c r="F398" s="196"/>
      <c r="G398" s="196"/>
      <c r="H398" s="196"/>
      <c r="I398" s="139"/>
      <c r="J398" s="196"/>
      <c r="K398" s="196"/>
      <c r="L398" s="139"/>
      <c r="M398" s="196"/>
      <c r="N398" s="196"/>
      <c r="O398" s="196"/>
      <c r="P398" s="196"/>
      <c r="Q398" s="196"/>
      <c r="R398" s="196"/>
      <c r="S398" s="196"/>
      <c r="T398" s="196"/>
      <c r="U398" s="196"/>
      <c r="V398" s="196"/>
      <c r="W398" s="196"/>
      <c r="X398" s="196"/>
      <c r="Y398" s="196"/>
      <c r="Z398" s="196"/>
      <c r="AA398" s="196"/>
      <c r="AB398" s="196"/>
      <c r="AC398" s="196"/>
      <c r="AD398" s="196"/>
      <c r="AE398" s="196"/>
      <c r="AF398" s="196"/>
      <c r="AG398" s="196"/>
      <c r="AH398" s="196"/>
    </row>
    <row r="399">
      <c r="A399" s="196"/>
      <c r="B399" s="196"/>
      <c r="C399" s="196"/>
      <c r="D399" s="196"/>
      <c r="E399" s="196"/>
      <c r="F399" s="196"/>
      <c r="G399" s="196"/>
      <c r="H399" s="196"/>
      <c r="I399" s="139"/>
      <c r="J399" s="196"/>
      <c r="K399" s="196"/>
      <c r="L399" s="139"/>
      <c r="M399" s="196"/>
      <c r="N399" s="196"/>
      <c r="O399" s="196"/>
      <c r="P399" s="196"/>
      <c r="Q399" s="196"/>
      <c r="R399" s="196"/>
      <c r="S399" s="196"/>
      <c r="T399" s="196"/>
      <c r="U399" s="196"/>
      <c r="V399" s="196"/>
      <c r="W399" s="196"/>
      <c r="X399" s="196"/>
      <c r="Y399" s="196"/>
      <c r="Z399" s="196"/>
      <c r="AA399" s="196"/>
      <c r="AB399" s="196"/>
      <c r="AC399" s="196"/>
      <c r="AD399" s="196"/>
      <c r="AE399" s="196"/>
      <c r="AF399" s="196"/>
      <c r="AG399" s="196"/>
      <c r="AH399" s="196"/>
    </row>
    <row r="400">
      <c r="A400" s="196"/>
      <c r="B400" s="196"/>
      <c r="C400" s="196"/>
      <c r="D400" s="196"/>
      <c r="E400" s="196"/>
      <c r="F400" s="196"/>
      <c r="G400" s="196"/>
      <c r="H400" s="196"/>
      <c r="I400" s="139"/>
      <c r="J400" s="196"/>
      <c r="K400" s="196"/>
      <c r="L400" s="139"/>
      <c r="M400" s="196"/>
      <c r="N400" s="196"/>
      <c r="O400" s="196"/>
      <c r="P400" s="196"/>
      <c r="Q400" s="196"/>
      <c r="R400" s="196"/>
      <c r="S400" s="196"/>
      <c r="T400" s="196"/>
      <c r="U400" s="196"/>
      <c r="V400" s="196"/>
      <c r="W400" s="196"/>
      <c r="X400" s="196"/>
      <c r="Y400" s="196"/>
      <c r="Z400" s="196"/>
      <c r="AA400" s="196"/>
      <c r="AB400" s="196"/>
      <c r="AC400" s="196"/>
      <c r="AD400" s="196"/>
      <c r="AE400" s="196"/>
      <c r="AF400" s="196"/>
      <c r="AG400" s="196"/>
      <c r="AH400" s="196"/>
    </row>
    <row r="401">
      <c r="A401" s="196"/>
      <c r="B401" s="196"/>
      <c r="C401" s="196"/>
      <c r="D401" s="196"/>
      <c r="E401" s="196"/>
      <c r="F401" s="196"/>
      <c r="G401" s="196"/>
      <c r="H401" s="196"/>
      <c r="I401" s="139"/>
      <c r="J401" s="196"/>
      <c r="K401" s="196"/>
      <c r="L401" s="139"/>
      <c r="M401" s="196"/>
      <c r="N401" s="196"/>
      <c r="O401" s="196"/>
      <c r="P401" s="196"/>
      <c r="Q401" s="196"/>
      <c r="R401" s="196"/>
      <c r="S401" s="196"/>
      <c r="T401" s="196"/>
      <c r="U401" s="196"/>
      <c r="V401" s="196"/>
      <c r="W401" s="196"/>
      <c r="X401" s="196"/>
      <c r="Y401" s="196"/>
      <c r="Z401" s="196"/>
      <c r="AA401" s="196"/>
      <c r="AB401" s="196"/>
      <c r="AC401" s="196"/>
      <c r="AD401" s="196"/>
      <c r="AE401" s="196"/>
      <c r="AF401" s="196"/>
      <c r="AG401" s="196"/>
      <c r="AH401" s="196"/>
    </row>
    <row r="402">
      <c r="A402" s="196"/>
      <c r="B402" s="196"/>
      <c r="C402" s="196"/>
      <c r="D402" s="196"/>
      <c r="E402" s="196"/>
      <c r="F402" s="196"/>
      <c r="G402" s="196"/>
      <c r="H402" s="196"/>
      <c r="I402" s="139"/>
      <c r="J402" s="196"/>
      <c r="K402" s="196"/>
      <c r="L402" s="139"/>
      <c r="M402" s="196"/>
      <c r="N402" s="196"/>
      <c r="O402" s="196"/>
      <c r="P402" s="196"/>
      <c r="Q402" s="196"/>
      <c r="R402" s="196"/>
      <c r="S402" s="196"/>
      <c r="T402" s="196"/>
      <c r="U402" s="196"/>
      <c r="V402" s="196"/>
      <c r="W402" s="196"/>
      <c r="X402" s="196"/>
      <c r="Y402" s="196"/>
      <c r="Z402" s="196"/>
      <c r="AA402" s="196"/>
      <c r="AB402" s="196"/>
      <c r="AC402" s="196"/>
      <c r="AD402" s="196"/>
      <c r="AE402" s="196"/>
      <c r="AF402" s="196"/>
      <c r="AG402" s="196"/>
      <c r="AH402" s="196"/>
    </row>
    <row r="403">
      <c r="A403" s="196"/>
      <c r="B403" s="196"/>
      <c r="C403" s="196"/>
      <c r="D403" s="196"/>
      <c r="E403" s="196"/>
      <c r="F403" s="196"/>
      <c r="G403" s="196"/>
      <c r="H403" s="196"/>
      <c r="I403" s="139"/>
      <c r="J403" s="196"/>
      <c r="K403" s="196"/>
      <c r="L403" s="139"/>
      <c r="M403" s="196"/>
      <c r="N403" s="196"/>
      <c r="O403" s="196"/>
      <c r="P403" s="196"/>
      <c r="Q403" s="196"/>
      <c r="R403" s="196"/>
      <c r="S403" s="196"/>
      <c r="T403" s="196"/>
      <c r="U403" s="196"/>
      <c r="V403" s="196"/>
      <c r="W403" s="196"/>
      <c r="X403" s="196"/>
      <c r="Y403" s="196"/>
      <c r="Z403" s="196"/>
      <c r="AA403" s="196"/>
      <c r="AB403" s="196"/>
      <c r="AC403" s="196"/>
      <c r="AD403" s="196"/>
      <c r="AE403" s="196"/>
      <c r="AF403" s="196"/>
      <c r="AG403" s="196"/>
      <c r="AH403" s="196"/>
    </row>
    <row r="404">
      <c r="A404" s="196"/>
      <c r="B404" s="196"/>
      <c r="C404" s="196"/>
      <c r="D404" s="196"/>
      <c r="E404" s="196"/>
      <c r="F404" s="196"/>
      <c r="G404" s="196"/>
      <c r="H404" s="196"/>
      <c r="I404" s="139"/>
      <c r="J404" s="196"/>
      <c r="K404" s="196"/>
      <c r="L404" s="139"/>
      <c r="M404" s="196"/>
      <c r="N404" s="196"/>
      <c r="O404" s="196"/>
      <c r="P404" s="196"/>
      <c r="Q404" s="196"/>
      <c r="R404" s="196"/>
      <c r="S404" s="196"/>
      <c r="T404" s="196"/>
      <c r="U404" s="196"/>
      <c r="V404" s="196"/>
      <c r="W404" s="196"/>
      <c r="X404" s="196"/>
      <c r="Y404" s="196"/>
      <c r="Z404" s="196"/>
      <c r="AA404" s="196"/>
      <c r="AB404" s="196"/>
      <c r="AC404" s="196"/>
      <c r="AD404" s="196"/>
      <c r="AE404" s="196"/>
      <c r="AF404" s="196"/>
      <c r="AG404" s="196"/>
      <c r="AH404" s="196"/>
    </row>
    <row r="405">
      <c r="A405" s="196"/>
      <c r="B405" s="196"/>
      <c r="C405" s="196"/>
      <c r="D405" s="196"/>
      <c r="E405" s="196"/>
      <c r="F405" s="196"/>
      <c r="G405" s="196"/>
      <c r="H405" s="196"/>
      <c r="I405" s="139"/>
      <c r="J405" s="196"/>
      <c r="K405" s="196"/>
      <c r="L405" s="139"/>
      <c r="M405" s="196"/>
      <c r="N405" s="196"/>
      <c r="O405" s="196"/>
      <c r="P405" s="196"/>
      <c r="Q405" s="196"/>
      <c r="R405" s="196"/>
      <c r="S405" s="196"/>
      <c r="T405" s="196"/>
      <c r="U405" s="196"/>
      <c r="V405" s="196"/>
      <c r="W405" s="196"/>
      <c r="X405" s="196"/>
      <c r="Y405" s="196"/>
      <c r="Z405" s="196"/>
      <c r="AA405" s="196"/>
      <c r="AB405" s="196"/>
      <c r="AC405" s="196"/>
      <c r="AD405" s="196"/>
      <c r="AE405" s="196"/>
      <c r="AF405" s="196"/>
      <c r="AG405" s="196"/>
      <c r="AH405" s="196"/>
    </row>
    <row r="406">
      <c r="A406" s="196"/>
      <c r="B406" s="196"/>
      <c r="C406" s="196"/>
      <c r="D406" s="196"/>
      <c r="E406" s="196"/>
      <c r="F406" s="196"/>
      <c r="G406" s="196"/>
      <c r="H406" s="196"/>
      <c r="I406" s="139"/>
      <c r="J406" s="196"/>
      <c r="K406" s="196"/>
      <c r="L406" s="139"/>
      <c r="M406" s="196"/>
      <c r="N406" s="196"/>
      <c r="O406" s="196"/>
      <c r="P406" s="196"/>
      <c r="Q406" s="196"/>
      <c r="R406" s="196"/>
      <c r="S406" s="196"/>
      <c r="T406" s="196"/>
      <c r="U406" s="196"/>
      <c r="V406" s="196"/>
      <c r="W406" s="196"/>
      <c r="X406" s="196"/>
      <c r="Y406" s="196"/>
      <c r="Z406" s="196"/>
      <c r="AA406" s="196"/>
      <c r="AB406" s="196"/>
      <c r="AC406" s="196"/>
      <c r="AD406" s="196"/>
      <c r="AE406" s="196"/>
      <c r="AF406" s="196"/>
      <c r="AG406" s="196"/>
      <c r="AH406" s="196"/>
    </row>
    <row r="407">
      <c r="A407" s="196"/>
      <c r="B407" s="196"/>
      <c r="C407" s="196"/>
      <c r="D407" s="196"/>
      <c r="E407" s="196"/>
      <c r="F407" s="196"/>
      <c r="G407" s="196"/>
      <c r="H407" s="196"/>
      <c r="I407" s="139"/>
      <c r="J407" s="196"/>
      <c r="K407" s="196"/>
      <c r="L407" s="139"/>
      <c r="M407" s="196"/>
      <c r="N407" s="196"/>
      <c r="O407" s="196"/>
      <c r="P407" s="196"/>
      <c r="Q407" s="196"/>
      <c r="R407" s="196"/>
      <c r="S407" s="196"/>
      <c r="T407" s="196"/>
      <c r="U407" s="196"/>
      <c r="V407" s="196"/>
      <c r="W407" s="196"/>
      <c r="X407" s="196"/>
      <c r="Y407" s="196"/>
      <c r="Z407" s="196"/>
      <c r="AA407" s="196"/>
      <c r="AB407" s="196"/>
      <c r="AC407" s="196"/>
      <c r="AD407" s="196"/>
      <c r="AE407" s="196"/>
      <c r="AF407" s="196"/>
      <c r="AG407" s="196"/>
      <c r="AH407" s="196"/>
    </row>
    <row r="408">
      <c r="A408" s="196"/>
      <c r="B408" s="196"/>
      <c r="C408" s="196"/>
      <c r="D408" s="196"/>
      <c r="E408" s="196"/>
      <c r="F408" s="196"/>
      <c r="G408" s="196"/>
      <c r="H408" s="196"/>
      <c r="I408" s="139"/>
      <c r="J408" s="196"/>
      <c r="K408" s="196"/>
      <c r="L408" s="139"/>
      <c r="M408" s="196"/>
      <c r="N408" s="196"/>
      <c r="O408" s="196"/>
      <c r="P408" s="196"/>
      <c r="Q408" s="196"/>
      <c r="R408" s="196"/>
      <c r="S408" s="196"/>
      <c r="T408" s="196"/>
      <c r="U408" s="196"/>
      <c r="V408" s="196"/>
      <c r="W408" s="196"/>
      <c r="X408" s="196"/>
      <c r="Y408" s="196"/>
      <c r="Z408" s="196"/>
      <c r="AA408" s="196"/>
      <c r="AB408" s="196"/>
      <c r="AC408" s="196"/>
      <c r="AD408" s="196"/>
      <c r="AE408" s="196"/>
      <c r="AF408" s="196"/>
      <c r="AG408" s="196"/>
      <c r="AH408" s="196"/>
    </row>
    <row r="409">
      <c r="A409" s="196"/>
      <c r="B409" s="196"/>
      <c r="C409" s="196"/>
      <c r="D409" s="196"/>
      <c r="E409" s="196"/>
      <c r="F409" s="196"/>
      <c r="G409" s="196"/>
      <c r="H409" s="196"/>
      <c r="I409" s="139"/>
      <c r="J409" s="196"/>
      <c r="K409" s="196"/>
      <c r="L409" s="139"/>
      <c r="M409" s="196"/>
      <c r="N409" s="196"/>
      <c r="O409" s="196"/>
      <c r="P409" s="196"/>
      <c r="Q409" s="196"/>
      <c r="R409" s="196"/>
      <c r="S409" s="196"/>
      <c r="T409" s="196"/>
      <c r="U409" s="196"/>
      <c r="V409" s="196"/>
      <c r="W409" s="196"/>
      <c r="X409" s="196"/>
      <c r="Y409" s="196"/>
      <c r="Z409" s="196"/>
      <c r="AA409" s="196"/>
      <c r="AB409" s="196"/>
      <c r="AC409" s="196"/>
      <c r="AD409" s="196"/>
      <c r="AE409" s="196"/>
      <c r="AF409" s="196"/>
      <c r="AG409" s="196"/>
      <c r="AH409" s="196"/>
    </row>
    <row r="410">
      <c r="A410" s="196"/>
      <c r="B410" s="196"/>
      <c r="C410" s="196"/>
      <c r="D410" s="196"/>
      <c r="E410" s="196"/>
      <c r="F410" s="196"/>
      <c r="G410" s="196"/>
      <c r="H410" s="196"/>
      <c r="I410" s="139"/>
      <c r="J410" s="196"/>
      <c r="K410" s="196"/>
      <c r="L410" s="139"/>
      <c r="M410" s="196"/>
      <c r="N410" s="196"/>
      <c r="O410" s="196"/>
      <c r="P410" s="196"/>
      <c r="Q410" s="196"/>
      <c r="R410" s="196"/>
      <c r="S410" s="196"/>
      <c r="T410" s="196"/>
      <c r="U410" s="196"/>
      <c r="V410" s="196"/>
      <c r="W410" s="196"/>
      <c r="X410" s="196"/>
      <c r="Y410" s="196"/>
      <c r="Z410" s="196"/>
      <c r="AA410" s="196"/>
      <c r="AB410" s="196"/>
      <c r="AC410" s="196"/>
      <c r="AD410" s="196"/>
      <c r="AE410" s="196"/>
      <c r="AF410" s="196"/>
      <c r="AG410" s="196"/>
      <c r="AH410" s="196"/>
    </row>
    <row r="411">
      <c r="A411" s="196"/>
      <c r="B411" s="196"/>
      <c r="C411" s="196"/>
      <c r="D411" s="196"/>
      <c r="E411" s="196"/>
      <c r="F411" s="196"/>
      <c r="G411" s="196"/>
      <c r="H411" s="196"/>
      <c r="I411" s="139"/>
      <c r="J411" s="196"/>
      <c r="K411" s="196"/>
      <c r="L411" s="139"/>
      <c r="M411" s="196"/>
      <c r="N411" s="196"/>
      <c r="O411" s="196"/>
      <c r="P411" s="196"/>
      <c r="Q411" s="196"/>
      <c r="R411" s="196"/>
      <c r="S411" s="196"/>
      <c r="T411" s="196"/>
      <c r="U411" s="196"/>
      <c r="V411" s="196"/>
      <c r="W411" s="196"/>
      <c r="X411" s="196"/>
      <c r="Y411" s="196"/>
      <c r="Z411" s="196"/>
      <c r="AA411" s="196"/>
      <c r="AB411" s="196"/>
      <c r="AC411" s="196"/>
      <c r="AD411" s="196"/>
      <c r="AE411" s="196"/>
      <c r="AF411" s="196"/>
      <c r="AG411" s="196"/>
      <c r="AH411" s="196"/>
    </row>
    <row r="412">
      <c r="A412" s="196"/>
      <c r="B412" s="196"/>
      <c r="C412" s="196"/>
      <c r="D412" s="196"/>
      <c r="E412" s="196"/>
      <c r="F412" s="196"/>
      <c r="G412" s="196"/>
      <c r="H412" s="196"/>
      <c r="I412" s="139"/>
      <c r="J412" s="196"/>
      <c r="K412" s="196"/>
      <c r="L412" s="139"/>
      <c r="M412" s="196"/>
      <c r="N412" s="196"/>
      <c r="O412" s="196"/>
      <c r="P412" s="196"/>
      <c r="Q412" s="196"/>
      <c r="R412" s="196"/>
      <c r="S412" s="196"/>
      <c r="T412" s="196"/>
      <c r="U412" s="196"/>
      <c r="V412" s="196"/>
      <c r="W412" s="196"/>
      <c r="X412" s="196"/>
      <c r="Y412" s="196"/>
      <c r="Z412" s="196"/>
      <c r="AA412" s="196"/>
      <c r="AB412" s="196"/>
      <c r="AC412" s="196"/>
      <c r="AD412" s="196"/>
      <c r="AE412" s="196"/>
      <c r="AF412" s="196"/>
      <c r="AG412" s="196"/>
      <c r="AH412" s="196"/>
    </row>
    <row r="413">
      <c r="A413" s="196"/>
      <c r="B413" s="196"/>
      <c r="C413" s="196"/>
      <c r="D413" s="196"/>
      <c r="E413" s="196"/>
      <c r="F413" s="196"/>
      <c r="G413" s="196"/>
      <c r="H413" s="196"/>
      <c r="I413" s="139"/>
      <c r="J413" s="196"/>
      <c r="K413" s="196"/>
      <c r="L413" s="139"/>
      <c r="M413" s="196"/>
      <c r="N413" s="196"/>
      <c r="O413" s="196"/>
      <c r="P413" s="196"/>
      <c r="Q413" s="196"/>
      <c r="R413" s="196"/>
      <c r="S413" s="196"/>
      <c r="T413" s="196"/>
      <c r="U413" s="196"/>
      <c r="V413" s="196"/>
      <c r="W413" s="196"/>
      <c r="X413" s="196"/>
      <c r="Y413" s="196"/>
      <c r="Z413" s="196"/>
      <c r="AA413" s="196"/>
      <c r="AB413" s="196"/>
      <c r="AC413" s="196"/>
      <c r="AD413" s="196"/>
      <c r="AE413" s="196"/>
      <c r="AF413" s="196"/>
      <c r="AG413" s="196"/>
      <c r="AH413" s="196"/>
    </row>
    <row r="414">
      <c r="A414" s="196"/>
      <c r="B414" s="196"/>
      <c r="C414" s="196"/>
      <c r="D414" s="196"/>
      <c r="E414" s="196"/>
      <c r="F414" s="196"/>
      <c r="G414" s="196"/>
      <c r="H414" s="196"/>
      <c r="I414" s="139"/>
      <c r="J414" s="196"/>
      <c r="K414" s="196"/>
      <c r="L414" s="139"/>
      <c r="M414" s="196"/>
      <c r="N414" s="196"/>
      <c r="O414" s="196"/>
      <c r="P414" s="196"/>
      <c r="Q414" s="196"/>
      <c r="R414" s="196"/>
      <c r="S414" s="196"/>
      <c r="T414" s="196"/>
      <c r="U414" s="196"/>
      <c r="V414" s="196"/>
      <c r="W414" s="196"/>
      <c r="X414" s="196"/>
      <c r="Y414" s="196"/>
      <c r="Z414" s="196"/>
      <c r="AA414" s="196"/>
      <c r="AB414" s="196"/>
      <c r="AC414" s="196"/>
      <c r="AD414" s="196"/>
      <c r="AE414" s="196"/>
      <c r="AF414" s="196"/>
      <c r="AG414" s="196"/>
      <c r="AH414" s="196"/>
    </row>
    <row r="415">
      <c r="A415" s="196"/>
      <c r="B415" s="196"/>
      <c r="C415" s="196"/>
      <c r="D415" s="196"/>
      <c r="E415" s="196"/>
      <c r="F415" s="196"/>
      <c r="G415" s="196"/>
      <c r="H415" s="196"/>
      <c r="I415" s="139"/>
      <c r="J415" s="196"/>
      <c r="K415" s="196"/>
      <c r="L415" s="139"/>
      <c r="M415" s="196"/>
      <c r="N415" s="196"/>
      <c r="O415" s="196"/>
      <c r="P415" s="196"/>
      <c r="Q415" s="196"/>
      <c r="R415" s="196"/>
      <c r="S415" s="196"/>
      <c r="T415" s="196"/>
      <c r="U415" s="196"/>
      <c r="V415" s="196"/>
      <c r="W415" s="196"/>
      <c r="X415" s="196"/>
      <c r="Y415" s="196"/>
      <c r="Z415" s="196"/>
      <c r="AA415" s="196"/>
      <c r="AB415" s="196"/>
      <c r="AC415" s="196"/>
      <c r="AD415" s="196"/>
      <c r="AE415" s="196"/>
      <c r="AF415" s="196"/>
      <c r="AG415" s="196"/>
      <c r="AH415" s="196"/>
    </row>
    <row r="416">
      <c r="A416" s="196"/>
      <c r="B416" s="196"/>
      <c r="C416" s="196"/>
      <c r="D416" s="196"/>
      <c r="E416" s="196"/>
      <c r="F416" s="196"/>
      <c r="G416" s="196"/>
      <c r="H416" s="196"/>
      <c r="I416" s="139"/>
      <c r="J416" s="196"/>
      <c r="K416" s="196"/>
      <c r="L416" s="139"/>
      <c r="M416" s="196"/>
      <c r="N416" s="196"/>
      <c r="O416" s="196"/>
      <c r="P416" s="196"/>
      <c r="Q416" s="196"/>
      <c r="R416" s="196"/>
      <c r="S416" s="196"/>
      <c r="T416" s="196"/>
      <c r="U416" s="196"/>
      <c r="V416" s="196"/>
      <c r="W416" s="196"/>
      <c r="X416" s="196"/>
      <c r="Y416" s="196"/>
      <c r="Z416" s="196"/>
      <c r="AA416" s="196"/>
      <c r="AB416" s="196"/>
      <c r="AC416" s="196"/>
      <c r="AD416" s="196"/>
      <c r="AE416" s="196"/>
      <c r="AF416" s="196"/>
      <c r="AG416" s="196"/>
      <c r="AH416" s="196"/>
    </row>
    <row r="417">
      <c r="A417" s="196"/>
      <c r="B417" s="196"/>
      <c r="C417" s="196"/>
      <c r="D417" s="196"/>
      <c r="E417" s="196"/>
      <c r="F417" s="196"/>
      <c r="G417" s="196"/>
      <c r="H417" s="196"/>
      <c r="I417" s="139"/>
      <c r="J417" s="196"/>
      <c r="K417" s="196"/>
      <c r="L417" s="139"/>
      <c r="M417" s="196"/>
      <c r="N417" s="196"/>
      <c r="O417" s="196"/>
      <c r="P417" s="196"/>
      <c r="Q417" s="196"/>
      <c r="R417" s="196"/>
      <c r="S417" s="196"/>
      <c r="T417" s="196"/>
      <c r="U417" s="196"/>
      <c r="V417" s="196"/>
      <c r="W417" s="196"/>
      <c r="X417" s="196"/>
      <c r="Y417" s="196"/>
      <c r="Z417" s="196"/>
      <c r="AA417" s="196"/>
      <c r="AB417" s="196"/>
      <c r="AC417" s="196"/>
      <c r="AD417" s="196"/>
      <c r="AE417" s="196"/>
      <c r="AF417" s="196"/>
      <c r="AG417" s="196"/>
      <c r="AH417" s="196"/>
    </row>
    <row r="418">
      <c r="A418" s="196"/>
      <c r="B418" s="196"/>
      <c r="C418" s="196"/>
      <c r="D418" s="196"/>
      <c r="E418" s="196"/>
      <c r="F418" s="196"/>
      <c r="G418" s="196"/>
      <c r="H418" s="196"/>
      <c r="I418" s="139"/>
      <c r="J418" s="196"/>
      <c r="K418" s="196"/>
      <c r="L418" s="139"/>
      <c r="M418" s="196"/>
      <c r="N418" s="196"/>
      <c r="O418" s="196"/>
      <c r="P418" s="196"/>
      <c r="Q418" s="196"/>
      <c r="R418" s="196"/>
      <c r="S418" s="196"/>
      <c r="T418" s="196"/>
      <c r="U418" s="196"/>
      <c r="V418" s="196"/>
      <c r="W418" s="196"/>
      <c r="X418" s="196"/>
      <c r="Y418" s="196"/>
      <c r="Z418" s="196"/>
      <c r="AA418" s="196"/>
      <c r="AB418" s="196"/>
      <c r="AC418" s="196"/>
      <c r="AD418" s="196"/>
      <c r="AE418" s="196"/>
      <c r="AF418" s="196"/>
      <c r="AG418" s="196"/>
      <c r="AH418" s="196"/>
    </row>
    <row r="419">
      <c r="A419" s="196"/>
      <c r="B419" s="196"/>
      <c r="C419" s="196"/>
      <c r="D419" s="196"/>
      <c r="E419" s="196"/>
      <c r="F419" s="196"/>
      <c r="G419" s="196"/>
      <c r="H419" s="196"/>
      <c r="I419" s="139"/>
      <c r="J419" s="196"/>
      <c r="K419" s="196"/>
      <c r="L419" s="139"/>
      <c r="M419" s="196"/>
      <c r="N419" s="196"/>
      <c r="O419" s="196"/>
      <c r="P419" s="196"/>
      <c r="Q419" s="196"/>
      <c r="R419" s="196"/>
      <c r="S419" s="196"/>
      <c r="T419" s="196"/>
      <c r="U419" s="196"/>
      <c r="V419" s="196"/>
      <c r="W419" s="196"/>
      <c r="X419" s="196"/>
      <c r="Y419" s="196"/>
      <c r="Z419" s="196"/>
      <c r="AA419" s="196"/>
      <c r="AB419" s="196"/>
      <c r="AC419" s="196"/>
      <c r="AD419" s="196"/>
      <c r="AE419" s="196"/>
      <c r="AF419" s="196"/>
      <c r="AG419" s="196"/>
      <c r="AH419" s="196"/>
    </row>
    <row r="420">
      <c r="A420" s="196"/>
      <c r="B420" s="196"/>
      <c r="C420" s="196"/>
      <c r="D420" s="196"/>
      <c r="E420" s="196"/>
      <c r="F420" s="196"/>
      <c r="G420" s="196"/>
      <c r="H420" s="196"/>
      <c r="I420" s="139"/>
      <c r="J420" s="196"/>
      <c r="K420" s="196"/>
      <c r="L420" s="139"/>
      <c r="M420" s="196"/>
      <c r="N420" s="196"/>
      <c r="O420" s="196"/>
      <c r="P420" s="196"/>
      <c r="Q420" s="196"/>
      <c r="R420" s="196"/>
      <c r="S420" s="196"/>
      <c r="T420" s="196"/>
      <c r="U420" s="196"/>
      <c r="V420" s="196"/>
      <c r="W420" s="196"/>
      <c r="X420" s="196"/>
      <c r="Y420" s="196"/>
      <c r="Z420" s="196"/>
      <c r="AA420" s="196"/>
      <c r="AB420" s="196"/>
      <c r="AC420" s="196"/>
      <c r="AD420" s="196"/>
      <c r="AE420" s="196"/>
      <c r="AF420" s="196"/>
      <c r="AG420" s="196"/>
      <c r="AH420" s="196"/>
    </row>
    <row r="421">
      <c r="A421" s="196"/>
      <c r="B421" s="196"/>
      <c r="C421" s="196"/>
      <c r="D421" s="196"/>
      <c r="E421" s="196"/>
      <c r="F421" s="196"/>
      <c r="G421" s="196"/>
      <c r="H421" s="196"/>
      <c r="I421" s="139"/>
      <c r="J421" s="196"/>
      <c r="K421" s="196"/>
      <c r="L421" s="139"/>
      <c r="M421" s="196"/>
      <c r="N421" s="196"/>
      <c r="O421" s="196"/>
      <c r="P421" s="196"/>
      <c r="Q421" s="196"/>
      <c r="R421" s="196"/>
      <c r="S421" s="196"/>
      <c r="T421" s="196"/>
      <c r="U421" s="196"/>
      <c r="V421" s="196"/>
      <c r="W421" s="196"/>
      <c r="X421" s="196"/>
      <c r="Y421" s="196"/>
      <c r="Z421" s="196"/>
      <c r="AA421" s="196"/>
      <c r="AB421" s="196"/>
      <c r="AC421" s="196"/>
      <c r="AD421" s="196"/>
      <c r="AE421" s="196"/>
      <c r="AF421" s="196"/>
      <c r="AG421" s="196"/>
      <c r="AH421" s="196"/>
    </row>
    <row r="422">
      <c r="A422" s="196"/>
      <c r="B422" s="196"/>
      <c r="C422" s="196"/>
      <c r="D422" s="196"/>
      <c r="E422" s="196"/>
      <c r="F422" s="196"/>
      <c r="G422" s="196"/>
      <c r="H422" s="196"/>
      <c r="I422" s="139"/>
      <c r="J422" s="196"/>
      <c r="K422" s="196"/>
      <c r="L422" s="139"/>
      <c r="M422" s="196"/>
      <c r="N422" s="196"/>
      <c r="O422" s="196"/>
      <c r="P422" s="196"/>
      <c r="Q422" s="196"/>
      <c r="R422" s="196"/>
      <c r="S422" s="196"/>
      <c r="T422" s="196"/>
      <c r="U422" s="196"/>
      <c r="V422" s="196"/>
      <c r="W422" s="196"/>
      <c r="X422" s="196"/>
      <c r="Y422" s="196"/>
      <c r="Z422" s="196"/>
      <c r="AA422" s="196"/>
      <c r="AB422" s="196"/>
      <c r="AC422" s="196"/>
      <c r="AD422" s="196"/>
      <c r="AE422" s="196"/>
      <c r="AF422" s="196"/>
      <c r="AG422" s="196"/>
      <c r="AH422" s="196"/>
    </row>
    <row r="423">
      <c r="A423" s="196"/>
      <c r="B423" s="196"/>
      <c r="C423" s="196"/>
      <c r="D423" s="196"/>
      <c r="E423" s="196"/>
      <c r="F423" s="196"/>
      <c r="G423" s="196"/>
      <c r="H423" s="196"/>
      <c r="I423" s="139"/>
      <c r="J423" s="196"/>
      <c r="K423" s="196"/>
      <c r="L423" s="139"/>
      <c r="M423" s="196"/>
      <c r="N423" s="196"/>
      <c r="O423" s="196"/>
      <c r="P423" s="196"/>
      <c r="Q423" s="196"/>
      <c r="R423" s="196"/>
      <c r="S423" s="196"/>
      <c r="T423" s="196"/>
      <c r="U423" s="196"/>
      <c r="V423" s="196"/>
      <c r="W423" s="196"/>
      <c r="X423" s="196"/>
      <c r="Y423" s="196"/>
      <c r="Z423" s="196"/>
      <c r="AA423" s="196"/>
      <c r="AB423" s="196"/>
      <c r="AC423" s="196"/>
      <c r="AD423" s="196"/>
      <c r="AE423" s="196"/>
      <c r="AF423" s="196"/>
      <c r="AG423" s="196"/>
      <c r="AH423" s="196"/>
    </row>
    <row r="424">
      <c r="A424" s="196"/>
      <c r="B424" s="196"/>
      <c r="C424" s="196"/>
      <c r="D424" s="196"/>
      <c r="E424" s="196"/>
      <c r="F424" s="196"/>
      <c r="G424" s="196"/>
      <c r="H424" s="196"/>
      <c r="I424" s="139"/>
      <c r="J424" s="196"/>
      <c r="K424" s="196"/>
      <c r="L424" s="139"/>
      <c r="M424" s="196"/>
      <c r="N424" s="196"/>
      <c r="O424" s="196"/>
      <c r="P424" s="196"/>
      <c r="Q424" s="196"/>
      <c r="R424" s="196"/>
      <c r="S424" s="196"/>
      <c r="T424" s="196"/>
      <c r="U424" s="196"/>
      <c r="V424" s="196"/>
      <c r="W424" s="196"/>
      <c r="X424" s="196"/>
      <c r="Y424" s="196"/>
      <c r="Z424" s="196"/>
      <c r="AA424" s="196"/>
      <c r="AB424" s="196"/>
      <c r="AC424" s="196"/>
      <c r="AD424" s="196"/>
      <c r="AE424" s="196"/>
      <c r="AF424" s="196"/>
      <c r="AG424" s="196"/>
      <c r="AH424" s="196"/>
    </row>
    <row r="425">
      <c r="A425" s="196"/>
      <c r="B425" s="196"/>
      <c r="C425" s="196"/>
      <c r="D425" s="196"/>
      <c r="E425" s="196"/>
      <c r="F425" s="196"/>
      <c r="G425" s="196"/>
      <c r="H425" s="196"/>
      <c r="I425" s="139"/>
      <c r="J425" s="196"/>
      <c r="K425" s="196"/>
      <c r="L425" s="139"/>
      <c r="M425" s="196"/>
      <c r="N425" s="196"/>
      <c r="O425" s="196"/>
      <c r="P425" s="196"/>
      <c r="Q425" s="196"/>
      <c r="R425" s="196"/>
      <c r="S425" s="196"/>
      <c r="T425" s="196"/>
      <c r="U425" s="196"/>
      <c r="V425" s="196"/>
      <c r="W425" s="196"/>
      <c r="X425" s="196"/>
      <c r="Y425" s="196"/>
      <c r="Z425" s="196"/>
      <c r="AA425" s="196"/>
      <c r="AB425" s="196"/>
      <c r="AC425" s="196"/>
      <c r="AD425" s="196"/>
      <c r="AE425" s="196"/>
      <c r="AF425" s="196"/>
      <c r="AG425" s="196"/>
      <c r="AH425" s="196"/>
    </row>
    <row r="426">
      <c r="A426" s="196"/>
      <c r="B426" s="196"/>
      <c r="C426" s="196"/>
      <c r="D426" s="196"/>
      <c r="E426" s="196"/>
      <c r="F426" s="196"/>
      <c r="G426" s="196"/>
      <c r="H426" s="196"/>
      <c r="I426" s="139"/>
      <c r="J426" s="196"/>
      <c r="K426" s="196"/>
      <c r="L426" s="139"/>
      <c r="M426" s="196"/>
      <c r="N426" s="196"/>
      <c r="O426" s="196"/>
      <c r="P426" s="196"/>
      <c r="Q426" s="196"/>
      <c r="R426" s="196"/>
      <c r="S426" s="196"/>
      <c r="T426" s="196"/>
      <c r="U426" s="196"/>
      <c r="V426" s="196"/>
      <c r="W426" s="196"/>
      <c r="X426" s="196"/>
      <c r="Y426" s="196"/>
      <c r="Z426" s="196"/>
      <c r="AA426" s="196"/>
      <c r="AB426" s="196"/>
      <c r="AC426" s="196"/>
      <c r="AD426" s="196"/>
      <c r="AE426" s="196"/>
      <c r="AF426" s="196"/>
      <c r="AG426" s="196"/>
      <c r="AH426" s="196"/>
    </row>
    <row r="427">
      <c r="A427" s="196"/>
      <c r="B427" s="196"/>
      <c r="C427" s="196"/>
      <c r="D427" s="196"/>
      <c r="E427" s="196"/>
      <c r="F427" s="196"/>
      <c r="G427" s="196"/>
      <c r="H427" s="196"/>
      <c r="I427" s="139"/>
      <c r="J427" s="196"/>
      <c r="K427" s="196"/>
      <c r="L427" s="139"/>
      <c r="M427" s="196"/>
      <c r="N427" s="196"/>
      <c r="O427" s="196"/>
      <c r="P427" s="196"/>
      <c r="Q427" s="196"/>
      <c r="R427" s="196"/>
      <c r="S427" s="196"/>
      <c r="T427" s="196"/>
      <c r="U427" s="196"/>
      <c r="V427" s="196"/>
      <c r="W427" s="196"/>
      <c r="X427" s="196"/>
      <c r="Y427" s="196"/>
      <c r="Z427" s="196"/>
      <c r="AA427" s="196"/>
      <c r="AB427" s="196"/>
      <c r="AC427" s="196"/>
      <c r="AD427" s="196"/>
      <c r="AE427" s="196"/>
      <c r="AF427" s="196"/>
      <c r="AG427" s="196"/>
      <c r="AH427" s="196"/>
    </row>
    <row r="428">
      <c r="A428" s="196"/>
      <c r="B428" s="196"/>
      <c r="C428" s="196"/>
      <c r="D428" s="196"/>
      <c r="E428" s="196"/>
      <c r="F428" s="196"/>
      <c r="G428" s="196"/>
      <c r="H428" s="196"/>
      <c r="I428" s="139"/>
      <c r="J428" s="196"/>
      <c r="K428" s="196"/>
      <c r="L428" s="139"/>
      <c r="M428" s="196"/>
      <c r="N428" s="196"/>
      <c r="O428" s="196"/>
      <c r="P428" s="196"/>
      <c r="Q428" s="196"/>
      <c r="R428" s="196"/>
      <c r="S428" s="196"/>
      <c r="T428" s="196"/>
      <c r="U428" s="196"/>
      <c r="V428" s="196"/>
      <c r="W428" s="196"/>
      <c r="X428" s="196"/>
      <c r="Y428" s="196"/>
      <c r="Z428" s="196"/>
      <c r="AA428" s="196"/>
      <c r="AB428" s="196"/>
      <c r="AC428" s="196"/>
      <c r="AD428" s="196"/>
      <c r="AE428" s="196"/>
      <c r="AF428" s="196"/>
      <c r="AG428" s="196"/>
      <c r="AH428" s="196"/>
    </row>
    <row r="429">
      <c r="A429" s="196"/>
      <c r="B429" s="196"/>
      <c r="C429" s="196"/>
      <c r="D429" s="196"/>
      <c r="E429" s="196"/>
      <c r="F429" s="196"/>
      <c r="G429" s="196"/>
      <c r="H429" s="196"/>
      <c r="I429" s="139"/>
      <c r="J429" s="196"/>
      <c r="K429" s="196"/>
      <c r="L429" s="139"/>
      <c r="M429" s="196"/>
      <c r="N429" s="196"/>
      <c r="O429" s="196"/>
      <c r="P429" s="196"/>
      <c r="Q429" s="196"/>
      <c r="R429" s="196"/>
      <c r="S429" s="196"/>
      <c r="T429" s="196"/>
      <c r="U429" s="196"/>
      <c r="V429" s="196"/>
      <c r="W429" s="196"/>
      <c r="X429" s="196"/>
      <c r="Y429" s="196"/>
      <c r="Z429" s="196"/>
      <c r="AA429" s="196"/>
      <c r="AB429" s="196"/>
      <c r="AC429" s="196"/>
      <c r="AD429" s="196"/>
      <c r="AE429" s="196"/>
      <c r="AF429" s="196"/>
      <c r="AG429" s="196"/>
      <c r="AH429" s="196"/>
    </row>
    <row r="430">
      <c r="A430" s="196"/>
      <c r="B430" s="196"/>
      <c r="C430" s="196"/>
      <c r="D430" s="196"/>
      <c r="E430" s="196"/>
      <c r="F430" s="196"/>
      <c r="G430" s="196"/>
      <c r="H430" s="196"/>
      <c r="I430" s="139"/>
      <c r="J430" s="196"/>
      <c r="K430" s="196"/>
      <c r="L430" s="139"/>
      <c r="M430" s="196"/>
      <c r="N430" s="196"/>
      <c r="O430" s="196"/>
      <c r="P430" s="196"/>
      <c r="Q430" s="196"/>
      <c r="R430" s="196"/>
      <c r="S430" s="196"/>
      <c r="T430" s="196"/>
      <c r="U430" s="196"/>
      <c r="V430" s="196"/>
      <c r="W430" s="196"/>
      <c r="X430" s="196"/>
      <c r="Y430" s="196"/>
      <c r="Z430" s="196"/>
      <c r="AA430" s="196"/>
      <c r="AB430" s="196"/>
      <c r="AC430" s="196"/>
      <c r="AD430" s="196"/>
      <c r="AE430" s="196"/>
      <c r="AF430" s="196"/>
      <c r="AG430" s="196"/>
      <c r="AH430" s="196"/>
    </row>
    <row r="431">
      <c r="A431" s="196"/>
      <c r="B431" s="196"/>
      <c r="C431" s="196"/>
      <c r="D431" s="196"/>
      <c r="E431" s="196"/>
      <c r="F431" s="196"/>
      <c r="G431" s="196"/>
      <c r="H431" s="196"/>
      <c r="I431" s="139"/>
      <c r="J431" s="196"/>
      <c r="K431" s="196"/>
      <c r="L431" s="139"/>
      <c r="M431" s="196"/>
      <c r="N431" s="196"/>
      <c r="O431" s="196"/>
      <c r="P431" s="196"/>
      <c r="Q431" s="196"/>
      <c r="R431" s="196"/>
      <c r="S431" s="196"/>
      <c r="T431" s="196"/>
      <c r="U431" s="196"/>
      <c r="V431" s="196"/>
      <c r="W431" s="196"/>
      <c r="X431" s="196"/>
      <c r="Y431" s="196"/>
      <c r="Z431" s="196"/>
      <c r="AA431" s="196"/>
      <c r="AB431" s="196"/>
      <c r="AC431" s="196"/>
      <c r="AD431" s="196"/>
      <c r="AE431" s="196"/>
      <c r="AF431" s="196"/>
      <c r="AG431" s="196"/>
      <c r="AH431" s="196"/>
    </row>
    <row r="432">
      <c r="A432" s="196"/>
      <c r="B432" s="196"/>
      <c r="C432" s="196"/>
      <c r="D432" s="196"/>
      <c r="E432" s="196"/>
      <c r="F432" s="196"/>
      <c r="G432" s="196"/>
      <c r="H432" s="196"/>
      <c r="I432" s="139"/>
      <c r="J432" s="196"/>
      <c r="K432" s="196"/>
      <c r="L432" s="139"/>
      <c r="M432" s="196"/>
      <c r="N432" s="196"/>
      <c r="O432" s="196"/>
      <c r="P432" s="196"/>
      <c r="Q432" s="196"/>
      <c r="R432" s="196"/>
      <c r="S432" s="196"/>
      <c r="T432" s="196"/>
      <c r="U432" s="196"/>
      <c r="V432" s="196"/>
      <c r="W432" s="196"/>
      <c r="X432" s="196"/>
      <c r="Y432" s="196"/>
      <c r="Z432" s="196"/>
      <c r="AA432" s="196"/>
      <c r="AB432" s="196"/>
      <c r="AC432" s="196"/>
      <c r="AD432" s="196"/>
      <c r="AE432" s="196"/>
      <c r="AF432" s="196"/>
      <c r="AG432" s="196"/>
      <c r="AH432" s="196"/>
    </row>
    <row r="433">
      <c r="A433" s="196"/>
      <c r="B433" s="196"/>
      <c r="C433" s="196"/>
      <c r="D433" s="196"/>
      <c r="E433" s="196"/>
      <c r="F433" s="196"/>
      <c r="G433" s="196"/>
      <c r="H433" s="196"/>
      <c r="I433" s="139"/>
      <c r="J433" s="196"/>
      <c r="K433" s="196"/>
      <c r="L433" s="139"/>
      <c r="M433" s="196"/>
      <c r="N433" s="196"/>
      <c r="O433" s="196"/>
      <c r="P433" s="196"/>
      <c r="Q433" s="196"/>
      <c r="R433" s="196"/>
      <c r="S433" s="196"/>
      <c r="T433" s="196"/>
      <c r="U433" s="196"/>
      <c r="V433" s="196"/>
      <c r="W433" s="196"/>
      <c r="X433" s="196"/>
      <c r="Y433" s="196"/>
      <c r="Z433" s="196"/>
      <c r="AA433" s="196"/>
      <c r="AB433" s="196"/>
      <c r="AC433" s="196"/>
      <c r="AD433" s="196"/>
      <c r="AE433" s="196"/>
      <c r="AF433" s="196"/>
      <c r="AG433" s="196"/>
      <c r="AH433" s="196"/>
    </row>
    <row r="434">
      <c r="A434" s="196"/>
      <c r="B434" s="196"/>
      <c r="C434" s="196"/>
      <c r="D434" s="196"/>
      <c r="E434" s="196"/>
      <c r="F434" s="196"/>
      <c r="G434" s="196"/>
      <c r="H434" s="196"/>
      <c r="I434" s="139"/>
      <c r="J434" s="196"/>
      <c r="K434" s="196"/>
      <c r="L434" s="139"/>
      <c r="M434" s="196"/>
      <c r="N434" s="196"/>
      <c r="O434" s="196"/>
      <c r="P434" s="196"/>
      <c r="Q434" s="196"/>
      <c r="R434" s="196"/>
      <c r="S434" s="196"/>
      <c r="T434" s="196"/>
      <c r="U434" s="196"/>
      <c r="V434" s="196"/>
      <c r="W434" s="196"/>
      <c r="X434" s="196"/>
      <c r="Y434" s="196"/>
      <c r="Z434" s="196"/>
      <c r="AA434" s="196"/>
      <c r="AB434" s="196"/>
      <c r="AC434" s="196"/>
      <c r="AD434" s="196"/>
      <c r="AE434" s="196"/>
      <c r="AF434" s="196"/>
      <c r="AG434" s="196"/>
      <c r="AH434" s="196"/>
    </row>
    <row r="435">
      <c r="A435" s="196"/>
      <c r="B435" s="196"/>
      <c r="C435" s="196"/>
      <c r="D435" s="196"/>
      <c r="E435" s="196"/>
      <c r="F435" s="196"/>
      <c r="G435" s="196"/>
      <c r="H435" s="196"/>
      <c r="I435" s="139"/>
      <c r="J435" s="196"/>
      <c r="K435" s="196"/>
      <c r="L435" s="139"/>
      <c r="M435" s="196"/>
      <c r="N435" s="196"/>
      <c r="O435" s="196"/>
      <c r="P435" s="196"/>
      <c r="Q435" s="196"/>
      <c r="R435" s="196"/>
      <c r="S435" s="196"/>
      <c r="T435" s="196"/>
      <c r="U435" s="196"/>
      <c r="V435" s="196"/>
      <c r="W435" s="196"/>
      <c r="X435" s="196"/>
      <c r="Y435" s="196"/>
      <c r="Z435" s="196"/>
      <c r="AA435" s="196"/>
      <c r="AB435" s="196"/>
      <c r="AC435" s="196"/>
      <c r="AD435" s="196"/>
      <c r="AE435" s="196"/>
      <c r="AF435" s="196"/>
      <c r="AG435" s="196"/>
      <c r="AH435" s="196"/>
    </row>
    <row r="436">
      <c r="A436" s="196"/>
      <c r="B436" s="196"/>
      <c r="C436" s="196"/>
      <c r="D436" s="196"/>
      <c r="E436" s="196"/>
      <c r="F436" s="196"/>
      <c r="G436" s="196"/>
      <c r="H436" s="196"/>
      <c r="I436" s="139"/>
      <c r="J436" s="196"/>
      <c r="K436" s="196"/>
      <c r="L436" s="139"/>
      <c r="M436" s="196"/>
      <c r="N436" s="196"/>
      <c r="O436" s="196"/>
      <c r="P436" s="196"/>
      <c r="Q436" s="196"/>
      <c r="R436" s="196"/>
      <c r="S436" s="196"/>
      <c r="T436" s="196"/>
      <c r="U436" s="196"/>
      <c r="V436" s="196"/>
      <c r="W436" s="196"/>
      <c r="X436" s="196"/>
      <c r="Y436" s="196"/>
      <c r="Z436" s="196"/>
      <c r="AA436" s="196"/>
      <c r="AB436" s="196"/>
      <c r="AC436" s="196"/>
      <c r="AD436" s="196"/>
      <c r="AE436" s="196"/>
      <c r="AF436" s="196"/>
      <c r="AG436" s="196"/>
      <c r="AH436" s="196"/>
    </row>
    <row r="437">
      <c r="A437" s="196"/>
      <c r="B437" s="196"/>
      <c r="C437" s="196"/>
      <c r="D437" s="196"/>
      <c r="E437" s="196"/>
      <c r="F437" s="196"/>
      <c r="G437" s="196"/>
      <c r="H437" s="196"/>
      <c r="I437" s="139"/>
      <c r="J437" s="196"/>
      <c r="K437" s="196"/>
      <c r="L437" s="139"/>
      <c r="M437" s="196"/>
      <c r="N437" s="196"/>
      <c r="O437" s="196"/>
      <c r="P437" s="196"/>
      <c r="Q437" s="196"/>
      <c r="R437" s="196"/>
      <c r="S437" s="196"/>
      <c r="T437" s="196"/>
      <c r="U437" s="196"/>
      <c r="V437" s="196"/>
      <c r="W437" s="196"/>
      <c r="X437" s="196"/>
      <c r="Y437" s="196"/>
      <c r="Z437" s="196"/>
      <c r="AA437" s="196"/>
      <c r="AB437" s="196"/>
      <c r="AC437" s="196"/>
      <c r="AD437" s="196"/>
      <c r="AE437" s="196"/>
      <c r="AF437" s="196"/>
      <c r="AG437" s="196"/>
      <c r="AH437" s="196"/>
    </row>
    <row r="438">
      <c r="A438" s="196"/>
      <c r="B438" s="196"/>
      <c r="C438" s="196"/>
      <c r="D438" s="196"/>
      <c r="E438" s="196"/>
      <c r="F438" s="196"/>
      <c r="G438" s="196"/>
      <c r="H438" s="196"/>
      <c r="I438" s="139"/>
      <c r="J438" s="196"/>
      <c r="K438" s="196"/>
      <c r="L438" s="139"/>
      <c r="M438" s="196"/>
      <c r="N438" s="196"/>
      <c r="O438" s="196"/>
      <c r="P438" s="196"/>
      <c r="Q438" s="196"/>
      <c r="R438" s="196"/>
      <c r="S438" s="196"/>
      <c r="T438" s="196"/>
      <c r="U438" s="196"/>
      <c r="V438" s="196"/>
      <c r="W438" s="196"/>
      <c r="X438" s="196"/>
      <c r="Y438" s="196"/>
      <c r="Z438" s="196"/>
      <c r="AA438" s="196"/>
      <c r="AB438" s="196"/>
      <c r="AC438" s="196"/>
      <c r="AD438" s="196"/>
      <c r="AE438" s="196"/>
      <c r="AF438" s="196"/>
      <c r="AG438" s="196"/>
      <c r="AH438" s="196"/>
    </row>
    <row r="439">
      <c r="A439" s="196"/>
      <c r="B439" s="196"/>
      <c r="C439" s="196"/>
      <c r="D439" s="196"/>
      <c r="E439" s="196"/>
      <c r="F439" s="196"/>
      <c r="G439" s="196"/>
      <c r="H439" s="196"/>
      <c r="I439" s="139"/>
      <c r="J439" s="196"/>
      <c r="K439" s="196"/>
      <c r="L439" s="139"/>
      <c r="M439" s="196"/>
      <c r="N439" s="196"/>
      <c r="O439" s="196"/>
      <c r="P439" s="196"/>
      <c r="Q439" s="196"/>
      <c r="R439" s="196"/>
      <c r="S439" s="196"/>
      <c r="T439" s="196"/>
      <c r="U439" s="196"/>
      <c r="V439" s="196"/>
      <c r="W439" s="196"/>
      <c r="X439" s="196"/>
      <c r="Y439" s="196"/>
      <c r="Z439" s="196"/>
      <c r="AA439" s="196"/>
      <c r="AB439" s="196"/>
      <c r="AC439" s="196"/>
      <c r="AD439" s="196"/>
      <c r="AE439" s="196"/>
      <c r="AF439" s="196"/>
      <c r="AG439" s="196"/>
      <c r="AH439" s="196"/>
    </row>
    <row r="440">
      <c r="A440" s="196"/>
      <c r="B440" s="196"/>
      <c r="C440" s="196"/>
      <c r="D440" s="196"/>
      <c r="E440" s="196"/>
      <c r="F440" s="196"/>
      <c r="G440" s="196"/>
      <c r="H440" s="196"/>
      <c r="I440" s="139"/>
      <c r="J440" s="196"/>
      <c r="K440" s="196"/>
      <c r="L440" s="139"/>
      <c r="M440" s="196"/>
      <c r="N440" s="196"/>
      <c r="O440" s="196"/>
      <c r="P440" s="196"/>
      <c r="Q440" s="196"/>
      <c r="R440" s="196"/>
      <c r="S440" s="196"/>
      <c r="T440" s="196"/>
      <c r="U440" s="196"/>
      <c r="V440" s="196"/>
      <c r="W440" s="196"/>
      <c r="X440" s="196"/>
      <c r="Y440" s="196"/>
      <c r="Z440" s="196"/>
      <c r="AA440" s="196"/>
      <c r="AB440" s="196"/>
      <c r="AC440" s="196"/>
      <c r="AD440" s="196"/>
      <c r="AE440" s="196"/>
      <c r="AF440" s="196"/>
      <c r="AG440" s="196"/>
      <c r="AH440" s="196"/>
    </row>
    <row r="441">
      <c r="A441" s="196"/>
      <c r="B441" s="196"/>
      <c r="C441" s="196"/>
      <c r="D441" s="196"/>
      <c r="E441" s="196"/>
      <c r="F441" s="196"/>
      <c r="G441" s="196"/>
      <c r="H441" s="196"/>
      <c r="I441" s="139"/>
      <c r="J441" s="196"/>
      <c r="K441" s="196"/>
      <c r="L441" s="139"/>
      <c r="M441" s="196"/>
      <c r="N441" s="196"/>
      <c r="O441" s="196"/>
      <c r="P441" s="196"/>
      <c r="Q441" s="196"/>
      <c r="R441" s="196"/>
      <c r="S441" s="196"/>
      <c r="T441" s="196"/>
      <c r="U441" s="196"/>
      <c r="V441" s="196"/>
      <c r="W441" s="196"/>
      <c r="X441" s="196"/>
      <c r="Y441" s="196"/>
      <c r="Z441" s="196"/>
      <c r="AA441" s="196"/>
      <c r="AB441" s="196"/>
      <c r="AC441" s="196"/>
      <c r="AD441" s="196"/>
      <c r="AE441" s="196"/>
      <c r="AF441" s="196"/>
      <c r="AG441" s="196"/>
      <c r="AH441" s="196"/>
    </row>
    <row r="442">
      <c r="A442" s="196"/>
      <c r="B442" s="196"/>
      <c r="C442" s="196"/>
      <c r="D442" s="196"/>
      <c r="E442" s="196"/>
      <c r="F442" s="196"/>
      <c r="G442" s="196"/>
      <c r="H442" s="196"/>
      <c r="I442" s="139"/>
      <c r="J442" s="196"/>
      <c r="K442" s="196"/>
      <c r="L442" s="139"/>
      <c r="M442" s="196"/>
      <c r="N442" s="196"/>
      <c r="O442" s="196"/>
      <c r="P442" s="196"/>
      <c r="Q442" s="196"/>
      <c r="R442" s="196"/>
      <c r="S442" s="196"/>
      <c r="T442" s="196"/>
      <c r="U442" s="196"/>
      <c r="V442" s="196"/>
      <c r="W442" s="196"/>
      <c r="X442" s="196"/>
      <c r="Y442" s="196"/>
      <c r="Z442" s="196"/>
      <c r="AA442" s="196"/>
      <c r="AB442" s="196"/>
      <c r="AC442" s="196"/>
      <c r="AD442" s="196"/>
      <c r="AE442" s="196"/>
      <c r="AF442" s="196"/>
      <c r="AG442" s="196"/>
      <c r="AH442" s="196"/>
    </row>
    <row r="443">
      <c r="A443" s="196"/>
      <c r="B443" s="196"/>
      <c r="C443" s="196"/>
      <c r="D443" s="196"/>
      <c r="E443" s="196"/>
      <c r="F443" s="196"/>
      <c r="G443" s="196"/>
      <c r="H443" s="196"/>
      <c r="I443" s="139"/>
      <c r="J443" s="196"/>
      <c r="K443" s="196"/>
      <c r="L443" s="139"/>
      <c r="M443" s="196"/>
      <c r="N443" s="196"/>
      <c r="O443" s="196"/>
      <c r="P443" s="196"/>
      <c r="Q443" s="196"/>
      <c r="R443" s="196"/>
      <c r="S443" s="196"/>
      <c r="T443" s="196"/>
      <c r="U443" s="196"/>
      <c r="V443" s="196"/>
      <c r="W443" s="196"/>
      <c r="X443" s="196"/>
      <c r="Y443" s="196"/>
      <c r="Z443" s="196"/>
      <c r="AA443" s="196"/>
      <c r="AB443" s="196"/>
      <c r="AC443" s="196"/>
      <c r="AD443" s="196"/>
      <c r="AE443" s="196"/>
      <c r="AF443" s="196"/>
      <c r="AG443" s="196"/>
      <c r="AH443" s="196"/>
    </row>
    <row r="444">
      <c r="A444" s="196"/>
      <c r="B444" s="196"/>
      <c r="C444" s="196"/>
      <c r="D444" s="196"/>
      <c r="E444" s="196"/>
      <c r="F444" s="196"/>
      <c r="G444" s="196"/>
      <c r="H444" s="196"/>
      <c r="I444" s="139"/>
      <c r="J444" s="196"/>
      <c r="K444" s="196"/>
      <c r="L444" s="139"/>
      <c r="M444" s="196"/>
      <c r="N444" s="196"/>
      <c r="O444" s="196"/>
      <c r="P444" s="196"/>
      <c r="Q444" s="196"/>
      <c r="R444" s="196"/>
      <c r="S444" s="196"/>
      <c r="T444" s="196"/>
      <c r="U444" s="196"/>
      <c r="V444" s="196"/>
      <c r="W444" s="196"/>
      <c r="X444" s="196"/>
      <c r="Y444" s="196"/>
      <c r="Z444" s="196"/>
      <c r="AA444" s="196"/>
      <c r="AB444" s="196"/>
      <c r="AC444" s="196"/>
      <c r="AD444" s="196"/>
      <c r="AE444" s="196"/>
      <c r="AF444" s="196"/>
      <c r="AG444" s="196"/>
      <c r="AH444" s="196"/>
    </row>
    <row r="445">
      <c r="A445" s="196"/>
      <c r="B445" s="196"/>
      <c r="C445" s="196"/>
      <c r="D445" s="196"/>
      <c r="E445" s="196"/>
      <c r="F445" s="196"/>
      <c r="G445" s="196"/>
      <c r="H445" s="196"/>
      <c r="I445" s="139"/>
      <c r="J445" s="196"/>
      <c r="K445" s="196"/>
      <c r="L445" s="139"/>
      <c r="M445" s="196"/>
      <c r="N445" s="196"/>
      <c r="O445" s="196"/>
      <c r="P445" s="196"/>
      <c r="Q445" s="196"/>
      <c r="R445" s="196"/>
      <c r="S445" s="196"/>
      <c r="T445" s="196"/>
      <c r="U445" s="196"/>
      <c r="V445" s="196"/>
      <c r="W445" s="196"/>
      <c r="X445" s="196"/>
      <c r="Y445" s="196"/>
      <c r="Z445" s="196"/>
      <c r="AA445" s="196"/>
      <c r="AB445" s="196"/>
      <c r="AC445" s="196"/>
      <c r="AD445" s="196"/>
      <c r="AE445" s="196"/>
      <c r="AF445" s="196"/>
      <c r="AG445" s="196"/>
      <c r="AH445" s="196"/>
    </row>
    <row r="446">
      <c r="A446" s="196"/>
      <c r="B446" s="196"/>
      <c r="C446" s="196"/>
      <c r="D446" s="196"/>
      <c r="E446" s="196"/>
      <c r="F446" s="196"/>
      <c r="G446" s="196"/>
      <c r="H446" s="196"/>
      <c r="I446" s="139"/>
      <c r="J446" s="196"/>
      <c r="K446" s="196"/>
      <c r="L446" s="139"/>
      <c r="M446" s="196"/>
      <c r="N446" s="196"/>
      <c r="O446" s="196"/>
      <c r="P446" s="196"/>
      <c r="Q446" s="196"/>
      <c r="R446" s="196"/>
      <c r="S446" s="196"/>
      <c r="T446" s="196"/>
      <c r="U446" s="196"/>
      <c r="V446" s="196"/>
      <c r="W446" s="196"/>
      <c r="X446" s="196"/>
      <c r="Y446" s="196"/>
      <c r="Z446" s="196"/>
      <c r="AA446" s="196"/>
      <c r="AB446" s="196"/>
      <c r="AC446" s="196"/>
      <c r="AD446" s="196"/>
      <c r="AE446" s="196"/>
      <c r="AF446" s="196"/>
      <c r="AG446" s="196"/>
      <c r="AH446" s="196"/>
    </row>
    <row r="447">
      <c r="A447" s="196"/>
      <c r="B447" s="196"/>
      <c r="C447" s="196"/>
      <c r="D447" s="196"/>
      <c r="E447" s="196"/>
      <c r="F447" s="196"/>
      <c r="G447" s="196"/>
      <c r="H447" s="196"/>
      <c r="I447" s="139"/>
      <c r="J447" s="196"/>
      <c r="K447" s="196"/>
      <c r="L447" s="139"/>
      <c r="M447" s="196"/>
      <c r="N447" s="196"/>
      <c r="O447" s="196"/>
      <c r="P447" s="196"/>
      <c r="Q447" s="196"/>
      <c r="R447" s="196"/>
      <c r="S447" s="196"/>
      <c r="T447" s="196"/>
      <c r="U447" s="196"/>
      <c r="V447" s="196"/>
      <c r="W447" s="196"/>
      <c r="X447" s="196"/>
      <c r="Y447" s="196"/>
      <c r="Z447" s="196"/>
      <c r="AA447" s="196"/>
      <c r="AB447" s="196"/>
      <c r="AC447" s="196"/>
      <c r="AD447" s="196"/>
      <c r="AE447" s="196"/>
      <c r="AF447" s="196"/>
      <c r="AG447" s="196"/>
      <c r="AH447" s="196"/>
    </row>
    <row r="448">
      <c r="A448" s="196"/>
      <c r="B448" s="196"/>
      <c r="C448" s="196"/>
      <c r="D448" s="196"/>
      <c r="E448" s="196"/>
      <c r="F448" s="196"/>
      <c r="G448" s="196"/>
      <c r="H448" s="196"/>
      <c r="I448" s="139"/>
      <c r="J448" s="196"/>
      <c r="K448" s="196"/>
      <c r="L448" s="139"/>
      <c r="M448" s="196"/>
      <c r="N448" s="196"/>
      <c r="O448" s="196"/>
      <c r="P448" s="196"/>
      <c r="Q448" s="196"/>
      <c r="R448" s="196"/>
      <c r="S448" s="196"/>
      <c r="T448" s="196"/>
      <c r="U448" s="196"/>
      <c r="V448" s="196"/>
      <c r="W448" s="196"/>
      <c r="X448" s="196"/>
      <c r="Y448" s="196"/>
      <c r="Z448" s="196"/>
      <c r="AA448" s="196"/>
      <c r="AB448" s="196"/>
      <c r="AC448" s="196"/>
      <c r="AD448" s="196"/>
      <c r="AE448" s="196"/>
      <c r="AF448" s="196"/>
      <c r="AG448" s="196"/>
      <c r="AH448" s="196"/>
    </row>
    <row r="449">
      <c r="A449" s="196"/>
      <c r="B449" s="196"/>
      <c r="C449" s="196"/>
      <c r="D449" s="196"/>
      <c r="E449" s="196"/>
      <c r="F449" s="196"/>
      <c r="G449" s="196"/>
      <c r="H449" s="196"/>
      <c r="I449" s="139"/>
      <c r="J449" s="196"/>
      <c r="K449" s="196"/>
      <c r="L449" s="139"/>
      <c r="M449" s="196"/>
      <c r="N449" s="196"/>
      <c r="O449" s="196"/>
      <c r="P449" s="196"/>
      <c r="Q449" s="196"/>
      <c r="R449" s="196"/>
      <c r="S449" s="196"/>
      <c r="T449" s="196"/>
      <c r="U449" s="196"/>
      <c r="V449" s="196"/>
      <c r="W449" s="196"/>
      <c r="X449" s="196"/>
      <c r="Y449" s="196"/>
      <c r="Z449" s="196"/>
      <c r="AA449" s="196"/>
      <c r="AB449" s="196"/>
      <c r="AC449" s="196"/>
      <c r="AD449" s="196"/>
      <c r="AE449" s="196"/>
      <c r="AF449" s="196"/>
      <c r="AG449" s="196"/>
      <c r="AH449" s="196"/>
    </row>
    <row r="450">
      <c r="A450" s="196"/>
      <c r="B450" s="196"/>
      <c r="C450" s="196"/>
      <c r="D450" s="196"/>
      <c r="E450" s="196"/>
      <c r="F450" s="196"/>
      <c r="G450" s="196"/>
      <c r="H450" s="196"/>
      <c r="I450" s="139"/>
      <c r="J450" s="196"/>
      <c r="K450" s="196"/>
      <c r="L450" s="139"/>
      <c r="M450" s="196"/>
      <c r="N450" s="196"/>
      <c r="O450" s="196"/>
      <c r="P450" s="196"/>
      <c r="Q450" s="196"/>
      <c r="R450" s="196"/>
      <c r="S450" s="196"/>
      <c r="T450" s="196"/>
      <c r="U450" s="196"/>
      <c r="V450" s="196"/>
      <c r="W450" s="196"/>
      <c r="X450" s="196"/>
      <c r="Y450" s="196"/>
      <c r="Z450" s="196"/>
      <c r="AA450" s="196"/>
      <c r="AB450" s="196"/>
      <c r="AC450" s="196"/>
      <c r="AD450" s="196"/>
      <c r="AE450" s="196"/>
      <c r="AF450" s="196"/>
      <c r="AG450" s="196"/>
      <c r="AH450" s="196"/>
    </row>
    <row r="451">
      <c r="A451" s="196"/>
      <c r="B451" s="196"/>
      <c r="C451" s="196"/>
      <c r="D451" s="196"/>
      <c r="E451" s="196"/>
      <c r="F451" s="196"/>
      <c r="G451" s="196"/>
      <c r="H451" s="196"/>
      <c r="I451" s="139"/>
      <c r="J451" s="196"/>
      <c r="K451" s="196"/>
      <c r="L451" s="139"/>
      <c r="M451" s="196"/>
      <c r="N451" s="196"/>
      <c r="O451" s="196"/>
      <c r="P451" s="196"/>
      <c r="Q451" s="196"/>
      <c r="R451" s="196"/>
      <c r="S451" s="196"/>
      <c r="T451" s="196"/>
      <c r="U451" s="196"/>
      <c r="V451" s="196"/>
      <c r="W451" s="196"/>
      <c r="X451" s="196"/>
      <c r="Y451" s="196"/>
      <c r="Z451" s="196"/>
      <c r="AA451" s="196"/>
      <c r="AB451" s="196"/>
      <c r="AC451" s="196"/>
      <c r="AD451" s="196"/>
      <c r="AE451" s="196"/>
      <c r="AF451" s="196"/>
      <c r="AG451" s="196"/>
      <c r="AH451" s="196"/>
    </row>
    <row r="452">
      <c r="A452" s="196"/>
      <c r="B452" s="196"/>
      <c r="C452" s="196"/>
      <c r="D452" s="196"/>
      <c r="E452" s="196"/>
      <c r="F452" s="196"/>
      <c r="G452" s="196"/>
      <c r="H452" s="196"/>
      <c r="I452" s="139"/>
      <c r="J452" s="196"/>
      <c r="K452" s="196"/>
      <c r="L452" s="139"/>
      <c r="M452" s="196"/>
      <c r="N452" s="196"/>
      <c r="O452" s="196"/>
      <c r="P452" s="196"/>
      <c r="Q452" s="196"/>
      <c r="R452" s="196"/>
      <c r="S452" s="196"/>
      <c r="T452" s="196"/>
      <c r="U452" s="196"/>
      <c r="V452" s="196"/>
      <c r="W452" s="196"/>
      <c r="X452" s="196"/>
      <c r="Y452" s="196"/>
      <c r="Z452" s="196"/>
      <c r="AA452" s="196"/>
      <c r="AB452" s="196"/>
      <c r="AC452" s="196"/>
      <c r="AD452" s="196"/>
      <c r="AE452" s="196"/>
      <c r="AF452" s="196"/>
      <c r="AG452" s="196"/>
      <c r="AH452" s="196"/>
    </row>
    <row r="453">
      <c r="A453" s="196"/>
      <c r="B453" s="196"/>
      <c r="C453" s="196"/>
      <c r="D453" s="196"/>
      <c r="E453" s="196"/>
      <c r="F453" s="196"/>
      <c r="G453" s="196"/>
      <c r="H453" s="196"/>
      <c r="I453" s="139"/>
      <c r="J453" s="196"/>
      <c r="K453" s="196"/>
      <c r="L453" s="139"/>
      <c r="M453" s="196"/>
      <c r="N453" s="196"/>
      <c r="O453" s="196"/>
      <c r="P453" s="196"/>
      <c r="Q453" s="196"/>
      <c r="R453" s="196"/>
      <c r="S453" s="196"/>
      <c r="T453" s="196"/>
      <c r="U453" s="196"/>
      <c r="V453" s="196"/>
      <c r="W453" s="196"/>
      <c r="X453" s="196"/>
      <c r="Y453" s="196"/>
      <c r="Z453" s="196"/>
      <c r="AA453" s="196"/>
      <c r="AB453" s="196"/>
      <c r="AC453" s="196"/>
      <c r="AD453" s="196"/>
      <c r="AE453" s="196"/>
      <c r="AF453" s="196"/>
      <c r="AG453" s="196"/>
      <c r="AH453" s="196"/>
    </row>
    <row r="454">
      <c r="A454" s="196"/>
      <c r="B454" s="196"/>
      <c r="C454" s="196"/>
      <c r="D454" s="196"/>
      <c r="E454" s="196"/>
      <c r="F454" s="196"/>
      <c r="G454" s="196"/>
      <c r="H454" s="196"/>
      <c r="I454" s="139"/>
      <c r="J454" s="196"/>
      <c r="K454" s="196"/>
      <c r="L454" s="139"/>
      <c r="M454" s="196"/>
      <c r="N454" s="196"/>
      <c r="O454" s="196"/>
      <c r="P454" s="196"/>
      <c r="Q454" s="196"/>
      <c r="R454" s="196"/>
      <c r="S454" s="196"/>
      <c r="T454" s="196"/>
      <c r="U454" s="196"/>
      <c r="V454" s="196"/>
      <c r="W454" s="196"/>
      <c r="X454" s="196"/>
      <c r="Y454" s="196"/>
      <c r="Z454" s="196"/>
      <c r="AA454" s="196"/>
      <c r="AB454" s="196"/>
      <c r="AC454" s="196"/>
      <c r="AD454" s="196"/>
      <c r="AE454" s="196"/>
      <c r="AF454" s="196"/>
      <c r="AG454" s="196"/>
      <c r="AH454" s="196"/>
    </row>
    <row r="455">
      <c r="A455" s="196"/>
      <c r="B455" s="196"/>
      <c r="C455" s="196"/>
      <c r="D455" s="196"/>
      <c r="E455" s="196"/>
      <c r="F455" s="196"/>
      <c r="G455" s="196"/>
      <c r="H455" s="196"/>
      <c r="I455" s="139"/>
      <c r="J455" s="196"/>
      <c r="K455" s="196"/>
      <c r="L455" s="139"/>
      <c r="M455" s="196"/>
      <c r="N455" s="196"/>
      <c r="O455" s="196"/>
      <c r="P455" s="196"/>
      <c r="Q455" s="196"/>
      <c r="R455" s="196"/>
      <c r="S455" s="196"/>
      <c r="T455" s="196"/>
      <c r="U455" s="196"/>
      <c r="V455" s="196"/>
      <c r="W455" s="196"/>
      <c r="X455" s="196"/>
      <c r="Y455" s="196"/>
      <c r="Z455" s="196"/>
      <c r="AA455" s="196"/>
      <c r="AB455" s="196"/>
      <c r="AC455" s="196"/>
      <c r="AD455" s="196"/>
      <c r="AE455" s="196"/>
      <c r="AF455" s="196"/>
      <c r="AG455" s="196"/>
      <c r="AH455" s="196"/>
    </row>
    <row r="456">
      <c r="A456" s="196"/>
      <c r="B456" s="196"/>
      <c r="C456" s="196"/>
      <c r="D456" s="196"/>
      <c r="E456" s="196"/>
      <c r="F456" s="196"/>
      <c r="G456" s="196"/>
      <c r="H456" s="196"/>
      <c r="I456" s="139"/>
      <c r="J456" s="196"/>
      <c r="K456" s="196"/>
      <c r="L456" s="139"/>
      <c r="M456" s="196"/>
      <c r="N456" s="196"/>
      <c r="O456" s="196"/>
      <c r="P456" s="196"/>
      <c r="Q456" s="196"/>
      <c r="R456" s="196"/>
      <c r="S456" s="196"/>
      <c r="T456" s="196"/>
      <c r="U456" s="196"/>
      <c r="V456" s="196"/>
      <c r="W456" s="196"/>
      <c r="X456" s="196"/>
      <c r="Y456" s="196"/>
      <c r="Z456" s="196"/>
      <c r="AA456" s="196"/>
      <c r="AB456" s="196"/>
      <c r="AC456" s="196"/>
      <c r="AD456" s="196"/>
      <c r="AE456" s="196"/>
      <c r="AF456" s="196"/>
      <c r="AG456" s="196"/>
      <c r="AH456" s="196"/>
    </row>
    <row r="457">
      <c r="A457" s="196"/>
      <c r="B457" s="196"/>
      <c r="C457" s="196"/>
      <c r="D457" s="196"/>
      <c r="E457" s="196"/>
      <c r="F457" s="196"/>
      <c r="G457" s="196"/>
      <c r="H457" s="196"/>
      <c r="I457" s="139"/>
      <c r="J457" s="196"/>
      <c r="K457" s="196"/>
      <c r="L457" s="139"/>
      <c r="M457" s="196"/>
      <c r="N457" s="196"/>
      <c r="O457" s="196"/>
      <c r="P457" s="196"/>
      <c r="Q457" s="196"/>
      <c r="R457" s="196"/>
      <c r="S457" s="196"/>
      <c r="T457" s="196"/>
      <c r="U457" s="196"/>
      <c r="V457" s="196"/>
      <c r="W457" s="196"/>
      <c r="X457" s="196"/>
      <c r="Y457" s="196"/>
      <c r="Z457" s="196"/>
      <c r="AA457" s="196"/>
      <c r="AB457" s="196"/>
      <c r="AC457" s="196"/>
      <c r="AD457" s="196"/>
      <c r="AE457" s="196"/>
      <c r="AF457" s="196"/>
      <c r="AG457" s="196"/>
      <c r="AH457" s="196"/>
    </row>
    <row r="458">
      <c r="A458" s="196"/>
      <c r="B458" s="196"/>
      <c r="C458" s="196"/>
      <c r="D458" s="196"/>
      <c r="E458" s="196"/>
      <c r="F458" s="196"/>
      <c r="G458" s="196"/>
      <c r="H458" s="196"/>
      <c r="I458" s="139"/>
      <c r="J458" s="196"/>
      <c r="K458" s="196"/>
      <c r="L458" s="139"/>
      <c r="M458" s="196"/>
      <c r="N458" s="196"/>
      <c r="O458" s="196"/>
      <c r="P458" s="196"/>
      <c r="Q458" s="196"/>
      <c r="R458" s="196"/>
      <c r="S458" s="196"/>
      <c r="T458" s="196"/>
      <c r="U458" s="196"/>
      <c r="V458" s="196"/>
      <c r="W458" s="196"/>
      <c r="X458" s="196"/>
      <c r="Y458" s="196"/>
      <c r="Z458" s="196"/>
      <c r="AA458" s="196"/>
      <c r="AB458" s="196"/>
      <c r="AC458" s="196"/>
      <c r="AD458" s="196"/>
      <c r="AE458" s="196"/>
      <c r="AF458" s="196"/>
      <c r="AG458" s="196"/>
      <c r="AH458" s="196"/>
    </row>
    <row r="459">
      <c r="A459" s="196"/>
      <c r="B459" s="196"/>
      <c r="C459" s="196"/>
      <c r="D459" s="196"/>
      <c r="E459" s="196"/>
      <c r="F459" s="196"/>
      <c r="G459" s="196"/>
      <c r="H459" s="196"/>
      <c r="I459" s="139"/>
      <c r="J459" s="196"/>
      <c r="K459" s="196"/>
      <c r="L459" s="139"/>
      <c r="M459" s="196"/>
      <c r="N459" s="196"/>
      <c r="O459" s="196"/>
      <c r="P459" s="196"/>
      <c r="Q459" s="196"/>
      <c r="R459" s="196"/>
      <c r="S459" s="196"/>
      <c r="T459" s="196"/>
      <c r="U459" s="196"/>
      <c r="V459" s="196"/>
      <c r="W459" s="196"/>
      <c r="X459" s="196"/>
      <c r="Y459" s="196"/>
      <c r="Z459" s="196"/>
      <c r="AA459" s="196"/>
      <c r="AB459" s="196"/>
      <c r="AC459" s="196"/>
      <c r="AD459" s="196"/>
      <c r="AE459" s="196"/>
      <c r="AF459" s="196"/>
      <c r="AG459" s="196"/>
      <c r="AH459" s="196"/>
    </row>
    <row r="460">
      <c r="A460" s="196"/>
      <c r="B460" s="196"/>
      <c r="C460" s="196"/>
      <c r="D460" s="196"/>
      <c r="E460" s="196"/>
      <c r="F460" s="196"/>
      <c r="G460" s="196"/>
      <c r="H460" s="196"/>
      <c r="I460" s="139"/>
      <c r="J460" s="196"/>
      <c r="K460" s="196"/>
      <c r="L460" s="139"/>
      <c r="M460" s="196"/>
      <c r="N460" s="196"/>
      <c r="O460" s="196"/>
      <c r="P460" s="196"/>
      <c r="Q460" s="196"/>
      <c r="R460" s="196"/>
      <c r="S460" s="196"/>
      <c r="T460" s="196"/>
      <c r="U460" s="196"/>
      <c r="V460" s="196"/>
      <c r="W460" s="196"/>
      <c r="X460" s="196"/>
      <c r="Y460" s="196"/>
      <c r="Z460" s="196"/>
      <c r="AA460" s="196"/>
      <c r="AB460" s="196"/>
      <c r="AC460" s="196"/>
      <c r="AD460" s="196"/>
      <c r="AE460" s="196"/>
      <c r="AF460" s="196"/>
      <c r="AG460" s="196"/>
      <c r="AH460" s="196"/>
    </row>
    <row r="461">
      <c r="A461" s="196"/>
      <c r="B461" s="196"/>
      <c r="C461" s="196"/>
      <c r="D461" s="196"/>
      <c r="E461" s="196"/>
      <c r="F461" s="196"/>
      <c r="G461" s="196"/>
      <c r="H461" s="196"/>
      <c r="I461" s="139"/>
      <c r="J461" s="196"/>
      <c r="K461" s="196"/>
      <c r="L461" s="139"/>
      <c r="M461" s="196"/>
      <c r="N461" s="196"/>
      <c r="O461" s="196"/>
      <c r="P461" s="196"/>
      <c r="Q461" s="196"/>
      <c r="R461" s="196"/>
      <c r="S461" s="196"/>
      <c r="T461" s="196"/>
      <c r="U461" s="196"/>
      <c r="V461" s="196"/>
      <c r="W461" s="196"/>
      <c r="X461" s="196"/>
      <c r="Y461" s="196"/>
      <c r="Z461" s="196"/>
      <c r="AA461" s="196"/>
      <c r="AB461" s="196"/>
      <c r="AC461" s="196"/>
      <c r="AD461" s="196"/>
      <c r="AE461" s="196"/>
      <c r="AF461" s="196"/>
      <c r="AG461" s="196"/>
      <c r="AH461" s="196"/>
    </row>
    <row r="462">
      <c r="A462" s="196"/>
      <c r="B462" s="196"/>
      <c r="C462" s="196"/>
      <c r="D462" s="196"/>
      <c r="E462" s="196"/>
      <c r="F462" s="196"/>
      <c r="G462" s="196"/>
      <c r="H462" s="196"/>
      <c r="I462" s="139"/>
      <c r="J462" s="196"/>
      <c r="K462" s="196"/>
      <c r="L462" s="139"/>
      <c r="M462" s="196"/>
      <c r="N462" s="196"/>
      <c r="O462" s="196"/>
      <c r="P462" s="196"/>
      <c r="Q462" s="196"/>
      <c r="R462" s="196"/>
      <c r="S462" s="196"/>
      <c r="T462" s="196"/>
      <c r="U462" s="196"/>
      <c r="V462" s="196"/>
      <c r="W462" s="196"/>
      <c r="X462" s="196"/>
      <c r="Y462" s="196"/>
      <c r="Z462" s="196"/>
      <c r="AA462" s="196"/>
      <c r="AB462" s="196"/>
      <c r="AC462" s="196"/>
      <c r="AD462" s="196"/>
      <c r="AE462" s="196"/>
      <c r="AF462" s="196"/>
      <c r="AG462" s="196"/>
      <c r="AH462" s="196"/>
    </row>
    <row r="463">
      <c r="A463" s="196"/>
      <c r="B463" s="196"/>
      <c r="C463" s="196"/>
      <c r="D463" s="196"/>
      <c r="E463" s="196"/>
      <c r="F463" s="196"/>
      <c r="G463" s="196"/>
      <c r="H463" s="196"/>
      <c r="I463" s="139"/>
      <c r="J463" s="196"/>
      <c r="K463" s="196"/>
      <c r="L463" s="139"/>
      <c r="M463" s="196"/>
      <c r="N463" s="196"/>
      <c r="O463" s="196"/>
      <c r="P463" s="196"/>
      <c r="Q463" s="196"/>
      <c r="R463" s="196"/>
      <c r="S463" s="196"/>
      <c r="T463" s="196"/>
      <c r="U463" s="196"/>
      <c r="V463" s="196"/>
      <c r="W463" s="196"/>
      <c r="X463" s="196"/>
      <c r="Y463" s="196"/>
      <c r="Z463" s="196"/>
      <c r="AA463" s="196"/>
      <c r="AB463" s="196"/>
      <c r="AC463" s="196"/>
      <c r="AD463" s="196"/>
      <c r="AE463" s="196"/>
      <c r="AF463" s="196"/>
      <c r="AG463" s="196"/>
      <c r="AH463" s="196"/>
    </row>
    <row r="464">
      <c r="A464" s="196"/>
      <c r="B464" s="196"/>
      <c r="C464" s="196"/>
      <c r="D464" s="196"/>
      <c r="E464" s="196"/>
      <c r="F464" s="196"/>
      <c r="G464" s="196"/>
      <c r="H464" s="196"/>
      <c r="I464" s="139"/>
      <c r="J464" s="196"/>
      <c r="K464" s="196"/>
      <c r="L464" s="139"/>
      <c r="M464" s="196"/>
      <c r="N464" s="196"/>
      <c r="O464" s="196"/>
      <c r="P464" s="196"/>
      <c r="Q464" s="196"/>
      <c r="R464" s="196"/>
      <c r="S464" s="196"/>
      <c r="T464" s="196"/>
      <c r="U464" s="196"/>
      <c r="V464" s="196"/>
      <c r="W464" s="196"/>
      <c r="X464" s="196"/>
      <c r="Y464" s="196"/>
      <c r="Z464" s="196"/>
      <c r="AA464" s="196"/>
      <c r="AB464" s="196"/>
      <c r="AC464" s="196"/>
      <c r="AD464" s="196"/>
      <c r="AE464" s="196"/>
      <c r="AF464" s="196"/>
      <c r="AG464" s="196"/>
      <c r="AH464" s="196"/>
    </row>
    <row r="465">
      <c r="A465" s="196"/>
      <c r="B465" s="196"/>
      <c r="C465" s="196"/>
      <c r="D465" s="196"/>
      <c r="E465" s="196"/>
      <c r="F465" s="196"/>
      <c r="G465" s="196"/>
      <c r="H465" s="196"/>
      <c r="I465" s="139"/>
      <c r="J465" s="196"/>
      <c r="K465" s="196"/>
      <c r="L465" s="139"/>
      <c r="M465" s="196"/>
      <c r="N465" s="196"/>
      <c r="O465" s="196"/>
      <c r="P465" s="196"/>
      <c r="Q465" s="196"/>
      <c r="R465" s="196"/>
      <c r="S465" s="196"/>
      <c r="T465" s="196"/>
      <c r="U465" s="196"/>
      <c r="V465" s="196"/>
      <c r="W465" s="196"/>
      <c r="X465" s="196"/>
      <c r="Y465" s="196"/>
      <c r="Z465" s="196"/>
      <c r="AA465" s="196"/>
      <c r="AB465" s="196"/>
      <c r="AC465" s="196"/>
      <c r="AD465" s="196"/>
      <c r="AE465" s="196"/>
      <c r="AF465" s="196"/>
      <c r="AG465" s="196"/>
      <c r="AH465" s="196"/>
    </row>
    <row r="466">
      <c r="A466" s="196"/>
      <c r="B466" s="196"/>
      <c r="C466" s="196"/>
      <c r="D466" s="196"/>
      <c r="E466" s="196"/>
      <c r="F466" s="196"/>
      <c r="G466" s="196"/>
      <c r="H466" s="196"/>
      <c r="I466" s="139"/>
      <c r="J466" s="196"/>
      <c r="K466" s="196"/>
      <c r="L466" s="139"/>
      <c r="M466" s="196"/>
      <c r="N466" s="196"/>
      <c r="O466" s="196"/>
      <c r="P466" s="196"/>
      <c r="Q466" s="196"/>
      <c r="R466" s="196"/>
      <c r="S466" s="196"/>
      <c r="T466" s="196"/>
      <c r="U466" s="196"/>
      <c r="V466" s="196"/>
      <c r="W466" s="196"/>
      <c r="X466" s="196"/>
      <c r="Y466" s="196"/>
      <c r="Z466" s="196"/>
      <c r="AA466" s="196"/>
      <c r="AB466" s="196"/>
      <c r="AC466" s="196"/>
      <c r="AD466" s="196"/>
      <c r="AE466" s="196"/>
      <c r="AF466" s="196"/>
      <c r="AG466" s="196"/>
      <c r="AH466" s="196"/>
    </row>
    <row r="467">
      <c r="A467" s="196"/>
      <c r="B467" s="196"/>
      <c r="C467" s="196"/>
      <c r="D467" s="196"/>
      <c r="E467" s="196"/>
      <c r="F467" s="196"/>
      <c r="G467" s="196"/>
      <c r="H467" s="196"/>
      <c r="I467" s="139"/>
      <c r="J467" s="196"/>
      <c r="K467" s="196"/>
      <c r="L467" s="139"/>
      <c r="M467" s="196"/>
      <c r="N467" s="196"/>
      <c r="O467" s="196"/>
      <c r="P467" s="196"/>
      <c r="Q467" s="196"/>
      <c r="R467" s="196"/>
      <c r="S467" s="196"/>
      <c r="T467" s="196"/>
      <c r="U467" s="196"/>
      <c r="V467" s="196"/>
      <c r="W467" s="196"/>
      <c r="X467" s="196"/>
      <c r="Y467" s="196"/>
      <c r="Z467" s="196"/>
      <c r="AA467" s="196"/>
      <c r="AB467" s="196"/>
      <c r="AC467" s="196"/>
      <c r="AD467" s="196"/>
      <c r="AE467" s="196"/>
      <c r="AF467" s="196"/>
      <c r="AG467" s="196"/>
      <c r="AH467" s="196"/>
    </row>
    <row r="468">
      <c r="A468" s="196"/>
      <c r="B468" s="196"/>
      <c r="C468" s="196"/>
      <c r="D468" s="196"/>
      <c r="E468" s="196"/>
      <c r="F468" s="196"/>
      <c r="G468" s="196"/>
      <c r="H468" s="196"/>
      <c r="I468" s="139"/>
      <c r="J468" s="196"/>
      <c r="K468" s="196"/>
      <c r="L468" s="139"/>
      <c r="M468" s="196"/>
      <c r="N468" s="196"/>
      <c r="O468" s="196"/>
      <c r="P468" s="196"/>
      <c r="Q468" s="196"/>
      <c r="R468" s="196"/>
      <c r="S468" s="196"/>
      <c r="T468" s="196"/>
      <c r="U468" s="196"/>
      <c r="V468" s="196"/>
      <c r="W468" s="196"/>
      <c r="X468" s="196"/>
      <c r="Y468" s="196"/>
      <c r="Z468" s="196"/>
      <c r="AA468" s="196"/>
      <c r="AB468" s="196"/>
      <c r="AC468" s="196"/>
      <c r="AD468" s="196"/>
      <c r="AE468" s="196"/>
      <c r="AF468" s="196"/>
      <c r="AG468" s="196"/>
      <c r="AH468" s="196"/>
    </row>
    <row r="469">
      <c r="A469" s="196"/>
      <c r="B469" s="196"/>
      <c r="C469" s="196"/>
      <c r="D469" s="196"/>
      <c r="E469" s="196"/>
      <c r="F469" s="196"/>
      <c r="G469" s="196"/>
      <c r="H469" s="196"/>
      <c r="I469" s="139"/>
      <c r="J469" s="196"/>
      <c r="K469" s="196"/>
      <c r="L469" s="139"/>
      <c r="M469" s="196"/>
      <c r="N469" s="196"/>
      <c r="O469" s="196"/>
      <c r="P469" s="196"/>
      <c r="Q469" s="196"/>
      <c r="R469" s="196"/>
      <c r="S469" s="196"/>
      <c r="T469" s="196"/>
      <c r="U469" s="196"/>
      <c r="V469" s="196"/>
      <c r="W469" s="196"/>
      <c r="X469" s="196"/>
      <c r="Y469" s="196"/>
      <c r="Z469" s="196"/>
      <c r="AA469" s="196"/>
      <c r="AB469" s="196"/>
      <c r="AC469" s="196"/>
      <c r="AD469" s="196"/>
      <c r="AE469" s="196"/>
      <c r="AF469" s="196"/>
      <c r="AG469" s="196"/>
      <c r="AH469" s="196"/>
    </row>
    <row r="470">
      <c r="A470" s="196"/>
      <c r="B470" s="196"/>
      <c r="C470" s="196"/>
      <c r="D470" s="196"/>
      <c r="E470" s="196"/>
      <c r="F470" s="196"/>
      <c r="G470" s="196"/>
      <c r="H470" s="196"/>
      <c r="I470" s="139"/>
      <c r="J470" s="196"/>
      <c r="K470" s="196"/>
      <c r="L470" s="139"/>
      <c r="M470" s="196"/>
      <c r="N470" s="196"/>
      <c r="O470" s="196"/>
      <c r="P470" s="196"/>
      <c r="Q470" s="196"/>
      <c r="R470" s="196"/>
      <c r="S470" s="196"/>
      <c r="T470" s="196"/>
      <c r="U470" s="196"/>
      <c r="V470" s="196"/>
      <c r="W470" s="196"/>
      <c r="X470" s="196"/>
      <c r="Y470" s="196"/>
      <c r="Z470" s="196"/>
      <c r="AA470" s="196"/>
      <c r="AB470" s="196"/>
      <c r="AC470" s="196"/>
      <c r="AD470" s="196"/>
      <c r="AE470" s="196"/>
      <c r="AF470" s="196"/>
      <c r="AG470" s="196"/>
      <c r="AH470" s="196"/>
    </row>
    <row r="471">
      <c r="A471" s="196"/>
      <c r="B471" s="196"/>
      <c r="C471" s="196"/>
      <c r="D471" s="196"/>
      <c r="E471" s="196"/>
      <c r="F471" s="196"/>
      <c r="G471" s="196"/>
      <c r="H471" s="196"/>
      <c r="I471" s="139"/>
      <c r="J471" s="196"/>
      <c r="K471" s="196"/>
      <c r="L471" s="139"/>
      <c r="M471" s="196"/>
      <c r="N471" s="196"/>
      <c r="O471" s="196"/>
      <c r="P471" s="196"/>
      <c r="Q471" s="196"/>
      <c r="R471" s="196"/>
      <c r="S471" s="196"/>
      <c r="T471" s="196"/>
      <c r="U471" s="196"/>
      <c r="V471" s="196"/>
      <c r="W471" s="196"/>
      <c r="X471" s="196"/>
      <c r="Y471" s="196"/>
      <c r="Z471" s="196"/>
      <c r="AA471" s="196"/>
      <c r="AB471" s="196"/>
      <c r="AC471" s="196"/>
      <c r="AD471" s="196"/>
      <c r="AE471" s="196"/>
      <c r="AF471" s="196"/>
      <c r="AG471" s="196"/>
      <c r="AH471" s="196"/>
    </row>
    <row r="472">
      <c r="A472" s="196"/>
      <c r="B472" s="196"/>
      <c r="C472" s="196"/>
      <c r="D472" s="196"/>
      <c r="E472" s="196"/>
      <c r="F472" s="196"/>
      <c r="G472" s="196"/>
      <c r="H472" s="196"/>
      <c r="I472" s="139"/>
      <c r="J472" s="196"/>
      <c r="K472" s="196"/>
      <c r="L472" s="139"/>
      <c r="M472" s="196"/>
      <c r="N472" s="196"/>
      <c r="O472" s="196"/>
      <c r="P472" s="196"/>
      <c r="Q472" s="196"/>
      <c r="R472" s="196"/>
      <c r="S472" s="196"/>
      <c r="T472" s="196"/>
      <c r="U472" s="196"/>
      <c r="V472" s="196"/>
      <c r="W472" s="196"/>
      <c r="X472" s="196"/>
      <c r="Y472" s="196"/>
      <c r="Z472" s="196"/>
      <c r="AA472" s="196"/>
      <c r="AB472" s="196"/>
      <c r="AC472" s="196"/>
      <c r="AD472" s="196"/>
      <c r="AE472" s="196"/>
      <c r="AF472" s="196"/>
      <c r="AG472" s="196"/>
      <c r="AH472" s="196"/>
    </row>
    <row r="473">
      <c r="A473" s="196"/>
      <c r="B473" s="196"/>
      <c r="C473" s="196"/>
      <c r="D473" s="196"/>
      <c r="E473" s="196"/>
      <c r="F473" s="196"/>
      <c r="G473" s="196"/>
      <c r="H473" s="196"/>
      <c r="I473" s="139"/>
      <c r="J473" s="196"/>
      <c r="K473" s="196"/>
      <c r="L473" s="139"/>
      <c r="M473" s="196"/>
      <c r="N473" s="196"/>
      <c r="O473" s="196"/>
      <c r="P473" s="196"/>
      <c r="Q473" s="196"/>
      <c r="R473" s="196"/>
      <c r="S473" s="196"/>
      <c r="T473" s="196"/>
      <c r="U473" s="196"/>
      <c r="V473" s="196"/>
      <c r="W473" s="196"/>
      <c r="X473" s="196"/>
      <c r="Y473" s="196"/>
      <c r="Z473" s="196"/>
      <c r="AA473" s="196"/>
      <c r="AB473" s="196"/>
      <c r="AC473" s="196"/>
      <c r="AD473" s="196"/>
      <c r="AE473" s="196"/>
      <c r="AF473" s="196"/>
      <c r="AG473" s="196"/>
      <c r="AH473" s="196"/>
    </row>
    <row r="474">
      <c r="A474" s="196"/>
      <c r="B474" s="196"/>
      <c r="C474" s="196"/>
      <c r="D474" s="196"/>
      <c r="E474" s="196"/>
      <c r="F474" s="196"/>
      <c r="G474" s="196"/>
      <c r="H474" s="196"/>
      <c r="I474" s="139"/>
      <c r="J474" s="196"/>
      <c r="K474" s="196"/>
      <c r="L474" s="139"/>
      <c r="M474" s="196"/>
      <c r="N474" s="196"/>
      <c r="O474" s="196"/>
      <c r="P474" s="196"/>
      <c r="Q474" s="196"/>
      <c r="R474" s="196"/>
      <c r="S474" s="196"/>
      <c r="T474" s="196"/>
      <c r="U474" s="196"/>
      <c r="V474" s="196"/>
      <c r="W474" s="196"/>
      <c r="X474" s="196"/>
      <c r="Y474" s="196"/>
      <c r="Z474" s="196"/>
      <c r="AA474" s="196"/>
      <c r="AB474" s="196"/>
      <c r="AC474" s="196"/>
      <c r="AD474" s="196"/>
      <c r="AE474" s="196"/>
      <c r="AF474" s="196"/>
      <c r="AG474" s="196"/>
      <c r="AH474" s="196"/>
    </row>
    <row r="475">
      <c r="A475" s="196"/>
      <c r="B475" s="196"/>
      <c r="C475" s="196"/>
      <c r="D475" s="196"/>
      <c r="E475" s="196"/>
      <c r="F475" s="196"/>
      <c r="G475" s="196"/>
      <c r="H475" s="196"/>
      <c r="I475" s="139"/>
      <c r="J475" s="196"/>
      <c r="K475" s="196"/>
      <c r="L475" s="139"/>
      <c r="M475" s="196"/>
      <c r="N475" s="196"/>
      <c r="O475" s="196"/>
      <c r="P475" s="196"/>
      <c r="Q475" s="196"/>
      <c r="R475" s="196"/>
      <c r="S475" s="196"/>
      <c r="T475" s="196"/>
      <c r="U475" s="196"/>
      <c r="V475" s="196"/>
      <c r="W475" s="196"/>
      <c r="X475" s="196"/>
      <c r="Y475" s="196"/>
      <c r="Z475" s="196"/>
      <c r="AA475" s="196"/>
      <c r="AB475" s="196"/>
      <c r="AC475" s="196"/>
      <c r="AD475" s="196"/>
      <c r="AE475" s="196"/>
      <c r="AF475" s="196"/>
      <c r="AG475" s="196"/>
      <c r="AH475" s="196"/>
    </row>
    <row r="476">
      <c r="A476" s="196"/>
      <c r="B476" s="196"/>
      <c r="C476" s="196"/>
      <c r="D476" s="196"/>
      <c r="E476" s="196"/>
      <c r="F476" s="196"/>
      <c r="G476" s="196"/>
      <c r="H476" s="196"/>
      <c r="I476" s="139"/>
      <c r="J476" s="196"/>
      <c r="K476" s="196"/>
      <c r="L476" s="139"/>
      <c r="M476" s="196"/>
      <c r="N476" s="196"/>
      <c r="O476" s="196"/>
      <c r="P476" s="196"/>
      <c r="Q476" s="196"/>
      <c r="R476" s="196"/>
      <c r="S476" s="196"/>
      <c r="T476" s="196"/>
      <c r="U476" s="196"/>
      <c r="V476" s="196"/>
      <c r="W476" s="196"/>
      <c r="X476" s="196"/>
      <c r="Y476" s="196"/>
      <c r="Z476" s="196"/>
      <c r="AA476" s="196"/>
      <c r="AB476" s="196"/>
      <c r="AC476" s="196"/>
      <c r="AD476" s="196"/>
      <c r="AE476" s="196"/>
      <c r="AF476" s="196"/>
      <c r="AG476" s="196"/>
      <c r="AH476" s="196"/>
    </row>
    <row r="477">
      <c r="A477" s="196"/>
      <c r="B477" s="196"/>
      <c r="C477" s="196"/>
      <c r="D477" s="196"/>
      <c r="E477" s="196"/>
      <c r="F477" s="196"/>
      <c r="G477" s="196"/>
      <c r="H477" s="196"/>
      <c r="I477" s="139"/>
      <c r="J477" s="196"/>
      <c r="K477" s="196"/>
      <c r="L477" s="139"/>
      <c r="M477" s="196"/>
      <c r="N477" s="196"/>
      <c r="O477" s="196"/>
      <c r="P477" s="196"/>
      <c r="Q477" s="196"/>
      <c r="R477" s="196"/>
      <c r="S477" s="196"/>
      <c r="T477" s="196"/>
      <c r="U477" s="196"/>
      <c r="V477" s="196"/>
      <c r="W477" s="196"/>
      <c r="X477" s="196"/>
      <c r="Y477" s="196"/>
      <c r="Z477" s="196"/>
      <c r="AA477" s="196"/>
      <c r="AB477" s="196"/>
      <c r="AC477" s="196"/>
      <c r="AD477" s="196"/>
      <c r="AE477" s="196"/>
      <c r="AF477" s="196"/>
      <c r="AG477" s="196"/>
      <c r="AH477" s="196"/>
    </row>
    <row r="478">
      <c r="A478" s="196"/>
      <c r="B478" s="196"/>
      <c r="C478" s="196"/>
      <c r="D478" s="196"/>
      <c r="E478" s="196"/>
      <c r="F478" s="196"/>
      <c r="G478" s="196"/>
      <c r="H478" s="196"/>
      <c r="I478" s="139"/>
      <c r="J478" s="196"/>
      <c r="K478" s="196"/>
      <c r="L478" s="139"/>
      <c r="M478" s="196"/>
      <c r="N478" s="196"/>
      <c r="O478" s="196"/>
      <c r="P478" s="196"/>
      <c r="Q478" s="196"/>
      <c r="R478" s="196"/>
      <c r="S478" s="196"/>
      <c r="T478" s="196"/>
      <c r="U478" s="196"/>
      <c r="V478" s="196"/>
      <c r="W478" s="196"/>
      <c r="X478" s="196"/>
      <c r="Y478" s="196"/>
      <c r="Z478" s="196"/>
      <c r="AA478" s="196"/>
      <c r="AB478" s="196"/>
      <c r="AC478" s="196"/>
      <c r="AD478" s="196"/>
      <c r="AE478" s="196"/>
      <c r="AF478" s="196"/>
      <c r="AG478" s="196"/>
      <c r="AH478" s="196"/>
    </row>
    <row r="479">
      <c r="A479" s="196"/>
      <c r="B479" s="196"/>
      <c r="C479" s="196"/>
      <c r="D479" s="196"/>
      <c r="E479" s="196"/>
      <c r="F479" s="196"/>
      <c r="G479" s="196"/>
      <c r="H479" s="196"/>
      <c r="I479" s="139"/>
      <c r="J479" s="196"/>
      <c r="K479" s="196"/>
      <c r="L479" s="139"/>
      <c r="M479" s="196"/>
      <c r="N479" s="196"/>
      <c r="O479" s="196"/>
      <c r="P479" s="196"/>
      <c r="Q479" s="196"/>
      <c r="R479" s="196"/>
      <c r="S479" s="196"/>
      <c r="T479" s="196"/>
      <c r="U479" s="196"/>
      <c r="V479" s="196"/>
      <c r="W479" s="196"/>
      <c r="X479" s="196"/>
      <c r="Y479" s="196"/>
      <c r="Z479" s="196"/>
      <c r="AA479" s="196"/>
      <c r="AB479" s="196"/>
      <c r="AC479" s="196"/>
      <c r="AD479" s="196"/>
      <c r="AE479" s="196"/>
      <c r="AF479" s="196"/>
      <c r="AG479" s="196"/>
      <c r="AH479" s="196"/>
    </row>
    <row r="480">
      <c r="A480" s="196"/>
      <c r="B480" s="196"/>
      <c r="C480" s="196"/>
      <c r="D480" s="196"/>
      <c r="E480" s="196"/>
      <c r="F480" s="196"/>
      <c r="G480" s="196"/>
      <c r="H480" s="196"/>
      <c r="I480" s="139"/>
      <c r="J480" s="196"/>
      <c r="K480" s="196"/>
      <c r="L480" s="139"/>
      <c r="M480" s="196"/>
      <c r="N480" s="196"/>
      <c r="O480" s="196"/>
      <c r="P480" s="196"/>
      <c r="Q480" s="196"/>
      <c r="R480" s="196"/>
      <c r="S480" s="196"/>
      <c r="T480" s="196"/>
      <c r="U480" s="196"/>
      <c r="V480" s="196"/>
      <c r="W480" s="196"/>
      <c r="X480" s="196"/>
      <c r="Y480" s="196"/>
      <c r="Z480" s="196"/>
      <c r="AA480" s="196"/>
      <c r="AB480" s="196"/>
      <c r="AC480" s="196"/>
      <c r="AD480" s="196"/>
      <c r="AE480" s="196"/>
      <c r="AF480" s="196"/>
      <c r="AG480" s="196"/>
      <c r="AH480" s="196"/>
    </row>
    <row r="481">
      <c r="A481" s="196"/>
      <c r="B481" s="196"/>
      <c r="C481" s="196"/>
      <c r="D481" s="196"/>
      <c r="E481" s="196"/>
      <c r="F481" s="196"/>
      <c r="G481" s="196"/>
      <c r="H481" s="196"/>
      <c r="I481" s="139"/>
      <c r="J481" s="196"/>
      <c r="K481" s="196"/>
      <c r="L481" s="139"/>
      <c r="M481" s="196"/>
      <c r="N481" s="196"/>
      <c r="O481" s="196"/>
      <c r="P481" s="196"/>
      <c r="Q481" s="196"/>
      <c r="R481" s="196"/>
      <c r="S481" s="196"/>
      <c r="T481" s="196"/>
      <c r="U481" s="196"/>
      <c r="V481" s="196"/>
      <c r="W481" s="196"/>
      <c r="X481" s="196"/>
      <c r="Y481" s="196"/>
      <c r="Z481" s="196"/>
      <c r="AA481" s="196"/>
      <c r="AB481" s="196"/>
      <c r="AC481" s="196"/>
      <c r="AD481" s="196"/>
      <c r="AE481" s="196"/>
      <c r="AF481" s="196"/>
      <c r="AG481" s="196"/>
      <c r="AH481" s="196"/>
    </row>
    <row r="482">
      <c r="A482" s="196"/>
      <c r="B482" s="196"/>
      <c r="C482" s="196"/>
      <c r="D482" s="196"/>
      <c r="E482" s="196"/>
      <c r="F482" s="196"/>
      <c r="G482" s="196"/>
      <c r="H482" s="196"/>
      <c r="I482" s="139"/>
      <c r="J482" s="196"/>
      <c r="K482" s="196"/>
      <c r="L482" s="139"/>
      <c r="M482" s="196"/>
      <c r="N482" s="196"/>
      <c r="O482" s="196"/>
      <c r="P482" s="196"/>
      <c r="Q482" s="196"/>
      <c r="R482" s="196"/>
      <c r="S482" s="196"/>
      <c r="T482" s="196"/>
      <c r="U482" s="196"/>
      <c r="V482" s="196"/>
      <c r="W482" s="196"/>
      <c r="X482" s="196"/>
      <c r="Y482" s="196"/>
      <c r="Z482" s="196"/>
      <c r="AA482" s="196"/>
      <c r="AB482" s="196"/>
      <c r="AC482" s="196"/>
      <c r="AD482" s="196"/>
      <c r="AE482" s="196"/>
      <c r="AF482" s="196"/>
      <c r="AG482" s="196"/>
      <c r="AH482" s="196"/>
    </row>
    <row r="483">
      <c r="A483" s="196"/>
      <c r="B483" s="196"/>
      <c r="C483" s="196"/>
      <c r="D483" s="196"/>
      <c r="E483" s="196"/>
      <c r="F483" s="196"/>
      <c r="G483" s="196"/>
      <c r="H483" s="196"/>
      <c r="I483" s="139"/>
      <c r="J483" s="196"/>
      <c r="K483" s="196"/>
      <c r="L483" s="139"/>
      <c r="M483" s="196"/>
      <c r="N483" s="196"/>
      <c r="O483" s="196"/>
      <c r="P483" s="196"/>
      <c r="Q483" s="196"/>
      <c r="R483" s="196"/>
      <c r="S483" s="196"/>
      <c r="T483" s="196"/>
      <c r="U483" s="196"/>
      <c r="V483" s="196"/>
      <c r="W483" s="196"/>
      <c r="X483" s="196"/>
      <c r="Y483" s="196"/>
      <c r="Z483" s="196"/>
      <c r="AA483" s="196"/>
      <c r="AB483" s="196"/>
      <c r="AC483" s="196"/>
      <c r="AD483" s="196"/>
      <c r="AE483" s="196"/>
      <c r="AF483" s="196"/>
      <c r="AG483" s="196"/>
      <c r="AH483" s="196"/>
    </row>
    <row r="484">
      <c r="A484" s="196"/>
      <c r="B484" s="196"/>
      <c r="C484" s="196"/>
      <c r="D484" s="196"/>
      <c r="E484" s="196"/>
      <c r="F484" s="196"/>
      <c r="G484" s="196"/>
      <c r="H484" s="196"/>
      <c r="I484" s="139"/>
      <c r="J484" s="196"/>
      <c r="K484" s="196"/>
      <c r="L484" s="139"/>
      <c r="M484" s="196"/>
      <c r="N484" s="196"/>
      <c r="O484" s="196"/>
      <c r="P484" s="196"/>
      <c r="Q484" s="196"/>
      <c r="R484" s="196"/>
      <c r="S484" s="196"/>
      <c r="T484" s="196"/>
      <c r="U484" s="196"/>
      <c r="V484" s="196"/>
      <c r="W484" s="196"/>
      <c r="X484" s="196"/>
      <c r="Y484" s="196"/>
      <c r="Z484" s="196"/>
      <c r="AA484" s="196"/>
      <c r="AB484" s="196"/>
      <c r="AC484" s="196"/>
      <c r="AD484" s="196"/>
      <c r="AE484" s="196"/>
      <c r="AF484" s="196"/>
      <c r="AG484" s="196"/>
      <c r="AH484" s="196"/>
    </row>
    <row r="485">
      <c r="A485" s="196"/>
      <c r="B485" s="196"/>
      <c r="C485" s="196"/>
      <c r="D485" s="196"/>
      <c r="E485" s="196"/>
      <c r="F485" s="196"/>
      <c r="G485" s="196"/>
      <c r="H485" s="196"/>
      <c r="I485" s="139"/>
      <c r="J485" s="196"/>
      <c r="K485" s="196"/>
      <c r="L485" s="139"/>
      <c r="M485" s="196"/>
      <c r="N485" s="196"/>
      <c r="O485" s="196"/>
      <c r="P485" s="196"/>
      <c r="Q485" s="196"/>
      <c r="R485" s="196"/>
      <c r="S485" s="196"/>
      <c r="T485" s="196"/>
      <c r="U485" s="196"/>
      <c r="V485" s="196"/>
      <c r="W485" s="196"/>
      <c r="X485" s="196"/>
      <c r="Y485" s="196"/>
      <c r="Z485" s="196"/>
      <c r="AA485" s="196"/>
      <c r="AB485" s="196"/>
      <c r="AC485" s="196"/>
      <c r="AD485" s="196"/>
      <c r="AE485" s="196"/>
      <c r="AF485" s="196"/>
      <c r="AG485" s="196"/>
      <c r="AH485" s="196"/>
    </row>
    <row r="486">
      <c r="A486" s="196"/>
      <c r="B486" s="196"/>
      <c r="C486" s="196"/>
      <c r="D486" s="196"/>
      <c r="E486" s="196"/>
      <c r="F486" s="196"/>
      <c r="G486" s="196"/>
      <c r="H486" s="196"/>
      <c r="I486" s="139"/>
      <c r="J486" s="196"/>
      <c r="K486" s="196"/>
      <c r="L486" s="139"/>
      <c r="M486" s="196"/>
      <c r="N486" s="196"/>
      <c r="O486" s="196"/>
      <c r="P486" s="196"/>
      <c r="Q486" s="196"/>
      <c r="R486" s="196"/>
      <c r="S486" s="196"/>
      <c r="T486" s="196"/>
      <c r="U486" s="196"/>
      <c r="V486" s="196"/>
      <c r="W486" s="196"/>
      <c r="X486" s="196"/>
      <c r="Y486" s="196"/>
      <c r="Z486" s="196"/>
      <c r="AA486" s="196"/>
      <c r="AB486" s="196"/>
      <c r="AC486" s="196"/>
      <c r="AD486" s="196"/>
      <c r="AE486" s="196"/>
      <c r="AF486" s="196"/>
      <c r="AG486" s="196"/>
      <c r="AH486" s="196"/>
    </row>
    <row r="487">
      <c r="A487" s="196"/>
      <c r="B487" s="196"/>
      <c r="C487" s="196"/>
      <c r="D487" s="196"/>
      <c r="E487" s="196"/>
      <c r="F487" s="196"/>
      <c r="G487" s="196"/>
      <c r="H487" s="196"/>
      <c r="I487" s="139"/>
      <c r="J487" s="196"/>
      <c r="K487" s="196"/>
      <c r="L487" s="139"/>
      <c r="M487" s="196"/>
      <c r="N487" s="196"/>
      <c r="O487" s="196"/>
      <c r="P487" s="196"/>
      <c r="Q487" s="196"/>
      <c r="R487" s="196"/>
      <c r="S487" s="196"/>
      <c r="T487" s="196"/>
      <c r="U487" s="196"/>
      <c r="V487" s="196"/>
      <c r="W487" s="196"/>
      <c r="X487" s="196"/>
      <c r="Y487" s="196"/>
      <c r="Z487" s="196"/>
      <c r="AA487" s="196"/>
      <c r="AB487" s="196"/>
      <c r="AC487" s="196"/>
      <c r="AD487" s="196"/>
      <c r="AE487" s="196"/>
      <c r="AF487" s="196"/>
      <c r="AG487" s="196"/>
      <c r="AH487" s="196"/>
    </row>
    <row r="488">
      <c r="A488" s="196"/>
      <c r="B488" s="196"/>
      <c r="C488" s="196"/>
      <c r="D488" s="196"/>
      <c r="E488" s="196"/>
      <c r="F488" s="196"/>
      <c r="G488" s="196"/>
      <c r="H488" s="196"/>
      <c r="I488" s="139"/>
      <c r="J488" s="196"/>
      <c r="K488" s="196"/>
      <c r="L488" s="139"/>
      <c r="M488" s="196"/>
      <c r="N488" s="196"/>
      <c r="O488" s="196"/>
      <c r="P488" s="196"/>
      <c r="Q488" s="196"/>
      <c r="R488" s="196"/>
      <c r="S488" s="196"/>
      <c r="T488" s="196"/>
      <c r="U488" s="196"/>
      <c r="V488" s="196"/>
      <c r="W488" s="196"/>
      <c r="X488" s="196"/>
      <c r="Y488" s="196"/>
      <c r="Z488" s="196"/>
      <c r="AA488" s="196"/>
      <c r="AB488" s="196"/>
      <c r="AC488" s="196"/>
      <c r="AD488" s="196"/>
      <c r="AE488" s="196"/>
      <c r="AF488" s="196"/>
      <c r="AG488" s="196"/>
      <c r="AH488" s="196"/>
    </row>
    <row r="489">
      <c r="A489" s="196"/>
      <c r="B489" s="196"/>
      <c r="C489" s="196"/>
      <c r="D489" s="196"/>
      <c r="E489" s="196"/>
      <c r="F489" s="196"/>
      <c r="G489" s="196"/>
      <c r="H489" s="196"/>
      <c r="I489" s="139"/>
      <c r="J489" s="196"/>
      <c r="K489" s="196"/>
      <c r="L489" s="139"/>
      <c r="M489" s="196"/>
      <c r="N489" s="196"/>
      <c r="O489" s="196"/>
      <c r="P489" s="196"/>
      <c r="Q489" s="196"/>
      <c r="R489" s="196"/>
      <c r="S489" s="196"/>
      <c r="T489" s="196"/>
      <c r="U489" s="196"/>
      <c r="V489" s="196"/>
      <c r="W489" s="196"/>
      <c r="X489" s="196"/>
      <c r="Y489" s="196"/>
      <c r="Z489" s="196"/>
      <c r="AA489" s="196"/>
      <c r="AB489" s="196"/>
      <c r="AC489" s="196"/>
      <c r="AD489" s="196"/>
      <c r="AE489" s="196"/>
      <c r="AF489" s="196"/>
      <c r="AG489" s="196"/>
      <c r="AH489" s="196"/>
    </row>
    <row r="490">
      <c r="A490" s="196"/>
      <c r="B490" s="196"/>
      <c r="C490" s="196"/>
      <c r="D490" s="196"/>
      <c r="E490" s="196"/>
      <c r="F490" s="196"/>
      <c r="G490" s="196"/>
      <c r="H490" s="196"/>
      <c r="I490" s="139"/>
      <c r="J490" s="196"/>
      <c r="K490" s="196"/>
      <c r="L490" s="139"/>
      <c r="M490" s="196"/>
      <c r="N490" s="196"/>
      <c r="O490" s="196"/>
      <c r="P490" s="196"/>
      <c r="Q490" s="196"/>
      <c r="R490" s="196"/>
      <c r="S490" s="196"/>
      <c r="T490" s="196"/>
      <c r="U490" s="196"/>
      <c r="V490" s="196"/>
      <c r="W490" s="196"/>
      <c r="X490" s="196"/>
      <c r="Y490" s="196"/>
      <c r="Z490" s="196"/>
      <c r="AA490" s="196"/>
      <c r="AB490" s="196"/>
      <c r="AC490" s="196"/>
      <c r="AD490" s="196"/>
      <c r="AE490" s="196"/>
      <c r="AF490" s="196"/>
      <c r="AG490" s="196"/>
      <c r="AH490" s="196"/>
    </row>
    <row r="491">
      <c r="A491" s="196"/>
      <c r="B491" s="196"/>
      <c r="C491" s="196"/>
      <c r="D491" s="196"/>
      <c r="E491" s="196"/>
      <c r="F491" s="196"/>
      <c r="G491" s="196"/>
      <c r="H491" s="196"/>
      <c r="I491" s="139"/>
      <c r="J491" s="196"/>
      <c r="K491" s="196"/>
      <c r="L491" s="139"/>
      <c r="M491" s="196"/>
      <c r="N491" s="196"/>
      <c r="O491" s="196"/>
      <c r="P491" s="196"/>
      <c r="Q491" s="196"/>
      <c r="R491" s="196"/>
      <c r="S491" s="196"/>
      <c r="T491" s="196"/>
      <c r="U491" s="196"/>
      <c r="V491" s="196"/>
      <c r="W491" s="196"/>
      <c r="X491" s="196"/>
      <c r="Y491" s="196"/>
      <c r="Z491" s="196"/>
      <c r="AA491" s="196"/>
      <c r="AB491" s="196"/>
      <c r="AC491" s="196"/>
      <c r="AD491" s="196"/>
      <c r="AE491" s="196"/>
      <c r="AF491" s="196"/>
      <c r="AG491" s="196"/>
      <c r="AH491" s="196"/>
    </row>
    <row r="492">
      <c r="A492" s="196"/>
      <c r="B492" s="196"/>
      <c r="C492" s="196"/>
      <c r="D492" s="196"/>
      <c r="E492" s="196"/>
      <c r="F492" s="196"/>
      <c r="G492" s="196"/>
      <c r="H492" s="196"/>
      <c r="I492" s="139"/>
      <c r="J492" s="196"/>
      <c r="K492" s="196"/>
      <c r="L492" s="139"/>
      <c r="M492" s="196"/>
      <c r="N492" s="196"/>
      <c r="O492" s="196"/>
      <c r="P492" s="196"/>
      <c r="Q492" s="196"/>
      <c r="R492" s="196"/>
      <c r="S492" s="196"/>
      <c r="T492" s="196"/>
      <c r="U492" s="196"/>
      <c r="V492" s="196"/>
      <c r="W492" s="196"/>
      <c r="X492" s="196"/>
      <c r="Y492" s="196"/>
      <c r="Z492" s="196"/>
      <c r="AA492" s="196"/>
      <c r="AB492" s="196"/>
      <c r="AC492" s="196"/>
      <c r="AD492" s="196"/>
      <c r="AE492" s="196"/>
      <c r="AF492" s="196"/>
      <c r="AG492" s="196"/>
      <c r="AH492" s="196"/>
    </row>
    <row r="493">
      <c r="A493" s="196"/>
      <c r="B493" s="196"/>
      <c r="C493" s="196"/>
      <c r="D493" s="196"/>
      <c r="E493" s="196"/>
      <c r="F493" s="196"/>
      <c r="G493" s="196"/>
      <c r="H493" s="196"/>
      <c r="I493" s="139"/>
      <c r="J493" s="196"/>
      <c r="K493" s="196"/>
      <c r="L493" s="139"/>
      <c r="M493" s="196"/>
      <c r="N493" s="196"/>
      <c r="O493" s="196"/>
      <c r="P493" s="196"/>
      <c r="Q493" s="196"/>
      <c r="R493" s="196"/>
      <c r="S493" s="196"/>
      <c r="T493" s="196"/>
      <c r="U493" s="196"/>
      <c r="V493" s="196"/>
      <c r="W493" s="196"/>
      <c r="X493" s="196"/>
      <c r="Y493" s="196"/>
      <c r="Z493" s="196"/>
      <c r="AA493" s="196"/>
      <c r="AB493" s="196"/>
      <c r="AC493" s="196"/>
      <c r="AD493" s="196"/>
      <c r="AE493" s="196"/>
      <c r="AF493" s="196"/>
      <c r="AG493" s="196"/>
      <c r="AH493" s="196"/>
    </row>
    <row r="494">
      <c r="A494" s="196"/>
      <c r="B494" s="196"/>
      <c r="C494" s="196"/>
      <c r="D494" s="196"/>
      <c r="E494" s="196"/>
      <c r="F494" s="196"/>
      <c r="G494" s="196"/>
      <c r="H494" s="196"/>
      <c r="I494" s="139"/>
      <c r="J494" s="196"/>
      <c r="K494" s="196"/>
      <c r="L494" s="139"/>
      <c r="M494" s="196"/>
      <c r="N494" s="196"/>
      <c r="O494" s="196"/>
      <c r="P494" s="196"/>
      <c r="Q494" s="196"/>
      <c r="R494" s="196"/>
      <c r="S494" s="196"/>
      <c r="T494" s="196"/>
      <c r="U494" s="196"/>
      <c r="V494" s="196"/>
      <c r="W494" s="196"/>
      <c r="X494" s="196"/>
      <c r="Y494" s="196"/>
      <c r="Z494" s="196"/>
      <c r="AA494" s="196"/>
      <c r="AB494" s="196"/>
      <c r="AC494" s="196"/>
      <c r="AD494" s="196"/>
      <c r="AE494" s="196"/>
      <c r="AF494" s="196"/>
      <c r="AG494" s="196"/>
      <c r="AH494" s="196"/>
    </row>
    <row r="495">
      <c r="A495" s="196"/>
      <c r="B495" s="196"/>
      <c r="C495" s="196"/>
      <c r="D495" s="196"/>
      <c r="E495" s="196"/>
      <c r="F495" s="196"/>
      <c r="G495" s="196"/>
      <c r="H495" s="196"/>
      <c r="I495" s="139"/>
      <c r="J495" s="196"/>
      <c r="K495" s="196"/>
      <c r="L495" s="139"/>
      <c r="M495" s="196"/>
      <c r="N495" s="196"/>
      <c r="O495" s="196"/>
      <c r="P495" s="196"/>
      <c r="Q495" s="196"/>
      <c r="R495" s="196"/>
      <c r="S495" s="196"/>
      <c r="T495" s="196"/>
      <c r="U495" s="196"/>
      <c r="V495" s="196"/>
      <c r="W495" s="196"/>
      <c r="X495" s="196"/>
      <c r="Y495" s="196"/>
      <c r="Z495" s="196"/>
      <c r="AA495" s="196"/>
      <c r="AB495" s="196"/>
      <c r="AC495" s="196"/>
      <c r="AD495" s="196"/>
      <c r="AE495" s="196"/>
      <c r="AF495" s="196"/>
      <c r="AG495" s="196"/>
      <c r="AH495" s="196"/>
    </row>
    <row r="496">
      <c r="A496" s="196"/>
      <c r="B496" s="196"/>
      <c r="C496" s="196"/>
      <c r="D496" s="196"/>
      <c r="E496" s="196"/>
      <c r="F496" s="196"/>
      <c r="G496" s="196"/>
      <c r="H496" s="196"/>
      <c r="I496" s="139"/>
      <c r="J496" s="196"/>
      <c r="K496" s="196"/>
      <c r="L496" s="139"/>
      <c r="M496" s="196"/>
      <c r="N496" s="196"/>
      <c r="O496" s="196"/>
      <c r="P496" s="196"/>
      <c r="Q496" s="196"/>
      <c r="R496" s="196"/>
      <c r="S496" s="196"/>
      <c r="T496" s="196"/>
      <c r="U496" s="196"/>
      <c r="V496" s="196"/>
      <c r="W496" s="196"/>
      <c r="X496" s="196"/>
      <c r="Y496" s="196"/>
      <c r="Z496" s="196"/>
      <c r="AA496" s="196"/>
      <c r="AB496" s="196"/>
      <c r="AC496" s="196"/>
      <c r="AD496" s="196"/>
      <c r="AE496" s="196"/>
      <c r="AF496" s="196"/>
      <c r="AG496" s="196"/>
      <c r="AH496" s="196"/>
    </row>
    <row r="497">
      <c r="A497" s="196"/>
      <c r="B497" s="196"/>
      <c r="C497" s="196"/>
      <c r="D497" s="196"/>
      <c r="E497" s="196"/>
      <c r="F497" s="196"/>
      <c r="G497" s="196"/>
      <c r="H497" s="196"/>
      <c r="I497" s="139"/>
      <c r="J497" s="196"/>
      <c r="K497" s="196"/>
      <c r="L497" s="139"/>
      <c r="M497" s="196"/>
      <c r="N497" s="196"/>
      <c r="O497" s="196"/>
      <c r="P497" s="196"/>
      <c r="Q497" s="196"/>
      <c r="R497" s="196"/>
      <c r="S497" s="196"/>
      <c r="T497" s="196"/>
      <c r="U497" s="196"/>
      <c r="V497" s="196"/>
      <c r="W497" s="196"/>
      <c r="X497" s="196"/>
      <c r="Y497" s="196"/>
      <c r="Z497" s="196"/>
      <c r="AA497" s="196"/>
      <c r="AB497" s="196"/>
      <c r="AC497" s="196"/>
      <c r="AD497" s="196"/>
      <c r="AE497" s="196"/>
      <c r="AF497" s="196"/>
      <c r="AG497" s="196"/>
      <c r="AH497" s="196"/>
    </row>
    <row r="498">
      <c r="A498" s="196"/>
      <c r="B498" s="196"/>
      <c r="C498" s="196"/>
      <c r="D498" s="196"/>
      <c r="E498" s="196"/>
      <c r="F498" s="196"/>
      <c r="G498" s="196"/>
      <c r="H498" s="196"/>
      <c r="I498" s="139"/>
      <c r="J498" s="196"/>
      <c r="K498" s="196"/>
      <c r="L498" s="139"/>
      <c r="M498" s="196"/>
      <c r="N498" s="196"/>
      <c r="O498" s="196"/>
      <c r="P498" s="196"/>
      <c r="Q498" s="196"/>
      <c r="R498" s="196"/>
      <c r="S498" s="196"/>
      <c r="T498" s="196"/>
      <c r="U498" s="196"/>
      <c r="V498" s="196"/>
      <c r="W498" s="196"/>
      <c r="X498" s="196"/>
      <c r="Y498" s="196"/>
      <c r="Z498" s="196"/>
      <c r="AA498" s="196"/>
      <c r="AB498" s="196"/>
      <c r="AC498" s="196"/>
      <c r="AD498" s="196"/>
      <c r="AE498" s="196"/>
      <c r="AF498" s="196"/>
      <c r="AG498" s="196"/>
      <c r="AH498" s="196"/>
    </row>
    <row r="499">
      <c r="A499" s="196"/>
      <c r="B499" s="196"/>
      <c r="C499" s="196"/>
      <c r="D499" s="196"/>
      <c r="E499" s="196"/>
      <c r="F499" s="196"/>
      <c r="G499" s="196"/>
      <c r="H499" s="196"/>
      <c r="I499" s="139"/>
      <c r="J499" s="196"/>
      <c r="K499" s="196"/>
      <c r="L499" s="139"/>
      <c r="M499" s="196"/>
      <c r="N499" s="196"/>
      <c r="O499" s="196"/>
      <c r="P499" s="196"/>
      <c r="Q499" s="196"/>
      <c r="R499" s="196"/>
      <c r="S499" s="196"/>
      <c r="T499" s="196"/>
      <c r="U499" s="196"/>
      <c r="V499" s="196"/>
      <c r="W499" s="196"/>
      <c r="X499" s="196"/>
      <c r="Y499" s="196"/>
      <c r="Z499" s="196"/>
      <c r="AA499" s="196"/>
      <c r="AB499" s="196"/>
      <c r="AC499" s="196"/>
      <c r="AD499" s="196"/>
      <c r="AE499" s="196"/>
      <c r="AF499" s="196"/>
      <c r="AG499" s="196"/>
      <c r="AH499" s="196"/>
    </row>
    <row r="500">
      <c r="A500" s="196"/>
      <c r="B500" s="196"/>
      <c r="C500" s="196"/>
      <c r="D500" s="196"/>
      <c r="E500" s="196"/>
      <c r="F500" s="196"/>
      <c r="G500" s="196"/>
      <c r="H500" s="196"/>
      <c r="I500" s="139"/>
      <c r="J500" s="196"/>
      <c r="K500" s="196"/>
      <c r="L500" s="139"/>
      <c r="M500" s="196"/>
      <c r="N500" s="196"/>
      <c r="O500" s="196"/>
      <c r="P500" s="196"/>
      <c r="Q500" s="196"/>
      <c r="R500" s="196"/>
      <c r="S500" s="196"/>
      <c r="T500" s="196"/>
      <c r="U500" s="196"/>
      <c r="V500" s="196"/>
      <c r="W500" s="196"/>
      <c r="X500" s="196"/>
      <c r="Y500" s="196"/>
      <c r="Z500" s="196"/>
      <c r="AA500" s="196"/>
      <c r="AB500" s="196"/>
      <c r="AC500" s="196"/>
      <c r="AD500" s="196"/>
      <c r="AE500" s="196"/>
      <c r="AF500" s="196"/>
      <c r="AG500" s="196"/>
      <c r="AH500" s="196"/>
    </row>
    <row r="501">
      <c r="A501" s="196"/>
      <c r="B501" s="196"/>
      <c r="C501" s="196"/>
      <c r="D501" s="196"/>
      <c r="E501" s="196"/>
      <c r="F501" s="196"/>
      <c r="G501" s="196"/>
      <c r="H501" s="196"/>
      <c r="I501" s="139"/>
      <c r="J501" s="196"/>
      <c r="K501" s="196"/>
      <c r="L501" s="139"/>
      <c r="M501" s="196"/>
      <c r="N501" s="196"/>
      <c r="O501" s="196"/>
      <c r="P501" s="196"/>
      <c r="Q501" s="196"/>
      <c r="R501" s="196"/>
      <c r="S501" s="196"/>
      <c r="T501" s="196"/>
      <c r="U501" s="196"/>
      <c r="V501" s="196"/>
      <c r="W501" s="196"/>
      <c r="X501" s="196"/>
      <c r="Y501" s="196"/>
      <c r="Z501" s="196"/>
      <c r="AA501" s="196"/>
      <c r="AB501" s="196"/>
      <c r="AC501" s="196"/>
      <c r="AD501" s="196"/>
      <c r="AE501" s="196"/>
      <c r="AF501" s="196"/>
      <c r="AG501" s="196"/>
      <c r="AH501" s="196"/>
    </row>
    <row r="502">
      <c r="A502" s="196"/>
      <c r="B502" s="196"/>
      <c r="C502" s="196"/>
      <c r="D502" s="196"/>
      <c r="E502" s="196"/>
      <c r="F502" s="196"/>
      <c r="G502" s="196"/>
      <c r="H502" s="196"/>
      <c r="I502" s="139"/>
      <c r="J502" s="196"/>
      <c r="K502" s="196"/>
      <c r="L502" s="139"/>
      <c r="M502" s="196"/>
      <c r="N502" s="196"/>
      <c r="O502" s="196"/>
      <c r="P502" s="196"/>
      <c r="Q502" s="196"/>
      <c r="R502" s="196"/>
      <c r="S502" s="196"/>
      <c r="T502" s="196"/>
      <c r="U502" s="196"/>
      <c r="V502" s="196"/>
      <c r="W502" s="196"/>
      <c r="X502" s="196"/>
      <c r="Y502" s="196"/>
      <c r="Z502" s="196"/>
      <c r="AA502" s="196"/>
      <c r="AB502" s="196"/>
      <c r="AC502" s="196"/>
      <c r="AD502" s="196"/>
      <c r="AE502" s="196"/>
      <c r="AF502" s="196"/>
      <c r="AG502" s="196"/>
      <c r="AH502" s="196"/>
    </row>
    <row r="503">
      <c r="A503" s="196"/>
      <c r="B503" s="196"/>
      <c r="C503" s="196"/>
      <c r="D503" s="196"/>
      <c r="E503" s="196"/>
      <c r="F503" s="196"/>
      <c r="G503" s="196"/>
      <c r="H503" s="196"/>
      <c r="I503" s="139"/>
      <c r="J503" s="196"/>
      <c r="K503" s="196"/>
      <c r="L503" s="139"/>
      <c r="M503" s="196"/>
      <c r="N503" s="196"/>
      <c r="O503" s="196"/>
      <c r="P503" s="196"/>
      <c r="Q503" s="196"/>
      <c r="R503" s="196"/>
      <c r="S503" s="196"/>
      <c r="T503" s="196"/>
      <c r="U503" s="196"/>
      <c r="V503" s="196"/>
      <c r="W503" s="196"/>
      <c r="X503" s="196"/>
      <c r="Y503" s="196"/>
      <c r="Z503" s="196"/>
      <c r="AA503" s="196"/>
      <c r="AB503" s="196"/>
      <c r="AC503" s="196"/>
      <c r="AD503" s="196"/>
      <c r="AE503" s="196"/>
      <c r="AF503" s="196"/>
      <c r="AG503" s="196"/>
      <c r="AH503" s="196"/>
    </row>
    <row r="504">
      <c r="A504" s="196"/>
      <c r="B504" s="196"/>
      <c r="C504" s="196"/>
      <c r="D504" s="196"/>
      <c r="E504" s="196"/>
      <c r="F504" s="196"/>
      <c r="G504" s="196"/>
      <c r="H504" s="196"/>
      <c r="I504" s="139"/>
      <c r="J504" s="196"/>
      <c r="K504" s="196"/>
      <c r="L504" s="139"/>
      <c r="M504" s="196"/>
      <c r="N504" s="196"/>
      <c r="O504" s="196"/>
      <c r="P504" s="196"/>
      <c r="Q504" s="196"/>
      <c r="R504" s="196"/>
      <c r="S504" s="196"/>
      <c r="T504" s="196"/>
      <c r="U504" s="196"/>
      <c r="V504" s="196"/>
      <c r="W504" s="196"/>
      <c r="X504" s="196"/>
      <c r="Y504" s="196"/>
      <c r="Z504" s="196"/>
      <c r="AA504" s="196"/>
      <c r="AB504" s="196"/>
      <c r="AC504" s="196"/>
      <c r="AD504" s="196"/>
      <c r="AE504" s="196"/>
      <c r="AF504" s="196"/>
      <c r="AG504" s="196"/>
      <c r="AH504" s="196"/>
    </row>
    <row r="505">
      <c r="A505" s="196"/>
      <c r="B505" s="196"/>
      <c r="C505" s="196"/>
      <c r="D505" s="196"/>
      <c r="E505" s="196"/>
      <c r="F505" s="196"/>
      <c r="G505" s="196"/>
      <c r="H505" s="196"/>
      <c r="I505" s="139"/>
      <c r="J505" s="196"/>
      <c r="K505" s="196"/>
      <c r="L505" s="139"/>
      <c r="M505" s="196"/>
      <c r="N505" s="196"/>
      <c r="O505" s="196"/>
      <c r="P505" s="196"/>
      <c r="Q505" s="196"/>
      <c r="R505" s="196"/>
      <c r="S505" s="196"/>
      <c r="T505" s="196"/>
      <c r="U505" s="196"/>
      <c r="V505" s="196"/>
      <c r="W505" s="196"/>
      <c r="X505" s="196"/>
      <c r="Y505" s="196"/>
      <c r="Z505" s="196"/>
      <c r="AA505" s="196"/>
      <c r="AB505" s="196"/>
      <c r="AC505" s="196"/>
      <c r="AD505" s="196"/>
      <c r="AE505" s="196"/>
      <c r="AF505" s="196"/>
      <c r="AG505" s="196"/>
      <c r="AH505" s="196"/>
    </row>
    <row r="506">
      <c r="A506" s="196"/>
      <c r="B506" s="196"/>
      <c r="C506" s="196"/>
      <c r="D506" s="196"/>
      <c r="E506" s="196"/>
      <c r="F506" s="196"/>
      <c r="G506" s="196"/>
      <c r="H506" s="196"/>
      <c r="I506" s="139"/>
      <c r="J506" s="196"/>
      <c r="K506" s="196"/>
      <c r="L506" s="139"/>
      <c r="M506" s="196"/>
      <c r="N506" s="196"/>
      <c r="O506" s="196"/>
      <c r="P506" s="196"/>
      <c r="Q506" s="196"/>
      <c r="R506" s="196"/>
      <c r="S506" s="196"/>
      <c r="T506" s="196"/>
      <c r="U506" s="196"/>
      <c r="V506" s="196"/>
      <c r="W506" s="196"/>
      <c r="X506" s="196"/>
      <c r="Y506" s="196"/>
      <c r="Z506" s="196"/>
      <c r="AA506" s="196"/>
      <c r="AB506" s="196"/>
      <c r="AC506" s="196"/>
      <c r="AD506" s="196"/>
      <c r="AE506" s="196"/>
      <c r="AF506" s="196"/>
      <c r="AG506" s="196"/>
      <c r="AH506" s="196"/>
    </row>
    <row r="507">
      <c r="A507" s="196"/>
      <c r="B507" s="196"/>
      <c r="C507" s="196"/>
      <c r="D507" s="196"/>
      <c r="E507" s="196"/>
      <c r="F507" s="196"/>
      <c r="G507" s="196"/>
      <c r="H507" s="196"/>
      <c r="I507" s="139"/>
      <c r="J507" s="196"/>
      <c r="K507" s="196"/>
      <c r="L507" s="139"/>
      <c r="M507" s="196"/>
      <c r="N507" s="196"/>
      <c r="O507" s="196"/>
      <c r="P507" s="196"/>
      <c r="Q507" s="196"/>
      <c r="R507" s="196"/>
      <c r="S507" s="196"/>
      <c r="T507" s="196"/>
      <c r="U507" s="196"/>
      <c r="V507" s="196"/>
      <c r="W507" s="196"/>
      <c r="X507" s="196"/>
      <c r="Y507" s="196"/>
      <c r="Z507" s="196"/>
      <c r="AA507" s="196"/>
      <c r="AB507" s="196"/>
      <c r="AC507" s="196"/>
      <c r="AD507" s="196"/>
      <c r="AE507" s="196"/>
      <c r="AF507" s="196"/>
      <c r="AG507" s="196"/>
      <c r="AH507" s="196"/>
    </row>
    <row r="508">
      <c r="A508" s="196"/>
      <c r="B508" s="196"/>
      <c r="C508" s="196"/>
      <c r="D508" s="196"/>
      <c r="E508" s="196"/>
      <c r="F508" s="196"/>
      <c r="G508" s="196"/>
      <c r="H508" s="196"/>
      <c r="I508" s="139"/>
      <c r="J508" s="196"/>
      <c r="K508" s="196"/>
      <c r="L508" s="139"/>
      <c r="M508" s="196"/>
      <c r="N508" s="196"/>
      <c r="O508" s="196"/>
      <c r="P508" s="196"/>
      <c r="Q508" s="196"/>
      <c r="R508" s="196"/>
      <c r="S508" s="196"/>
      <c r="T508" s="196"/>
      <c r="U508" s="196"/>
      <c r="V508" s="196"/>
      <c r="W508" s="196"/>
      <c r="X508" s="196"/>
      <c r="Y508" s="196"/>
      <c r="Z508" s="196"/>
      <c r="AA508" s="196"/>
      <c r="AB508" s="196"/>
      <c r="AC508" s="196"/>
      <c r="AD508" s="196"/>
      <c r="AE508" s="196"/>
      <c r="AF508" s="196"/>
      <c r="AG508" s="196"/>
      <c r="AH508" s="196"/>
    </row>
    <row r="509">
      <c r="A509" s="196"/>
      <c r="B509" s="196"/>
      <c r="C509" s="196"/>
      <c r="D509" s="196"/>
      <c r="E509" s="196"/>
      <c r="F509" s="196"/>
      <c r="G509" s="196"/>
      <c r="H509" s="196"/>
      <c r="I509" s="139"/>
      <c r="J509" s="196"/>
      <c r="K509" s="196"/>
      <c r="L509" s="139"/>
      <c r="M509" s="196"/>
      <c r="N509" s="196"/>
      <c r="O509" s="196"/>
      <c r="P509" s="196"/>
      <c r="Q509" s="196"/>
      <c r="R509" s="196"/>
      <c r="S509" s="196"/>
      <c r="T509" s="196"/>
      <c r="U509" s="196"/>
      <c r="V509" s="196"/>
      <c r="W509" s="196"/>
      <c r="X509" s="196"/>
      <c r="Y509" s="196"/>
      <c r="Z509" s="196"/>
      <c r="AA509" s="196"/>
      <c r="AB509" s="196"/>
      <c r="AC509" s="196"/>
      <c r="AD509" s="196"/>
      <c r="AE509" s="196"/>
      <c r="AF509" s="196"/>
      <c r="AG509" s="196"/>
      <c r="AH509" s="196"/>
    </row>
    <row r="510">
      <c r="A510" s="196"/>
      <c r="B510" s="196"/>
      <c r="C510" s="196"/>
      <c r="D510" s="196"/>
      <c r="E510" s="196"/>
      <c r="F510" s="196"/>
      <c r="G510" s="196"/>
      <c r="H510" s="196"/>
      <c r="I510" s="139"/>
      <c r="J510" s="196"/>
      <c r="K510" s="196"/>
      <c r="L510" s="139"/>
      <c r="M510" s="196"/>
      <c r="N510" s="196"/>
      <c r="O510" s="196"/>
      <c r="P510" s="196"/>
      <c r="Q510" s="196"/>
      <c r="R510" s="196"/>
      <c r="S510" s="196"/>
      <c r="T510" s="196"/>
      <c r="U510" s="196"/>
      <c r="V510" s="196"/>
      <c r="W510" s="196"/>
      <c r="X510" s="196"/>
      <c r="Y510" s="196"/>
      <c r="Z510" s="196"/>
      <c r="AA510" s="196"/>
      <c r="AB510" s="196"/>
      <c r="AC510" s="196"/>
      <c r="AD510" s="196"/>
      <c r="AE510" s="196"/>
      <c r="AF510" s="196"/>
      <c r="AG510" s="196"/>
      <c r="AH510" s="196"/>
    </row>
    <row r="511">
      <c r="A511" s="196"/>
      <c r="B511" s="196"/>
      <c r="C511" s="196"/>
      <c r="D511" s="196"/>
      <c r="E511" s="196"/>
      <c r="F511" s="196"/>
      <c r="G511" s="196"/>
      <c r="H511" s="196"/>
      <c r="I511" s="139"/>
      <c r="J511" s="196"/>
      <c r="K511" s="196"/>
      <c r="L511" s="139"/>
      <c r="M511" s="196"/>
      <c r="N511" s="196"/>
      <c r="O511" s="196"/>
      <c r="P511" s="196"/>
      <c r="Q511" s="196"/>
      <c r="R511" s="196"/>
      <c r="S511" s="196"/>
      <c r="T511" s="196"/>
      <c r="U511" s="196"/>
      <c r="V511" s="196"/>
      <c r="W511" s="196"/>
      <c r="X511" s="196"/>
      <c r="Y511" s="196"/>
      <c r="Z511" s="196"/>
      <c r="AA511" s="196"/>
      <c r="AB511" s="196"/>
      <c r="AC511" s="196"/>
      <c r="AD511" s="196"/>
      <c r="AE511" s="196"/>
      <c r="AF511" s="196"/>
      <c r="AG511" s="196"/>
      <c r="AH511" s="196"/>
    </row>
    <row r="512">
      <c r="A512" s="196"/>
      <c r="B512" s="196"/>
      <c r="C512" s="196"/>
      <c r="D512" s="196"/>
      <c r="E512" s="196"/>
      <c r="F512" s="196"/>
      <c r="G512" s="196"/>
      <c r="H512" s="196"/>
      <c r="I512" s="139"/>
      <c r="J512" s="196"/>
      <c r="K512" s="196"/>
      <c r="L512" s="139"/>
      <c r="M512" s="196"/>
      <c r="N512" s="196"/>
      <c r="O512" s="196"/>
      <c r="P512" s="196"/>
      <c r="Q512" s="196"/>
      <c r="R512" s="196"/>
      <c r="S512" s="196"/>
      <c r="T512" s="196"/>
      <c r="U512" s="196"/>
      <c r="V512" s="196"/>
      <c r="W512" s="196"/>
      <c r="X512" s="196"/>
      <c r="Y512" s="196"/>
      <c r="Z512" s="196"/>
      <c r="AA512" s="196"/>
      <c r="AB512" s="196"/>
      <c r="AC512" s="196"/>
      <c r="AD512" s="196"/>
      <c r="AE512" s="196"/>
      <c r="AF512" s="196"/>
      <c r="AG512" s="196"/>
      <c r="AH512" s="196"/>
    </row>
    <row r="513">
      <c r="A513" s="196"/>
      <c r="B513" s="196"/>
      <c r="C513" s="196"/>
      <c r="D513" s="196"/>
      <c r="E513" s="196"/>
      <c r="F513" s="196"/>
      <c r="G513" s="196"/>
      <c r="H513" s="196"/>
      <c r="I513" s="139"/>
      <c r="J513" s="196"/>
      <c r="K513" s="196"/>
      <c r="L513" s="139"/>
      <c r="M513" s="196"/>
      <c r="N513" s="196"/>
      <c r="O513" s="196"/>
      <c r="P513" s="196"/>
      <c r="Q513" s="196"/>
      <c r="R513" s="196"/>
      <c r="S513" s="196"/>
      <c r="T513" s="196"/>
      <c r="U513" s="196"/>
      <c r="V513" s="196"/>
      <c r="W513" s="196"/>
      <c r="X513" s="196"/>
      <c r="Y513" s="196"/>
      <c r="Z513" s="196"/>
      <c r="AA513" s="196"/>
      <c r="AB513" s="196"/>
      <c r="AC513" s="196"/>
      <c r="AD513" s="196"/>
      <c r="AE513" s="196"/>
      <c r="AF513" s="196"/>
      <c r="AG513" s="196"/>
      <c r="AH513" s="196"/>
    </row>
    <row r="514">
      <c r="A514" s="196"/>
      <c r="B514" s="196"/>
      <c r="C514" s="196"/>
      <c r="D514" s="196"/>
      <c r="E514" s="196"/>
      <c r="F514" s="196"/>
      <c r="G514" s="196"/>
      <c r="H514" s="196"/>
      <c r="I514" s="139"/>
      <c r="J514" s="196"/>
      <c r="K514" s="196"/>
      <c r="L514" s="139"/>
      <c r="M514" s="196"/>
      <c r="N514" s="196"/>
      <c r="O514" s="196"/>
      <c r="P514" s="196"/>
      <c r="Q514" s="196"/>
      <c r="R514" s="196"/>
      <c r="S514" s="196"/>
      <c r="T514" s="196"/>
      <c r="U514" s="196"/>
      <c r="V514" s="196"/>
      <c r="W514" s="196"/>
      <c r="X514" s="196"/>
      <c r="Y514" s="196"/>
      <c r="Z514" s="196"/>
      <c r="AA514" s="196"/>
      <c r="AB514" s="196"/>
      <c r="AC514" s="196"/>
      <c r="AD514" s="196"/>
      <c r="AE514" s="196"/>
      <c r="AF514" s="196"/>
      <c r="AG514" s="196"/>
      <c r="AH514" s="196"/>
    </row>
    <row r="515">
      <c r="A515" s="196"/>
      <c r="B515" s="196"/>
      <c r="C515" s="196"/>
      <c r="D515" s="196"/>
      <c r="E515" s="196"/>
      <c r="F515" s="196"/>
      <c r="G515" s="196"/>
      <c r="H515" s="196"/>
      <c r="I515" s="139"/>
      <c r="J515" s="196"/>
      <c r="K515" s="196"/>
      <c r="L515" s="139"/>
      <c r="M515" s="196"/>
      <c r="N515" s="196"/>
      <c r="O515" s="196"/>
      <c r="P515" s="196"/>
      <c r="Q515" s="196"/>
      <c r="R515" s="196"/>
      <c r="S515" s="196"/>
      <c r="T515" s="196"/>
      <c r="U515" s="196"/>
      <c r="V515" s="196"/>
      <c r="W515" s="196"/>
      <c r="X515" s="196"/>
      <c r="Y515" s="196"/>
      <c r="Z515" s="196"/>
      <c r="AA515" s="196"/>
      <c r="AB515" s="196"/>
      <c r="AC515" s="196"/>
      <c r="AD515" s="196"/>
      <c r="AE515" s="196"/>
      <c r="AF515" s="196"/>
      <c r="AG515" s="196"/>
      <c r="AH515" s="196"/>
    </row>
    <row r="516">
      <c r="A516" s="196"/>
      <c r="B516" s="196"/>
      <c r="C516" s="196"/>
      <c r="D516" s="196"/>
      <c r="E516" s="196"/>
      <c r="F516" s="196"/>
      <c r="G516" s="196"/>
      <c r="H516" s="196"/>
      <c r="I516" s="139"/>
      <c r="J516" s="196"/>
      <c r="K516" s="196"/>
      <c r="L516" s="139"/>
      <c r="M516" s="196"/>
      <c r="N516" s="196"/>
      <c r="O516" s="196"/>
      <c r="P516" s="196"/>
      <c r="Q516" s="196"/>
      <c r="R516" s="196"/>
      <c r="S516" s="196"/>
      <c r="T516" s="196"/>
      <c r="U516" s="196"/>
      <c r="V516" s="196"/>
      <c r="W516" s="196"/>
      <c r="X516" s="196"/>
      <c r="Y516" s="196"/>
      <c r="Z516" s="196"/>
      <c r="AA516" s="196"/>
      <c r="AB516" s="196"/>
      <c r="AC516" s="196"/>
      <c r="AD516" s="196"/>
      <c r="AE516" s="196"/>
      <c r="AF516" s="196"/>
      <c r="AG516" s="196"/>
      <c r="AH516" s="196"/>
    </row>
    <row r="517">
      <c r="A517" s="196"/>
      <c r="B517" s="196"/>
      <c r="C517" s="196"/>
      <c r="D517" s="196"/>
      <c r="E517" s="196"/>
      <c r="F517" s="196"/>
      <c r="G517" s="196"/>
      <c r="H517" s="196"/>
      <c r="I517" s="139"/>
      <c r="J517" s="196"/>
      <c r="K517" s="196"/>
      <c r="L517" s="139"/>
      <c r="M517" s="196"/>
      <c r="N517" s="196"/>
      <c r="O517" s="196"/>
      <c r="P517" s="196"/>
      <c r="Q517" s="196"/>
      <c r="R517" s="196"/>
      <c r="S517" s="196"/>
      <c r="T517" s="196"/>
      <c r="U517" s="196"/>
      <c r="V517" s="196"/>
      <c r="W517" s="196"/>
      <c r="X517" s="196"/>
      <c r="Y517" s="196"/>
      <c r="Z517" s="196"/>
      <c r="AA517" s="196"/>
      <c r="AB517" s="196"/>
      <c r="AC517" s="196"/>
      <c r="AD517" s="196"/>
      <c r="AE517" s="196"/>
      <c r="AF517" s="196"/>
      <c r="AG517" s="196"/>
      <c r="AH517" s="196"/>
    </row>
    <row r="518">
      <c r="A518" s="196"/>
      <c r="B518" s="196"/>
      <c r="C518" s="196"/>
      <c r="D518" s="196"/>
      <c r="E518" s="196"/>
      <c r="F518" s="196"/>
      <c r="G518" s="196"/>
      <c r="H518" s="196"/>
      <c r="I518" s="139"/>
      <c r="J518" s="196"/>
      <c r="K518" s="196"/>
      <c r="L518" s="139"/>
      <c r="M518" s="196"/>
      <c r="N518" s="196"/>
      <c r="O518" s="196"/>
      <c r="P518" s="196"/>
      <c r="Q518" s="196"/>
      <c r="R518" s="196"/>
      <c r="S518" s="196"/>
      <c r="T518" s="196"/>
      <c r="U518" s="196"/>
      <c r="V518" s="196"/>
      <c r="W518" s="196"/>
      <c r="X518" s="196"/>
      <c r="Y518" s="196"/>
      <c r="Z518" s="196"/>
      <c r="AA518" s="196"/>
      <c r="AB518" s="196"/>
      <c r="AC518" s="196"/>
      <c r="AD518" s="196"/>
      <c r="AE518" s="196"/>
      <c r="AF518" s="196"/>
      <c r="AG518" s="196"/>
      <c r="AH518" s="196"/>
    </row>
    <row r="519">
      <c r="A519" s="196"/>
      <c r="B519" s="196"/>
      <c r="C519" s="196"/>
      <c r="D519" s="196"/>
      <c r="E519" s="196"/>
      <c r="F519" s="196"/>
      <c r="G519" s="196"/>
      <c r="H519" s="196"/>
      <c r="I519" s="139"/>
      <c r="J519" s="196"/>
      <c r="K519" s="196"/>
      <c r="L519" s="139"/>
      <c r="M519" s="196"/>
      <c r="N519" s="196"/>
      <c r="O519" s="196"/>
      <c r="P519" s="196"/>
      <c r="Q519" s="196"/>
      <c r="R519" s="196"/>
      <c r="S519" s="196"/>
      <c r="T519" s="196"/>
      <c r="U519" s="196"/>
      <c r="V519" s="196"/>
      <c r="W519" s="196"/>
      <c r="X519" s="196"/>
      <c r="Y519" s="196"/>
      <c r="Z519" s="196"/>
      <c r="AA519" s="196"/>
      <c r="AB519" s="196"/>
      <c r="AC519" s="196"/>
      <c r="AD519" s="196"/>
      <c r="AE519" s="196"/>
      <c r="AF519" s="196"/>
      <c r="AG519" s="196"/>
      <c r="AH519" s="196"/>
    </row>
    <row r="520">
      <c r="A520" s="196"/>
      <c r="B520" s="196"/>
      <c r="C520" s="196"/>
      <c r="D520" s="196"/>
      <c r="E520" s="196"/>
      <c r="F520" s="196"/>
      <c r="G520" s="196"/>
      <c r="H520" s="196"/>
      <c r="I520" s="139"/>
      <c r="J520" s="196"/>
      <c r="K520" s="196"/>
      <c r="L520" s="139"/>
      <c r="M520" s="196"/>
      <c r="N520" s="196"/>
      <c r="O520" s="196"/>
      <c r="P520" s="196"/>
      <c r="Q520" s="196"/>
      <c r="R520" s="196"/>
      <c r="S520" s="196"/>
      <c r="T520" s="196"/>
      <c r="U520" s="196"/>
      <c r="V520" s="196"/>
      <c r="W520" s="196"/>
      <c r="X520" s="196"/>
      <c r="Y520" s="196"/>
      <c r="Z520" s="196"/>
      <c r="AA520" s="196"/>
      <c r="AB520" s="196"/>
      <c r="AC520" s="196"/>
      <c r="AD520" s="196"/>
      <c r="AE520" s="196"/>
      <c r="AF520" s="196"/>
      <c r="AG520" s="196"/>
      <c r="AH520" s="196"/>
    </row>
    <row r="521">
      <c r="A521" s="196"/>
      <c r="B521" s="196"/>
      <c r="C521" s="196"/>
      <c r="D521" s="196"/>
      <c r="E521" s="196"/>
      <c r="F521" s="196"/>
      <c r="G521" s="196"/>
      <c r="H521" s="196"/>
      <c r="I521" s="139"/>
      <c r="J521" s="196"/>
      <c r="K521" s="196"/>
      <c r="L521" s="139"/>
      <c r="M521" s="196"/>
      <c r="N521" s="196"/>
      <c r="O521" s="196"/>
      <c r="P521" s="196"/>
      <c r="Q521" s="196"/>
      <c r="R521" s="196"/>
      <c r="S521" s="196"/>
      <c r="T521" s="196"/>
      <c r="U521" s="196"/>
      <c r="V521" s="196"/>
      <c r="W521" s="196"/>
      <c r="X521" s="196"/>
      <c r="Y521" s="196"/>
      <c r="Z521" s="196"/>
      <c r="AA521" s="196"/>
      <c r="AB521" s="196"/>
      <c r="AC521" s="196"/>
      <c r="AD521" s="196"/>
      <c r="AE521" s="196"/>
      <c r="AF521" s="196"/>
      <c r="AG521" s="196"/>
      <c r="AH521" s="196"/>
    </row>
    <row r="522">
      <c r="A522" s="196"/>
      <c r="B522" s="196"/>
      <c r="C522" s="196"/>
      <c r="D522" s="196"/>
      <c r="E522" s="196"/>
      <c r="F522" s="196"/>
      <c r="G522" s="196"/>
      <c r="H522" s="196"/>
      <c r="I522" s="139"/>
      <c r="J522" s="196"/>
      <c r="K522" s="196"/>
      <c r="L522" s="139"/>
      <c r="M522" s="196"/>
      <c r="N522" s="196"/>
      <c r="O522" s="196"/>
      <c r="P522" s="196"/>
      <c r="Q522" s="196"/>
      <c r="R522" s="196"/>
      <c r="S522" s="196"/>
      <c r="T522" s="196"/>
      <c r="U522" s="196"/>
      <c r="V522" s="196"/>
      <c r="W522" s="196"/>
      <c r="X522" s="196"/>
      <c r="Y522" s="196"/>
      <c r="Z522" s="196"/>
      <c r="AA522" s="196"/>
      <c r="AB522" s="196"/>
      <c r="AC522" s="196"/>
      <c r="AD522" s="196"/>
      <c r="AE522" s="196"/>
      <c r="AF522" s="196"/>
      <c r="AG522" s="196"/>
      <c r="AH522" s="196"/>
    </row>
    <row r="523">
      <c r="A523" s="196"/>
      <c r="B523" s="196"/>
      <c r="C523" s="196"/>
      <c r="D523" s="196"/>
      <c r="E523" s="196"/>
      <c r="F523" s="196"/>
      <c r="G523" s="196"/>
      <c r="H523" s="196"/>
      <c r="I523" s="139"/>
      <c r="J523" s="196"/>
      <c r="K523" s="196"/>
      <c r="L523" s="139"/>
      <c r="M523" s="196"/>
      <c r="N523" s="196"/>
      <c r="O523" s="196"/>
      <c r="P523" s="196"/>
      <c r="Q523" s="196"/>
      <c r="R523" s="196"/>
      <c r="S523" s="196"/>
      <c r="T523" s="196"/>
      <c r="U523" s="196"/>
      <c r="V523" s="196"/>
      <c r="W523" s="196"/>
      <c r="X523" s="196"/>
      <c r="Y523" s="196"/>
      <c r="Z523" s="196"/>
      <c r="AA523" s="196"/>
      <c r="AB523" s="196"/>
      <c r="AC523" s="196"/>
      <c r="AD523" s="196"/>
      <c r="AE523" s="196"/>
      <c r="AF523" s="196"/>
      <c r="AG523" s="196"/>
      <c r="AH523" s="196"/>
    </row>
    <row r="524">
      <c r="A524" s="196"/>
      <c r="B524" s="196"/>
      <c r="C524" s="196"/>
      <c r="D524" s="196"/>
      <c r="E524" s="196"/>
      <c r="F524" s="196"/>
      <c r="G524" s="196"/>
      <c r="H524" s="196"/>
      <c r="I524" s="139"/>
      <c r="J524" s="196"/>
      <c r="K524" s="196"/>
      <c r="L524" s="139"/>
      <c r="M524" s="196"/>
      <c r="N524" s="196"/>
      <c r="O524" s="196"/>
      <c r="P524" s="196"/>
      <c r="Q524" s="196"/>
      <c r="R524" s="196"/>
      <c r="S524" s="196"/>
      <c r="T524" s="196"/>
      <c r="U524" s="196"/>
      <c r="V524" s="196"/>
      <c r="W524" s="196"/>
      <c r="X524" s="196"/>
      <c r="Y524" s="196"/>
      <c r="Z524" s="196"/>
      <c r="AA524" s="196"/>
      <c r="AB524" s="196"/>
      <c r="AC524" s="196"/>
      <c r="AD524" s="196"/>
      <c r="AE524" s="196"/>
      <c r="AF524" s="196"/>
      <c r="AG524" s="196"/>
      <c r="AH524" s="196"/>
    </row>
    <row r="525">
      <c r="A525" s="196"/>
      <c r="B525" s="196"/>
      <c r="C525" s="196"/>
      <c r="D525" s="196"/>
      <c r="E525" s="196"/>
      <c r="F525" s="196"/>
      <c r="G525" s="196"/>
      <c r="H525" s="196"/>
      <c r="I525" s="139"/>
      <c r="J525" s="196"/>
      <c r="K525" s="196"/>
      <c r="L525" s="139"/>
      <c r="M525" s="196"/>
      <c r="N525" s="196"/>
      <c r="O525" s="196"/>
      <c r="P525" s="196"/>
      <c r="Q525" s="196"/>
      <c r="R525" s="196"/>
      <c r="S525" s="196"/>
      <c r="T525" s="196"/>
      <c r="U525" s="196"/>
      <c r="V525" s="196"/>
      <c r="W525" s="196"/>
      <c r="X525" s="196"/>
      <c r="Y525" s="196"/>
      <c r="Z525" s="196"/>
      <c r="AA525" s="196"/>
      <c r="AB525" s="196"/>
      <c r="AC525" s="196"/>
      <c r="AD525" s="196"/>
      <c r="AE525" s="196"/>
      <c r="AF525" s="196"/>
      <c r="AG525" s="196"/>
      <c r="AH525" s="196"/>
    </row>
    <row r="526">
      <c r="A526" s="196"/>
      <c r="B526" s="196"/>
      <c r="C526" s="196"/>
      <c r="D526" s="196"/>
      <c r="E526" s="196"/>
      <c r="F526" s="196"/>
      <c r="G526" s="196"/>
      <c r="H526" s="196"/>
      <c r="I526" s="139"/>
      <c r="J526" s="196"/>
      <c r="K526" s="196"/>
      <c r="L526" s="139"/>
      <c r="M526" s="196"/>
      <c r="N526" s="196"/>
      <c r="O526" s="196"/>
      <c r="P526" s="196"/>
      <c r="Q526" s="196"/>
      <c r="R526" s="196"/>
      <c r="S526" s="196"/>
      <c r="T526" s="196"/>
      <c r="U526" s="196"/>
      <c r="V526" s="196"/>
      <c r="W526" s="196"/>
      <c r="X526" s="196"/>
      <c r="Y526" s="196"/>
      <c r="Z526" s="196"/>
      <c r="AA526" s="196"/>
      <c r="AB526" s="196"/>
      <c r="AC526" s="196"/>
      <c r="AD526" s="196"/>
      <c r="AE526" s="196"/>
      <c r="AF526" s="196"/>
      <c r="AG526" s="196"/>
      <c r="AH526" s="196"/>
    </row>
    <row r="527">
      <c r="A527" s="196"/>
      <c r="B527" s="196"/>
      <c r="C527" s="196"/>
      <c r="D527" s="196"/>
      <c r="E527" s="196"/>
      <c r="F527" s="196"/>
      <c r="G527" s="196"/>
      <c r="H527" s="196"/>
      <c r="I527" s="139"/>
      <c r="J527" s="196"/>
      <c r="K527" s="196"/>
      <c r="L527" s="139"/>
      <c r="M527" s="196"/>
      <c r="N527" s="196"/>
      <c r="O527" s="196"/>
      <c r="P527" s="196"/>
      <c r="Q527" s="196"/>
      <c r="R527" s="196"/>
      <c r="S527" s="196"/>
      <c r="T527" s="196"/>
      <c r="U527" s="196"/>
      <c r="V527" s="196"/>
      <c r="W527" s="196"/>
      <c r="X527" s="196"/>
      <c r="Y527" s="196"/>
      <c r="Z527" s="196"/>
      <c r="AA527" s="196"/>
      <c r="AB527" s="196"/>
      <c r="AC527" s="196"/>
      <c r="AD527" s="196"/>
      <c r="AE527" s="196"/>
      <c r="AF527" s="196"/>
      <c r="AG527" s="196"/>
      <c r="AH527" s="196"/>
    </row>
    <row r="528">
      <c r="A528" s="196"/>
      <c r="B528" s="196"/>
      <c r="C528" s="196"/>
      <c r="D528" s="196"/>
      <c r="E528" s="196"/>
      <c r="F528" s="196"/>
      <c r="G528" s="196"/>
      <c r="H528" s="196"/>
      <c r="I528" s="139"/>
      <c r="J528" s="196"/>
      <c r="K528" s="196"/>
      <c r="L528" s="139"/>
      <c r="M528" s="196"/>
      <c r="N528" s="196"/>
      <c r="O528" s="196"/>
      <c r="P528" s="196"/>
      <c r="Q528" s="196"/>
      <c r="R528" s="196"/>
      <c r="S528" s="196"/>
      <c r="T528" s="196"/>
      <c r="U528" s="196"/>
      <c r="V528" s="196"/>
      <c r="W528" s="196"/>
      <c r="X528" s="196"/>
      <c r="Y528" s="196"/>
      <c r="Z528" s="196"/>
      <c r="AA528" s="196"/>
      <c r="AB528" s="196"/>
      <c r="AC528" s="196"/>
      <c r="AD528" s="196"/>
      <c r="AE528" s="196"/>
      <c r="AF528" s="196"/>
      <c r="AG528" s="196"/>
      <c r="AH528" s="196"/>
    </row>
    <row r="529">
      <c r="A529" s="196"/>
      <c r="B529" s="196"/>
      <c r="C529" s="196"/>
      <c r="D529" s="196"/>
      <c r="E529" s="196"/>
      <c r="F529" s="196"/>
      <c r="G529" s="196"/>
      <c r="H529" s="196"/>
      <c r="I529" s="139"/>
      <c r="J529" s="196"/>
      <c r="K529" s="196"/>
      <c r="L529" s="139"/>
      <c r="M529" s="196"/>
      <c r="N529" s="196"/>
      <c r="O529" s="196"/>
      <c r="P529" s="196"/>
      <c r="Q529" s="196"/>
      <c r="R529" s="196"/>
      <c r="S529" s="196"/>
      <c r="T529" s="196"/>
      <c r="U529" s="196"/>
      <c r="V529" s="196"/>
      <c r="W529" s="196"/>
      <c r="X529" s="196"/>
      <c r="Y529" s="196"/>
      <c r="Z529" s="196"/>
      <c r="AA529" s="196"/>
      <c r="AB529" s="196"/>
      <c r="AC529" s="196"/>
      <c r="AD529" s="196"/>
      <c r="AE529" s="196"/>
      <c r="AF529" s="196"/>
      <c r="AG529" s="196"/>
      <c r="AH529" s="196"/>
    </row>
    <row r="530">
      <c r="A530" s="196"/>
      <c r="B530" s="196"/>
      <c r="C530" s="196"/>
      <c r="D530" s="196"/>
      <c r="E530" s="196"/>
      <c r="F530" s="196"/>
      <c r="G530" s="196"/>
      <c r="H530" s="196"/>
      <c r="I530" s="139"/>
      <c r="J530" s="196"/>
      <c r="K530" s="196"/>
      <c r="L530" s="139"/>
      <c r="M530" s="196"/>
      <c r="N530" s="196"/>
      <c r="O530" s="196"/>
      <c r="P530" s="196"/>
      <c r="Q530" s="196"/>
      <c r="R530" s="196"/>
      <c r="S530" s="196"/>
      <c r="T530" s="196"/>
      <c r="U530" s="196"/>
      <c r="V530" s="196"/>
      <c r="W530" s="196"/>
      <c r="X530" s="196"/>
      <c r="Y530" s="196"/>
      <c r="Z530" s="196"/>
      <c r="AA530" s="196"/>
      <c r="AB530" s="196"/>
      <c r="AC530" s="196"/>
      <c r="AD530" s="196"/>
      <c r="AE530" s="196"/>
      <c r="AF530" s="196"/>
      <c r="AG530" s="196"/>
      <c r="AH530" s="196"/>
    </row>
    <row r="531">
      <c r="A531" s="196"/>
      <c r="B531" s="196"/>
      <c r="C531" s="196"/>
      <c r="D531" s="196"/>
      <c r="E531" s="196"/>
      <c r="F531" s="196"/>
      <c r="G531" s="196"/>
      <c r="H531" s="196"/>
      <c r="I531" s="139"/>
      <c r="J531" s="196"/>
      <c r="K531" s="196"/>
      <c r="L531" s="139"/>
      <c r="M531" s="196"/>
      <c r="N531" s="196"/>
      <c r="O531" s="196"/>
      <c r="P531" s="196"/>
      <c r="Q531" s="196"/>
      <c r="R531" s="196"/>
      <c r="S531" s="196"/>
      <c r="T531" s="196"/>
      <c r="U531" s="196"/>
      <c r="V531" s="196"/>
      <c r="W531" s="196"/>
      <c r="X531" s="196"/>
      <c r="Y531" s="196"/>
      <c r="Z531" s="196"/>
      <c r="AA531" s="196"/>
      <c r="AB531" s="196"/>
      <c r="AC531" s="196"/>
      <c r="AD531" s="196"/>
      <c r="AE531" s="196"/>
      <c r="AF531" s="196"/>
      <c r="AG531" s="196"/>
      <c r="AH531" s="196"/>
    </row>
    <row r="532">
      <c r="A532" s="196"/>
      <c r="B532" s="196"/>
      <c r="C532" s="196"/>
      <c r="D532" s="196"/>
      <c r="E532" s="196"/>
      <c r="F532" s="196"/>
      <c r="G532" s="196"/>
      <c r="H532" s="196"/>
      <c r="I532" s="139"/>
      <c r="J532" s="196"/>
      <c r="K532" s="196"/>
      <c r="L532" s="139"/>
      <c r="M532" s="196"/>
      <c r="N532" s="196"/>
      <c r="O532" s="196"/>
      <c r="P532" s="196"/>
      <c r="Q532" s="196"/>
      <c r="R532" s="196"/>
      <c r="S532" s="196"/>
      <c r="T532" s="196"/>
      <c r="U532" s="196"/>
      <c r="V532" s="196"/>
      <c r="W532" s="196"/>
      <c r="X532" s="196"/>
      <c r="Y532" s="196"/>
      <c r="Z532" s="196"/>
      <c r="AA532" s="196"/>
      <c r="AB532" s="196"/>
      <c r="AC532" s="196"/>
      <c r="AD532" s="196"/>
      <c r="AE532" s="196"/>
      <c r="AF532" s="196"/>
      <c r="AG532" s="196"/>
      <c r="AH532" s="196"/>
    </row>
    <row r="533">
      <c r="A533" s="196"/>
      <c r="B533" s="196"/>
      <c r="C533" s="196"/>
      <c r="D533" s="196"/>
      <c r="E533" s="196"/>
      <c r="F533" s="196"/>
      <c r="G533" s="196"/>
      <c r="H533" s="196"/>
      <c r="I533" s="139"/>
      <c r="J533" s="196"/>
      <c r="K533" s="196"/>
      <c r="L533" s="139"/>
      <c r="M533" s="196"/>
      <c r="N533" s="196"/>
      <c r="O533" s="196"/>
      <c r="P533" s="196"/>
      <c r="Q533" s="196"/>
      <c r="R533" s="196"/>
      <c r="S533" s="196"/>
      <c r="T533" s="196"/>
      <c r="U533" s="196"/>
      <c r="V533" s="196"/>
      <c r="W533" s="196"/>
      <c r="X533" s="196"/>
      <c r="Y533" s="196"/>
      <c r="Z533" s="196"/>
      <c r="AA533" s="196"/>
      <c r="AB533" s="196"/>
      <c r="AC533" s="196"/>
      <c r="AD533" s="196"/>
      <c r="AE533" s="196"/>
      <c r="AF533" s="196"/>
      <c r="AG533" s="196"/>
      <c r="AH533" s="196"/>
    </row>
    <row r="534">
      <c r="A534" s="196"/>
      <c r="B534" s="196"/>
      <c r="C534" s="196"/>
      <c r="D534" s="196"/>
      <c r="E534" s="196"/>
      <c r="F534" s="196"/>
      <c r="G534" s="196"/>
      <c r="H534" s="196"/>
      <c r="I534" s="139"/>
      <c r="J534" s="196"/>
      <c r="K534" s="196"/>
      <c r="L534" s="139"/>
      <c r="M534" s="196"/>
      <c r="N534" s="196"/>
      <c r="O534" s="196"/>
      <c r="P534" s="196"/>
      <c r="Q534" s="196"/>
      <c r="R534" s="196"/>
      <c r="S534" s="196"/>
      <c r="T534" s="196"/>
      <c r="U534" s="196"/>
      <c r="V534" s="196"/>
      <c r="W534" s="196"/>
      <c r="X534" s="196"/>
      <c r="Y534" s="196"/>
      <c r="Z534" s="196"/>
      <c r="AA534" s="196"/>
      <c r="AB534" s="196"/>
      <c r="AC534" s="196"/>
      <c r="AD534" s="196"/>
      <c r="AE534" s="196"/>
      <c r="AF534" s="196"/>
      <c r="AG534" s="196"/>
      <c r="AH534" s="196"/>
    </row>
    <row r="535">
      <c r="A535" s="196"/>
      <c r="B535" s="196"/>
      <c r="C535" s="196"/>
      <c r="D535" s="196"/>
      <c r="E535" s="196"/>
      <c r="F535" s="196"/>
      <c r="G535" s="196"/>
      <c r="H535" s="196"/>
      <c r="I535" s="139"/>
      <c r="J535" s="196"/>
      <c r="K535" s="196"/>
      <c r="L535" s="139"/>
      <c r="M535" s="196"/>
      <c r="N535" s="196"/>
      <c r="O535" s="196"/>
      <c r="P535" s="196"/>
      <c r="Q535" s="196"/>
      <c r="R535" s="196"/>
      <c r="S535" s="196"/>
      <c r="T535" s="196"/>
      <c r="U535" s="196"/>
      <c r="V535" s="196"/>
      <c r="W535" s="196"/>
      <c r="X535" s="196"/>
      <c r="Y535" s="196"/>
      <c r="Z535" s="196"/>
      <c r="AA535" s="196"/>
      <c r="AB535" s="196"/>
      <c r="AC535" s="196"/>
      <c r="AD535" s="196"/>
      <c r="AE535" s="196"/>
      <c r="AF535" s="196"/>
      <c r="AG535" s="196"/>
      <c r="AH535" s="196"/>
    </row>
    <row r="536">
      <c r="A536" s="196"/>
      <c r="B536" s="196"/>
      <c r="C536" s="196"/>
      <c r="D536" s="196"/>
      <c r="E536" s="196"/>
      <c r="F536" s="196"/>
      <c r="G536" s="196"/>
      <c r="H536" s="196"/>
      <c r="I536" s="139"/>
      <c r="J536" s="196"/>
      <c r="K536" s="196"/>
      <c r="L536" s="139"/>
      <c r="M536" s="196"/>
      <c r="N536" s="196"/>
      <c r="O536" s="196"/>
      <c r="P536" s="196"/>
      <c r="Q536" s="196"/>
      <c r="R536" s="196"/>
      <c r="S536" s="196"/>
      <c r="T536" s="196"/>
      <c r="U536" s="196"/>
      <c r="V536" s="196"/>
      <c r="W536" s="196"/>
      <c r="X536" s="196"/>
      <c r="Y536" s="196"/>
      <c r="Z536" s="196"/>
      <c r="AA536" s="196"/>
      <c r="AB536" s="196"/>
      <c r="AC536" s="196"/>
      <c r="AD536" s="196"/>
      <c r="AE536" s="196"/>
      <c r="AF536" s="196"/>
      <c r="AG536" s="196"/>
      <c r="AH536" s="196"/>
    </row>
    <row r="537">
      <c r="A537" s="196"/>
      <c r="B537" s="196"/>
      <c r="C537" s="196"/>
      <c r="D537" s="196"/>
      <c r="E537" s="196"/>
      <c r="F537" s="196"/>
      <c r="G537" s="196"/>
      <c r="H537" s="196"/>
      <c r="I537" s="139"/>
      <c r="J537" s="196"/>
      <c r="K537" s="196"/>
      <c r="L537" s="139"/>
      <c r="M537" s="196"/>
      <c r="N537" s="196"/>
      <c r="O537" s="196"/>
      <c r="P537" s="196"/>
      <c r="Q537" s="196"/>
      <c r="R537" s="196"/>
      <c r="S537" s="196"/>
      <c r="T537" s="196"/>
      <c r="U537" s="196"/>
      <c r="V537" s="196"/>
      <c r="W537" s="196"/>
      <c r="X537" s="196"/>
      <c r="Y537" s="196"/>
      <c r="Z537" s="196"/>
      <c r="AA537" s="196"/>
      <c r="AB537" s="196"/>
      <c r="AC537" s="196"/>
      <c r="AD537" s="196"/>
      <c r="AE537" s="196"/>
      <c r="AF537" s="196"/>
      <c r="AG537" s="196"/>
      <c r="AH537" s="196"/>
    </row>
    <row r="538">
      <c r="A538" s="196"/>
      <c r="B538" s="196"/>
      <c r="C538" s="196"/>
      <c r="D538" s="196"/>
      <c r="E538" s="196"/>
      <c r="F538" s="196"/>
      <c r="G538" s="196"/>
      <c r="H538" s="196"/>
      <c r="I538" s="139"/>
      <c r="J538" s="196"/>
      <c r="K538" s="196"/>
      <c r="L538" s="139"/>
      <c r="M538" s="196"/>
      <c r="N538" s="196"/>
      <c r="O538" s="196"/>
      <c r="P538" s="196"/>
      <c r="Q538" s="196"/>
      <c r="R538" s="196"/>
      <c r="S538" s="196"/>
      <c r="T538" s="196"/>
      <c r="U538" s="196"/>
      <c r="V538" s="196"/>
      <c r="W538" s="196"/>
      <c r="X538" s="196"/>
      <c r="Y538" s="196"/>
      <c r="Z538" s="196"/>
      <c r="AA538" s="196"/>
      <c r="AB538" s="196"/>
      <c r="AC538" s="196"/>
      <c r="AD538" s="196"/>
      <c r="AE538" s="196"/>
      <c r="AF538" s="196"/>
      <c r="AG538" s="196"/>
      <c r="AH538" s="196"/>
    </row>
    <row r="539">
      <c r="A539" s="196"/>
      <c r="B539" s="196"/>
      <c r="C539" s="196"/>
      <c r="D539" s="196"/>
      <c r="E539" s="196"/>
      <c r="F539" s="196"/>
      <c r="G539" s="196"/>
      <c r="H539" s="196"/>
      <c r="I539" s="139"/>
      <c r="J539" s="196"/>
      <c r="K539" s="196"/>
      <c r="L539" s="139"/>
      <c r="M539" s="196"/>
      <c r="N539" s="196"/>
      <c r="O539" s="196"/>
      <c r="P539" s="196"/>
      <c r="Q539" s="196"/>
      <c r="R539" s="196"/>
      <c r="S539" s="196"/>
      <c r="T539" s="196"/>
      <c r="U539" s="196"/>
      <c r="V539" s="196"/>
      <c r="W539" s="196"/>
      <c r="X539" s="196"/>
      <c r="Y539" s="196"/>
      <c r="Z539" s="196"/>
      <c r="AA539" s="196"/>
      <c r="AB539" s="196"/>
      <c r="AC539" s="196"/>
      <c r="AD539" s="196"/>
      <c r="AE539" s="196"/>
      <c r="AF539" s="196"/>
      <c r="AG539" s="196"/>
      <c r="AH539" s="196"/>
    </row>
    <row r="540">
      <c r="A540" s="196"/>
      <c r="B540" s="196"/>
      <c r="C540" s="196"/>
      <c r="D540" s="196"/>
      <c r="E540" s="196"/>
      <c r="F540" s="196"/>
      <c r="G540" s="196"/>
      <c r="H540" s="196"/>
      <c r="I540" s="139"/>
      <c r="J540" s="196"/>
      <c r="K540" s="196"/>
      <c r="L540" s="139"/>
      <c r="M540" s="196"/>
      <c r="N540" s="196"/>
      <c r="O540" s="196"/>
      <c r="P540" s="196"/>
      <c r="Q540" s="196"/>
      <c r="R540" s="196"/>
      <c r="S540" s="196"/>
      <c r="T540" s="196"/>
      <c r="U540" s="196"/>
      <c r="V540" s="196"/>
      <c r="W540" s="196"/>
      <c r="X540" s="196"/>
      <c r="Y540" s="196"/>
      <c r="Z540" s="196"/>
      <c r="AA540" s="196"/>
      <c r="AB540" s="196"/>
      <c r="AC540" s="196"/>
      <c r="AD540" s="196"/>
      <c r="AE540" s="196"/>
      <c r="AF540" s="196"/>
      <c r="AG540" s="196"/>
      <c r="AH540" s="196"/>
    </row>
    <row r="541">
      <c r="A541" s="196"/>
      <c r="B541" s="196"/>
      <c r="C541" s="196"/>
      <c r="D541" s="196"/>
      <c r="E541" s="196"/>
      <c r="F541" s="196"/>
      <c r="G541" s="196"/>
      <c r="H541" s="196"/>
      <c r="I541" s="139"/>
      <c r="J541" s="196"/>
      <c r="K541" s="196"/>
      <c r="L541" s="139"/>
      <c r="M541" s="196"/>
      <c r="N541" s="196"/>
      <c r="O541" s="196"/>
      <c r="P541" s="196"/>
      <c r="Q541" s="196"/>
      <c r="R541" s="196"/>
      <c r="S541" s="196"/>
      <c r="T541" s="196"/>
      <c r="U541" s="196"/>
      <c r="V541" s="196"/>
      <c r="W541" s="196"/>
      <c r="X541" s="196"/>
      <c r="Y541" s="196"/>
      <c r="Z541" s="196"/>
      <c r="AA541" s="196"/>
      <c r="AB541" s="196"/>
      <c r="AC541" s="196"/>
      <c r="AD541" s="196"/>
      <c r="AE541" s="196"/>
      <c r="AF541" s="196"/>
      <c r="AG541" s="196"/>
      <c r="AH541" s="196"/>
    </row>
    <row r="542">
      <c r="A542" s="196"/>
      <c r="B542" s="196"/>
      <c r="C542" s="196"/>
      <c r="D542" s="196"/>
      <c r="E542" s="196"/>
      <c r="F542" s="196"/>
      <c r="G542" s="196"/>
      <c r="H542" s="196"/>
      <c r="I542" s="139"/>
      <c r="J542" s="196"/>
      <c r="K542" s="196"/>
      <c r="L542" s="139"/>
      <c r="M542" s="196"/>
      <c r="N542" s="196"/>
      <c r="O542" s="196"/>
      <c r="P542" s="196"/>
      <c r="Q542" s="196"/>
      <c r="R542" s="196"/>
      <c r="S542" s="196"/>
      <c r="T542" s="196"/>
      <c r="U542" s="196"/>
      <c r="V542" s="196"/>
      <c r="W542" s="196"/>
      <c r="X542" s="196"/>
      <c r="Y542" s="196"/>
      <c r="Z542" s="196"/>
      <c r="AA542" s="196"/>
      <c r="AB542" s="196"/>
      <c r="AC542" s="196"/>
      <c r="AD542" s="196"/>
      <c r="AE542" s="196"/>
      <c r="AF542" s="196"/>
      <c r="AG542" s="196"/>
      <c r="AH542" s="196"/>
    </row>
    <row r="543">
      <c r="A543" s="196"/>
      <c r="B543" s="196"/>
      <c r="C543" s="196"/>
      <c r="D543" s="196"/>
      <c r="E543" s="196"/>
      <c r="F543" s="196"/>
      <c r="G543" s="196"/>
      <c r="H543" s="196"/>
      <c r="I543" s="139"/>
      <c r="J543" s="196"/>
      <c r="K543" s="196"/>
      <c r="L543" s="139"/>
      <c r="M543" s="196"/>
      <c r="N543" s="196"/>
      <c r="O543" s="196"/>
      <c r="P543" s="196"/>
      <c r="Q543" s="196"/>
      <c r="R543" s="196"/>
      <c r="S543" s="196"/>
      <c r="T543" s="196"/>
      <c r="U543" s="196"/>
      <c r="V543" s="196"/>
      <c r="W543" s="196"/>
      <c r="X543" s="196"/>
      <c r="Y543" s="196"/>
      <c r="Z543" s="196"/>
      <c r="AA543" s="196"/>
      <c r="AB543" s="196"/>
      <c r="AC543" s="196"/>
      <c r="AD543" s="196"/>
      <c r="AE543" s="196"/>
      <c r="AF543" s="196"/>
      <c r="AG543" s="196"/>
      <c r="AH543" s="196"/>
    </row>
    <row r="544">
      <c r="A544" s="196"/>
      <c r="B544" s="196"/>
      <c r="C544" s="196"/>
      <c r="D544" s="196"/>
      <c r="E544" s="196"/>
      <c r="F544" s="196"/>
      <c r="G544" s="196"/>
      <c r="H544" s="196"/>
      <c r="I544" s="139"/>
      <c r="J544" s="196"/>
      <c r="K544" s="196"/>
      <c r="L544" s="139"/>
      <c r="M544" s="196"/>
      <c r="N544" s="196"/>
      <c r="O544" s="196"/>
      <c r="P544" s="196"/>
      <c r="Q544" s="196"/>
      <c r="R544" s="196"/>
      <c r="S544" s="196"/>
      <c r="T544" s="196"/>
      <c r="U544" s="196"/>
      <c r="V544" s="196"/>
      <c r="W544" s="196"/>
      <c r="X544" s="196"/>
      <c r="Y544" s="196"/>
      <c r="Z544" s="196"/>
      <c r="AA544" s="196"/>
      <c r="AB544" s="196"/>
      <c r="AC544" s="196"/>
      <c r="AD544" s="196"/>
      <c r="AE544" s="196"/>
      <c r="AF544" s="196"/>
      <c r="AG544" s="196"/>
      <c r="AH544" s="196"/>
    </row>
    <row r="545">
      <c r="A545" s="196"/>
      <c r="B545" s="196"/>
      <c r="C545" s="196"/>
      <c r="D545" s="196"/>
      <c r="E545" s="196"/>
      <c r="F545" s="196"/>
      <c r="G545" s="196"/>
      <c r="H545" s="196"/>
      <c r="I545" s="139"/>
      <c r="J545" s="196"/>
      <c r="K545" s="196"/>
      <c r="L545" s="139"/>
      <c r="M545" s="196"/>
      <c r="N545" s="196"/>
      <c r="O545" s="196"/>
      <c r="P545" s="196"/>
      <c r="Q545" s="196"/>
      <c r="R545" s="196"/>
      <c r="S545" s="196"/>
      <c r="T545" s="196"/>
      <c r="U545" s="196"/>
      <c r="V545" s="196"/>
      <c r="W545" s="196"/>
      <c r="X545" s="196"/>
      <c r="Y545" s="196"/>
      <c r="Z545" s="196"/>
      <c r="AA545" s="196"/>
      <c r="AB545" s="196"/>
      <c r="AC545" s="196"/>
      <c r="AD545" s="196"/>
      <c r="AE545" s="196"/>
      <c r="AF545" s="196"/>
      <c r="AG545" s="196"/>
      <c r="AH545" s="196"/>
    </row>
    <row r="546">
      <c r="A546" s="196"/>
      <c r="B546" s="196"/>
      <c r="C546" s="196"/>
      <c r="D546" s="196"/>
      <c r="E546" s="196"/>
      <c r="F546" s="196"/>
      <c r="G546" s="196"/>
      <c r="H546" s="196"/>
      <c r="I546" s="139"/>
      <c r="J546" s="196"/>
      <c r="K546" s="196"/>
      <c r="L546" s="139"/>
      <c r="M546" s="196"/>
      <c r="N546" s="196"/>
      <c r="O546" s="196"/>
      <c r="P546" s="196"/>
      <c r="Q546" s="196"/>
      <c r="R546" s="196"/>
      <c r="S546" s="196"/>
      <c r="T546" s="196"/>
      <c r="U546" s="196"/>
      <c r="V546" s="196"/>
      <c r="W546" s="196"/>
      <c r="X546" s="196"/>
      <c r="Y546" s="196"/>
      <c r="Z546" s="196"/>
      <c r="AA546" s="196"/>
      <c r="AB546" s="196"/>
      <c r="AC546" s="196"/>
      <c r="AD546" s="196"/>
      <c r="AE546" s="196"/>
      <c r="AF546" s="196"/>
      <c r="AG546" s="196"/>
      <c r="AH546" s="196"/>
    </row>
    <row r="547">
      <c r="A547" s="196"/>
      <c r="B547" s="196"/>
      <c r="C547" s="196"/>
      <c r="D547" s="196"/>
      <c r="E547" s="196"/>
      <c r="F547" s="196"/>
      <c r="G547" s="196"/>
      <c r="H547" s="196"/>
      <c r="I547" s="139"/>
      <c r="J547" s="196"/>
      <c r="K547" s="196"/>
      <c r="L547" s="139"/>
      <c r="M547" s="196"/>
      <c r="N547" s="196"/>
      <c r="O547" s="196"/>
      <c r="P547" s="196"/>
      <c r="Q547" s="196"/>
      <c r="R547" s="196"/>
      <c r="S547" s="196"/>
      <c r="T547" s="196"/>
      <c r="U547" s="196"/>
      <c r="V547" s="196"/>
      <c r="W547" s="196"/>
      <c r="X547" s="196"/>
      <c r="Y547" s="196"/>
      <c r="Z547" s="196"/>
      <c r="AA547" s="196"/>
      <c r="AB547" s="196"/>
      <c r="AC547" s="196"/>
      <c r="AD547" s="196"/>
      <c r="AE547" s="196"/>
      <c r="AF547" s="196"/>
      <c r="AG547" s="196"/>
      <c r="AH547" s="196"/>
    </row>
    <row r="548">
      <c r="A548" s="196"/>
      <c r="B548" s="196"/>
      <c r="C548" s="196"/>
      <c r="D548" s="196"/>
      <c r="E548" s="196"/>
      <c r="F548" s="196"/>
      <c r="G548" s="196"/>
      <c r="H548" s="196"/>
      <c r="I548" s="139"/>
      <c r="J548" s="196"/>
      <c r="K548" s="196"/>
      <c r="L548" s="139"/>
      <c r="M548" s="196"/>
      <c r="N548" s="196"/>
      <c r="O548" s="196"/>
      <c r="P548" s="196"/>
      <c r="Q548" s="196"/>
      <c r="R548" s="196"/>
      <c r="S548" s="196"/>
      <c r="T548" s="196"/>
      <c r="U548" s="196"/>
      <c r="V548" s="196"/>
      <c r="W548" s="196"/>
      <c r="X548" s="196"/>
      <c r="Y548" s="196"/>
      <c r="Z548" s="196"/>
      <c r="AA548" s="196"/>
      <c r="AB548" s="196"/>
      <c r="AC548" s="196"/>
      <c r="AD548" s="196"/>
      <c r="AE548" s="196"/>
      <c r="AF548" s="196"/>
      <c r="AG548" s="196"/>
      <c r="AH548" s="196"/>
    </row>
    <row r="549">
      <c r="A549" s="196"/>
      <c r="B549" s="196"/>
      <c r="C549" s="196"/>
      <c r="D549" s="196"/>
      <c r="E549" s="196"/>
      <c r="F549" s="196"/>
      <c r="G549" s="196"/>
      <c r="H549" s="196"/>
      <c r="I549" s="139"/>
      <c r="J549" s="196"/>
      <c r="K549" s="196"/>
      <c r="L549" s="139"/>
      <c r="M549" s="196"/>
      <c r="N549" s="196"/>
      <c r="O549" s="196"/>
      <c r="P549" s="196"/>
      <c r="Q549" s="196"/>
      <c r="R549" s="196"/>
      <c r="S549" s="196"/>
      <c r="T549" s="196"/>
      <c r="U549" s="196"/>
      <c r="V549" s="196"/>
      <c r="W549" s="196"/>
      <c r="X549" s="196"/>
      <c r="Y549" s="196"/>
      <c r="Z549" s="196"/>
      <c r="AA549" s="196"/>
      <c r="AB549" s="196"/>
      <c r="AC549" s="196"/>
      <c r="AD549" s="196"/>
      <c r="AE549" s="196"/>
      <c r="AF549" s="196"/>
      <c r="AG549" s="196"/>
      <c r="AH549" s="196"/>
    </row>
    <row r="550">
      <c r="A550" s="196"/>
      <c r="B550" s="196"/>
      <c r="C550" s="196"/>
      <c r="D550" s="196"/>
      <c r="E550" s="196"/>
      <c r="F550" s="196"/>
      <c r="G550" s="196"/>
      <c r="H550" s="196"/>
      <c r="I550" s="139"/>
      <c r="J550" s="196"/>
      <c r="K550" s="196"/>
      <c r="L550" s="139"/>
      <c r="M550" s="196"/>
      <c r="N550" s="196"/>
      <c r="O550" s="196"/>
      <c r="P550" s="196"/>
      <c r="Q550" s="196"/>
      <c r="R550" s="196"/>
      <c r="S550" s="196"/>
      <c r="T550" s="196"/>
      <c r="U550" s="196"/>
      <c r="V550" s="196"/>
      <c r="W550" s="196"/>
      <c r="X550" s="196"/>
      <c r="Y550" s="196"/>
      <c r="Z550" s="196"/>
      <c r="AA550" s="196"/>
      <c r="AB550" s="196"/>
      <c r="AC550" s="196"/>
      <c r="AD550" s="196"/>
      <c r="AE550" s="196"/>
      <c r="AF550" s="196"/>
      <c r="AG550" s="196"/>
      <c r="AH550" s="196"/>
    </row>
    <row r="551">
      <c r="A551" s="196"/>
      <c r="B551" s="196"/>
      <c r="C551" s="196"/>
      <c r="D551" s="196"/>
      <c r="E551" s="196"/>
      <c r="F551" s="196"/>
      <c r="G551" s="196"/>
      <c r="H551" s="196"/>
      <c r="I551" s="139"/>
      <c r="J551" s="196"/>
      <c r="K551" s="196"/>
      <c r="L551" s="139"/>
      <c r="M551" s="196"/>
      <c r="N551" s="196"/>
      <c r="O551" s="196"/>
      <c r="P551" s="196"/>
      <c r="Q551" s="196"/>
      <c r="R551" s="196"/>
      <c r="S551" s="196"/>
      <c r="T551" s="196"/>
      <c r="U551" s="196"/>
      <c r="V551" s="196"/>
      <c r="W551" s="196"/>
      <c r="X551" s="196"/>
      <c r="Y551" s="196"/>
      <c r="Z551" s="196"/>
      <c r="AA551" s="196"/>
      <c r="AB551" s="196"/>
      <c r="AC551" s="196"/>
      <c r="AD551" s="196"/>
      <c r="AE551" s="196"/>
      <c r="AF551" s="196"/>
      <c r="AG551" s="196"/>
      <c r="AH551" s="196"/>
    </row>
    <row r="552">
      <c r="A552" s="196"/>
      <c r="B552" s="196"/>
      <c r="C552" s="196"/>
      <c r="D552" s="196"/>
      <c r="E552" s="196"/>
      <c r="F552" s="196"/>
      <c r="G552" s="196"/>
      <c r="H552" s="196"/>
      <c r="I552" s="139"/>
      <c r="J552" s="196"/>
      <c r="K552" s="196"/>
      <c r="L552" s="139"/>
      <c r="M552" s="196"/>
      <c r="N552" s="196"/>
      <c r="O552" s="196"/>
      <c r="P552" s="196"/>
      <c r="Q552" s="196"/>
      <c r="R552" s="196"/>
      <c r="S552" s="196"/>
      <c r="T552" s="196"/>
      <c r="U552" s="196"/>
      <c r="V552" s="196"/>
      <c r="W552" s="196"/>
      <c r="X552" s="196"/>
      <c r="Y552" s="196"/>
      <c r="Z552" s="196"/>
      <c r="AA552" s="196"/>
      <c r="AB552" s="196"/>
      <c r="AC552" s="196"/>
      <c r="AD552" s="196"/>
      <c r="AE552" s="196"/>
      <c r="AF552" s="196"/>
      <c r="AG552" s="196"/>
      <c r="AH552" s="196"/>
    </row>
    <row r="553">
      <c r="A553" s="196"/>
      <c r="B553" s="196"/>
      <c r="C553" s="196"/>
      <c r="D553" s="196"/>
      <c r="E553" s="196"/>
      <c r="F553" s="196"/>
      <c r="G553" s="196"/>
      <c r="H553" s="196"/>
      <c r="I553" s="139"/>
      <c r="J553" s="196"/>
      <c r="K553" s="196"/>
      <c r="L553" s="139"/>
      <c r="M553" s="196"/>
      <c r="N553" s="196"/>
      <c r="O553" s="196"/>
      <c r="P553" s="196"/>
      <c r="Q553" s="196"/>
      <c r="R553" s="196"/>
      <c r="S553" s="196"/>
      <c r="T553" s="196"/>
      <c r="U553" s="196"/>
      <c r="V553" s="196"/>
      <c r="W553" s="196"/>
      <c r="X553" s="196"/>
      <c r="Y553" s="196"/>
      <c r="Z553" s="196"/>
      <c r="AA553" s="196"/>
      <c r="AB553" s="196"/>
      <c r="AC553" s="196"/>
      <c r="AD553" s="196"/>
      <c r="AE553" s="196"/>
      <c r="AF553" s="196"/>
      <c r="AG553" s="196"/>
      <c r="AH553" s="196"/>
    </row>
    <row r="554">
      <c r="A554" s="196"/>
      <c r="B554" s="196"/>
      <c r="C554" s="196"/>
      <c r="D554" s="196"/>
      <c r="E554" s="196"/>
      <c r="F554" s="196"/>
      <c r="G554" s="196"/>
      <c r="H554" s="196"/>
      <c r="I554" s="139"/>
      <c r="J554" s="196"/>
      <c r="K554" s="196"/>
      <c r="L554" s="139"/>
      <c r="M554" s="196"/>
      <c r="N554" s="196"/>
      <c r="O554" s="196"/>
      <c r="P554" s="196"/>
      <c r="Q554" s="196"/>
      <c r="R554" s="196"/>
      <c r="S554" s="196"/>
      <c r="T554" s="196"/>
      <c r="U554" s="196"/>
      <c r="V554" s="196"/>
      <c r="W554" s="196"/>
      <c r="X554" s="196"/>
      <c r="Y554" s="196"/>
      <c r="Z554" s="196"/>
      <c r="AA554" s="196"/>
      <c r="AB554" s="196"/>
      <c r="AC554" s="196"/>
      <c r="AD554" s="196"/>
      <c r="AE554" s="196"/>
      <c r="AF554" s="196"/>
      <c r="AG554" s="196"/>
      <c r="AH554" s="196"/>
    </row>
    <row r="555">
      <c r="A555" s="196"/>
      <c r="B555" s="196"/>
      <c r="C555" s="196"/>
      <c r="D555" s="196"/>
      <c r="E555" s="196"/>
      <c r="F555" s="196"/>
      <c r="G555" s="196"/>
      <c r="H555" s="196"/>
      <c r="I555" s="139"/>
      <c r="J555" s="196"/>
      <c r="K555" s="196"/>
      <c r="L555" s="139"/>
      <c r="M555" s="196"/>
      <c r="N555" s="196"/>
      <c r="O555" s="196"/>
      <c r="P555" s="196"/>
      <c r="Q555" s="196"/>
      <c r="R555" s="196"/>
      <c r="S555" s="196"/>
      <c r="T555" s="196"/>
      <c r="U555" s="196"/>
      <c r="V555" s="196"/>
      <c r="W555" s="196"/>
      <c r="X555" s="196"/>
      <c r="Y555" s="196"/>
      <c r="Z555" s="196"/>
      <c r="AA555" s="196"/>
      <c r="AB555" s="196"/>
      <c r="AC555" s="196"/>
      <c r="AD555" s="196"/>
      <c r="AE555" s="196"/>
      <c r="AF555" s="196"/>
      <c r="AG555" s="196"/>
      <c r="AH555" s="196"/>
    </row>
    <row r="556">
      <c r="A556" s="196"/>
      <c r="B556" s="196"/>
      <c r="C556" s="196"/>
      <c r="D556" s="196"/>
      <c r="E556" s="196"/>
      <c r="F556" s="196"/>
      <c r="G556" s="196"/>
      <c r="H556" s="196"/>
      <c r="I556" s="139"/>
      <c r="J556" s="196"/>
      <c r="K556" s="196"/>
      <c r="L556" s="139"/>
      <c r="M556" s="196"/>
      <c r="N556" s="196"/>
      <c r="O556" s="196"/>
      <c r="P556" s="196"/>
      <c r="Q556" s="196"/>
      <c r="R556" s="196"/>
      <c r="S556" s="196"/>
      <c r="T556" s="196"/>
      <c r="U556" s="196"/>
      <c r="V556" s="196"/>
      <c r="W556" s="196"/>
      <c r="X556" s="196"/>
      <c r="Y556" s="196"/>
      <c r="Z556" s="196"/>
      <c r="AA556" s="196"/>
      <c r="AB556" s="196"/>
      <c r="AC556" s="196"/>
      <c r="AD556" s="196"/>
      <c r="AE556" s="196"/>
      <c r="AF556" s="196"/>
      <c r="AG556" s="196"/>
      <c r="AH556" s="196"/>
    </row>
    <row r="557">
      <c r="A557" s="196"/>
      <c r="B557" s="196"/>
      <c r="C557" s="196"/>
      <c r="D557" s="196"/>
      <c r="E557" s="196"/>
      <c r="F557" s="196"/>
      <c r="G557" s="196"/>
      <c r="H557" s="196"/>
      <c r="I557" s="139"/>
      <c r="J557" s="196"/>
      <c r="K557" s="196"/>
      <c r="L557" s="139"/>
      <c r="M557" s="196"/>
      <c r="N557" s="196"/>
      <c r="O557" s="196"/>
      <c r="P557" s="196"/>
      <c r="Q557" s="196"/>
      <c r="R557" s="196"/>
      <c r="S557" s="196"/>
      <c r="T557" s="196"/>
      <c r="U557" s="196"/>
      <c r="V557" s="196"/>
      <c r="W557" s="196"/>
      <c r="X557" s="196"/>
      <c r="Y557" s="196"/>
      <c r="Z557" s="196"/>
      <c r="AA557" s="196"/>
      <c r="AB557" s="196"/>
      <c r="AC557" s="196"/>
      <c r="AD557" s="196"/>
      <c r="AE557" s="196"/>
      <c r="AF557" s="196"/>
      <c r="AG557" s="196"/>
      <c r="AH557" s="196"/>
    </row>
    <row r="558">
      <c r="A558" s="196"/>
      <c r="B558" s="196"/>
      <c r="C558" s="196"/>
      <c r="D558" s="196"/>
      <c r="E558" s="196"/>
      <c r="F558" s="196"/>
      <c r="G558" s="196"/>
      <c r="H558" s="196"/>
      <c r="I558" s="139"/>
      <c r="J558" s="196"/>
      <c r="K558" s="196"/>
      <c r="L558" s="139"/>
      <c r="M558" s="196"/>
      <c r="N558" s="196"/>
      <c r="O558" s="196"/>
      <c r="P558" s="196"/>
      <c r="Q558" s="196"/>
      <c r="R558" s="196"/>
      <c r="S558" s="196"/>
      <c r="T558" s="196"/>
      <c r="U558" s="196"/>
      <c r="V558" s="196"/>
      <c r="W558" s="196"/>
      <c r="X558" s="196"/>
      <c r="Y558" s="196"/>
      <c r="Z558" s="196"/>
      <c r="AA558" s="196"/>
      <c r="AB558" s="196"/>
      <c r="AC558" s="196"/>
      <c r="AD558" s="196"/>
      <c r="AE558" s="196"/>
      <c r="AF558" s="196"/>
      <c r="AG558" s="196"/>
      <c r="AH558" s="196"/>
    </row>
    <row r="559">
      <c r="A559" s="196"/>
      <c r="B559" s="196"/>
      <c r="C559" s="196"/>
      <c r="D559" s="196"/>
      <c r="E559" s="196"/>
      <c r="F559" s="196"/>
      <c r="G559" s="196"/>
      <c r="H559" s="196"/>
      <c r="I559" s="139"/>
      <c r="J559" s="196"/>
      <c r="K559" s="196"/>
      <c r="L559" s="139"/>
      <c r="M559" s="196"/>
      <c r="N559" s="196"/>
      <c r="O559" s="196"/>
      <c r="P559" s="196"/>
      <c r="Q559" s="196"/>
      <c r="R559" s="196"/>
      <c r="S559" s="196"/>
      <c r="T559" s="196"/>
      <c r="U559" s="196"/>
      <c r="V559" s="196"/>
      <c r="W559" s="196"/>
      <c r="X559" s="196"/>
      <c r="Y559" s="196"/>
      <c r="Z559" s="196"/>
      <c r="AA559" s="196"/>
      <c r="AB559" s="196"/>
      <c r="AC559" s="196"/>
      <c r="AD559" s="196"/>
      <c r="AE559" s="196"/>
      <c r="AF559" s="196"/>
      <c r="AG559" s="196"/>
      <c r="AH559" s="196"/>
    </row>
    <row r="560">
      <c r="A560" s="196"/>
      <c r="B560" s="196"/>
      <c r="C560" s="196"/>
      <c r="D560" s="196"/>
      <c r="E560" s="196"/>
      <c r="F560" s="196"/>
      <c r="G560" s="196"/>
      <c r="H560" s="196"/>
      <c r="I560" s="139"/>
      <c r="J560" s="196"/>
      <c r="K560" s="196"/>
      <c r="L560" s="139"/>
      <c r="M560" s="196"/>
      <c r="N560" s="196"/>
      <c r="O560" s="196"/>
      <c r="P560" s="196"/>
      <c r="Q560" s="196"/>
      <c r="R560" s="196"/>
      <c r="S560" s="196"/>
      <c r="T560" s="196"/>
      <c r="U560" s="196"/>
      <c r="V560" s="196"/>
      <c r="W560" s="196"/>
      <c r="X560" s="196"/>
      <c r="Y560" s="196"/>
      <c r="Z560" s="196"/>
      <c r="AA560" s="196"/>
      <c r="AB560" s="196"/>
      <c r="AC560" s="196"/>
      <c r="AD560" s="196"/>
      <c r="AE560" s="196"/>
      <c r="AF560" s="196"/>
      <c r="AG560" s="196"/>
      <c r="AH560" s="196"/>
    </row>
    <row r="561">
      <c r="A561" s="196"/>
      <c r="B561" s="196"/>
      <c r="C561" s="196"/>
      <c r="D561" s="196"/>
      <c r="E561" s="196"/>
      <c r="F561" s="196"/>
      <c r="G561" s="196"/>
      <c r="H561" s="196"/>
      <c r="I561" s="139"/>
      <c r="J561" s="196"/>
      <c r="K561" s="196"/>
      <c r="L561" s="139"/>
      <c r="M561" s="196"/>
      <c r="N561" s="196"/>
      <c r="O561" s="196"/>
      <c r="P561" s="196"/>
      <c r="Q561" s="196"/>
      <c r="R561" s="196"/>
      <c r="S561" s="196"/>
      <c r="T561" s="196"/>
      <c r="U561" s="196"/>
      <c r="V561" s="196"/>
      <c r="W561" s="196"/>
      <c r="X561" s="196"/>
      <c r="Y561" s="196"/>
      <c r="Z561" s="196"/>
      <c r="AA561" s="196"/>
      <c r="AB561" s="196"/>
      <c r="AC561" s="196"/>
      <c r="AD561" s="196"/>
      <c r="AE561" s="196"/>
      <c r="AF561" s="196"/>
      <c r="AG561" s="196"/>
      <c r="AH561" s="196"/>
    </row>
    <row r="562">
      <c r="A562" s="196"/>
      <c r="B562" s="196"/>
      <c r="C562" s="196"/>
      <c r="D562" s="196"/>
      <c r="E562" s="196"/>
      <c r="F562" s="196"/>
      <c r="G562" s="196"/>
      <c r="H562" s="196"/>
      <c r="I562" s="139"/>
      <c r="J562" s="196"/>
      <c r="K562" s="196"/>
      <c r="L562" s="139"/>
      <c r="M562" s="196"/>
      <c r="N562" s="196"/>
      <c r="O562" s="196"/>
      <c r="P562" s="196"/>
      <c r="Q562" s="196"/>
      <c r="R562" s="196"/>
      <c r="S562" s="196"/>
      <c r="T562" s="196"/>
      <c r="U562" s="196"/>
      <c r="V562" s="196"/>
      <c r="W562" s="196"/>
      <c r="X562" s="196"/>
      <c r="Y562" s="196"/>
      <c r="Z562" s="196"/>
      <c r="AA562" s="196"/>
      <c r="AB562" s="196"/>
      <c r="AC562" s="196"/>
      <c r="AD562" s="196"/>
      <c r="AE562" s="196"/>
      <c r="AF562" s="196"/>
      <c r="AG562" s="196"/>
      <c r="AH562" s="196"/>
    </row>
    <row r="563">
      <c r="A563" s="196"/>
      <c r="B563" s="196"/>
      <c r="C563" s="196"/>
      <c r="D563" s="196"/>
      <c r="E563" s="196"/>
      <c r="F563" s="196"/>
      <c r="G563" s="196"/>
      <c r="H563" s="196"/>
      <c r="I563" s="139"/>
      <c r="J563" s="196"/>
      <c r="K563" s="196"/>
      <c r="L563" s="139"/>
      <c r="M563" s="196"/>
      <c r="N563" s="196"/>
      <c r="O563" s="196"/>
      <c r="P563" s="196"/>
      <c r="Q563" s="196"/>
      <c r="R563" s="196"/>
      <c r="S563" s="196"/>
      <c r="T563" s="196"/>
      <c r="U563" s="196"/>
      <c r="V563" s="196"/>
      <c r="W563" s="196"/>
      <c r="X563" s="196"/>
      <c r="Y563" s="196"/>
      <c r="Z563" s="196"/>
      <c r="AA563" s="196"/>
      <c r="AB563" s="196"/>
      <c r="AC563" s="196"/>
      <c r="AD563" s="196"/>
      <c r="AE563" s="196"/>
      <c r="AF563" s="196"/>
      <c r="AG563" s="196"/>
      <c r="AH563" s="196"/>
    </row>
    <row r="564">
      <c r="A564" s="196"/>
      <c r="B564" s="196"/>
      <c r="C564" s="196"/>
      <c r="D564" s="196"/>
      <c r="E564" s="196"/>
      <c r="F564" s="196"/>
      <c r="G564" s="196"/>
      <c r="H564" s="196"/>
      <c r="I564" s="139"/>
      <c r="J564" s="196"/>
      <c r="K564" s="196"/>
      <c r="L564" s="139"/>
      <c r="M564" s="196"/>
      <c r="N564" s="196"/>
      <c r="O564" s="196"/>
      <c r="P564" s="196"/>
      <c r="Q564" s="196"/>
      <c r="R564" s="196"/>
      <c r="S564" s="196"/>
      <c r="T564" s="196"/>
      <c r="U564" s="196"/>
      <c r="V564" s="196"/>
      <c r="W564" s="196"/>
      <c r="X564" s="196"/>
      <c r="Y564" s="196"/>
      <c r="Z564" s="196"/>
      <c r="AA564" s="196"/>
      <c r="AB564" s="196"/>
      <c r="AC564" s="196"/>
      <c r="AD564" s="196"/>
      <c r="AE564" s="196"/>
      <c r="AF564" s="196"/>
      <c r="AG564" s="196"/>
      <c r="AH564" s="196"/>
    </row>
    <row r="565">
      <c r="A565" s="196"/>
      <c r="B565" s="196"/>
      <c r="C565" s="196"/>
      <c r="D565" s="196"/>
      <c r="E565" s="196"/>
      <c r="F565" s="196"/>
      <c r="G565" s="196"/>
      <c r="H565" s="196"/>
      <c r="I565" s="139"/>
      <c r="J565" s="196"/>
      <c r="K565" s="196"/>
      <c r="L565" s="139"/>
      <c r="M565" s="196"/>
      <c r="N565" s="196"/>
      <c r="O565" s="196"/>
      <c r="P565" s="196"/>
      <c r="Q565" s="196"/>
      <c r="R565" s="196"/>
      <c r="S565" s="196"/>
      <c r="T565" s="196"/>
      <c r="U565" s="196"/>
      <c r="V565" s="196"/>
      <c r="W565" s="196"/>
      <c r="X565" s="196"/>
      <c r="Y565" s="196"/>
      <c r="Z565" s="196"/>
      <c r="AA565" s="196"/>
      <c r="AB565" s="196"/>
      <c r="AC565" s="196"/>
      <c r="AD565" s="196"/>
      <c r="AE565" s="196"/>
      <c r="AF565" s="196"/>
      <c r="AG565" s="196"/>
      <c r="AH565" s="196"/>
    </row>
    <row r="566">
      <c r="A566" s="196"/>
      <c r="B566" s="196"/>
      <c r="C566" s="196"/>
      <c r="D566" s="196"/>
      <c r="E566" s="196"/>
      <c r="F566" s="196"/>
      <c r="G566" s="196"/>
      <c r="H566" s="196"/>
      <c r="I566" s="139"/>
      <c r="J566" s="196"/>
      <c r="K566" s="196"/>
      <c r="L566" s="139"/>
      <c r="M566" s="196"/>
      <c r="N566" s="196"/>
      <c r="O566" s="196"/>
      <c r="P566" s="196"/>
      <c r="Q566" s="196"/>
      <c r="R566" s="196"/>
      <c r="S566" s="196"/>
      <c r="T566" s="196"/>
      <c r="U566" s="196"/>
      <c r="V566" s="196"/>
      <c r="W566" s="196"/>
      <c r="X566" s="196"/>
      <c r="Y566" s="196"/>
      <c r="Z566" s="196"/>
      <c r="AA566" s="196"/>
      <c r="AB566" s="196"/>
      <c r="AC566" s="196"/>
      <c r="AD566" s="196"/>
      <c r="AE566" s="196"/>
      <c r="AF566" s="196"/>
      <c r="AG566" s="196"/>
      <c r="AH566" s="196"/>
    </row>
    <row r="567">
      <c r="A567" s="196"/>
      <c r="B567" s="196"/>
      <c r="C567" s="196"/>
      <c r="D567" s="196"/>
      <c r="E567" s="196"/>
      <c r="F567" s="196"/>
      <c r="G567" s="196"/>
      <c r="H567" s="196"/>
      <c r="I567" s="139"/>
      <c r="J567" s="196"/>
      <c r="K567" s="196"/>
      <c r="L567" s="139"/>
      <c r="M567" s="196"/>
      <c r="N567" s="196"/>
      <c r="O567" s="196"/>
      <c r="P567" s="196"/>
      <c r="Q567" s="196"/>
      <c r="R567" s="196"/>
      <c r="S567" s="196"/>
      <c r="T567" s="196"/>
      <c r="U567" s="196"/>
      <c r="V567" s="196"/>
      <c r="W567" s="196"/>
      <c r="X567" s="196"/>
      <c r="Y567" s="196"/>
      <c r="Z567" s="196"/>
      <c r="AA567" s="196"/>
      <c r="AB567" s="196"/>
      <c r="AC567" s="196"/>
      <c r="AD567" s="196"/>
      <c r="AE567" s="196"/>
      <c r="AF567" s="196"/>
      <c r="AG567" s="196"/>
      <c r="AH567" s="196"/>
    </row>
    <row r="568">
      <c r="A568" s="196"/>
      <c r="B568" s="196"/>
      <c r="C568" s="196"/>
      <c r="D568" s="196"/>
      <c r="E568" s="196"/>
      <c r="F568" s="196"/>
      <c r="G568" s="196"/>
      <c r="H568" s="196"/>
      <c r="I568" s="139"/>
      <c r="J568" s="196"/>
      <c r="K568" s="196"/>
      <c r="L568" s="139"/>
      <c r="M568" s="196"/>
      <c r="N568" s="196"/>
      <c r="O568" s="196"/>
      <c r="P568" s="196"/>
      <c r="Q568" s="196"/>
      <c r="R568" s="196"/>
      <c r="S568" s="196"/>
      <c r="T568" s="196"/>
      <c r="U568" s="196"/>
      <c r="V568" s="196"/>
      <c r="W568" s="196"/>
      <c r="X568" s="196"/>
      <c r="Y568" s="196"/>
      <c r="Z568" s="196"/>
      <c r="AA568" s="196"/>
      <c r="AB568" s="196"/>
      <c r="AC568" s="196"/>
      <c r="AD568" s="196"/>
      <c r="AE568" s="196"/>
      <c r="AF568" s="196"/>
      <c r="AG568" s="196"/>
      <c r="AH568" s="196"/>
    </row>
    <row r="569">
      <c r="A569" s="196"/>
      <c r="B569" s="196"/>
      <c r="C569" s="196"/>
      <c r="D569" s="196"/>
      <c r="E569" s="196"/>
      <c r="F569" s="196"/>
      <c r="G569" s="196"/>
      <c r="H569" s="196"/>
      <c r="I569" s="139"/>
      <c r="J569" s="196"/>
      <c r="K569" s="196"/>
      <c r="L569" s="139"/>
      <c r="M569" s="196"/>
      <c r="N569" s="196"/>
      <c r="O569" s="196"/>
      <c r="P569" s="196"/>
      <c r="Q569" s="196"/>
      <c r="R569" s="196"/>
      <c r="S569" s="196"/>
      <c r="T569" s="196"/>
      <c r="U569" s="196"/>
      <c r="V569" s="196"/>
      <c r="W569" s="196"/>
      <c r="X569" s="196"/>
      <c r="Y569" s="196"/>
      <c r="Z569" s="196"/>
      <c r="AA569" s="196"/>
      <c r="AB569" s="196"/>
      <c r="AC569" s="196"/>
      <c r="AD569" s="196"/>
      <c r="AE569" s="196"/>
      <c r="AF569" s="196"/>
      <c r="AG569" s="196"/>
      <c r="AH569" s="196"/>
    </row>
    <row r="570">
      <c r="A570" s="196"/>
      <c r="B570" s="196"/>
      <c r="C570" s="196"/>
      <c r="D570" s="196"/>
      <c r="E570" s="196"/>
      <c r="F570" s="196"/>
      <c r="G570" s="196"/>
      <c r="H570" s="196"/>
      <c r="I570" s="139"/>
      <c r="J570" s="196"/>
      <c r="K570" s="196"/>
      <c r="L570" s="139"/>
      <c r="M570" s="196"/>
      <c r="N570" s="196"/>
      <c r="O570" s="196"/>
      <c r="P570" s="196"/>
      <c r="Q570" s="196"/>
      <c r="R570" s="196"/>
      <c r="S570" s="196"/>
      <c r="T570" s="196"/>
      <c r="U570" s="196"/>
      <c r="V570" s="196"/>
      <c r="W570" s="196"/>
      <c r="X570" s="196"/>
      <c r="Y570" s="196"/>
      <c r="Z570" s="196"/>
      <c r="AA570" s="196"/>
      <c r="AB570" s="196"/>
      <c r="AC570" s="196"/>
      <c r="AD570" s="196"/>
      <c r="AE570" s="196"/>
      <c r="AF570" s="196"/>
      <c r="AG570" s="196"/>
      <c r="AH570" s="196"/>
    </row>
    <row r="571">
      <c r="A571" s="196"/>
      <c r="B571" s="196"/>
      <c r="C571" s="196"/>
      <c r="D571" s="196"/>
      <c r="E571" s="196"/>
      <c r="F571" s="196"/>
      <c r="G571" s="196"/>
      <c r="H571" s="196"/>
      <c r="I571" s="139"/>
      <c r="J571" s="196"/>
      <c r="K571" s="196"/>
      <c r="L571" s="139"/>
      <c r="M571" s="196"/>
      <c r="N571" s="196"/>
      <c r="O571" s="196"/>
      <c r="P571" s="196"/>
      <c r="Q571" s="196"/>
      <c r="R571" s="196"/>
      <c r="S571" s="196"/>
      <c r="T571" s="196"/>
      <c r="U571" s="196"/>
      <c r="V571" s="196"/>
      <c r="W571" s="196"/>
      <c r="X571" s="196"/>
      <c r="Y571" s="196"/>
      <c r="Z571" s="196"/>
      <c r="AA571" s="196"/>
      <c r="AB571" s="196"/>
      <c r="AC571" s="196"/>
      <c r="AD571" s="196"/>
      <c r="AE571" s="196"/>
      <c r="AF571" s="196"/>
      <c r="AG571" s="196"/>
      <c r="AH571" s="196"/>
    </row>
    <row r="572">
      <c r="A572" s="196"/>
      <c r="B572" s="196"/>
      <c r="C572" s="196"/>
      <c r="D572" s="196"/>
      <c r="E572" s="196"/>
      <c r="F572" s="196"/>
      <c r="G572" s="196"/>
      <c r="H572" s="196"/>
      <c r="I572" s="139"/>
      <c r="J572" s="196"/>
      <c r="K572" s="196"/>
      <c r="L572" s="139"/>
      <c r="M572" s="196"/>
      <c r="N572" s="196"/>
      <c r="O572" s="196"/>
      <c r="P572" s="196"/>
      <c r="Q572" s="196"/>
      <c r="R572" s="196"/>
      <c r="S572" s="196"/>
      <c r="T572" s="196"/>
      <c r="U572" s="196"/>
      <c r="V572" s="196"/>
      <c r="W572" s="196"/>
      <c r="X572" s="196"/>
      <c r="Y572" s="196"/>
      <c r="Z572" s="196"/>
      <c r="AA572" s="196"/>
      <c r="AB572" s="196"/>
      <c r="AC572" s="196"/>
      <c r="AD572" s="196"/>
      <c r="AE572" s="196"/>
      <c r="AF572" s="196"/>
      <c r="AG572" s="196"/>
      <c r="AH572" s="196"/>
    </row>
    <row r="573">
      <c r="A573" s="196"/>
      <c r="B573" s="196"/>
      <c r="C573" s="196"/>
      <c r="D573" s="196"/>
      <c r="E573" s="196"/>
      <c r="F573" s="196"/>
      <c r="G573" s="196"/>
      <c r="H573" s="196"/>
      <c r="I573" s="139"/>
      <c r="J573" s="196"/>
      <c r="K573" s="196"/>
      <c r="L573" s="139"/>
      <c r="M573" s="196"/>
      <c r="N573" s="196"/>
      <c r="O573" s="196"/>
      <c r="P573" s="196"/>
      <c r="Q573" s="196"/>
      <c r="R573" s="196"/>
      <c r="S573" s="196"/>
      <c r="T573" s="196"/>
      <c r="U573" s="196"/>
      <c r="V573" s="196"/>
      <c r="W573" s="196"/>
      <c r="X573" s="196"/>
      <c r="Y573" s="196"/>
      <c r="Z573" s="196"/>
      <c r="AA573" s="196"/>
      <c r="AB573" s="196"/>
      <c r="AC573" s="196"/>
      <c r="AD573" s="196"/>
      <c r="AE573" s="196"/>
      <c r="AF573" s="196"/>
      <c r="AG573" s="196"/>
      <c r="AH573" s="196"/>
    </row>
    <row r="574">
      <c r="A574" s="196"/>
      <c r="B574" s="196"/>
      <c r="C574" s="196"/>
      <c r="D574" s="196"/>
      <c r="E574" s="196"/>
      <c r="F574" s="196"/>
      <c r="G574" s="196"/>
      <c r="H574" s="196"/>
      <c r="I574" s="139"/>
      <c r="J574" s="196"/>
      <c r="K574" s="196"/>
      <c r="L574" s="139"/>
      <c r="M574" s="196"/>
      <c r="N574" s="196"/>
      <c r="O574" s="196"/>
      <c r="P574" s="196"/>
      <c r="Q574" s="196"/>
      <c r="R574" s="196"/>
      <c r="S574" s="196"/>
      <c r="T574" s="196"/>
      <c r="U574" s="196"/>
      <c r="V574" s="196"/>
      <c r="W574" s="196"/>
      <c r="X574" s="196"/>
      <c r="Y574" s="196"/>
      <c r="Z574" s="196"/>
      <c r="AA574" s="196"/>
      <c r="AB574" s="196"/>
      <c r="AC574" s="196"/>
      <c r="AD574" s="196"/>
      <c r="AE574" s="196"/>
      <c r="AF574" s="196"/>
      <c r="AG574" s="196"/>
      <c r="AH574" s="196"/>
    </row>
    <row r="575">
      <c r="A575" s="196"/>
      <c r="B575" s="196"/>
      <c r="C575" s="196"/>
      <c r="D575" s="196"/>
      <c r="E575" s="196"/>
      <c r="F575" s="196"/>
      <c r="G575" s="196"/>
      <c r="H575" s="196"/>
      <c r="I575" s="139"/>
      <c r="J575" s="196"/>
      <c r="K575" s="196"/>
      <c r="L575" s="139"/>
      <c r="M575" s="196"/>
      <c r="N575" s="196"/>
      <c r="O575" s="196"/>
      <c r="P575" s="196"/>
      <c r="Q575" s="196"/>
      <c r="R575" s="196"/>
      <c r="S575" s="196"/>
      <c r="T575" s="196"/>
      <c r="U575" s="196"/>
      <c r="V575" s="196"/>
      <c r="W575" s="196"/>
      <c r="X575" s="196"/>
      <c r="Y575" s="196"/>
      <c r="Z575" s="196"/>
      <c r="AA575" s="196"/>
      <c r="AB575" s="196"/>
      <c r="AC575" s="196"/>
      <c r="AD575" s="196"/>
      <c r="AE575" s="196"/>
      <c r="AF575" s="196"/>
      <c r="AG575" s="196"/>
      <c r="AH575" s="196"/>
    </row>
    <row r="576">
      <c r="A576" s="196"/>
      <c r="B576" s="196"/>
      <c r="C576" s="196"/>
      <c r="D576" s="196"/>
      <c r="E576" s="196"/>
      <c r="F576" s="196"/>
      <c r="G576" s="196"/>
      <c r="H576" s="196"/>
      <c r="I576" s="139"/>
      <c r="J576" s="196"/>
      <c r="K576" s="196"/>
      <c r="L576" s="139"/>
      <c r="M576" s="196"/>
      <c r="N576" s="196"/>
      <c r="O576" s="196"/>
      <c r="P576" s="196"/>
      <c r="Q576" s="196"/>
      <c r="R576" s="196"/>
      <c r="S576" s="196"/>
      <c r="T576" s="196"/>
      <c r="U576" s="196"/>
      <c r="V576" s="196"/>
      <c r="W576" s="196"/>
      <c r="X576" s="196"/>
      <c r="Y576" s="196"/>
      <c r="Z576" s="196"/>
      <c r="AA576" s="196"/>
      <c r="AB576" s="196"/>
      <c r="AC576" s="196"/>
      <c r="AD576" s="196"/>
      <c r="AE576" s="196"/>
      <c r="AF576" s="196"/>
      <c r="AG576" s="196"/>
      <c r="AH576" s="196"/>
    </row>
    <row r="577">
      <c r="A577" s="196"/>
      <c r="B577" s="196"/>
      <c r="C577" s="196"/>
      <c r="D577" s="196"/>
      <c r="E577" s="196"/>
      <c r="F577" s="196"/>
      <c r="G577" s="196"/>
      <c r="H577" s="196"/>
      <c r="I577" s="139"/>
      <c r="J577" s="196"/>
      <c r="K577" s="196"/>
      <c r="L577" s="139"/>
      <c r="M577" s="196"/>
      <c r="N577" s="196"/>
      <c r="O577" s="196"/>
      <c r="P577" s="196"/>
      <c r="Q577" s="196"/>
      <c r="R577" s="196"/>
      <c r="S577" s="196"/>
      <c r="T577" s="196"/>
      <c r="U577" s="196"/>
      <c r="V577" s="196"/>
      <c r="W577" s="196"/>
      <c r="X577" s="196"/>
      <c r="Y577" s="196"/>
      <c r="Z577" s="196"/>
      <c r="AA577" s="196"/>
      <c r="AB577" s="196"/>
      <c r="AC577" s="196"/>
      <c r="AD577" s="196"/>
      <c r="AE577" s="196"/>
      <c r="AF577" s="196"/>
      <c r="AG577" s="196"/>
      <c r="AH577" s="196"/>
    </row>
    <row r="578">
      <c r="A578" s="196"/>
      <c r="B578" s="196"/>
      <c r="C578" s="196"/>
      <c r="D578" s="196"/>
      <c r="E578" s="196"/>
      <c r="F578" s="196"/>
      <c r="G578" s="196"/>
      <c r="H578" s="196"/>
      <c r="I578" s="139"/>
      <c r="J578" s="196"/>
      <c r="K578" s="196"/>
      <c r="L578" s="139"/>
      <c r="M578" s="196"/>
      <c r="N578" s="196"/>
      <c r="O578" s="196"/>
      <c r="P578" s="196"/>
      <c r="Q578" s="196"/>
      <c r="R578" s="196"/>
      <c r="S578" s="196"/>
      <c r="T578" s="196"/>
      <c r="U578" s="196"/>
      <c r="V578" s="196"/>
      <c r="W578" s="196"/>
      <c r="X578" s="196"/>
      <c r="Y578" s="196"/>
      <c r="Z578" s="196"/>
      <c r="AA578" s="196"/>
      <c r="AB578" s="196"/>
      <c r="AC578" s="196"/>
      <c r="AD578" s="196"/>
      <c r="AE578" s="196"/>
      <c r="AF578" s="196"/>
      <c r="AG578" s="196"/>
      <c r="AH578" s="196"/>
    </row>
    <row r="579">
      <c r="A579" s="196"/>
      <c r="B579" s="196"/>
      <c r="C579" s="196"/>
      <c r="D579" s="196"/>
      <c r="E579" s="196"/>
      <c r="F579" s="196"/>
      <c r="G579" s="196"/>
      <c r="H579" s="196"/>
      <c r="I579" s="139"/>
      <c r="J579" s="196"/>
      <c r="K579" s="196"/>
      <c r="L579" s="139"/>
      <c r="M579" s="196"/>
      <c r="N579" s="196"/>
      <c r="O579" s="196"/>
      <c r="P579" s="196"/>
      <c r="Q579" s="196"/>
      <c r="R579" s="196"/>
      <c r="S579" s="196"/>
      <c r="T579" s="196"/>
      <c r="U579" s="196"/>
      <c r="V579" s="196"/>
      <c r="W579" s="196"/>
      <c r="X579" s="196"/>
      <c r="Y579" s="196"/>
      <c r="Z579" s="196"/>
      <c r="AA579" s="196"/>
      <c r="AB579" s="196"/>
      <c r="AC579" s="196"/>
      <c r="AD579" s="196"/>
      <c r="AE579" s="196"/>
      <c r="AF579" s="196"/>
      <c r="AG579" s="196"/>
      <c r="AH579" s="196"/>
    </row>
    <row r="580">
      <c r="A580" s="196"/>
      <c r="B580" s="196"/>
      <c r="C580" s="196"/>
      <c r="D580" s="196"/>
      <c r="E580" s="196"/>
      <c r="F580" s="196"/>
      <c r="G580" s="196"/>
      <c r="H580" s="196"/>
      <c r="I580" s="139"/>
      <c r="J580" s="196"/>
      <c r="K580" s="196"/>
      <c r="L580" s="139"/>
      <c r="M580" s="196"/>
      <c r="N580" s="196"/>
      <c r="O580" s="196"/>
      <c r="P580" s="196"/>
      <c r="Q580" s="196"/>
      <c r="R580" s="196"/>
      <c r="S580" s="196"/>
      <c r="T580" s="196"/>
      <c r="U580" s="196"/>
      <c r="V580" s="196"/>
      <c r="W580" s="196"/>
      <c r="X580" s="196"/>
      <c r="Y580" s="196"/>
      <c r="Z580" s="196"/>
      <c r="AA580" s="196"/>
      <c r="AB580" s="196"/>
      <c r="AC580" s="196"/>
      <c r="AD580" s="196"/>
      <c r="AE580" s="196"/>
      <c r="AF580" s="196"/>
      <c r="AG580" s="196"/>
      <c r="AH580" s="196"/>
    </row>
    <row r="581">
      <c r="A581" s="196"/>
      <c r="B581" s="196"/>
      <c r="C581" s="196"/>
      <c r="D581" s="196"/>
      <c r="E581" s="196"/>
      <c r="F581" s="196"/>
      <c r="G581" s="196"/>
      <c r="H581" s="196"/>
      <c r="I581" s="139"/>
      <c r="J581" s="196"/>
      <c r="K581" s="196"/>
      <c r="L581" s="139"/>
      <c r="M581" s="196"/>
      <c r="N581" s="196"/>
      <c r="O581" s="196"/>
      <c r="P581" s="196"/>
      <c r="Q581" s="196"/>
      <c r="R581" s="196"/>
      <c r="S581" s="196"/>
      <c r="T581" s="196"/>
      <c r="U581" s="196"/>
      <c r="V581" s="196"/>
      <c r="W581" s="196"/>
      <c r="X581" s="196"/>
      <c r="Y581" s="196"/>
      <c r="Z581" s="196"/>
      <c r="AA581" s="196"/>
      <c r="AB581" s="196"/>
      <c r="AC581" s="196"/>
      <c r="AD581" s="196"/>
      <c r="AE581" s="196"/>
      <c r="AF581" s="196"/>
      <c r="AG581" s="196"/>
      <c r="AH581" s="196"/>
    </row>
    <row r="582">
      <c r="A582" s="196"/>
      <c r="B582" s="196"/>
      <c r="C582" s="196"/>
      <c r="D582" s="196"/>
      <c r="E582" s="196"/>
      <c r="F582" s="196"/>
      <c r="G582" s="196"/>
      <c r="H582" s="196"/>
      <c r="I582" s="139"/>
      <c r="J582" s="196"/>
      <c r="K582" s="196"/>
      <c r="L582" s="139"/>
      <c r="M582" s="196"/>
      <c r="N582" s="196"/>
      <c r="O582" s="196"/>
      <c r="P582" s="196"/>
      <c r="Q582" s="196"/>
      <c r="R582" s="196"/>
      <c r="S582" s="196"/>
      <c r="T582" s="196"/>
      <c r="U582" s="196"/>
      <c r="V582" s="196"/>
      <c r="W582" s="196"/>
      <c r="X582" s="196"/>
      <c r="Y582" s="196"/>
      <c r="Z582" s="196"/>
      <c r="AA582" s="196"/>
      <c r="AB582" s="196"/>
      <c r="AC582" s="196"/>
      <c r="AD582" s="196"/>
      <c r="AE582" s="196"/>
      <c r="AF582" s="196"/>
      <c r="AG582" s="196"/>
      <c r="AH582" s="196"/>
    </row>
    <row r="583">
      <c r="A583" s="196"/>
      <c r="B583" s="196"/>
      <c r="C583" s="196"/>
      <c r="D583" s="196"/>
      <c r="E583" s="196"/>
      <c r="F583" s="196"/>
      <c r="G583" s="196"/>
      <c r="H583" s="196"/>
      <c r="I583" s="139"/>
      <c r="J583" s="196"/>
      <c r="K583" s="196"/>
      <c r="L583" s="139"/>
      <c r="M583" s="196"/>
      <c r="N583" s="196"/>
      <c r="O583" s="196"/>
      <c r="P583" s="196"/>
      <c r="Q583" s="196"/>
      <c r="R583" s="196"/>
      <c r="S583" s="196"/>
      <c r="T583" s="196"/>
      <c r="U583" s="196"/>
      <c r="V583" s="196"/>
      <c r="W583" s="196"/>
      <c r="X583" s="196"/>
      <c r="Y583" s="196"/>
      <c r="Z583" s="196"/>
      <c r="AA583" s="196"/>
      <c r="AB583" s="196"/>
      <c r="AC583" s="196"/>
      <c r="AD583" s="196"/>
      <c r="AE583" s="196"/>
      <c r="AF583" s="196"/>
      <c r="AG583" s="196"/>
      <c r="AH583" s="196"/>
    </row>
    <row r="584">
      <c r="A584" s="196"/>
      <c r="B584" s="196"/>
      <c r="C584" s="196"/>
      <c r="D584" s="196"/>
      <c r="E584" s="196"/>
      <c r="F584" s="196"/>
      <c r="G584" s="196"/>
      <c r="H584" s="196"/>
      <c r="I584" s="139"/>
      <c r="J584" s="196"/>
      <c r="K584" s="196"/>
      <c r="L584" s="139"/>
      <c r="M584" s="196"/>
      <c r="N584" s="196"/>
      <c r="O584" s="196"/>
      <c r="P584" s="196"/>
      <c r="Q584" s="196"/>
      <c r="R584" s="196"/>
      <c r="S584" s="196"/>
      <c r="T584" s="196"/>
      <c r="U584" s="196"/>
      <c r="V584" s="196"/>
      <c r="W584" s="196"/>
      <c r="X584" s="196"/>
      <c r="Y584" s="196"/>
      <c r="Z584" s="196"/>
      <c r="AA584" s="196"/>
      <c r="AB584" s="196"/>
      <c r="AC584" s="196"/>
      <c r="AD584" s="196"/>
      <c r="AE584" s="196"/>
      <c r="AF584" s="196"/>
      <c r="AG584" s="196"/>
      <c r="AH584" s="196"/>
    </row>
    <row r="585">
      <c r="A585" s="196"/>
      <c r="B585" s="196"/>
      <c r="C585" s="196"/>
      <c r="D585" s="196"/>
      <c r="E585" s="196"/>
      <c r="F585" s="196"/>
      <c r="G585" s="196"/>
      <c r="H585" s="196"/>
      <c r="I585" s="139"/>
      <c r="J585" s="196"/>
      <c r="K585" s="196"/>
      <c r="L585" s="139"/>
      <c r="M585" s="196"/>
      <c r="N585" s="196"/>
      <c r="O585" s="196"/>
      <c r="P585" s="196"/>
      <c r="Q585" s="196"/>
      <c r="R585" s="196"/>
      <c r="S585" s="196"/>
      <c r="T585" s="196"/>
      <c r="U585" s="196"/>
      <c r="V585" s="196"/>
      <c r="W585" s="196"/>
      <c r="X585" s="196"/>
      <c r="Y585" s="196"/>
      <c r="Z585" s="196"/>
      <c r="AA585" s="196"/>
      <c r="AB585" s="196"/>
      <c r="AC585" s="196"/>
      <c r="AD585" s="196"/>
      <c r="AE585" s="196"/>
      <c r="AF585" s="196"/>
      <c r="AG585" s="196"/>
      <c r="AH585" s="196"/>
    </row>
    <row r="586">
      <c r="A586" s="196"/>
      <c r="B586" s="196"/>
      <c r="C586" s="196"/>
      <c r="D586" s="196"/>
      <c r="E586" s="196"/>
      <c r="F586" s="196"/>
      <c r="G586" s="196"/>
      <c r="H586" s="196"/>
      <c r="I586" s="139"/>
      <c r="J586" s="196"/>
      <c r="K586" s="196"/>
      <c r="L586" s="139"/>
      <c r="M586" s="196"/>
      <c r="N586" s="196"/>
      <c r="O586" s="196"/>
      <c r="P586" s="196"/>
      <c r="Q586" s="196"/>
      <c r="R586" s="196"/>
      <c r="S586" s="196"/>
      <c r="T586" s="196"/>
      <c r="U586" s="196"/>
      <c r="V586" s="196"/>
      <c r="W586" s="196"/>
      <c r="X586" s="196"/>
      <c r="Y586" s="196"/>
      <c r="Z586" s="196"/>
      <c r="AA586" s="196"/>
      <c r="AB586" s="196"/>
      <c r="AC586" s="196"/>
      <c r="AD586" s="196"/>
      <c r="AE586" s="196"/>
      <c r="AF586" s="196"/>
      <c r="AG586" s="196"/>
      <c r="AH586" s="196"/>
    </row>
    <row r="587">
      <c r="A587" s="196"/>
      <c r="B587" s="196"/>
      <c r="C587" s="196"/>
      <c r="D587" s="196"/>
      <c r="E587" s="196"/>
      <c r="F587" s="196"/>
      <c r="G587" s="196"/>
      <c r="H587" s="196"/>
      <c r="I587" s="139"/>
      <c r="J587" s="196"/>
      <c r="K587" s="196"/>
      <c r="L587" s="139"/>
      <c r="M587" s="196"/>
      <c r="N587" s="196"/>
      <c r="O587" s="196"/>
      <c r="P587" s="196"/>
      <c r="Q587" s="196"/>
      <c r="R587" s="196"/>
      <c r="S587" s="196"/>
      <c r="T587" s="196"/>
      <c r="U587" s="196"/>
      <c r="V587" s="196"/>
      <c r="W587" s="196"/>
      <c r="X587" s="196"/>
      <c r="Y587" s="196"/>
      <c r="Z587" s="196"/>
      <c r="AA587" s="196"/>
      <c r="AB587" s="196"/>
      <c r="AC587" s="196"/>
      <c r="AD587" s="196"/>
      <c r="AE587" s="196"/>
      <c r="AF587" s="196"/>
      <c r="AG587" s="196"/>
      <c r="AH587" s="196"/>
    </row>
    <row r="588">
      <c r="A588" s="196"/>
      <c r="B588" s="196"/>
      <c r="C588" s="196"/>
      <c r="D588" s="196"/>
      <c r="E588" s="196"/>
      <c r="F588" s="196"/>
      <c r="G588" s="196"/>
      <c r="H588" s="196"/>
      <c r="I588" s="139"/>
      <c r="J588" s="196"/>
      <c r="K588" s="196"/>
      <c r="L588" s="139"/>
      <c r="M588" s="196"/>
      <c r="N588" s="196"/>
      <c r="O588" s="196"/>
      <c r="P588" s="196"/>
      <c r="Q588" s="196"/>
      <c r="R588" s="196"/>
      <c r="S588" s="196"/>
      <c r="T588" s="196"/>
      <c r="U588" s="196"/>
      <c r="V588" s="196"/>
      <c r="W588" s="196"/>
      <c r="X588" s="196"/>
      <c r="Y588" s="196"/>
      <c r="Z588" s="196"/>
      <c r="AA588" s="196"/>
      <c r="AB588" s="196"/>
      <c r="AC588" s="196"/>
      <c r="AD588" s="196"/>
      <c r="AE588" s="196"/>
      <c r="AF588" s="196"/>
      <c r="AG588" s="196"/>
      <c r="AH588" s="196"/>
    </row>
    <row r="589">
      <c r="A589" s="196"/>
      <c r="B589" s="196"/>
      <c r="C589" s="196"/>
      <c r="D589" s="196"/>
      <c r="E589" s="196"/>
      <c r="F589" s="196"/>
      <c r="G589" s="196"/>
      <c r="H589" s="196"/>
      <c r="I589" s="139"/>
      <c r="J589" s="196"/>
      <c r="K589" s="196"/>
      <c r="L589" s="139"/>
      <c r="M589" s="196"/>
      <c r="N589" s="196"/>
      <c r="O589" s="196"/>
      <c r="P589" s="196"/>
      <c r="Q589" s="196"/>
      <c r="R589" s="196"/>
      <c r="S589" s="196"/>
      <c r="T589" s="196"/>
      <c r="U589" s="196"/>
      <c r="V589" s="196"/>
      <c r="W589" s="196"/>
      <c r="X589" s="196"/>
      <c r="Y589" s="196"/>
      <c r="Z589" s="196"/>
      <c r="AA589" s="196"/>
      <c r="AB589" s="196"/>
      <c r="AC589" s="196"/>
      <c r="AD589" s="196"/>
      <c r="AE589" s="196"/>
      <c r="AF589" s="196"/>
      <c r="AG589" s="196"/>
      <c r="AH589" s="196"/>
    </row>
    <row r="590">
      <c r="A590" s="196"/>
      <c r="B590" s="196"/>
      <c r="C590" s="196"/>
      <c r="D590" s="196"/>
      <c r="E590" s="196"/>
      <c r="F590" s="196"/>
      <c r="G590" s="196"/>
      <c r="H590" s="196"/>
      <c r="I590" s="139"/>
      <c r="J590" s="196"/>
      <c r="K590" s="196"/>
      <c r="L590" s="139"/>
      <c r="M590" s="196"/>
      <c r="N590" s="196"/>
      <c r="O590" s="196"/>
      <c r="P590" s="196"/>
      <c r="Q590" s="196"/>
      <c r="R590" s="196"/>
      <c r="S590" s="196"/>
      <c r="T590" s="196"/>
      <c r="U590" s="196"/>
      <c r="V590" s="196"/>
      <c r="W590" s="196"/>
      <c r="X590" s="196"/>
      <c r="Y590" s="196"/>
      <c r="Z590" s="196"/>
      <c r="AA590" s="196"/>
      <c r="AB590" s="196"/>
      <c r="AC590" s="196"/>
      <c r="AD590" s="196"/>
      <c r="AE590" s="196"/>
      <c r="AF590" s="196"/>
      <c r="AG590" s="196"/>
      <c r="AH590" s="196"/>
    </row>
    <row r="591">
      <c r="A591" s="196"/>
      <c r="B591" s="196"/>
      <c r="C591" s="196"/>
      <c r="D591" s="196"/>
      <c r="E591" s="196"/>
      <c r="F591" s="196"/>
      <c r="G591" s="196"/>
      <c r="H591" s="196"/>
      <c r="I591" s="139"/>
      <c r="J591" s="196"/>
      <c r="K591" s="196"/>
      <c r="L591" s="139"/>
      <c r="M591" s="196"/>
      <c r="N591" s="196"/>
      <c r="O591" s="196"/>
      <c r="P591" s="196"/>
      <c r="Q591" s="196"/>
      <c r="R591" s="196"/>
      <c r="S591" s="196"/>
      <c r="T591" s="196"/>
      <c r="U591" s="196"/>
      <c r="V591" s="196"/>
      <c r="W591" s="196"/>
      <c r="X591" s="196"/>
      <c r="Y591" s="196"/>
      <c r="Z591" s="196"/>
      <c r="AA591" s="196"/>
      <c r="AB591" s="196"/>
      <c r="AC591" s="196"/>
      <c r="AD591" s="196"/>
      <c r="AE591" s="196"/>
      <c r="AF591" s="196"/>
      <c r="AG591" s="196"/>
      <c r="AH591" s="196"/>
    </row>
    <row r="592">
      <c r="A592" s="196"/>
      <c r="B592" s="196"/>
      <c r="C592" s="196"/>
      <c r="D592" s="196"/>
      <c r="E592" s="196"/>
      <c r="F592" s="196"/>
      <c r="G592" s="196"/>
      <c r="H592" s="196"/>
      <c r="I592" s="139"/>
      <c r="J592" s="196"/>
      <c r="K592" s="196"/>
      <c r="L592" s="139"/>
      <c r="M592" s="196"/>
      <c r="N592" s="196"/>
      <c r="O592" s="196"/>
      <c r="P592" s="196"/>
      <c r="Q592" s="196"/>
      <c r="R592" s="196"/>
      <c r="S592" s="196"/>
      <c r="T592" s="196"/>
      <c r="U592" s="196"/>
      <c r="V592" s="196"/>
      <c r="W592" s="196"/>
      <c r="X592" s="196"/>
      <c r="Y592" s="196"/>
      <c r="Z592" s="196"/>
      <c r="AA592" s="196"/>
      <c r="AB592" s="196"/>
      <c r="AC592" s="196"/>
      <c r="AD592" s="196"/>
      <c r="AE592" s="196"/>
      <c r="AF592" s="196"/>
      <c r="AG592" s="196"/>
      <c r="AH592" s="196"/>
    </row>
    <row r="593">
      <c r="A593" s="196"/>
      <c r="B593" s="196"/>
      <c r="C593" s="196"/>
      <c r="D593" s="196"/>
      <c r="E593" s="196"/>
      <c r="F593" s="196"/>
      <c r="G593" s="196"/>
      <c r="H593" s="196"/>
      <c r="I593" s="139"/>
      <c r="J593" s="196"/>
      <c r="K593" s="196"/>
      <c r="L593" s="139"/>
      <c r="M593" s="196"/>
      <c r="N593" s="196"/>
      <c r="O593" s="196"/>
      <c r="P593" s="196"/>
      <c r="Q593" s="196"/>
      <c r="R593" s="196"/>
      <c r="S593" s="196"/>
      <c r="T593" s="196"/>
      <c r="U593" s="196"/>
      <c r="V593" s="196"/>
      <c r="W593" s="196"/>
      <c r="X593" s="196"/>
      <c r="Y593" s="196"/>
      <c r="Z593" s="196"/>
      <c r="AA593" s="196"/>
      <c r="AB593" s="196"/>
      <c r="AC593" s="196"/>
      <c r="AD593" s="196"/>
      <c r="AE593" s="196"/>
      <c r="AF593" s="196"/>
      <c r="AG593" s="196"/>
      <c r="AH593" s="196"/>
    </row>
    <row r="594">
      <c r="A594" s="196"/>
      <c r="B594" s="196"/>
      <c r="C594" s="196"/>
      <c r="D594" s="196"/>
      <c r="E594" s="196"/>
      <c r="F594" s="196"/>
      <c r="G594" s="196"/>
      <c r="H594" s="196"/>
      <c r="I594" s="139"/>
      <c r="J594" s="196"/>
      <c r="K594" s="196"/>
      <c r="L594" s="139"/>
      <c r="M594" s="196"/>
      <c r="N594" s="196"/>
      <c r="O594" s="196"/>
      <c r="P594" s="196"/>
      <c r="Q594" s="196"/>
      <c r="R594" s="196"/>
      <c r="S594" s="196"/>
      <c r="T594" s="196"/>
      <c r="U594" s="196"/>
      <c r="V594" s="196"/>
      <c r="W594" s="196"/>
      <c r="X594" s="196"/>
      <c r="Y594" s="196"/>
      <c r="Z594" s="196"/>
      <c r="AA594" s="196"/>
      <c r="AB594" s="196"/>
      <c r="AC594" s="196"/>
      <c r="AD594" s="196"/>
      <c r="AE594" s="196"/>
      <c r="AF594" s="196"/>
      <c r="AG594" s="196"/>
      <c r="AH594" s="196"/>
    </row>
    <row r="595">
      <c r="A595" s="196"/>
      <c r="B595" s="196"/>
      <c r="C595" s="196"/>
      <c r="D595" s="196"/>
      <c r="E595" s="196"/>
      <c r="F595" s="196"/>
      <c r="G595" s="196"/>
      <c r="H595" s="196"/>
      <c r="I595" s="139"/>
      <c r="J595" s="196"/>
      <c r="K595" s="196"/>
      <c r="L595" s="139"/>
      <c r="M595" s="196"/>
      <c r="N595" s="196"/>
      <c r="O595" s="196"/>
      <c r="P595" s="196"/>
      <c r="Q595" s="196"/>
      <c r="R595" s="196"/>
      <c r="S595" s="196"/>
      <c r="T595" s="196"/>
      <c r="U595" s="196"/>
      <c r="V595" s="196"/>
      <c r="W595" s="196"/>
      <c r="X595" s="196"/>
      <c r="Y595" s="196"/>
      <c r="Z595" s="196"/>
      <c r="AA595" s="196"/>
      <c r="AB595" s="196"/>
      <c r="AC595" s="196"/>
      <c r="AD595" s="196"/>
      <c r="AE595" s="196"/>
      <c r="AF595" s="196"/>
      <c r="AG595" s="196"/>
      <c r="AH595" s="196"/>
    </row>
    <row r="596">
      <c r="A596" s="196"/>
      <c r="B596" s="196"/>
      <c r="C596" s="196"/>
      <c r="D596" s="196"/>
      <c r="E596" s="196"/>
      <c r="F596" s="196"/>
      <c r="G596" s="196"/>
      <c r="H596" s="196"/>
      <c r="I596" s="139"/>
      <c r="J596" s="196"/>
      <c r="K596" s="196"/>
      <c r="L596" s="139"/>
      <c r="M596" s="196"/>
      <c r="N596" s="196"/>
      <c r="O596" s="196"/>
      <c r="P596" s="196"/>
      <c r="Q596" s="196"/>
      <c r="R596" s="196"/>
      <c r="S596" s="196"/>
      <c r="T596" s="196"/>
      <c r="U596" s="196"/>
      <c r="V596" s="196"/>
      <c r="W596" s="196"/>
      <c r="X596" s="196"/>
      <c r="Y596" s="196"/>
      <c r="Z596" s="196"/>
      <c r="AA596" s="196"/>
      <c r="AB596" s="196"/>
      <c r="AC596" s="196"/>
      <c r="AD596" s="196"/>
      <c r="AE596" s="196"/>
      <c r="AF596" s="196"/>
      <c r="AG596" s="196"/>
      <c r="AH596" s="196"/>
    </row>
    <row r="597">
      <c r="A597" s="196"/>
      <c r="B597" s="196"/>
      <c r="C597" s="196"/>
      <c r="D597" s="196"/>
      <c r="E597" s="196"/>
      <c r="F597" s="196"/>
      <c r="G597" s="196"/>
      <c r="H597" s="196"/>
      <c r="I597" s="139"/>
      <c r="J597" s="196"/>
      <c r="K597" s="196"/>
      <c r="L597" s="139"/>
      <c r="M597" s="196"/>
      <c r="N597" s="196"/>
      <c r="O597" s="196"/>
      <c r="P597" s="196"/>
      <c r="Q597" s="196"/>
      <c r="R597" s="196"/>
      <c r="S597" s="196"/>
      <c r="T597" s="196"/>
      <c r="U597" s="196"/>
      <c r="V597" s="196"/>
      <c r="W597" s="196"/>
      <c r="X597" s="196"/>
      <c r="Y597" s="196"/>
      <c r="Z597" s="196"/>
      <c r="AA597" s="196"/>
      <c r="AB597" s="196"/>
      <c r="AC597" s="196"/>
      <c r="AD597" s="196"/>
      <c r="AE597" s="196"/>
      <c r="AF597" s="196"/>
      <c r="AG597" s="196"/>
      <c r="AH597" s="196"/>
    </row>
    <row r="598">
      <c r="A598" s="196"/>
      <c r="B598" s="196"/>
      <c r="C598" s="196"/>
      <c r="D598" s="196"/>
      <c r="E598" s="196"/>
      <c r="F598" s="196"/>
      <c r="G598" s="196"/>
      <c r="H598" s="196"/>
      <c r="I598" s="139"/>
      <c r="J598" s="196"/>
      <c r="K598" s="196"/>
      <c r="L598" s="139"/>
      <c r="M598" s="196"/>
      <c r="N598" s="196"/>
      <c r="O598" s="196"/>
      <c r="P598" s="196"/>
      <c r="Q598" s="196"/>
      <c r="R598" s="196"/>
      <c r="S598" s="196"/>
      <c r="T598" s="196"/>
      <c r="U598" s="196"/>
      <c r="V598" s="196"/>
      <c r="W598" s="196"/>
      <c r="X598" s="196"/>
      <c r="Y598" s="196"/>
      <c r="Z598" s="196"/>
      <c r="AA598" s="196"/>
      <c r="AB598" s="196"/>
      <c r="AC598" s="196"/>
      <c r="AD598" s="196"/>
      <c r="AE598" s="196"/>
      <c r="AF598" s="196"/>
      <c r="AG598" s="196"/>
      <c r="AH598" s="196"/>
    </row>
    <row r="599">
      <c r="A599" s="196"/>
      <c r="B599" s="196"/>
      <c r="C599" s="196"/>
      <c r="D599" s="196"/>
      <c r="E599" s="196"/>
      <c r="F599" s="196"/>
      <c r="G599" s="196"/>
      <c r="H599" s="196"/>
      <c r="I599" s="139"/>
      <c r="J599" s="196"/>
      <c r="K599" s="196"/>
      <c r="L599" s="139"/>
      <c r="M599" s="196"/>
      <c r="N599" s="196"/>
      <c r="O599" s="196"/>
      <c r="P599" s="196"/>
      <c r="Q599" s="196"/>
      <c r="R599" s="196"/>
      <c r="S599" s="196"/>
      <c r="T599" s="196"/>
      <c r="U599" s="196"/>
      <c r="V599" s="196"/>
      <c r="W599" s="196"/>
      <c r="X599" s="196"/>
      <c r="Y599" s="196"/>
      <c r="Z599" s="196"/>
      <c r="AA599" s="196"/>
      <c r="AB599" s="196"/>
      <c r="AC599" s="196"/>
      <c r="AD599" s="196"/>
      <c r="AE599" s="196"/>
      <c r="AF599" s="196"/>
      <c r="AG599" s="196"/>
      <c r="AH599" s="196"/>
    </row>
    <row r="600">
      <c r="A600" s="196"/>
      <c r="B600" s="196"/>
      <c r="C600" s="196"/>
      <c r="D600" s="196"/>
      <c r="E600" s="196"/>
      <c r="F600" s="196"/>
      <c r="G600" s="196"/>
      <c r="H600" s="196"/>
      <c r="I600" s="139"/>
      <c r="J600" s="196"/>
      <c r="K600" s="196"/>
      <c r="L600" s="139"/>
      <c r="M600" s="196"/>
      <c r="N600" s="196"/>
      <c r="O600" s="196"/>
      <c r="P600" s="196"/>
      <c r="Q600" s="196"/>
      <c r="R600" s="196"/>
      <c r="S600" s="196"/>
      <c r="T600" s="196"/>
      <c r="U600" s="196"/>
      <c r="V600" s="196"/>
      <c r="W600" s="196"/>
      <c r="X600" s="196"/>
      <c r="Y600" s="196"/>
      <c r="Z600" s="196"/>
      <c r="AA600" s="196"/>
      <c r="AB600" s="196"/>
      <c r="AC600" s="196"/>
      <c r="AD600" s="196"/>
      <c r="AE600" s="196"/>
      <c r="AF600" s="196"/>
      <c r="AG600" s="196"/>
      <c r="AH600" s="196"/>
    </row>
    <row r="601">
      <c r="A601" s="196"/>
      <c r="B601" s="196"/>
      <c r="C601" s="196"/>
      <c r="D601" s="196"/>
      <c r="E601" s="196"/>
      <c r="F601" s="196"/>
      <c r="G601" s="196"/>
      <c r="H601" s="196"/>
      <c r="I601" s="139"/>
      <c r="J601" s="196"/>
      <c r="K601" s="196"/>
      <c r="L601" s="139"/>
      <c r="M601" s="196"/>
      <c r="N601" s="196"/>
      <c r="O601" s="196"/>
      <c r="P601" s="196"/>
      <c r="Q601" s="196"/>
      <c r="R601" s="196"/>
      <c r="S601" s="196"/>
      <c r="T601" s="196"/>
      <c r="U601" s="196"/>
      <c r="V601" s="196"/>
      <c r="W601" s="196"/>
      <c r="X601" s="196"/>
      <c r="Y601" s="196"/>
      <c r="Z601" s="196"/>
      <c r="AA601" s="196"/>
      <c r="AB601" s="196"/>
      <c r="AC601" s="196"/>
      <c r="AD601" s="196"/>
      <c r="AE601" s="196"/>
      <c r="AF601" s="196"/>
      <c r="AG601" s="196"/>
      <c r="AH601" s="196"/>
    </row>
    <row r="602">
      <c r="A602" s="196"/>
      <c r="B602" s="196"/>
      <c r="C602" s="196"/>
      <c r="D602" s="196"/>
      <c r="E602" s="196"/>
      <c r="F602" s="196"/>
      <c r="G602" s="196"/>
      <c r="H602" s="196"/>
      <c r="I602" s="139"/>
      <c r="J602" s="196"/>
      <c r="K602" s="196"/>
      <c r="L602" s="139"/>
      <c r="M602" s="196"/>
      <c r="N602" s="196"/>
      <c r="O602" s="196"/>
      <c r="P602" s="196"/>
      <c r="Q602" s="196"/>
      <c r="R602" s="196"/>
      <c r="S602" s="196"/>
      <c r="T602" s="196"/>
      <c r="U602" s="196"/>
      <c r="V602" s="196"/>
      <c r="W602" s="196"/>
      <c r="X602" s="196"/>
      <c r="Y602" s="196"/>
      <c r="Z602" s="196"/>
      <c r="AA602" s="196"/>
      <c r="AB602" s="196"/>
      <c r="AC602" s="196"/>
      <c r="AD602" s="196"/>
      <c r="AE602" s="196"/>
      <c r="AF602" s="196"/>
      <c r="AG602" s="196"/>
      <c r="AH602" s="196"/>
    </row>
    <row r="603">
      <c r="A603" s="196"/>
      <c r="B603" s="196"/>
      <c r="C603" s="196"/>
      <c r="D603" s="196"/>
      <c r="E603" s="196"/>
      <c r="F603" s="196"/>
      <c r="G603" s="196"/>
      <c r="H603" s="196"/>
      <c r="I603" s="139"/>
      <c r="J603" s="196"/>
      <c r="K603" s="196"/>
      <c r="L603" s="139"/>
      <c r="M603" s="196"/>
      <c r="N603" s="196"/>
      <c r="O603" s="196"/>
      <c r="P603" s="196"/>
      <c r="Q603" s="196"/>
      <c r="R603" s="196"/>
      <c r="S603" s="196"/>
      <c r="T603" s="196"/>
      <c r="U603" s="196"/>
      <c r="V603" s="196"/>
      <c r="W603" s="196"/>
      <c r="X603" s="196"/>
      <c r="Y603" s="196"/>
      <c r="Z603" s="196"/>
      <c r="AA603" s="196"/>
      <c r="AB603" s="196"/>
      <c r="AC603" s="196"/>
      <c r="AD603" s="196"/>
      <c r="AE603" s="196"/>
      <c r="AF603" s="196"/>
      <c r="AG603" s="196"/>
      <c r="AH603" s="196"/>
    </row>
    <row r="604">
      <c r="A604" s="196"/>
      <c r="B604" s="196"/>
      <c r="C604" s="196"/>
      <c r="D604" s="196"/>
      <c r="E604" s="196"/>
      <c r="F604" s="196"/>
      <c r="G604" s="196"/>
      <c r="H604" s="196"/>
      <c r="I604" s="139"/>
      <c r="J604" s="196"/>
      <c r="K604" s="196"/>
      <c r="L604" s="139"/>
      <c r="M604" s="196"/>
      <c r="N604" s="196"/>
      <c r="O604" s="196"/>
      <c r="P604" s="196"/>
      <c r="Q604" s="196"/>
      <c r="R604" s="196"/>
      <c r="S604" s="196"/>
      <c r="T604" s="196"/>
      <c r="U604" s="196"/>
      <c r="V604" s="196"/>
      <c r="W604" s="196"/>
      <c r="X604" s="196"/>
      <c r="Y604" s="196"/>
      <c r="Z604" s="196"/>
      <c r="AA604" s="196"/>
      <c r="AB604" s="196"/>
      <c r="AC604" s="196"/>
      <c r="AD604" s="196"/>
      <c r="AE604" s="196"/>
      <c r="AF604" s="196"/>
      <c r="AG604" s="196"/>
      <c r="AH604" s="196"/>
    </row>
    <row r="605">
      <c r="A605" s="196"/>
      <c r="B605" s="196"/>
      <c r="C605" s="196"/>
      <c r="D605" s="196"/>
      <c r="E605" s="196"/>
      <c r="F605" s="196"/>
      <c r="G605" s="196"/>
      <c r="H605" s="196"/>
      <c r="I605" s="139"/>
      <c r="J605" s="196"/>
      <c r="K605" s="196"/>
      <c r="L605" s="139"/>
      <c r="M605" s="196"/>
      <c r="N605" s="196"/>
      <c r="O605" s="196"/>
      <c r="P605" s="196"/>
      <c r="Q605" s="196"/>
      <c r="R605" s="196"/>
      <c r="S605" s="196"/>
      <c r="T605" s="196"/>
      <c r="U605" s="196"/>
      <c r="V605" s="196"/>
      <c r="W605" s="196"/>
      <c r="X605" s="196"/>
      <c r="Y605" s="196"/>
      <c r="Z605" s="196"/>
      <c r="AA605" s="196"/>
      <c r="AB605" s="196"/>
      <c r="AC605" s="196"/>
      <c r="AD605" s="196"/>
      <c r="AE605" s="196"/>
      <c r="AF605" s="196"/>
      <c r="AG605" s="196"/>
      <c r="AH605" s="196"/>
    </row>
    <row r="606">
      <c r="A606" s="196"/>
      <c r="B606" s="196"/>
      <c r="C606" s="196"/>
      <c r="D606" s="196"/>
      <c r="E606" s="196"/>
      <c r="F606" s="196"/>
      <c r="G606" s="196"/>
      <c r="H606" s="196"/>
      <c r="I606" s="139"/>
      <c r="J606" s="196"/>
      <c r="K606" s="196"/>
      <c r="L606" s="139"/>
      <c r="M606" s="196"/>
      <c r="N606" s="196"/>
      <c r="O606" s="196"/>
      <c r="P606" s="196"/>
      <c r="Q606" s="196"/>
      <c r="R606" s="196"/>
      <c r="S606" s="196"/>
      <c r="T606" s="196"/>
      <c r="U606" s="196"/>
      <c r="V606" s="196"/>
      <c r="W606" s="196"/>
      <c r="X606" s="196"/>
      <c r="Y606" s="196"/>
      <c r="Z606" s="196"/>
      <c r="AA606" s="196"/>
      <c r="AB606" s="196"/>
      <c r="AC606" s="196"/>
      <c r="AD606" s="196"/>
      <c r="AE606" s="196"/>
      <c r="AF606" s="196"/>
      <c r="AG606" s="196"/>
      <c r="AH606" s="196"/>
    </row>
    <row r="607">
      <c r="A607" s="196"/>
      <c r="B607" s="196"/>
      <c r="C607" s="196"/>
      <c r="D607" s="196"/>
      <c r="E607" s="196"/>
      <c r="F607" s="196"/>
      <c r="G607" s="196"/>
      <c r="H607" s="196"/>
      <c r="I607" s="139"/>
      <c r="J607" s="196"/>
      <c r="K607" s="196"/>
      <c r="L607" s="139"/>
      <c r="M607" s="196"/>
      <c r="N607" s="196"/>
      <c r="O607" s="196"/>
      <c r="P607" s="196"/>
      <c r="Q607" s="196"/>
      <c r="R607" s="196"/>
      <c r="S607" s="196"/>
      <c r="T607" s="196"/>
      <c r="U607" s="196"/>
      <c r="V607" s="196"/>
      <c r="W607" s="196"/>
      <c r="X607" s="196"/>
      <c r="Y607" s="196"/>
      <c r="Z607" s="196"/>
      <c r="AA607" s="196"/>
      <c r="AB607" s="196"/>
      <c r="AC607" s="196"/>
      <c r="AD607" s="196"/>
      <c r="AE607" s="196"/>
      <c r="AF607" s="196"/>
      <c r="AG607" s="196"/>
      <c r="AH607" s="196"/>
    </row>
    <row r="608">
      <c r="A608" s="196"/>
      <c r="B608" s="196"/>
      <c r="C608" s="196"/>
      <c r="D608" s="196"/>
      <c r="E608" s="196"/>
      <c r="F608" s="196"/>
      <c r="G608" s="196"/>
      <c r="H608" s="196"/>
      <c r="I608" s="139"/>
      <c r="J608" s="196"/>
      <c r="K608" s="196"/>
      <c r="L608" s="139"/>
      <c r="M608" s="196"/>
      <c r="N608" s="196"/>
      <c r="O608" s="196"/>
      <c r="P608" s="196"/>
      <c r="Q608" s="196"/>
      <c r="R608" s="196"/>
      <c r="S608" s="196"/>
      <c r="T608" s="196"/>
      <c r="U608" s="196"/>
      <c r="V608" s="196"/>
      <c r="W608" s="196"/>
      <c r="X608" s="196"/>
      <c r="Y608" s="196"/>
      <c r="Z608" s="196"/>
      <c r="AA608" s="196"/>
      <c r="AB608" s="196"/>
      <c r="AC608" s="196"/>
      <c r="AD608" s="196"/>
      <c r="AE608" s="196"/>
      <c r="AF608" s="196"/>
      <c r="AG608" s="196"/>
      <c r="AH608" s="196"/>
    </row>
    <row r="609">
      <c r="A609" s="196"/>
      <c r="B609" s="196"/>
      <c r="C609" s="196"/>
      <c r="D609" s="196"/>
      <c r="E609" s="196"/>
      <c r="F609" s="196"/>
      <c r="G609" s="196"/>
      <c r="H609" s="196"/>
      <c r="I609" s="139"/>
      <c r="J609" s="196"/>
      <c r="K609" s="196"/>
      <c r="L609" s="139"/>
      <c r="M609" s="196"/>
      <c r="N609" s="196"/>
      <c r="O609" s="196"/>
      <c r="P609" s="196"/>
      <c r="Q609" s="196"/>
      <c r="R609" s="196"/>
      <c r="S609" s="196"/>
      <c r="T609" s="196"/>
      <c r="U609" s="196"/>
      <c r="V609" s="196"/>
      <c r="W609" s="196"/>
      <c r="X609" s="196"/>
      <c r="Y609" s="196"/>
      <c r="Z609" s="196"/>
      <c r="AA609" s="196"/>
      <c r="AB609" s="196"/>
      <c r="AC609" s="196"/>
      <c r="AD609" s="196"/>
      <c r="AE609" s="196"/>
      <c r="AF609" s="196"/>
      <c r="AG609" s="196"/>
      <c r="AH609" s="196"/>
    </row>
    <row r="610">
      <c r="A610" s="196"/>
      <c r="B610" s="196"/>
      <c r="C610" s="196"/>
      <c r="D610" s="196"/>
      <c r="E610" s="196"/>
      <c r="F610" s="196"/>
      <c r="G610" s="196"/>
      <c r="H610" s="196"/>
      <c r="I610" s="139"/>
      <c r="J610" s="196"/>
      <c r="K610" s="196"/>
      <c r="L610" s="139"/>
      <c r="M610" s="196"/>
      <c r="N610" s="196"/>
      <c r="O610" s="196"/>
      <c r="P610" s="196"/>
      <c r="Q610" s="196"/>
      <c r="R610" s="196"/>
      <c r="S610" s="196"/>
      <c r="T610" s="196"/>
      <c r="U610" s="196"/>
      <c r="V610" s="196"/>
      <c r="W610" s="196"/>
      <c r="X610" s="196"/>
      <c r="Y610" s="196"/>
      <c r="Z610" s="196"/>
      <c r="AA610" s="196"/>
      <c r="AB610" s="196"/>
      <c r="AC610" s="196"/>
      <c r="AD610" s="196"/>
      <c r="AE610" s="196"/>
      <c r="AF610" s="196"/>
      <c r="AG610" s="196"/>
      <c r="AH610" s="196"/>
    </row>
    <row r="611">
      <c r="A611" s="196"/>
      <c r="B611" s="196"/>
      <c r="C611" s="196"/>
      <c r="D611" s="196"/>
      <c r="E611" s="196"/>
      <c r="F611" s="196"/>
      <c r="G611" s="196"/>
      <c r="H611" s="196"/>
      <c r="I611" s="139"/>
      <c r="J611" s="196"/>
      <c r="K611" s="196"/>
      <c r="L611" s="139"/>
      <c r="M611" s="196"/>
      <c r="N611" s="196"/>
      <c r="O611" s="196"/>
      <c r="P611" s="196"/>
      <c r="Q611" s="196"/>
      <c r="R611" s="196"/>
      <c r="S611" s="196"/>
      <c r="T611" s="196"/>
      <c r="U611" s="196"/>
      <c r="V611" s="196"/>
      <c r="W611" s="196"/>
      <c r="X611" s="196"/>
      <c r="Y611" s="196"/>
      <c r="Z611" s="196"/>
      <c r="AA611" s="196"/>
      <c r="AB611" s="196"/>
      <c r="AC611" s="196"/>
      <c r="AD611" s="196"/>
      <c r="AE611" s="196"/>
      <c r="AF611" s="196"/>
      <c r="AG611" s="196"/>
      <c r="AH611" s="196"/>
    </row>
    <row r="612">
      <c r="A612" s="196"/>
      <c r="B612" s="196"/>
      <c r="C612" s="196"/>
      <c r="D612" s="196"/>
      <c r="E612" s="196"/>
      <c r="F612" s="196"/>
      <c r="G612" s="196"/>
      <c r="H612" s="196"/>
      <c r="I612" s="139"/>
      <c r="J612" s="196"/>
      <c r="K612" s="196"/>
      <c r="L612" s="139"/>
      <c r="M612" s="196"/>
      <c r="N612" s="196"/>
      <c r="O612" s="196"/>
      <c r="P612" s="196"/>
      <c r="Q612" s="196"/>
      <c r="R612" s="196"/>
      <c r="S612" s="196"/>
      <c r="T612" s="196"/>
      <c r="U612" s="196"/>
      <c r="V612" s="196"/>
      <c r="W612" s="196"/>
      <c r="X612" s="196"/>
      <c r="Y612" s="196"/>
      <c r="Z612" s="196"/>
      <c r="AA612" s="196"/>
      <c r="AB612" s="196"/>
      <c r="AC612" s="196"/>
      <c r="AD612" s="196"/>
      <c r="AE612" s="196"/>
      <c r="AF612" s="196"/>
      <c r="AG612" s="196"/>
      <c r="AH612" s="196"/>
    </row>
    <row r="613">
      <c r="A613" s="196"/>
      <c r="B613" s="196"/>
      <c r="C613" s="196"/>
      <c r="D613" s="196"/>
      <c r="E613" s="196"/>
      <c r="F613" s="196"/>
      <c r="G613" s="196"/>
      <c r="H613" s="196"/>
      <c r="I613" s="139"/>
      <c r="J613" s="196"/>
      <c r="K613" s="196"/>
      <c r="L613" s="139"/>
      <c r="M613" s="196"/>
      <c r="N613" s="196"/>
      <c r="O613" s="196"/>
      <c r="P613" s="196"/>
      <c r="Q613" s="196"/>
      <c r="R613" s="196"/>
      <c r="S613" s="196"/>
      <c r="T613" s="196"/>
      <c r="U613" s="196"/>
      <c r="V613" s="196"/>
      <c r="W613" s="196"/>
      <c r="X613" s="196"/>
      <c r="Y613" s="196"/>
      <c r="Z613" s="196"/>
      <c r="AA613" s="196"/>
      <c r="AB613" s="196"/>
      <c r="AC613" s="196"/>
      <c r="AD613" s="196"/>
      <c r="AE613" s="196"/>
      <c r="AF613" s="196"/>
      <c r="AG613" s="196"/>
      <c r="AH613" s="196"/>
    </row>
    <row r="614">
      <c r="A614" s="196"/>
      <c r="B614" s="196"/>
      <c r="C614" s="196"/>
      <c r="D614" s="196"/>
      <c r="E614" s="196"/>
      <c r="F614" s="196"/>
      <c r="G614" s="196"/>
      <c r="H614" s="196"/>
      <c r="I614" s="139"/>
      <c r="J614" s="196"/>
      <c r="K614" s="196"/>
      <c r="L614" s="139"/>
      <c r="M614" s="196"/>
      <c r="N614" s="196"/>
      <c r="O614" s="196"/>
      <c r="P614" s="196"/>
      <c r="Q614" s="196"/>
      <c r="R614" s="196"/>
      <c r="S614" s="196"/>
      <c r="T614" s="196"/>
      <c r="U614" s="196"/>
      <c r="V614" s="196"/>
      <c r="W614" s="196"/>
      <c r="X614" s="196"/>
      <c r="Y614" s="196"/>
      <c r="Z614" s="196"/>
      <c r="AA614" s="196"/>
      <c r="AB614" s="196"/>
      <c r="AC614" s="196"/>
      <c r="AD614" s="196"/>
      <c r="AE614" s="196"/>
      <c r="AF614" s="196"/>
      <c r="AG614" s="196"/>
      <c r="AH614" s="196"/>
    </row>
    <row r="615">
      <c r="A615" s="196"/>
      <c r="B615" s="196"/>
      <c r="C615" s="196"/>
      <c r="D615" s="196"/>
      <c r="E615" s="196"/>
      <c r="F615" s="196"/>
      <c r="G615" s="196"/>
      <c r="H615" s="196"/>
      <c r="I615" s="139"/>
      <c r="J615" s="196"/>
      <c r="K615" s="196"/>
      <c r="L615" s="139"/>
      <c r="M615" s="196"/>
      <c r="N615" s="196"/>
      <c r="O615" s="196"/>
      <c r="P615" s="196"/>
      <c r="Q615" s="196"/>
      <c r="R615" s="196"/>
      <c r="S615" s="196"/>
      <c r="T615" s="196"/>
      <c r="U615" s="196"/>
      <c r="V615" s="196"/>
      <c r="W615" s="196"/>
      <c r="X615" s="196"/>
      <c r="Y615" s="196"/>
      <c r="Z615" s="196"/>
      <c r="AA615" s="196"/>
      <c r="AB615" s="196"/>
      <c r="AC615" s="196"/>
      <c r="AD615" s="196"/>
      <c r="AE615" s="196"/>
      <c r="AF615" s="196"/>
      <c r="AG615" s="196"/>
      <c r="AH615" s="196"/>
    </row>
    <row r="616">
      <c r="A616" s="196"/>
      <c r="B616" s="196"/>
      <c r="C616" s="196"/>
      <c r="D616" s="196"/>
      <c r="E616" s="196"/>
      <c r="F616" s="196"/>
      <c r="G616" s="196"/>
      <c r="H616" s="196"/>
      <c r="I616" s="139"/>
      <c r="J616" s="196"/>
      <c r="K616" s="196"/>
      <c r="L616" s="139"/>
      <c r="M616" s="196"/>
      <c r="N616" s="196"/>
      <c r="O616" s="196"/>
      <c r="P616" s="196"/>
      <c r="Q616" s="196"/>
      <c r="R616" s="196"/>
      <c r="S616" s="196"/>
      <c r="T616" s="196"/>
      <c r="U616" s="196"/>
      <c r="V616" s="196"/>
      <c r="W616" s="196"/>
      <c r="X616" s="196"/>
      <c r="Y616" s="196"/>
      <c r="Z616" s="196"/>
      <c r="AA616" s="196"/>
      <c r="AB616" s="196"/>
      <c r="AC616" s="196"/>
      <c r="AD616" s="196"/>
      <c r="AE616" s="196"/>
      <c r="AF616" s="196"/>
      <c r="AG616" s="196"/>
      <c r="AH616" s="196"/>
    </row>
    <row r="617">
      <c r="A617" s="196"/>
      <c r="B617" s="196"/>
      <c r="C617" s="196"/>
      <c r="D617" s="196"/>
      <c r="E617" s="196"/>
      <c r="F617" s="196"/>
      <c r="G617" s="196"/>
      <c r="H617" s="196"/>
      <c r="I617" s="139"/>
      <c r="J617" s="196"/>
      <c r="K617" s="196"/>
      <c r="L617" s="139"/>
      <c r="M617" s="196"/>
      <c r="N617" s="196"/>
      <c r="O617" s="196"/>
      <c r="P617" s="196"/>
      <c r="Q617" s="196"/>
      <c r="R617" s="196"/>
      <c r="S617" s="196"/>
      <c r="T617" s="196"/>
      <c r="U617" s="196"/>
      <c r="V617" s="196"/>
      <c r="W617" s="196"/>
      <c r="X617" s="196"/>
      <c r="Y617" s="196"/>
      <c r="Z617" s="196"/>
      <c r="AA617" s="196"/>
      <c r="AB617" s="196"/>
      <c r="AC617" s="196"/>
      <c r="AD617" s="196"/>
      <c r="AE617" s="196"/>
      <c r="AF617" s="196"/>
      <c r="AG617" s="196"/>
      <c r="AH617" s="196"/>
    </row>
    <row r="618">
      <c r="A618" s="196"/>
      <c r="B618" s="196"/>
      <c r="C618" s="196"/>
      <c r="D618" s="196"/>
      <c r="E618" s="196"/>
      <c r="F618" s="196"/>
      <c r="G618" s="196"/>
      <c r="H618" s="196"/>
      <c r="I618" s="139"/>
      <c r="J618" s="196"/>
      <c r="K618" s="196"/>
      <c r="L618" s="139"/>
      <c r="M618" s="196"/>
      <c r="N618" s="196"/>
      <c r="O618" s="196"/>
      <c r="P618" s="196"/>
      <c r="Q618" s="196"/>
      <c r="R618" s="196"/>
      <c r="S618" s="196"/>
      <c r="T618" s="196"/>
      <c r="U618" s="196"/>
      <c r="V618" s="196"/>
      <c r="W618" s="196"/>
      <c r="X618" s="196"/>
      <c r="Y618" s="196"/>
      <c r="Z618" s="196"/>
      <c r="AA618" s="196"/>
      <c r="AB618" s="196"/>
      <c r="AC618" s="196"/>
      <c r="AD618" s="196"/>
      <c r="AE618" s="196"/>
      <c r="AF618" s="196"/>
      <c r="AG618" s="196"/>
      <c r="AH618" s="196"/>
    </row>
    <row r="619">
      <c r="A619" s="196"/>
      <c r="B619" s="196"/>
      <c r="C619" s="196"/>
      <c r="D619" s="196"/>
      <c r="E619" s="196"/>
      <c r="F619" s="196"/>
      <c r="G619" s="196"/>
      <c r="H619" s="196"/>
      <c r="I619" s="139"/>
      <c r="J619" s="196"/>
      <c r="K619" s="196"/>
      <c r="L619" s="139"/>
      <c r="M619" s="196"/>
      <c r="N619" s="196"/>
      <c r="O619" s="196"/>
      <c r="P619" s="196"/>
      <c r="Q619" s="196"/>
      <c r="R619" s="196"/>
      <c r="S619" s="196"/>
      <c r="T619" s="196"/>
      <c r="U619" s="196"/>
      <c r="V619" s="196"/>
      <c r="W619" s="196"/>
      <c r="X619" s="196"/>
      <c r="Y619" s="196"/>
      <c r="Z619" s="196"/>
      <c r="AA619" s="196"/>
      <c r="AB619" s="196"/>
      <c r="AC619" s="196"/>
      <c r="AD619" s="196"/>
      <c r="AE619" s="196"/>
      <c r="AF619" s="196"/>
      <c r="AG619" s="196"/>
      <c r="AH619" s="196"/>
    </row>
    <row r="620">
      <c r="A620" s="196"/>
      <c r="B620" s="196"/>
      <c r="C620" s="196"/>
      <c r="D620" s="196"/>
      <c r="E620" s="196"/>
      <c r="F620" s="196"/>
      <c r="G620" s="196"/>
      <c r="H620" s="196"/>
      <c r="I620" s="139"/>
      <c r="J620" s="196"/>
      <c r="K620" s="196"/>
      <c r="L620" s="139"/>
      <c r="M620" s="196"/>
      <c r="N620" s="196"/>
      <c r="O620" s="196"/>
      <c r="P620" s="196"/>
      <c r="Q620" s="196"/>
      <c r="R620" s="196"/>
      <c r="S620" s="196"/>
      <c r="T620" s="196"/>
      <c r="U620" s="196"/>
      <c r="V620" s="196"/>
      <c r="W620" s="196"/>
      <c r="X620" s="196"/>
      <c r="Y620" s="196"/>
      <c r="Z620" s="196"/>
      <c r="AA620" s="196"/>
      <c r="AB620" s="196"/>
      <c r="AC620" s="196"/>
      <c r="AD620" s="196"/>
      <c r="AE620" s="196"/>
      <c r="AF620" s="196"/>
      <c r="AG620" s="196"/>
      <c r="AH620" s="196"/>
    </row>
    <row r="621">
      <c r="A621" s="196"/>
      <c r="B621" s="196"/>
      <c r="C621" s="196"/>
      <c r="D621" s="196"/>
      <c r="E621" s="196"/>
      <c r="F621" s="196"/>
      <c r="G621" s="196"/>
      <c r="H621" s="196"/>
      <c r="I621" s="139"/>
      <c r="J621" s="196"/>
      <c r="K621" s="196"/>
      <c r="L621" s="139"/>
      <c r="M621" s="196"/>
      <c r="N621" s="196"/>
      <c r="O621" s="196"/>
      <c r="P621" s="196"/>
      <c r="Q621" s="196"/>
      <c r="R621" s="196"/>
      <c r="S621" s="196"/>
      <c r="T621" s="196"/>
      <c r="U621" s="196"/>
      <c r="V621" s="196"/>
      <c r="W621" s="196"/>
      <c r="X621" s="196"/>
      <c r="Y621" s="196"/>
      <c r="Z621" s="196"/>
      <c r="AA621" s="196"/>
      <c r="AB621" s="196"/>
      <c r="AC621" s="196"/>
      <c r="AD621" s="196"/>
      <c r="AE621" s="196"/>
      <c r="AF621" s="196"/>
      <c r="AG621" s="196"/>
      <c r="AH621" s="196"/>
    </row>
    <row r="622">
      <c r="A622" s="196"/>
      <c r="B622" s="196"/>
      <c r="C622" s="196"/>
      <c r="D622" s="196"/>
      <c r="E622" s="196"/>
      <c r="F622" s="196"/>
      <c r="G622" s="196"/>
      <c r="H622" s="196"/>
      <c r="I622" s="139"/>
      <c r="J622" s="196"/>
      <c r="K622" s="196"/>
      <c r="L622" s="139"/>
      <c r="M622" s="196"/>
      <c r="N622" s="196"/>
      <c r="O622" s="196"/>
      <c r="P622" s="196"/>
      <c r="Q622" s="196"/>
      <c r="R622" s="196"/>
      <c r="S622" s="196"/>
      <c r="T622" s="196"/>
      <c r="U622" s="196"/>
      <c r="V622" s="196"/>
      <c r="W622" s="196"/>
      <c r="X622" s="196"/>
      <c r="Y622" s="196"/>
      <c r="Z622" s="196"/>
      <c r="AA622" s="196"/>
      <c r="AB622" s="196"/>
      <c r="AC622" s="196"/>
      <c r="AD622" s="196"/>
      <c r="AE622" s="196"/>
      <c r="AF622" s="196"/>
      <c r="AG622" s="196"/>
      <c r="AH622" s="196"/>
    </row>
    <row r="623">
      <c r="A623" s="196"/>
      <c r="B623" s="196"/>
      <c r="C623" s="196"/>
      <c r="D623" s="196"/>
      <c r="E623" s="196"/>
      <c r="F623" s="196"/>
      <c r="G623" s="196"/>
      <c r="H623" s="196"/>
      <c r="I623" s="139"/>
      <c r="J623" s="196"/>
      <c r="K623" s="196"/>
      <c r="L623" s="139"/>
      <c r="M623" s="196"/>
      <c r="N623" s="196"/>
      <c r="O623" s="196"/>
      <c r="P623" s="196"/>
      <c r="Q623" s="196"/>
      <c r="R623" s="196"/>
      <c r="S623" s="196"/>
      <c r="T623" s="196"/>
      <c r="U623" s="196"/>
      <c r="V623" s="196"/>
      <c r="W623" s="196"/>
      <c r="X623" s="196"/>
      <c r="Y623" s="196"/>
      <c r="Z623" s="196"/>
      <c r="AA623" s="196"/>
      <c r="AB623" s="196"/>
      <c r="AC623" s="196"/>
      <c r="AD623" s="196"/>
      <c r="AE623" s="196"/>
      <c r="AF623" s="196"/>
      <c r="AG623" s="196"/>
      <c r="AH623" s="196"/>
    </row>
    <row r="624">
      <c r="A624" s="196"/>
      <c r="B624" s="196"/>
      <c r="C624" s="196"/>
      <c r="D624" s="196"/>
      <c r="E624" s="196"/>
      <c r="F624" s="196"/>
      <c r="G624" s="196"/>
      <c r="H624" s="196"/>
      <c r="I624" s="139"/>
      <c r="J624" s="196"/>
      <c r="K624" s="196"/>
      <c r="L624" s="139"/>
      <c r="M624" s="196"/>
      <c r="N624" s="196"/>
      <c r="O624" s="196"/>
      <c r="P624" s="196"/>
      <c r="Q624" s="196"/>
      <c r="R624" s="196"/>
      <c r="S624" s="196"/>
      <c r="T624" s="196"/>
      <c r="U624" s="196"/>
      <c r="V624" s="196"/>
      <c r="W624" s="196"/>
      <c r="X624" s="196"/>
      <c r="Y624" s="196"/>
      <c r="Z624" s="196"/>
      <c r="AA624" s="196"/>
      <c r="AB624" s="196"/>
      <c r="AC624" s="196"/>
      <c r="AD624" s="196"/>
      <c r="AE624" s="196"/>
      <c r="AF624" s="196"/>
      <c r="AG624" s="196"/>
      <c r="AH624" s="196"/>
    </row>
    <row r="625">
      <c r="A625" s="196"/>
      <c r="B625" s="196"/>
      <c r="C625" s="196"/>
      <c r="D625" s="196"/>
      <c r="E625" s="196"/>
      <c r="F625" s="196"/>
      <c r="G625" s="196"/>
      <c r="H625" s="196"/>
      <c r="I625" s="139"/>
      <c r="J625" s="196"/>
      <c r="K625" s="196"/>
      <c r="L625" s="139"/>
      <c r="M625" s="196"/>
      <c r="N625" s="196"/>
      <c r="O625" s="196"/>
      <c r="P625" s="196"/>
      <c r="Q625" s="196"/>
      <c r="R625" s="196"/>
      <c r="S625" s="196"/>
      <c r="T625" s="196"/>
      <c r="U625" s="196"/>
      <c r="V625" s="196"/>
      <c r="W625" s="196"/>
      <c r="X625" s="196"/>
      <c r="Y625" s="196"/>
      <c r="Z625" s="196"/>
      <c r="AA625" s="196"/>
      <c r="AB625" s="196"/>
      <c r="AC625" s="196"/>
      <c r="AD625" s="196"/>
      <c r="AE625" s="196"/>
      <c r="AF625" s="196"/>
      <c r="AG625" s="196"/>
      <c r="AH625" s="196"/>
    </row>
    <row r="626">
      <c r="A626" s="196"/>
      <c r="B626" s="196"/>
      <c r="C626" s="196"/>
      <c r="D626" s="196"/>
      <c r="E626" s="196"/>
      <c r="F626" s="196"/>
      <c r="G626" s="196"/>
      <c r="H626" s="196"/>
      <c r="I626" s="139"/>
      <c r="J626" s="196"/>
      <c r="K626" s="196"/>
      <c r="L626" s="139"/>
      <c r="M626" s="196"/>
      <c r="N626" s="196"/>
      <c r="O626" s="196"/>
      <c r="P626" s="196"/>
      <c r="Q626" s="196"/>
      <c r="R626" s="196"/>
      <c r="S626" s="196"/>
      <c r="T626" s="196"/>
      <c r="U626" s="196"/>
      <c r="V626" s="196"/>
      <c r="W626" s="196"/>
      <c r="X626" s="196"/>
      <c r="Y626" s="196"/>
      <c r="Z626" s="196"/>
      <c r="AA626" s="196"/>
      <c r="AB626" s="196"/>
      <c r="AC626" s="196"/>
      <c r="AD626" s="196"/>
      <c r="AE626" s="196"/>
      <c r="AF626" s="196"/>
      <c r="AG626" s="196"/>
      <c r="AH626" s="196"/>
    </row>
    <row r="627">
      <c r="A627" s="196"/>
      <c r="B627" s="196"/>
      <c r="C627" s="196"/>
      <c r="D627" s="196"/>
      <c r="E627" s="196"/>
      <c r="F627" s="196"/>
      <c r="G627" s="196"/>
      <c r="H627" s="196"/>
      <c r="I627" s="139"/>
      <c r="J627" s="196"/>
      <c r="K627" s="196"/>
      <c r="L627" s="139"/>
      <c r="M627" s="196"/>
      <c r="N627" s="196"/>
      <c r="O627" s="196"/>
      <c r="P627" s="196"/>
      <c r="Q627" s="196"/>
      <c r="R627" s="196"/>
      <c r="S627" s="196"/>
      <c r="T627" s="196"/>
      <c r="U627" s="196"/>
      <c r="V627" s="196"/>
      <c r="W627" s="196"/>
      <c r="X627" s="196"/>
      <c r="Y627" s="196"/>
      <c r="Z627" s="196"/>
      <c r="AA627" s="196"/>
      <c r="AB627" s="196"/>
      <c r="AC627" s="196"/>
      <c r="AD627" s="196"/>
      <c r="AE627" s="196"/>
      <c r="AF627" s="196"/>
      <c r="AG627" s="196"/>
      <c r="AH627" s="196"/>
    </row>
    <row r="628">
      <c r="A628" s="196"/>
      <c r="B628" s="196"/>
      <c r="C628" s="196"/>
      <c r="D628" s="196"/>
      <c r="E628" s="196"/>
      <c r="F628" s="196"/>
      <c r="G628" s="196"/>
      <c r="H628" s="196"/>
      <c r="I628" s="139"/>
      <c r="J628" s="196"/>
      <c r="K628" s="196"/>
      <c r="L628" s="139"/>
      <c r="M628" s="196"/>
      <c r="N628" s="196"/>
      <c r="O628" s="196"/>
      <c r="P628" s="196"/>
      <c r="Q628" s="196"/>
      <c r="R628" s="196"/>
      <c r="S628" s="196"/>
      <c r="T628" s="196"/>
      <c r="U628" s="196"/>
      <c r="V628" s="196"/>
      <c r="W628" s="196"/>
      <c r="X628" s="196"/>
      <c r="Y628" s="196"/>
      <c r="Z628" s="196"/>
      <c r="AA628" s="196"/>
      <c r="AB628" s="196"/>
      <c r="AC628" s="196"/>
      <c r="AD628" s="196"/>
      <c r="AE628" s="196"/>
      <c r="AF628" s="196"/>
      <c r="AG628" s="196"/>
      <c r="AH628" s="196"/>
    </row>
    <row r="629">
      <c r="A629" s="196"/>
      <c r="B629" s="196"/>
      <c r="C629" s="196"/>
      <c r="D629" s="196"/>
      <c r="E629" s="196"/>
      <c r="F629" s="196"/>
      <c r="G629" s="196"/>
      <c r="H629" s="196"/>
      <c r="I629" s="139"/>
      <c r="J629" s="196"/>
      <c r="K629" s="196"/>
      <c r="L629" s="139"/>
      <c r="M629" s="196"/>
      <c r="N629" s="196"/>
      <c r="O629" s="196"/>
      <c r="P629" s="196"/>
      <c r="Q629" s="196"/>
      <c r="R629" s="196"/>
      <c r="S629" s="196"/>
      <c r="T629" s="196"/>
      <c r="U629" s="196"/>
      <c r="V629" s="196"/>
      <c r="W629" s="196"/>
      <c r="X629" s="196"/>
      <c r="Y629" s="196"/>
      <c r="Z629" s="196"/>
      <c r="AA629" s="196"/>
      <c r="AB629" s="196"/>
      <c r="AC629" s="196"/>
      <c r="AD629" s="196"/>
      <c r="AE629" s="196"/>
      <c r="AF629" s="196"/>
      <c r="AG629" s="196"/>
      <c r="AH629" s="196"/>
    </row>
    <row r="630">
      <c r="A630" s="196"/>
      <c r="B630" s="196"/>
      <c r="C630" s="196"/>
      <c r="D630" s="196"/>
      <c r="E630" s="196"/>
      <c r="F630" s="196"/>
      <c r="G630" s="196"/>
      <c r="H630" s="196"/>
      <c r="I630" s="139"/>
      <c r="J630" s="196"/>
      <c r="K630" s="196"/>
      <c r="L630" s="139"/>
      <c r="M630" s="196"/>
      <c r="N630" s="196"/>
      <c r="O630" s="196"/>
      <c r="P630" s="196"/>
      <c r="Q630" s="196"/>
      <c r="R630" s="196"/>
      <c r="S630" s="196"/>
      <c r="T630" s="196"/>
      <c r="U630" s="196"/>
      <c r="V630" s="196"/>
      <c r="W630" s="196"/>
      <c r="X630" s="196"/>
      <c r="Y630" s="196"/>
      <c r="Z630" s="196"/>
      <c r="AA630" s="196"/>
      <c r="AB630" s="196"/>
      <c r="AC630" s="196"/>
      <c r="AD630" s="196"/>
      <c r="AE630" s="196"/>
      <c r="AF630" s="196"/>
      <c r="AG630" s="196"/>
      <c r="AH630" s="196"/>
    </row>
    <row r="631">
      <c r="A631" s="196"/>
      <c r="B631" s="196"/>
      <c r="C631" s="196"/>
      <c r="D631" s="196"/>
      <c r="E631" s="196"/>
      <c r="F631" s="196"/>
      <c r="G631" s="196"/>
      <c r="H631" s="196"/>
      <c r="I631" s="139"/>
      <c r="J631" s="196"/>
      <c r="K631" s="196"/>
      <c r="L631" s="139"/>
      <c r="M631" s="196"/>
      <c r="N631" s="196"/>
      <c r="O631" s="196"/>
      <c r="P631" s="196"/>
      <c r="Q631" s="196"/>
      <c r="R631" s="196"/>
      <c r="S631" s="196"/>
      <c r="T631" s="196"/>
      <c r="U631" s="196"/>
      <c r="V631" s="196"/>
      <c r="W631" s="196"/>
      <c r="X631" s="196"/>
      <c r="Y631" s="196"/>
      <c r="Z631" s="196"/>
      <c r="AA631" s="196"/>
      <c r="AB631" s="196"/>
      <c r="AC631" s="196"/>
      <c r="AD631" s="196"/>
      <c r="AE631" s="196"/>
      <c r="AF631" s="196"/>
      <c r="AG631" s="196"/>
      <c r="AH631" s="196"/>
    </row>
    <row r="632">
      <c r="A632" s="196"/>
      <c r="B632" s="196"/>
      <c r="C632" s="196"/>
      <c r="D632" s="196"/>
      <c r="E632" s="196"/>
      <c r="F632" s="196"/>
      <c r="G632" s="196"/>
      <c r="H632" s="196"/>
      <c r="I632" s="139"/>
      <c r="J632" s="196"/>
      <c r="K632" s="196"/>
      <c r="L632" s="139"/>
      <c r="M632" s="196"/>
      <c r="N632" s="196"/>
      <c r="O632" s="196"/>
      <c r="P632" s="196"/>
      <c r="Q632" s="196"/>
      <c r="R632" s="196"/>
      <c r="S632" s="196"/>
      <c r="T632" s="196"/>
      <c r="U632" s="196"/>
      <c r="V632" s="196"/>
      <c r="W632" s="196"/>
      <c r="X632" s="196"/>
      <c r="Y632" s="196"/>
      <c r="Z632" s="196"/>
      <c r="AA632" s="196"/>
      <c r="AB632" s="196"/>
      <c r="AC632" s="196"/>
      <c r="AD632" s="196"/>
      <c r="AE632" s="196"/>
      <c r="AF632" s="196"/>
      <c r="AG632" s="196"/>
      <c r="AH632" s="196"/>
    </row>
    <row r="633">
      <c r="A633" s="196"/>
      <c r="B633" s="196"/>
      <c r="C633" s="196"/>
      <c r="D633" s="196"/>
      <c r="E633" s="196"/>
      <c r="F633" s="196"/>
      <c r="G633" s="196"/>
      <c r="H633" s="196"/>
      <c r="I633" s="139"/>
      <c r="J633" s="196"/>
      <c r="K633" s="196"/>
      <c r="L633" s="139"/>
      <c r="M633" s="196"/>
      <c r="N633" s="196"/>
      <c r="O633" s="196"/>
      <c r="P633" s="196"/>
      <c r="Q633" s="196"/>
      <c r="R633" s="196"/>
      <c r="S633" s="196"/>
      <c r="T633" s="196"/>
      <c r="U633" s="196"/>
      <c r="V633" s="196"/>
      <c r="W633" s="196"/>
      <c r="X633" s="196"/>
      <c r="Y633" s="196"/>
      <c r="Z633" s="196"/>
      <c r="AA633" s="196"/>
      <c r="AB633" s="196"/>
      <c r="AC633" s="196"/>
      <c r="AD633" s="196"/>
      <c r="AE633" s="196"/>
      <c r="AF633" s="196"/>
      <c r="AG633" s="196"/>
      <c r="AH633" s="196"/>
    </row>
    <row r="634">
      <c r="A634" s="196"/>
      <c r="B634" s="196"/>
      <c r="C634" s="196"/>
      <c r="D634" s="196"/>
      <c r="E634" s="196"/>
      <c r="F634" s="196"/>
      <c r="G634" s="196"/>
      <c r="H634" s="196"/>
      <c r="I634" s="139"/>
      <c r="J634" s="196"/>
      <c r="K634" s="196"/>
      <c r="L634" s="139"/>
      <c r="M634" s="196"/>
      <c r="N634" s="196"/>
      <c r="O634" s="196"/>
      <c r="P634" s="196"/>
      <c r="Q634" s="196"/>
      <c r="R634" s="196"/>
      <c r="S634" s="196"/>
      <c r="T634" s="196"/>
      <c r="U634" s="196"/>
      <c r="V634" s="196"/>
      <c r="W634" s="196"/>
      <c r="X634" s="196"/>
      <c r="Y634" s="196"/>
      <c r="Z634" s="196"/>
      <c r="AA634" s="196"/>
      <c r="AB634" s="196"/>
      <c r="AC634" s="196"/>
      <c r="AD634" s="196"/>
      <c r="AE634" s="196"/>
      <c r="AF634" s="196"/>
      <c r="AG634" s="196"/>
      <c r="AH634" s="196"/>
    </row>
    <row r="635">
      <c r="A635" s="196"/>
      <c r="B635" s="196"/>
      <c r="C635" s="196"/>
      <c r="D635" s="196"/>
      <c r="E635" s="196"/>
      <c r="F635" s="196"/>
      <c r="G635" s="196"/>
      <c r="H635" s="196"/>
      <c r="I635" s="139"/>
      <c r="J635" s="196"/>
      <c r="K635" s="196"/>
      <c r="L635" s="139"/>
      <c r="M635" s="196"/>
      <c r="N635" s="196"/>
      <c r="O635" s="196"/>
      <c r="P635" s="196"/>
      <c r="Q635" s="196"/>
      <c r="R635" s="196"/>
      <c r="S635" s="196"/>
      <c r="T635" s="196"/>
      <c r="U635" s="196"/>
      <c r="V635" s="196"/>
      <c r="W635" s="196"/>
      <c r="X635" s="196"/>
      <c r="Y635" s="196"/>
      <c r="Z635" s="196"/>
      <c r="AA635" s="196"/>
      <c r="AB635" s="196"/>
      <c r="AC635" s="196"/>
      <c r="AD635" s="196"/>
      <c r="AE635" s="196"/>
      <c r="AF635" s="196"/>
      <c r="AG635" s="196"/>
      <c r="AH635" s="196"/>
    </row>
    <row r="636">
      <c r="A636" s="196"/>
      <c r="B636" s="196"/>
      <c r="C636" s="196"/>
      <c r="D636" s="196"/>
      <c r="E636" s="196"/>
      <c r="F636" s="196"/>
      <c r="G636" s="196"/>
      <c r="H636" s="196"/>
      <c r="I636" s="139"/>
      <c r="J636" s="196"/>
      <c r="K636" s="196"/>
      <c r="L636" s="139"/>
      <c r="M636" s="196"/>
      <c r="N636" s="196"/>
      <c r="O636" s="196"/>
      <c r="P636" s="196"/>
      <c r="Q636" s="196"/>
      <c r="R636" s="196"/>
      <c r="S636" s="196"/>
      <c r="T636" s="196"/>
      <c r="U636" s="196"/>
      <c r="V636" s="196"/>
      <c r="W636" s="196"/>
      <c r="X636" s="196"/>
      <c r="Y636" s="196"/>
      <c r="Z636" s="196"/>
      <c r="AA636" s="196"/>
      <c r="AB636" s="196"/>
      <c r="AC636" s="196"/>
      <c r="AD636" s="196"/>
      <c r="AE636" s="196"/>
      <c r="AF636" s="196"/>
      <c r="AG636" s="196"/>
      <c r="AH636" s="196"/>
    </row>
    <row r="637">
      <c r="A637" s="196"/>
      <c r="B637" s="196"/>
      <c r="C637" s="196"/>
      <c r="D637" s="196"/>
      <c r="E637" s="196"/>
      <c r="F637" s="196"/>
      <c r="G637" s="196"/>
      <c r="H637" s="196"/>
      <c r="I637" s="139"/>
      <c r="J637" s="196"/>
      <c r="K637" s="196"/>
      <c r="L637" s="139"/>
      <c r="M637" s="196"/>
      <c r="N637" s="196"/>
      <c r="O637" s="196"/>
      <c r="P637" s="196"/>
      <c r="Q637" s="196"/>
      <c r="R637" s="196"/>
      <c r="S637" s="196"/>
      <c r="T637" s="196"/>
      <c r="U637" s="196"/>
      <c r="V637" s="196"/>
      <c r="W637" s="196"/>
      <c r="X637" s="196"/>
      <c r="Y637" s="196"/>
      <c r="Z637" s="196"/>
      <c r="AA637" s="196"/>
      <c r="AB637" s="196"/>
      <c r="AC637" s="196"/>
      <c r="AD637" s="196"/>
      <c r="AE637" s="196"/>
      <c r="AF637" s="196"/>
      <c r="AG637" s="196"/>
      <c r="AH637" s="196"/>
    </row>
    <row r="638">
      <c r="A638" s="196"/>
      <c r="B638" s="196"/>
      <c r="C638" s="196"/>
      <c r="D638" s="196"/>
      <c r="E638" s="196"/>
      <c r="F638" s="196"/>
      <c r="G638" s="196"/>
      <c r="H638" s="196"/>
      <c r="I638" s="139"/>
      <c r="J638" s="196"/>
      <c r="K638" s="196"/>
      <c r="L638" s="139"/>
      <c r="M638" s="196"/>
      <c r="N638" s="196"/>
      <c r="O638" s="196"/>
      <c r="P638" s="196"/>
      <c r="Q638" s="196"/>
      <c r="R638" s="196"/>
      <c r="S638" s="196"/>
      <c r="T638" s="196"/>
      <c r="U638" s="196"/>
      <c r="V638" s="196"/>
      <c r="W638" s="196"/>
      <c r="X638" s="196"/>
      <c r="Y638" s="196"/>
      <c r="Z638" s="196"/>
      <c r="AA638" s="196"/>
      <c r="AB638" s="196"/>
      <c r="AC638" s="196"/>
      <c r="AD638" s="196"/>
      <c r="AE638" s="196"/>
      <c r="AF638" s="196"/>
      <c r="AG638" s="196"/>
      <c r="AH638" s="196"/>
    </row>
    <row r="639">
      <c r="A639" s="196"/>
      <c r="B639" s="196"/>
      <c r="C639" s="196"/>
      <c r="D639" s="196"/>
      <c r="E639" s="196"/>
      <c r="F639" s="196"/>
      <c r="G639" s="196"/>
      <c r="H639" s="196"/>
      <c r="I639" s="139"/>
      <c r="J639" s="196"/>
      <c r="K639" s="196"/>
      <c r="L639" s="139"/>
      <c r="M639" s="196"/>
      <c r="N639" s="196"/>
      <c r="O639" s="196"/>
      <c r="P639" s="196"/>
      <c r="Q639" s="196"/>
      <c r="R639" s="196"/>
      <c r="S639" s="196"/>
      <c r="T639" s="196"/>
      <c r="U639" s="196"/>
      <c r="V639" s="196"/>
      <c r="W639" s="196"/>
      <c r="X639" s="196"/>
      <c r="Y639" s="196"/>
      <c r="Z639" s="196"/>
      <c r="AA639" s="196"/>
      <c r="AB639" s="196"/>
      <c r="AC639" s="196"/>
      <c r="AD639" s="196"/>
      <c r="AE639" s="196"/>
      <c r="AF639" s="196"/>
      <c r="AG639" s="196"/>
      <c r="AH639" s="196"/>
    </row>
    <row r="640">
      <c r="A640" s="196"/>
      <c r="B640" s="196"/>
      <c r="C640" s="196"/>
      <c r="D640" s="196"/>
      <c r="E640" s="196"/>
      <c r="F640" s="196"/>
      <c r="G640" s="196"/>
      <c r="H640" s="196"/>
      <c r="I640" s="139"/>
      <c r="J640" s="196"/>
      <c r="K640" s="196"/>
      <c r="L640" s="139"/>
      <c r="M640" s="196"/>
      <c r="N640" s="196"/>
      <c r="O640" s="196"/>
      <c r="P640" s="196"/>
      <c r="Q640" s="196"/>
      <c r="R640" s="196"/>
      <c r="S640" s="196"/>
      <c r="T640" s="196"/>
      <c r="U640" s="196"/>
      <c r="V640" s="196"/>
      <c r="W640" s="196"/>
      <c r="X640" s="196"/>
      <c r="Y640" s="196"/>
      <c r="Z640" s="196"/>
      <c r="AA640" s="196"/>
      <c r="AB640" s="196"/>
      <c r="AC640" s="196"/>
      <c r="AD640" s="196"/>
      <c r="AE640" s="196"/>
      <c r="AF640" s="196"/>
      <c r="AG640" s="196"/>
      <c r="AH640" s="196"/>
    </row>
    <row r="641">
      <c r="A641" s="196"/>
      <c r="B641" s="196"/>
      <c r="C641" s="196"/>
      <c r="D641" s="196"/>
      <c r="E641" s="196"/>
      <c r="F641" s="196"/>
      <c r="G641" s="196"/>
      <c r="H641" s="196"/>
      <c r="I641" s="139"/>
      <c r="J641" s="196"/>
      <c r="K641" s="196"/>
      <c r="L641" s="139"/>
      <c r="M641" s="196"/>
      <c r="N641" s="196"/>
      <c r="O641" s="196"/>
      <c r="P641" s="196"/>
      <c r="Q641" s="196"/>
      <c r="R641" s="196"/>
      <c r="S641" s="196"/>
      <c r="T641" s="196"/>
      <c r="U641" s="196"/>
      <c r="V641" s="196"/>
      <c r="W641" s="196"/>
      <c r="X641" s="196"/>
      <c r="Y641" s="196"/>
      <c r="Z641" s="196"/>
      <c r="AA641" s="196"/>
      <c r="AB641" s="196"/>
      <c r="AC641" s="196"/>
      <c r="AD641" s="196"/>
      <c r="AE641" s="196"/>
      <c r="AF641" s="196"/>
      <c r="AG641" s="196"/>
      <c r="AH641" s="196"/>
    </row>
    <row r="642">
      <c r="A642" s="196"/>
      <c r="B642" s="196"/>
      <c r="C642" s="196"/>
      <c r="D642" s="196"/>
      <c r="E642" s="196"/>
      <c r="F642" s="196"/>
      <c r="G642" s="196"/>
      <c r="H642" s="196"/>
      <c r="I642" s="139"/>
      <c r="J642" s="196"/>
      <c r="K642" s="196"/>
      <c r="L642" s="139"/>
      <c r="M642" s="196"/>
      <c r="N642" s="196"/>
      <c r="O642" s="196"/>
      <c r="P642" s="196"/>
      <c r="Q642" s="196"/>
      <c r="R642" s="196"/>
      <c r="S642" s="196"/>
      <c r="T642" s="196"/>
      <c r="U642" s="196"/>
      <c r="V642" s="196"/>
      <c r="W642" s="196"/>
      <c r="X642" s="196"/>
      <c r="Y642" s="196"/>
      <c r="Z642" s="196"/>
      <c r="AA642" s="196"/>
      <c r="AB642" s="196"/>
      <c r="AC642" s="196"/>
      <c r="AD642" s="196"/>
      <c r="AE642" s="196"/>
      <c r="AF642" s="196"/>
      <c r="AG642" s="196"/>
      <c r="AH642" s="196"/>
    </row>
    <row r="643">
      <c r="A643" s="196"/>
      <c r="B643" s="196"/>
      <c r="C643" s="196"/>
      <c r="D643" s="196"/>
      <c r="E643" s="196"/>
      <c r="F643" s="196"/>
      <c r="G643" s="196"/>
      <c r="H643" s="196"/>
      <c r="I643" s="139"/>
      <c r="J643" s="196"/>
      <c r="K643" s="196"/>
      <c r="L643" s="139"/>
      <c r="M643" s="196"/>
      <c r="N643" s="196"/>
      <c r="O643" s="196"/>
      <c r="P643" s="196"/>
      <c r="Q643" s="196"/>
      <c r="R643" s="196"/>
      <c r="S643" s="196"/>
      <c r="T643" s="196"/>
      <c r="U643" s="196"/>
      <c r="V643" s="196"/>
      <c r="W643" s="196"/>
      <c r="X643" s="196"/>
      <c r="Y643" s="196"/>
      <c r="Z643" s="196"/>
      <c r="AA643" s="196"/>
      <c r="AB643" s="196"/>
      <c r="AC643" s="196"/>
      <c r="AD643" s="196"/>
      <c r="AE643" s="196"/>
      <c r="AF643" s="196"/>
      <c r="AG643" s="196"/>
      <c r="AH643" s="196"/>
    </row>
    <row r="644">
      <c r="A644" s="196"/>
      <c r="B644" s="196"/>
      <c r="C644" s="196"/>
      <c r="D644" s="196"/>
      <c r="E644" s="196"/>
      <c r="F644" s="196"/>
      <c r="G644" s="196"/>
      <c r="H644" s="196"/>
      <c r="I644" s="139"/>
      <c r="J644" s="196"/>
      <c r="K644" s="196"/>
      <c r="L644" s="139"/>
      <c r="M644" s="196"/>
      <c r="N644" s="196"/>
      <c r="O644" s="196"/>
      <c r="P644" s="196"/>
      <c r="Q644" s="196"/>
      <c r="R644" s="196"/>
      <c r="S644" s="196"/>
      <c r="T644" s="196"/>
      <c r="U644" s="196"/>
      <c r="V644" s="196"/>
      <c r="W644" s="196"/>
      <c r="X644" s="196"/>
      <c r="Y644" s="196"/>
      <c r="Z644" s="196"/>
      <c r="AA644" s="196"/>
      <c r="AB644" s="196"/>
      <c r="AC644" s="196"/>
      <c r="AD644" s="196"/>
      <c r="AE644" s="196"/>
      <c r="AF644" s="196"/>
      <c r="AG644" s="196"/>
      <c r="AH644" s="196"/>
    </row>
    <row r="645">
      <c r="A645" s="196"/>
      <c r="B645" s="196"/>
      <c r="C645" s="196"/>
      <c r="D645" s="196"/>
      <c r="E645" s="196"/>
      <c r="F645" s="196"/>
      <c r="G645" s="196"/>
      <c r="H645" s="196"/>
      <c r="I645" s="139"/>
      <c r="J645" s="196"/>
      <c r="K645" s="196"/>
      <c r="L645" s="139"/>
      <c r="M645" s="196"/>
      <c r="N645" s="196"/>
      <c r="O645" s="196"/>
      <c r="P645" s="196"/>
      <c r="Q645" s="196"/>
      <c r="R645" s="196"/>
      <c r="S645" s="196"/>
      <c r="T645" s="196"/>
      <c r="U645" s="196"/>
      <c r="V645" s="196"/>
      <c r="W645" s="196"/>
      <c r="X645" s="196"/>
      <c r="Y645" s="196"/>
      <c r="Z645" s="196"/>
      <c r="AA645" s="196"/>
      <c r="AB645" s="196"/>
      <c r="AC645" s="196"/>
      <c r="AD645" s="196"/>
      <c r="AE645" s="196"/>
      <c r="AF645" s="196"/>
      <c r="AG645" s="196"/>
      <c r="AH645" s="196"/>
    </row>
    <row r="646">
      <c r="A646" s="196"/>
      <c r="B646" s="196"/>
      <c r="C646" s="196"/>
      <c r="D646" s="196"/>
      <c r="E646" s="196"/>
      <c r="F646" s="196"/>
      <c r="G646" s="196"/>
      <c r="H646" s="196"/>
      <c r="I646" s="139"/>
      <c r="J646" s="196"/>
      <c r="K646" s="196"/>
      <c r="L646" s="139"/>
      <c r="M646" s="196"/>
      <c r="N646" s="196"/>
      <c r="O646" s="196"/>
      <c r="P646" s="196"/>
      <c r="Q646" s="196"/>
      <c r="R646" s="196"/>
      <c r="S646" s="196"/>
      <c r="T646" s="196"/>
      <c r="U646" s="196"/>
      <c r="V646" s="196"/>
      <c r="W646" s="196"/>
      <c r="X646" s="196"/>
      <c r="Y646" s="196"/>
      <c r="Z646" s="196"/>
      <c r="AA646" s="196"/>
      <c r="AB646" s="196"/>
      <c r="AC646" s="196"/>
      <c r="AD646" s="196"/>
      <c r="AE646" s="196"/>
      <c r="AF646" s="196"/>
      <c r="AG646" s="196"/>
      <c r="AH646" s="196"/>
    </row>
    <row r="647">
      <c r="A647" s="196"/>
      <c r="B647" s="196"/>
      <c r="C647" s="196"/>
      <c r="D647" s="196"/>
      <c r="E647" s="196"/>
      <c r="F647" s="196"/>
      <c r="G647" s="196"/>
      <c r="H647" s="196"/>
      <c r="I647" s="139"/>
      <c r="J647" s="196"/>
      <c r="K647" s="196"/>
      <c r="L647" s="139"/>
      <c r="M647" s="196"/>
      <c r="N647" s="196"/>
      <c r="O647" s="196"/>
      <c r="P647" s="196"/>
      <c r="Q647" s="196"/>
      <c r="R647" s="196"/>
      <c r="S647" s="196"/>
      <c r="T647" s="196"/>
      <c r="U647" s="196"/>
      <c r="V647" s="196"/>
      <c r="W647" s="196"/>
      <c r="X647" s="196"/>
      <c r="Y647" s="196"/>
      <c r="Z647" s="196"/>
      <c r="AA647" s="196"/>
      <c r="AB647" s="196"/>
      <c r="AC647" s="196"/>
      <c r="AD647" s="196"/>
      <c r="AE647" s="196"/>
      <c r="AF647" s="196"/>
      <c r="AG647" s="196"/>
      <c r="AH647" s="196"/>
    </row>
    <row r="648">
      <c r="A648" s="196"/>
      <c r="B648" s="196"/>
      <c r="C648" s="196"/>
      <c r="D648" s="196"/>
      <c r="E648" s="196"/>
      <c r="F648" s="196"/>
      <c r="G648" s="196"/>
      <c r="H648" s="196"/>
      <c r="I648" s="139"/>
      <c r="J648" s="196"/>
      <c r="K648" s="196"/>
      <c r="L648" s="139"/>
      <c r="M648" s="196"/>
      <c r="N648" s="196"/>
      <c r="O648" s="196"/>
      <c r="P648" s="196"/>
      <c r="Q648" s="196"/>
      <c r="R648" s="196"/>
      <c r="S648" s="196"/>
      <c r="T648" s="196"/>
      <c r="U648" s="196"/>
      <c r="V648" s="196"/>
      <c r="W648" s="196"/>
      <c r="X648" s="196"/>
      <c r="Y648" s="196"/>
      <c r="Z648" s="196"/>
      <c r="AA648" s="196"/>
      <c r="AB648" s="196"/>
      <c r="AC648" s="196"/>
      <c r="AD648" s="196"/>
      <c r="AE648" s="196"/>
      <c r="AF648" s="196"/>
      <c r="AG648" s="196"/>
      <c r="AH648" s="196"/>
    </row>
    <row r="649">
      <c r="A649" s="196"/>
      <c r="B649" s="196"/>
      <c r="C649" s="196"/>
      <c r="D649" s="196"/>
      <c r="E649" s="196"/>
      <c r="F649" s="196"/>
      <c r="G649" s="196"/>
      <c r="H649" s="196"/>
      <c r="I649" s="139"/>
      <c r="J649" s="196"/>
      <c r="K649" s="196"/>
      <c r="L649" s="139"/>
      <c r="M649" s="196"/>
      <c r="N649" s="196"/>
      <c r="O649" s="196"/>
      <c r="P649" s="196"/>
      <c r="Q649" s="196"/>
      <c r="R649" s="196"/>
      <c r="S649" s="196"/>
      <c r="T649" s="196"/>
      <c r="U649" s="196"/>
      <c r="V649" s="196"/>
      <c r="W649" s="196"/>
      <c r="X649" s="196"/>
      <c r="Y649" s="196"/>
      <c r="Z649" s="196"/>
      <c r="AA649" s="196"/>
      <c r="AB649" s="196"/>
      <c r="AC649" s="196"/>
      <c r="AD649" s="196"/>
      <c r="AE649" s="196"/>
      <c r="AF649" s="196"/>
      <c r="AG649" s="196"/>
      <c r="AH649" s="196"/>
    </row>
    <row r="650">
      <c r="A650" s="196"/>
      <c r="B650" s="196"/>
      <c r="C650" s="196"/>
      <c r="D650" s="196"/>
      <c r="E650" s="196"/>
      <c r="F650" s="196"/>
      <c r="G650" s="196"/>
      <c r="H650" s="196"/>
      <c r="I650" s="139"/>
      <c r="J650" s="196"/>
      <c r="K650" s="196"/>
      <c r="L650" s="139"/>
      <c r="M650" s="196"/>
      <c r="N650" s="196"/>
      <c r="O650" s="196"/>
      <c r="P650" s="196"/>
      <c r="Q650" s="196"/>
      <c r="R650" s="196"/>
      <c r="S650" s="196"/>
      <c r="T650" s="196"/>
      <c r="U650" s="196"/>
      <c r="V650" s="196"/>
      <c r="W650" s="196"/>
      <c r="X650" s="196"/>
      <c r="Y650" s="196"/>
      <c r="Z650" s="196"/>
      <c r="AA650" s="196"/>
      <c r="AB650" s="196"/>
      <c r="AC650" s="196"/>
      <c r="AD650" s="196"/>
      <c r="AE650" s="196"/>
      <c r="AF650" s="196"/>
      <c r="AG650" s="196"/>
      <c r="AH650" s="196"/>
    </row>
    <row r="651">
      <c r="A651" s="196"/>
      <c r="B651" s="196"/>
      <c r="C651" s="196"/>
      <c r="D651" s="196"/>
      <c r="E651" s="196"/>
      <c r="F651" s="196"/>
      <c r="G651" s="196"/>
      <c r="H651" s="196"/>
      <c r="I651" s="139"/>
      <c r="J651" s="196"/>
      <c r="K651" s="196"/>
      <c r="L651" s="139"/>
      <c r="M651" s="196"/>
      <c r="N651" s="196"/>
      <c r="O651" s="196"/>
      <c r="P651" s="196"/>
      <c r="Q651" s="196"/>
      <c r="R651" s="196"/>
      <c r="S651" s="196"/>
      <c r="T651" s="196"/>
      <c r="U651" s="196"/>
      <c r="V651" s="196"/>
      <c r="W651" s="196"/>
      <c r="X651" s="196"/>
      <c r="Y651" s="196"/>
      <c r="Z651" s="196"/>
      <c r="AA651" s="196"/>
      <c r="AB651" s="196"/>
      <c r="AC651" s="196"/>
      <c r="AD651" s="196"/>
      <c r="AE651" s="196"/>
      <c r="AF651" s="196"/>
      <c r="AG651" s="196"/>
      <c r="AH651" s="196"/>
    </row>
    <row r="652">
      <c r="A652" s="196"/>
      <c r="B652" s="196"/>
      <c r="C652" s="196"/>
      <c r="D652" s="196"/>
      <c r="E652" s="196"/>
      <c r="F652" s="196"/>
      <c r="G652" s="196"/>
      <c r="H652" s="196"/>
      <c r="I652" s="139"/>
      <c r="J652" s="196"/>
      <c r="K652" s="196"/>
      <c r="L652" s="139"/>
      <c r="M652" s="196"/>
      <c r="N652" s="196"/>
      <c r="O652" s="196"/>
      <c r="P652" s="196"/>
      <c r="Q652" s="196"/>
      <c r="R652" s="196"/>
      <c r="S652" s="196"/>
      <c r="T652" s="196"/>
      <c r="U652" s="196"/>
      <c r="V652" s="196"/>
      <c r="W652" s="196"/>
      <c r="X652" s="196"/>
      <c r="Y652" s="196"/>
      <c r="Z652" s="196"/>
      <c r="AA652" s="196"/>
      <c r="AB652" s="196"/>
      <c r="AC652" s="196"/>
      <c r="AD652" s="196"/>
      <c r="AE652" s="196"/>
      <c r="AF652" s="196"/>
      <c r="AG652" s="196"/>
      <c r="AH652" s="196"/>
    </row>
    <row r="653">
      <c r="A653" s="196"/>
      <c r="B653" s="196"/>
      <c r="C653" s="196"/>
      <c r="D653" s="196"/>
      <c r="E653" s="196"/>
      <c r="F653" s="196"/>
      <c r="G653" s="196"/>
      <c r="H653" s="196"/>
      <c r="I653" s="139"/>
      <c r="J653" s="196"/>
      <c r="K653" s="196"/>
      <c r="L653" s="139"/>
      <c r="M653" s="196"/>
      <c r="N653" s="196"/>
      <c r="O653" s="196"/>
      <c r="P653" s="196"/>
      <c r="Q653" s="196"/>
      <c r="R653" s="196"/>
      <c r="S653" s="196"/>
      <c r="T653" s="196"/>
      <c r="U653" s="196"/>
      <c r="V653" s="196"/>
      <c r="W653" s="196"/>
      <c r="X653" s="196"/>
      <c r="Y653" s="196"/>
      <c r="Z653" s="196"/>
      <c r="AA653" s="196"/>
      <c r="AB653" s="196"/>
      <c r="AC653" s="196"/>
      <c r="AD653" s="196"/>
      <c r="AE653" s="196"/>
      <c r="AF653" s="196"/>
      <c r="AG653" s="196"/>
      <c r="AH653" s="196"/>
    </row>
    <row r="654">
      <c r="A654" s="196"/>
      <c r="B654" s="196"/>
      <c r="C654" s="196"/>
      <c r="D654" s="196"/>
      <c r="E654" s="196"/>
      <c r="F654" s="196"/>
      <c r="G654" s="196"/>
      <c r="H654" s="196"/>
      <c r="I654" s="139"/>
      <c r="J654" s="196"/>
      <c r="K654" s="196"/>
      <c r="L654" s="139"/>
      <c r="M654" s="196"/>
      <c r="N654" s="196"/>
      <c r="O654" s="196"/>
      <c r="P654" s="196"/>
      <c r="Q654" s="196"/>
      <c r="R654" s="196"/>
      <c r="S654" s="196"/>
      <c r="T654" s="196"/>
      <c r="U654" s="196"/>
      <c r="V654" s="196"/>
      <c r="W654" s="196"/>
      <c r="X654" s="196"/>
      <c r="Y654" s="196"/>
      <c r="Z654" s="196"/>
      <c r="AA654" s="196"/>
      <c r="AB654" s="196"/>
      <c r="AC654" s="196"/>
      <c r="AD654" s="196"/>
      <c r="AE654" s="196"/>
      <c r="AF654" s="196"/>
      <c r="AG654" s="196"/>
      <c r="AH654" s="196"/>
    </row>
    <row r="655">
      <c r="A655" s="196"/>
      <c r="B655" s="196"/>
      <c r="C655" s="196"/>
      <c r="D655" s="196"/>
      <c r="E655" s="196"/>
      <c r="F655" s="196"/>
      <c r="G655" s="196"/>
      <c r="H655" s="196"/>
      <c r="I655" s="139"/>
      <c r="J655" s="196"/>
      <c r="K655" s="196"/>
      <c r="L655" s="139"/>
      <c r="M655" s="196"/>
      <c r="N655" s="196"/>
      <c r="O655" s="196"/>
      <c r="P655" s="196"/>
      <c r="Q655" s="196"/>
      <c r="R655" s="196"/>
      <c r="S655" s="196"/>
      <c r="T655" s="196"/>
      <c r="U655" s="196"/>
      <c r="V655" s="196"/>
      <c r="W655" s="196"/>
      <c r="X655" s="196"/>
      <c r="Y655" s="196"/>
      <c r="Z655" s="196"/>
      <c r="AA655" s="196"/>
      <c r="AB655" s="196"/>
      <c r="AC655" s="196"/>
      <c r="AD655" s="196"/>
      <c r="AE655" s="196"/>
      <c r="AF655" s="196"/>
      <c r="AG655" s="196"/>
      <c r="AH655" s="196"/>
    </row>
    <row r="656">
      <c r="A656" s="196"/>
      <c r="B656" s="196"/>
      <c r="C656" s="196"/>
      <c r="D656" s="196"/>
      <c r="E656" s="196"/>
      <c r="F656" s="196"/>
      <c r="G656" s="196"/>
      <c r="H656" s="196"/>
      <c r="I656" s="139"/>
      <c r="J656" s="196"/>
      <c r="K656" s="196"/>
      <c r="L656" s="139"/>
      <c r="M656" s="196"/>
      <c r="N656" s="196"/>
      <c r="O656" s="196"/>
      <c r="P656" s="196"/>
      <c r="Q656" s="196"/>
      <c r="R656" s="196"/>
      <c r="S656" s="196"/>
      <c r="T656" s="196"/>
      <c r="U656" s="196"/>
      <c r="V656" s="196"/>
      <c r="W656" s="196"/>
      <c r="X656" s="196"/>
      <c r="Y656" s="196"/>
      <c r="Z656" s="196"/>
      <c r="AA656" s="196"/>
      <c r="AB656" s="196"/>
      <c r="AC656" s="196"/>
      <c r="AD656" s="196"/>
      <c r="AE656" s="196"/>
      <c r="AF656" s="196"/>
      <c r="AG656" s="196"/>
      <c r="AH656" s="196"/>
    </row>
    <row r="657">
      <c r="A657" s="196"/>
      <c r="B657" s="196"/>
      <c r="C657" s="196"/>
      <c r="D657" s="196"/>
      <c r="E657" s="196"/>
      <c r="F657" s="196"/>
      <c r="G657" s="196"/>
      <c r="H657" s="196"/>
      <c r="I657" s="139"/>
      <c r="J657" s="196"/>
      <c r="K657" s="196"/>
      <c r="L657" s="139"/>
      <c r="M657" s="196"/>
      <c r="N657" s="196"/>
      <c r="O657" s="196"/>
      <c r="P657" s="196"/>
      <c r="Q657" s="196"/>
      <c r="R657" s="196"/>
      <c r="S657" s="196"/>
      <c r="T657" s="196"/>
      <c r="U657" s="196"/>
      <c r="V657" s="196"/>
      <c r="W657" s="196"/>
      <c r="X657" s="196"/>
      <c r="Y657" s="196"/>
      <c r="Z657" s="196"/>
      <c r="AA657" s="196"/>
      <c r="AB657" s="196"/>
      <c r="AC657" s="196"/>
      <c r="AD657" s="196"/>
      <c r="AE657" s="196"/>
      <c r="AF657" s="196"/>
      <c r="AG657" s="196"/>
      <c r="AH657" s="196"/>
    </row>
    <row r="658">
      <c r="A658" s="196"/>
      <c r="B658" s="196"/>
      <c r="C658" s="196"/>
      <c r="D658" s="196"/>
      <c r="E658" s="196"/>
      <c r="F658" s="196"/>
      <c r="G658" s="196"/>
      <c r="H658" s="196"/>
      <c r="I658" s="139"/>
      <c r="J658" s="196"/>
      <c r="K658" s="196"/>
      <c r="L658" s="139"/>
      <c r="M658" s="196"/>
      <c r="N658" s="196"/>
      <c r="O658" s="196"/>
      <c r="P658" s="196"/>
      <c r="Q658" s="196"/>
      <c r="R658" s="196"/>
      <c r="S658" s="196"/>
      <c r="T658" s="196"/>
      <c r="U658" s="196"/>
      <c r="V658" s="196"/>
      <c r="W658" s="196"/>
      <c r="X658" s="196"/>
      <c r="Y658" s="196"/>
      <c r="Z658" s="196"/>
      <c r="AA658" s="196"/>
      <c r="AB658" s="196"/>
      <c r="AC658" s="196"/>
      <c r="AD658" s="196"/>
      <c r="AE658" s="196"/>
      <c r="AF658" s="196"/>
      <c r="AG658" s="196"/>
      <c r="AH658" s="196"/>
    </row>
    <row r="659">
      <c r="A659" s="196"/>
      <c r="B659" s="196"/>
      <c r="C659" s="196"/>
      <c r="D659" s="196"/>
      <c r="E659" s="196"/>
      <c r="F659" s="196"/>
      <c r="G659" s="196"/>
      <c r="H659" s="196"/>
      <c r="I659" s="139"/>
      <c r="J659" s="196"/>
      <c r="K659" s="196"/>
      <c r="L659" s="139"/>
      <c r="M659" s="196"/>
      <c r="N659" s="196"/>
      <c r="O659" s="196"/>
      <c r="P659" s="196"/>
      <c r="Q659" s="196"/>
      <c r="R659" s="196"/>
      <c r="S659" s="196"/>
      <c r="T659" s="196"/>
      <c r="U659" s="196"/>
      <c r="V659" s="196"/>
      <c r="W659" s="196"/>
      <c r="X659" s="196"/>
      <c r="Y659" s="196"/>
      <c r="Z659" s="196"/>
      <c r="AA659" s="196"/>
      <c r="AB659" s="196"/>
      <c r="AC659" s="196"/>
      <c r="AD659" s="196"/>
      <c r="AE659" s="196"/>
      <c r="AF659" s="196"/>
      <c r="AG659" s="196"/>
      <c r="AH659" s="196"/>
    </row>
    <row r="660">
      <c r="A660" s="196"/>
      <c r="B660" s="196"/>
      <c r="C660" s="196"/>
      <c r="D660" s="196"/>
      <c r="E660" s="196"/>
      <c r="F660" s="196"/>
      <c r="G660" s="196"/>
      <c r="H660" s="196"/>
      <c r="I660" s="139"/>
      <c r="J660" s="196"/>
      <c r="K660" s="196"/>
      <c r="L660" s="139"/>
      <c r="M660" s="196"/>
      <c r="N660" s="196"/>
      <c r="O660" s="196"/>
      <c r="P660" s="196"/>
      <c r="Q660" s="196"/>
      <c r="R660" s="196"/>
      <c r="S660" s="196"/>
      <c r="T660" s="196"/>
      <c r="U660" s="196"/>
      <c r="V660" s="196"/>
      <c r="W660" s="196"/>
      <c r="X660" s="196"/>
      <c r="Y660" s="196"/>
      <c r="Z660" s="196"/>
      <c r="AA660" s="196"/>
      <c r="AB660" s="196"/>
      <c r="AC660" s="196"/>
      <c r="AD660" s="196"/>
      <c r="AE660" s="196"/>
      <c r="AF660" s="196"/>
      <c r="AG660" s="196"/>
      <c r="AH660" s="196"/>
    </row>
    <row r="661">
      <c r="A661" s="196"/>
      <c r="B661" s="196"/>
      <c r="C661" s="196"/>
      <c r="D661" s="196"/>
      <c r="E661" s="196"/>
      <c r="F661" s="196"/>
      <c r="G661" s="196"/>
      <c r="H661" s="196"/>
      <c r="I661" s="139"/>
      <c r="J661" s="196"/>
      <c r="K661" s="196"/>
      <c r="L661" s="139"/>
      <c r="M661" s="196"/>
      <c r="N661" s="196"/>
      <c r="O661" s="196"/>
      <c r="P661" s="196"/>
      <c r="Q661" s="196"/>
      <c r="R661" s="196"/>
      <c r="S661" s="196"/>
      <c r="T661" s="196"/>
      <c r="U661" s="196"/>
      <c r="V661" s="196"/>
      <c r="W661" s="196"/>
      <c r="X661" s="196"/>
      <c r="Y661" s="196"/>
      <c r="Z661" s="196"/>
      <c r="AA661" s="196"/>
      <c r="AB661" s="196"/>
      <c r="AC661" s="196"/>
      <c r="AD661" s="196"/>
      <c r="AE661" s="196"/>
      <c r="AF661" s="196"/>
      <c r="AG661" s="196"/>
      <c r="AH661" s="196"/>
    </row>
    <row r="662">
      <c r="A662" s="196"/>
      <c r="B662" s="196"/>
      <c r="C662" s="196"/>
      <c r="D662" s="196"/>
      <c r="E662" s="196"/>
      <c r="F662" s="196"/>
      <c r="G662" s="196"/>
      <c r="H662" s="196"/>
      <c r="I662" s="139"/>
      <c r="J662" s="196"/>
      <c r="K662" s="196"/>
      <c r="L662" s="139"/>
      <c r="M662" s="196"/>
      <c r="N662" s="196"/>
      <c r="O662" s="196"/>
      <c r="P662" s="196"/>
      <c r="Q662" s="196"/>
      <c r="R662" s="196"/>
      <c r="S662" s="196"/>
      <c r="T662" s="196"/>
      <c r="U662" s="196"/>
      <c r="V662" s="196"/>
      <c r="W662" s="196"/>
      <c r="X662" s="196"/>
      <c r="Y662" s="196"/>
      <c r="Z662" s="196"/>
      <c r="AA662" s="196"/>
      <c r="AB662" s="196"/>
      <c r="AC662" s="196"/>
      <c r="AD662" s="196"/>
      <c r="AE662" s="196"/>
      <c r="AF662" s="196"/>
      <c r="AG662" s="196"/>
      <c r="AH662" s="196"/>
    </row>
    <row r="663">
      <c r="A663" s="196"/>
      <c r="B663" s="196"/>
      <c r="C663" s="196"/>
      <c r="D663" s="196"/>
      <c r="E663" s="196"/>
      <c r="F663" s="196"/>
      <c r="G663" s="196"/>
      <c r="H663" s="196"/>
      <c r="I663" s="139"/>
      <c r="J663" s="196"/>
      <c r="K663" s="196"/>
      <c r="L663" s="139"/>
      <c r="M663" s="196"/>
      <c r="N663" s="196"/>
      <c r="O663" s="196"/>
      <c r="P663" s="196"/>
      <c r="Q663" s="196"/>
      <c r="R663" s="196"/>
      <c r="S663" s="196"/>
      <c r="T663" s="196"/>
      <c r="U663" s="196"/>
      <c r="V663" s="196"/>
      <c r="W663" s="196"/>
      <c r="X663" s="196"/>
      <c r="Y663" s="196"/>
      <c r="Z663" s="196"/>
      <c r="AA663" s="196"/>
      <c r="AB663" s="196"/>
      <c r="AC663" s="196"/>
      <c r="AD663" s="196"/>
      <c r="AE663" s="196"/>
      <c r="AF663" s="196"/>
      <c r="AG663" s="196"/>
      <c r="AH663" s="196"/>
    </row>
    <row r="664">
      <c r="A664" s="196"/>
      <c r="B664" s="196"/>
      <c r="C664" s="196"/>
      <c r="D664" s="196"/>
      <c r="E664" s="196"/>
      <c r="F664" s="196"/>
      <c r="G664" s="196"/>
      <c r="H664" s="196"/>
      <c r="I664" s="139"/>
      <c r="J664" s="196"/>
      <c r="K664" s="196"/>
      <c r="L664" s="139"/>
      <c r="M664" s="196"/>
      <c r="N664" s="196"/>
      <c r="O664" s="196"/>
      <c r="P664" s="196"/>
      <c r="Q664" s="196"/>
      <c r="R664" s="196"/>
      <c r="S664" s="196"/>
      <c r="T664" s="196"/>
      <c r="U664" s="196"/>
      <c r="V664" s="196"/>
      <c r="W664" s="196"/>
      <c r="X664" s="196"/>
      <c r="Y664" s="196"/>
      <c r="Z664" s="196"/>
      <c r="AA664" s="196"/>
      <c r="AB664" s="196"/>
      <c r="AC664" s="196"/>
      <c r="AD664" s="196"/>
      <c r="AE664" s="196"/>
      <c r="AF664" s="196"/>
      <c r="AG664" s="196"/>
      <c r="AH664" s="196"/>
    </row>
    <row r="665">
      <c r="A665" s="196"/>
      <c r="B665" s="196"/>
      <c r="C665" s="196"/>
      <c r="D665" s="196"/>
      <c r="E665" s="196"/>
      <c r="F665" s="196"/>
      <c r="G665" s="196"/>
      <c r="H665" s="196"/>
      <c r="I665" s="139"/>
      <c r="J665" s="196"/>
      <c r="K665" s="196"/>
      <c r="L665" s="139"/>
      <c r="M665" s="196"/>
      <c r="N665" s="196"/>
      <c r="O665" s="196"/>
      <c r="P665" s="196"/>
      <c r="Q665" s="196"/>
      <c r="R665" s="196"/>
      <c r="S665" s="196"/>
      <c r="T665" s="196"/>
      <c r="U665" s="196"/>
      <c r="V665" s="196"/>
      <c r="W665" s="196"/>
      <c r="X665" s="196"/>
      <c r="Y665" s="196"/>
      <c r="Z665" s="196"/>
      <c r="AA665" s="196"/>
      <c r="AB665" s="196"/>
      <c r="AC665" s="196"/>
      <c r="AD665" s="196"/>
      <c r="AE665" s="196"/>
      <c r="AF665" s="196"/>
      <c r="AG665" s="196"/>
      <c r="AH665" s="196"/>
    </row>
    <row r="666">
      <c r="A666" s="196"/>
      <c r="B666" s="196"/>
      <c r="C666" s="196"/>
      <c r="D666" s="196"/>
      <c r="E666" s="196"/>
      <c r="F666" s="196"/>
      <c r="G666" s="196"/>
      <c r="H666" s="196"/>
      <c r="I666" s="139"/>
      <c r="J666" s="196"/>
      <c r="K666" s="196"/>
      <c r="L666" s="139"/>
      <c r="M666" s="196"/>
      <c r="N666" s="196"/>
      <c r="O666" s="196"/>
      <c r="P666" s="196"/>
      <c r="Q666" s="196"/>
      <c r="R666" s="196"/>
      <c r="S666" s="196"/>
      <c r="T666" s="196"/>
      <c r="U666" s="196"/>
      <c r="V666" s="196"/>
      <c r="W666" s="196"/>
      <c r="X666" s="196"/>
      <c r="Y666" s="196"/>
      <c r="Z666" s="196"/>
      <c r="AA666" s="196"/>
      <c r="AB666" s="196"/>
      <c r="AC666" s="196"/>
      <c r="AD666" s="196"/>
      <c r="AE666" s="196"/>
      <c r="AF666" s="196"/>
      <c r="AG666" s="196"/>
      <c r="AH666" s="196"/>
    </row>
    <row r="667">
      <c r="A667" s="196"/>
      <c r="B667" s="196"/>
      <c r="C667" s="196"/>
      <c r="D667" s="196"/>
      <c r="E667" s="196"/>
      <c r="F667" s="196"/>
      <c r="G667" s="196"/>
      <c r="H667" s="196"/>
      <c r="I667" s="139"/>
      <c r="J667" s="196"/>
      <c r="K667" s="196"/>
      <c r="L667" s="139"/>
      <c r="M667" s="196"/>
      <c r="N667" s="196"/>
      <c r="O667" s="196"/>
      <c r="P667" s="196"/>
      <c r="Q667" s="196"/>
      <c r="R667" s="196"/>
      <c r="S667" s="196"/>
      <c r="T667" s="196"/>
      <c r="U667" s="196"/>
      <c r="V667" s="196"/>
      <c r="W667" s="196"/>
      <c r="X667" s="196"/>
      <c r="Y667" s="196"/>
      <c r="Z667" s="196"/>
      <c r="AA667" s="196"/>
      <c r="AB667" s="196"/>
      <c r="AC667" s="196"/>
      <c r="AD667" s="196"/>
      <c r="AE667" s="196"/>
      <c r="AF667" s="196"/>
      <c r="AG667" s="196"/>
      <c r="AH667" s="196"/>
    </row>
    <row r="668">
      <c r="A668" s="196"/>
      <c r="B668" s="196"/>
      <c r="C668" s="196"/>
      <c r="D668" s="196"/>
      <c r="E668" s="196"/>
      <c r="F668" s="196"/>
      <c r="G668" s="196"/>
      <c r="H668" s="196"/>
      <c r="I668" s="139"/>
      <c r="J668" s="196"/>
      <c r="K668" s="196"/>
      <c r="L668" s="139"/>
      <c r="M668" s="196"/>
      <c r="N668" s="196"/>
      <c r="O668" s="196"/>
      <c r="P668" s="196"/>
      <c r="Q668" s="196"/>
      <c r="R668" s="196"/>
      <c r="S668" s="196"/>
      <c r="T668" s="196"/>
      <c r="U668" s="196"/>
      <c r="V668" s="196"/>
      <c r="W668" s="196"/>
      <c r="X668" s="196"/>
      <c r="Y668" s="196"/>
      <c r="Z668" s="196"/>
      <c r="AA668" s="196"/>
      <c r="AB668" s="196"/>
      <c r="AC668" s="196"/>
      <c r="AD668" s="196"/>
      <c r="AE668" s="196"/>
      <c r="AF668" s="196"/>
      <c r="AG668" s="196"/>
      <c r="AH668" s="196"/>
    </row>
    <row r="669">
      <c r="A669" s="196"/>
      <c r="B669" s="196"/>
      <c r="C669" s="196"/>
      <c r="D669" s="196"/>
      <c r="E669" s="196"/>
      <c r="F669" s="196"/>
      <c r="G669" s="196"/>
      <c r="H669" s="196"/>
      <c r="I669" s="139"/>
      <c r="J669" s="196"/>
      <c r="K669" s="196"/>
      <c r="L669" s="139"/>
      <c r="M669" s="196"/>
      <c r="N669" s="196"/>
      <c r="O669" s="196"/>
      <c r="P669" s="196"/>
      <c r="Q669" s="196"/>
      <c r="R669" s="196"/>
      <c r="S669" s="196"/>
      <c r="T669" s="196"/>
      <c r="U669" s="196"/>
      <c r="V669" s="196"/>
      <c r="W669" s="196"/>
      <c r="X669" s="196"/>
      <c r="Y669" s="196"/>
      <c r="Z669" s="196"/>
      <c r="AA669" s="196"/>
      <c r="AB669" s="196"/>
      <c r="AC669" s="196"/>
      <c r="AD669" s="196"/>
      <c r="AE669" s="196"/>
      <c r="AF669" s="196"/>
      <c r="AG669" s="196"/>
      <c r="AH669" s="196"/>
    </row>
    <row r="670">
      <c r="A670" s="196"/>
      <c r="B670" s="196"/>
      <c r="C670" s="196"/>
      <c r="D670" s="196"/>
      <c r="E670" s="196"/>
      <c r="F670" s="196"/>
      <c r="G670" s="196"/>
      <c r="H670" s="196"/>
      <c r="I670" s="139"/>
      <c r="J670" s="196"/>
      <c r="K670" s="196"/>
      <c r="L670" s="139"/>
      <c r="M670" s="196"/>
      <c r="N670" s="196"/>
      <c r="O670" s="196"/>
      <c r="P670" s="196"/>
      <c r="Q670" s="196"/>
      <c r="R670" s="196"/>
      <c r="S670" s="196"/>
      <c r="T670" s="196"/>
      <c r="U670" s="196"/>
      <c r="V670" s="196"/>
      <c r="W670" s="196"/>
      <c r="X670" s="196"/>
      <c r="Y670" s="196"/>
      <c r="Z670" s="196"/>
      <c r="AA670" s="196"/>
      <c r="AB670" s="196"/>
      <c r="AC670" s="196"/>
      <c r="AD670" s="196"/>
      <c r="AE670" s="196"/>
      <c r="AF670" s="196"/>
      <c r="AG670" s="196"/>
      <c r="AH670" s="196"/>
    </row>
    <row r="671">
      <c r="A671" s="196"/>
      <c r="B671" s="196"/>
      <c r="C671" s="196"/>
      <c r="D671" s="196"/>
      <c r="E671" s="196"/>
      <c r="F671" s="196"/>
      <c r="G671" s="196"/>
      <c r="H671" s="196"/>
      <c r="I671" s="139"/>
      <c r="J671" s="196"/>
      <c r="K671" s="196"/>
      <c r="L671" s="139"/>
      <c r="M671" s="196"/>
      <c r="N671" s="196"/>
      <c r="O671" s="196"/>
      <c r="P671" s="196"/>
      <c r="Q671" s="196"/>
      <c r="R671" s="196"/>
      <c r="S671" s="196"/>
      <c r="T671" s="196"/>
      <c r="U671" s="196"/>
      <c r="V671" s="196"/>
      <c r="W671" s="196"/>
      <c r="X671" s="196"/>
      <c r="Y671" s="196"/>
      <c r="Z671" s="196"/>
      <c r="AA671" s="196"/>
      <c r="AB671" s="196"/>
      <c r="AC671" s="196"/>
      <c r="AD671" s="196"/>
      <c r="AE671" s="196"/>
      <c r="AF671" s="196"/>
      <c r="AG671" s="196"/>
      <c r="AH671" s="196"/>
    </row>
    <row r="672">
      <c r="A672" s="196"/>
      <c r="B672" s="196"/>
      <c r="C672" s="196"/>
      <c r="D672" s="196"/>
      <c r="E672" s="196"/>
      <c r="F672" s="196"/>
      <c r="G672" s="196"/>
      <c r="H672" s="196"/>
      <c r="I672" s="139"/>
      <c r="J672" s="196"/>
      <c r="K672" s="196"/>
      <c r="L672" s="139"/>
      <c r="M672" s="196"/>
      <c r="N672" s="196"/>
      <c r="O672" s="196"/>
      <c r="P672" s="196"/>
      <c r="Q672" s="196"/>
      <c r="R672" s="196"/>
      <c r="S672" s="196"/>
      <c r="T672" s="196"/>
      <c r="U672" s="196"/>
      <c r="V672" s="196"/>
      <c r="W672" s="196"/>
      <c r="X672" s="196"/>
      <c r="Y672" s="196"/>
      <c r="Z672" s="196"/>
      <c r="AA672" s="196"/>
      <c r="AB672" s="196"/>
      <c r="AC672" s="196"/>
      <c r="AD672" s="196"/>
      <c r="AE672" s="196"/>
      <c r="AF672" s="196"/>
      <c r="AG672" s="196"/>
      <c r="AH672" s="196"/>
    </row>
    <row r="673">
      <c r="A673" s="196"/>
      <c r="B673" s="196"/>
      <c r="C673" s="196"/>
      <c r="D673" s="196"/>
      <c r="E673" s="196"/>
      <c r="F673" s="196"/>
      <c r="G673" s="196"/>
      <c r="H673" s="196"/>
      <c r="I673" s="139"/>
      <c r="J673" s="196"/>
      <c r="K673" s="196"/>
      <c r="L673" s="139"/>
      <c r="M673" s="196"/>
      <c r="N673" s="196"/>
      <c r="O673" s="196"/>
      <c r="P673" s="196"/>
      <c r="Q673" s="196"/>
      <c r="R673" s="196"/>
      <c r="S673" s="196"/>
      <c r="T673" s="196"/>
      <c r="U673" s="196"/>
      <c r="V673" s="196"/>
      <c r="W673" s="196"/>
      <c r="X673" s="196"/>
      <c r="Y673" s="196"/>
      <c r="Z673" s="196"/>
      <c r="AA673" s="196"/>
      <c r="AB673" s="196"/>
      <c r="AC673" s="196"/>
      <c r="AD673" s="196"/>
      <c r="AE673" s="196"/>
      <c r="AF673" s="196"/>
      <c r="AG673" s="196"/>
      <c r="AH673" s="196"/>
    </row>
    <row r="674">
      <c r="A674" s="196"/>
      <c r="B674" s="196"/>
      <c r="C674" s="196"/>
      <c r="D674" s="196"/>
      <c r="E674" s="196"/>
      <c r="F674" s="196"/>
      <c r="G674" s="196"/>
      <c r="H674" s="196"/>
      <c r="I674" s="139"/>
      <c r="J674" s="196"/>
      <c r="K674" s="196"/>
      <c r="L674" s="139"/>
      <c r="M674" s="196"/>
      <c r="N674" s="196"/>
      <c r="O674" s="196"/>
      <c r="P674" s="196"/>
      <c r="Q674" s="196"/>
      <c r="R674" s="196"/>
      <c r="S674" s="196"/>
      <c r="T674" s="196"/>
      <c r="U674" s="196"/>
      <c r="V674" s="196"/>
      <c r="W674" s="196"/>
      <c r="X674" s="196"/>
      <c r="Y674" s="196"/>
      <c r="Z674" s="196"/>
      <c r="AA674" s="196"/>
      <c r="AB674" s="196"/>
      <c r="AC674" s="196"/>
      <c r="AD674" s="196"/>
      <c r="AE674" s="196"/>
      <c r="AF674" s="196"/>
      <c r="AG674" s="196"/>
      <c r="AH674" s="196"/>
    </row>
    <row r="675">
      <c r="A675" s="196"/>
      <c r="B675" s="196"/>
      <c r="C675" s="196"/>
      <c r="D675" s="196"/>
      <c r="E675" s="196"/>
      <c r="F675" s="196"/>
      <c r="G675" s="196"/>
      <c r="H675" s="196"/>
      <c r="I675" s="139"/>
      <c r="J675" s="196"/>
      <c r="K675" s="196"/>
      <c r="L675" s="139"/>
      <c r="M675" s="196"/>
      <c r="N675" s="196"/>
      <c r="O675" s="196"/>
      <c r="P675" s="196"/>
      <c r="Q675" s="196"/>
      <c r="R675" s="196"/>
      <c r="S675" s="196"/>
      <c r="T675" s="196"/>
      <c r="U675" s="196"/>
      <c r="V675" s="196"/>
      <c r="W675" s="196"/>
      <c r="X675" s="196"/>
      <c r="Y675" s="196"/>
      <c r="Z675" s="196"/>
      <c r="AA675" s="196"/>
      <c r="AB675" s="196"/>
      <c r="AC675" s="196"/>
      <c r="AD675" s="196"/>
      <c r="AE675" s="196"/>
      <c r="AF675" s="196"/>
      <c r="AG675" s="196"/>
      <c r="AH675" s="196"/>
    </row>
    <row r="676">
      <c r="A676" s="196"/>
      <c r="B676" s="196"/>
      <c r="C676" s="196"/>
      <c r="D676" s="196"/>
      <c r="E676" s="196"/>
      <c r="F676" s="196"/>
      <c r="G676" s="196"/>
      <c r="H676" s="196"/>
      <c r="I676" s="139"/>
      <c r="J676" s="196"/>
      <c r="K676" s="196"/>
      <c r="L676" s="139"/>
      <c r="M676" s="196"/>
      <c r="N676" s="196"/>
      <c r="O676" s="196"/>
      <c r="P676" s="196"/>
      <c r="Q676" s="196"/>
      <c r="R676" s="196"/>
      <c r="S676" s="196"/>
      <c r="T676" s="196"/>
      <c r="U676" s="196"/>
      <c r="V676" s="196"/>
      <c r="W676" s="196"/>
      <c r="X676" s="196"/>
      <c r="Y676" s="196"/>
      <c r="Z676" s="196"/>
      <c r="AA676" s="196"/>
      <c r="AB676" s="196"/>
      <c r="AC676" s="196"/>
      <c r="AD676" s="196"/>
      <c r="AE676" s="196"/>
      <c r="AF676" s="196"/>
      <c r="AG676" s="196"/>
      <c r="AH676" s="196"/>
    </row>
    <row r="677">
      <c r="A677" s="196"/>
      <c r="B677" s="196"/>
      <c r="C677" s="196"/>
      <c r="D677" s="196"/>
      <c r="E677" s="196"/>
      <c r="F677" s="196"/>
      <c r="G677" s="196"/>
      <c r="H677" s="196"/>
      <c r="I677" s="139"/>
      <c r="J677" s="196"/>
      <c r="K677" s="196"/>
      <c r="L677" s="139"/>
      <c r="M677" s="196"/>
      <c r="N677" s="196"/>
      <c r="O677" s="196"/>
      <c r="P677" s="196"/>
      <c r="Q677" s="196"/>
      <c r="R677" s="196"/>
      <c r="S677" s="196"/>
      <c r="T677" s="196"/>
      <c r="U677" s="196"/>
      <c r="V677" s="196"/>
      <c r="W677" s="196"/>
      <c r="X677" s="196"/>
      <c r="Y677" s="196"/>
      <c r="Z677" s="196"/>
      <c r="AA677" s="196"/>
      <c r="AB677" s="196"/>
      <c r="AC677" s="196"/>
      <c r="AD677" s="196"/>
      <c r="AE677" s="196"/>
      <c r="AF677" s="196"/>
      <c r="AG677" s="196"/>
      <c r="AH677" s="196"/>
    </row>
    <row r="678">
      <c r="A678" s="196"/>
      <c r="B678" s="196"/>
      <c r="C678" s="196"/>
      <c r="D678" s="196"/>
      <c r="E678" s="196"/>
      <c r="F678" s="196"/>
      <c r="G678" s="196"/>
      <c r="H678" s="196"/>
      <c r="I678" s="139"/>
      <c r="J678" s="196"/>
      <c r="K678" s="196"/>
      <c r="L678" s="139"/>
      <c r="M678" s="196"/>
      <c r="N678" s="196"/>
      <c r="O678" s="196"/>
      <c r="P678" s="196"/>
      <c r="Q678" s="196"/>
      <c r="R678" s="196"/>
      <c r="S678" s="196"/>
      <c r="T678" s="196"/>
      <c r="U678" s="196"/>
      <c r="V678" s="196"/>
      <c r="W678" s="196"/>
      <c r="X678" s="196"/>
      <c r="Y678" s="196"/>
      <c r="Z678" s="196"/>
      <c r="AA678" s="196"/>
      <c r="AB678" s="196"/>
      <c r="AC678" s="196"/>
      <c r="AD678" s="196"/>
      <c r="AE678" s="196"/>
      <c r="AF678" s="196"/>
      <c r="AG678" s="196"/>
      <c r="AH678" s="196"/>
    </row>
    <row r="679">
      <c r="A679" s="196"/>
      <c r="B679" s="196"/>
      <c r="C679" s="196"/>
      <c r="D679" s="196"/>
      <c r="E679" s="196"/>
      <c r="F679" s="196"/>
      <c r="G679" s="196"/>
      <c r="H679" s="196"/>
      <c r="I679" s="139"/>
      <c r="J679" s="196"/>
      <c r="K679" s="196"/>
      <c r="L679" s="139"/>
      <c r="M679" s="196"/>
      <c r="N679" s="196"/>
      <c r="O679" s="196"/>
      <c r="P679" s="196"/>
      <c r="Q679" s="196"/>
      <c r="R679" s="196"/>
      <c r="S679" s="196"/>
      <c r="T679" s="196"/>
      <c r="U679" s="196"/>
      <c r="V679" s="196"/>
      <c r="W679" s="196"/>
      <c r="X679" s="196"/>
      <c r="Y679" s="196"/>
      <c r="Z679" s="196"/>
      <c r="AA679" s="196"/>
      <c r="AB679" s="196"/>
      <c r="AC679" s="196"/>
      <c r="AD679" s="196"/>
      <c r="AE679" s="196"/>
      <c r="AF679" s="196"/>
      <c r="AG679" s="196"/>
      <c r="AH679" s="196"/>
    </row>
    <row r="680">
      <c r="A680" s="196"/>
      <c r="B680" s="196"/>
      <c r="C680" s="196"/>
      <c r="D680" s="196"/>
      <c r="E680" s="196"/>
      <c r="F680" s="196"/>
      <c r="G680" s="196"/>
      <c r="H680" s="196"/>
      <c r="I680" s="139"/>
      <c r="J680" s="196"/>
      <c r="K680" s="196"/>
      <c r="L680" s="139"/>
      <c r="M680" s="196"/>
      <c r="N680" s="196"/>
      <c r="O680" s="196"/>
      <c r="P680" s="196"/>
      <c r="Q680" s="196"/>
      <c r="R680" s="196"/>
      <c r="S680" s="196"/>
      <c r="T680" s="196"/>
      <c r="U680" s="196"/>
      <c r="V680" s="196"/>
      <c r="W680" s="196"/>
      <c r="X680" s="196"/>
      <c r="Y680" s="196"/>
      <c r="Z680" s="196"/>
      <c r="AA680" s="196"/>
      <c r="AB680" s="196"/>
      <c r="AC680" s="196"/>
      <c r="AD680" s="196"/>
      <c r="AE680" s="196"/>
      <c r="AF680" s="196"/>
      <c r="AG680" s="196"/>
      <c r="AH680" s="196"/>
    </row>
    <row r="681">
      <c r="A681" s="196"/>
      <c r="B681" s="196"/>
      <c r="C681" s="196"/>
      <c r="D681" s="196"/>
      <c r="E681" s="196"/>
      <c r="F681" s="196"/>
      <c r="G681" s="196"/>
      <c r="H681" s="196"/>
      <c r="I681" s="139"/>
      <c r="J681" s="196"/>
      <c r="K681" s="196"/>
      <c r="L681" s="139"/>
      <c r="M681" s="196"/>
      <c r="N681" s="196"/>
      <c r="O681" s="196"/>
      <c r="P681" s="196"/>
      <c r="Q681" s="196"/>
      <c r="R681" s="196"/>
      <c r="S681" s="196"/>
      <c r="T681" s="196"/>
      <c r="U681" s="196"/>
      <c r="V681" s="196"/>
      <c r="W681" s="196"/>
      <c r="X681" s="196"/>
      <c r="Y681" s="196"/>
      <c r="Z681" s="196"/>
      <c r="AA681" s="196"/>
      <c r="AB681" s="196"/>
      <c r="AC681" s="196"/>
      <c r="AD681" s="196"/>
      <c r="AE681" s="196"/>
      <c r="AF681" s="196"/>
      <c r="AG681" s="196"/>
      <c r="AH681" s="196"/>
    </row>
    <row r="682">
      <c r="A682" s="196"/>
      <c r="B682" s="196"/>
      <c r="C682" s="196"/>
      <c r="D682" s="196"/>
      <c r="E682" s="196"/>
      <c r="F682" s="196"/>
      <c r="G682" s="196"/>
      <c r="H682" s="196"/>
      <c r="I682" s="139"/>
      <c r="J682" s="196"/>
      <c r="K682" s="196"/>
      <c r="L682" s="139"/>
      <c r="M682" s="196"/>
      <c r="N682" s="196"/>
      <c r="O682" s="196"/>
      <c r="P682" s="196"/>
      <c r="Q682" s="196"/>
      <c r="R682" s="196"/>
      <c r="S682" s="196"/>
      <c r="T682" s="196"/>
      <c r="U682" s="196"/>
      <c r="V682" s="196"/>
      <c r="W682" s="196"/>
      <c r="X682" s="196"/>
      <c r="Y682" s="196"/>
      <c r="Z682" s="196"/>
      <c r="AA682" s="196"/>
      <c r="AB682" s="196"/>
      <c r="AC682" s="196"/>
      <c r="AD682" s="196"/>
      <c r="AE682" s="196"/>
      <c r="AF682" s="196"/>
      <c r="AG682" s="196"/>
      <c r="AH682" s="196"/>
    </row>
    <row r="683">
      <c r="A683" s="196"/>
      <c r="B683" s="196"/>
      <c r="C683" s="196"/>
      <c r="D683" s="196"/>
      <c r="E683" s="196"/>
      <c r="F683" s="196"/>
      <c r="G683" s="196"/>
      <c r="H683" s="196"/>
      <c r="I683" s="139"/>
      <c r="J683" s="196"/>
      <c r="K683" s="196"/>
      <c r="L683" s="139"/>
      <c r="M683" s="196"/>
      <c r="N683" s="196"/>
      <c r="O683" s="196"/>
      <c r="P683" s="196"/>
      <c r="Q683" s="196"/>
      <c r="R683" s="196"/>
      <c r="S683" s="196"/>
      <c r="T683" s="196"/>
      <c r="U683" s="196"/>
      <c r="V683" s="196"/>
      <c r="W683" s="196"/>
      <c r="X683" s="196"/>
      <c r="Y683" s="196"/>
      <c r="Z683" s="196"/>
      <c r="AA683" s="196"/>
      <c r="AB683" s="196"/>
      <c r="AC683" s="196"/>
      <c r="AD683" s="196"/>
      <c r="AE683" s="196"/>
      <c r="AF683" s="196"/>
      <c r="AG683" s="196"/>
      <c r="AH683" s="196"/>
    </row>
    <row r="684">
      <c r="A684" s="196"/>
      <c r="B684" s="196"/>
      <c r="C684" s="196"/>
      <c r="D684" s="196"/>
      <c r="E684" s="196"/>
      <c r="F684" s="196"/>
      <c r="G684" s="196"/>
      <c r="H684" s="196"/>
      <c r="I684" s="139"/>
      <c r="J684" s="196"/>
      <c r="K684" s="196"/>
      <c r="L684" s="139"/>
      <c r="M684" s="196"/>
      <c r="N684" s="196"/>
      <c r="O684" s="196"/>
      <c r="P684" s="196"/>
      <c r="Q684" s="196"/>
      <c r="R684" s="196"/>
      <c r="S684" s="196"/>
      <c r="T684" s="196"/>
      <c r="U684" s="196"/>
      <c r="V684" s="196"/>
      <c r="W684" s="196"/>
      <c r="X684" s="196"/>
      <c r="Y684" s="196"/>
      <c r="Z684" s="196"/>
      <c r="AA684" s="196"/>
      <c r="AB684" s="196"/>
      <c r="AC684" s="196"/>
      <c r="AD684" s="196"/>
      <c r="AE684" s="196"/>
      <c r="AF684" s="196"/>
      <c r="AG684" s="196"/>
      <c r="AH684" s="196"/>
    </row>
    <row r="685">
      <c r="A685" s="196"/>
      <c r="B685" s="196"/>
      <c r="C685" s="196"/>
      <c r="D685" s="196"/>
      <c r="E685" s="196"/>
      <c r="F685" s="196"/>
      <c r="G685" s="196"/>
      <c r="H685" s="196"/>
      <c r="I685" s="139"/>
      <c r="J685" s="196"/>
      <c r="K685" s="196"/>
      <c r="L685" s="139"/>
      <c r="M685" s="196"/>
      <c r="N685" s="196"/>
      <c r="O685" s="196"/>
      <c r="P685" s="196"/>
      <c r="Q685" s="196"/>
      <c r="R685" s="196"/>
      <c r="S685" s="196"/>
      <c r="T685" s="196"/>
      <c r="U685" s="196"/>
      <c r="V685" s="196"/>
      <c r="W685" s="196"/>
      <c r="X685" s="196"/>
      <c r="Y685" s="196"/>
      <c r="Z685" s="196"/>
      <c r="AA685" s="196"/>
      <c r="AB685" s="196"/>
      <c r="AC685" s="196"/>
      <c r="AD685" s="196"/>
      <c r="AE685" s="196"/>
      <c r="AF685" s="196"/>
      <c r="AG685" s="196"/>
      <c r="AH685" s="196"/>
    </row>
    <row r="686">
      <c r="A686" s="196"/>
      <c r="B686" s="196"/>
      <c r="C686" s="196"/>
      <c r="D686" s="196"/>
      <c r="E686" s="196"/>
      <c r="F686" s="196"/>
      <c r="G686" s="196"/>
      <c r="H686" s="196"/>
      <c r="I686" s="139"/>
      <c r="J686" s="196"/>
      <c r="K686" s="196"/>
      <c r="L686" s="139"/>
      <c r="M686" s="196"/>
      <c r="N686" s="196"/>
      <c r="O686" s="196"/>
      <c r="P686" s="196"/>
      <c r="Q686" s="196"/>
      <c r="R686" s="196"/>
      <c r="S686" s="196"/>
      <c r="T686" s="196"/>
      <c r="U686" s="196"/>
      <c r="V686" s="196"/>
      <c r="W686" s="196"/>
      <c r="X686" s="196"/>
      <c r="Y686" s="196"/>
      <c r="Z686" s="196"/>
      <c r="AA686" s="196"/>
      <c r="AB686" s="196"/>
      <c r="AC686" s="196"/>
      <c r="AD686" s="196"/>
      <c r="AE686" s="196"/>
      <c r="AF686" s="196"/>
      <c r="AG686" s="196"/>
      <c r="AH686" s="196"/>
    </row>
    <row r="687">
      <c r="A687" s="196"/>
      <c r="B687" s="196"/>
      <c r="C687" s="196"/>
      <c r="D687" s="196"/>
      <c r="E687" s="196"/>
      <c r="F687" s="196"/>
      <c r="G687" s="196"/>
      <c r="H687" s="196"/>
      <c r="I687" s="139"/>
      <c r="J687" s="196"/>
      <c r="K687" s="196"/>
      <c r="L687" s="139"/>
      <c r="M687" s="196"/>
      <c r="N687" s="196"/>
      <c r="O687" s="196"/>
      <c r="P687" s="196"/>
      <c r="Q687" s="196"/>
      <c r="R687" s="196"/>
      <c r="S687" s="196"/>
      <c r="T687" s="196"/>
      <c r="U687" s="196"/>
      <c r="V687" s="196"/>
      <c r="W687" s="196"/>
      <c r="X687" s="196"/>
      <c r="Y687" s="196"/>
      <c r="Z687" s="196"/>
      <c r="AA687" s="196"/>
      <c r="AB687" s="196"/>
      <c r="AC687" s="196"/>
      <c r="AD687" s="196"/>
      <c r="AE687" s="196"/>
      <c r="AF687" s="196"/>
      <c r="AG687" s="196"/>
      <c r="AH687" s="196"/>
    </row>
    <row r="688">
      <c r="A688" s="196"/>
      <c r="B688" s="196"/>
      <c r="C688" s="196"/>
      <c r="D688" s="196"/>
      <c r="E688" s="196"/>
      <c r="F688" s="196"/>
      <c r="G688" s="196"/>
      <c r="H688" s="196"/>
      <c r="I688" s="139"/>
      <c r="J688" s="196"/>
      <c r="K688" s="196"/>
      <c r="L688" s="139"/>
      <c r="M688" s="196"/>
      <c r="N688" s="196"/>
      <c r="O688" s="196"/>
      <c r="P688" s="196"/>
      <c r="Q688" s="196"/>
      <c r="R688" s="196"/>
      <c r="S688" s="196"/>
      <c r="T688" s="196"/>
      <c r="U688" s="196"/>
      <c r="V688" s="196"/>
      <c r="W688" s="196"/>
      <c r="X688" s="196"/>
      <c r="Y688" s="196"/>
      <c r="Z688" s="196"/>
      <c r="AA688" s="196"/>
      <c r="AB688" s="196"/>
      <c r="AC688" s="196"/>
      <c r="AD688" s="196"/>
      <c r="AE688" s="196"/>
      <c r="AF688" s="196"/>
      <c r="AG688" s="196"/>
      <c r="AH688" s="196"/>
    </row>
    <row r="689">
      <c r="A689" s="196"/>
      <c r="B689" s="196"/>
      <c r="C689" s="196"/>
      <c r="D689" s="196"/>
      <c r="E689" s="196"/>
      <c r="F689" s="196"/>
      <c r="G689" s="196"/>
      <c r="H689" s="196"/>
      <c r="I689" s="139"/>
      <c r="J689" s="196"/>
      <c r="K689" s="196"/>
      <c r="L689" s="139"/>
      <c r="M689" s="196"/>
      <c r="N689" s="196"/>
      <c r="O689" s="196"/>
      <c r="P689" s="196"/>
      <c r="Q689" s="196"/>
      <c r="R689" s="196"/>
      <c r="S689" s="196"/>
      <c r="T689" s="196"/>
      <c r="U689" s="196"/>
      <c r="V689" s="196"/>
      <c r="W689" s="196"/>
      <c r="X689" s="196"/>
      <c r="Y689" s="196"/>
      <c r="Z689" s="196"/>
      <c r="AA689" s="196"/>
      <c r="AB689" s="196"/>
      <c r="AC689" s="196"/>
      <c r="AD689" s="196"/>
      <c r="AE689" s="196"/>
      <c r="AF689" s="196"/>
      <c r="AG689" s="196"/>
      <c r="AH689" s="196"/>
    </row>
    <row r="690">
      <c r="A690" s="196"/>
      <c r="B690" s="196"/>
      <c r="C690" s="196"/>
      <c r="D690" s="196"/>
      <c r="E690" s="196"/>
      <c r="F690" s="196"/>
      <c r="G690" s="196"/>
      <c r="H690" s="196"/>
      <c r="I690" s="139"/>
      <c r="J690" s="196"/>
      <c r="K690" s="196"/>
      <c r="L690" s="139"/>
      <c r="M690" s="196"/>
      <c r="N690" s="196"/>
      <c r="O690" s="196"/>
      <c r="P690" s="196"/>
      <c r="Q690" s="196"/>
      <c r="R690" s="196"/>
      <c r="S690" s="196"/>
      <c r="T690" s="196"/>
      <c r="U690" s="196"/>
      <c r="V690" s="196"/>
      <c r="W690" s="196"/>
      <c r="X690" s="196"/>
      <c r="Y690" s="196"/>
      <c r="Z690" s="196"/>
      <c r="AA690" s="196"/>
      <c r="AB690" s="196"/>
      <c r="AC690" s="196"/>
      <c r="AD690" s="196"/>
      <c r="AE690" s="196"/>
      <c r="AF690" s="196"/>
      <c r="AG690" s="196"/>
      <c r="AH690" s="196"/>
    </row>
    <row r="691">
      <c r="A691" s="196"/>
      <c r="B691" s="196"/>
      <c r="C691" s="196"/>
      <c r="D691" s="196"/>
      <c r="E691" s="196"/>
      <c r="F691" s="196"/>
      <c r="G691" s="196"/>
      <c r="H691" s="196"/>
      <c r="I691" s="139"/>
      <c r="J691" s="196"/>
      <c r="K691" s="196"/>
      <c r="L691" s="139"/>
      <c r="M691" s="196"/>
      <c r="N691" s="196"/>
      <c r="O691" s="196"/>
      <c r="P691" s="196"/>
      <c r="Q691" s="196"/>
      <c r="R691" s="196"/>
      <c r="S691" s="196"/>
      <c r="T691" s="196"/>
      <c r="U691" s="196"/>
      <c r="V691" s="196"/>
      <c r="W691" s="196"/>
      <c r="X691" s="196"/>
      <c r="Y691" s="196"/>
      <c r="Z691" s="196"/>
      <c r="AA691" s="196"/>
      <c r="AB691" s="196"/>
      <c r="AC691" s="196"/>
      <c r="AD691" s="196"/>
      <c r="AE691" s="196"/>
      <c r="AF691" s="196"/>
      <c r="AG691" s="196"/>
      <c r="AH691" s="196"/>
    </row>
    <row r="692">
      <c r="A692" s="196"/>
      <c r="B692" s="196"/>
      <c r="C692" s="196"/>
      <c r="D692" s="196"/>
      <c r="E692" s="196"/>
      <c r="F692" s="196"/>
      <c r="G692" s="196"/>
      <c r="H692" s="196"/>
      <c r="I692" s="139"/>
      <c r="J692" s="196"/>
      <c r="K692" s="196"/>
      <c r="L692" s="139"/>
      <c r="M692" s="196"/>
      <c r="N692" s="196"/>
      <c r="O692" s="196"/>
      <c r="P692" s="196"/>
      <c r="Q692" s="196"/>
      <c r="R692" s="196"/>
      <c r="S692" s="196"/>
      <c r="T692" s="196"/>
      <c r="U692" s="196"/>
      <c r="V692" s="196"/>
      <c r="W692" s="196"/>
      <c r="X692" s="196"/>
      <c r="Y692" s="196"/>
      <c r="Z692" s="196"/>
      <c r="AA692" s="196"/>
      <c r="AB692" s="196"/>
      <c r="AC692" s="196"/>
      <c r="AD692" s="196"/>
      <c r="AE692" s="196"/>
      <c r="AF692" s="196"/>
      <c r="AG692" s="196"/>
      <c r="AH692" s="196"/>
    </row>
    <row r="693">
      <c r="A693" s="196"/>
      <c r="B693" s="196"/>
      <c r="C693" s="196"/>
      <c r="D693" s="196"/>
      <c r="E693" s="196"/>
      <c r="F693" s="196"/>
      <c r="G693" s="196"/>
      <c r="H693" s="196"/>
      <c r="I693" s="139"/>
      <c r="J693" s="196"/>
      <c r="K693" s="196"/>
      <c r="L693" s="139"/>
      <c r="M693" s="196"/>
      <c r="N693" s="196"/>
      <c r="O693" s="196"/>
      <c r="P693" s="196"/>
      <c r="Q693" s="196"/>
      <c r="R693" s="196"/>
      <c r="S693" s="196"/>
      <c r="T693" s="196"/>
      <c r="U693" s="196"/>
      <c r="V693" s="196"/>
      <c r="W693" s="196"/>
      <c r="X693" s="196"/>
      <c r="Y693" s="196"/>
      <c r="Z693" s="196"/>
      <c r="AA693" s="196"/>
      <c r="AB693" s="196"/>
      <c r="AC693" s="196"/>
      <c r="AD693" s="196"/>
      <c r="AE693" s="196"/>
      <c r="AF693" s="196"/>
      <c r="AG693" s="196"/>
      <c r="AH693" s="196"/>
    </row>
    <row r="694">
      <c r="A694" s="196"/>
      <c r="B694" s="196"/>
      <c r="C694" s="196"/>
      <c r="D694" s="196"/>
      <c r="E694" s="196"/>
      <c r="F694" s="196"/>
      <c r="G694" s="196"/>
      <c r="H694" s="196"/>
      <c r="I694" s="139"/>
      <c r="J694" s="196"/>
      <c r="K694" s="196"/>
      <c r="L694" s="139"/>
      <c r="M694" s="196"/>
      <c r="N694" s="196"/>
      <c r="O694" s="196"/>
      <c r="P694" s="196"/>
      <c r="Q694" s="196"/>
      <c r="R694" s="196"/>
      <c r="S694" s="196"/>
      <c r="T694" s="196"/>
      <c r="U694" s="196"/>
      <c r="V694" s="196"/>
      <c r="W694" s="196"/>
      <c r="X694" s="196"/>
      <c r="Y694" s="196"/>
      <c r="Z694" s="196"/>
      <c r="AA694" s="196"/>
      <c r="AB694" s="196"/>
      <c r="AC694" s="196"/>
      <c r="AD694" s="196"/>
      <c r="AE694" s="196"/>
      <c r="AF694" s="196"/>
      <c r="AG694" s="196"/>
      <c r="AH694" s="196"/>
    </row>
    <row r="695">
      <c r="A695" s="196"/>
      <c r="B695" s="196"/>
      <c r="C695" s="196"/>
      <c r="D695" s="196"/>
      <c r="E695" s="196"/>
      <c r="F695" s="196"/>
      <c r="G695" s="196"/>
      <c r="H695" s="196"/>
      <c r="I695" s="139"/>
      <c r="J695" s="196"/>
      <c r="K695" s="196"/>
      <c r="L695" s="139"/>
      <c r="M695" s="196"/>
      <c r="N695" s="196"/>
      <c r="O695" s="196"/>
      <c r="P695" s="196"/>
      <c r="Q695" s="196"/>
      <c r="R695" s="196"/>
      <c r="S695" s="196"/>
      <c r="T695" s="196"/>
      <c r="U695" s="196"/>
      <c r="V695" s="196"/>
      <c r="W695" s="196"/>
      <c r="X695" s="196"/>
      <c r="Y695" s="196"/>
      <c r="Z695" s="196"/>
      <c r="AA695" s="196"/>
      <c r="AB695" s="196"/>
      <c r="AC695" s="196"/>
      <c r="AD695" s="196"/>
      <c r="AE695" s="196"/>
      <c r="AF695" s="196"/>
      <c r="AG695" s="196"/>
      <c r="AH695" s="196"/>
    </row>
    <row r="696">
      <c r="A696" s="196"/>
      <c r="B696" s="196"/>
      <c r="C696" s="196"/>
      <c r="D696" s="196"/>
      <c r="E696" s="196"/>
      <c r="F696" s="196"/>
      <c r="G696" s="196"/>
      <c r="H696" s="196"/>
      <c r="I696" s="139"/>
      <c r="J696" s="196"/>
      <c r="K696" s="196"/>
      <c r="L696" s="139"/>
      <c r="M696" s="196"/>
      <c r="N696" s="196"/>
      <c r="O696" s="196"/>
      <c r="P696" s="196"/>
      <c r="Q696" s="196"/>
      <c r="R696" s="196"/>
      <c r="S696" s="196"/>
      <c r="T696" s="196"/>
      <c r="U696" s="196"/>
      <c r="V696" s="196"/>
      <c r="W696" s="196"/>
      <c r="X696" s="196"/>
      <c r="Y696" s="196"/>
      <c r="Z696" s="196"/>
      <c r="AA696" s="196"/>
      <c r="AB696" s="196"/>
      <c r="AC696" s="196"/>
      <c r="AD696" s="196"/>
      <c r="AE696" s="196"/>
      <c r="AF696" s="196"/>
      <c r="AG696" s="196"/>
      <c r="AH696" s="196"/>
    </row>
    <row r="697">
      <c r="A697" s="196"/>
      <c r="B697" s="196"/>
      <c r="C697" s="196"/>
      <c r="D697" s="196"/>
      <c r="E697" s="196"/>
      <c r="F697" s="196"/>
      <c r="G697" s="196"/>
      <c r="H697" s="196"/>
      <c r="I697" s="139"/>
      <c r="J697" s="196"/>
      <c r="K697" s="196"/>
      <c r="L697" s="139"/>
      <c r="M697" s="196"/>
      <c r="N697" s="196"/>
      <c r="O697" s="196"/>
      <c r="P697" s="196"/>
      <c r="Q697" s="196"/>
      <c r="R697" s="196"/>
      <c r="S697" s="196"/>
      <c r="T697" s="196"/>
      <c r="U697" s="196"/>
      <c r="V697" s="196"/>
      <c r="W697" s="196"/>
      <c r="X697" s="196"/>
      <c r="Y697" s="196"/>
      <c r="Z697" s="196"/>
      <c r="AA697" s="196"/>
      <c r="AB697" s="196"/>
      <c r="AC697" s="196"/>
      <c r="AD697" s="196"/>
      <c r="AE697" s="196"/>
      <c r="AF697" s="196"/>
      <c r="AG697" s="196"/>
      <c r="AH697" s="196"/>
    </row>
    <row r="698">
      <c r="A698" s="196"/>
      <c r="B698" s="196"/>
      <c r="C698" s="196"/>
      <c r="D698" s="196"/>
      <c r="E698" s="196"/>
      <c r="F698" s="196"/>
      <c r="G698" s="196"/>
      <c r="H698" s="196"/>
      <c r="I698" s="139"/>
      <c r="J698" s="196"/>
      <c r="K698" s="196"/>
      <c r="L698" s="139"/>
      <c r="M698" s="196"/>
      <c r="N698" s="196"/>
      <c r="O698" s="196"/>
      <c r="P698" s="196"/>
      <c r="Q698" s="196"/>
      <c r="R698" s="196"/>
      <c r="S698" s="196"/>
      <c r="T698" s="196"/>
      <c r="U698" s="196"/>
      <c r="V698" s="196"/>
      <c r="W698" s="196"/>
      <c r="X698" s="196"/>
      <c r="Y698" s="196"/>
      <c r="Z698" s="196"/>
      <c r="AA698" s="196"/>
      <c r="AB698" s="196"/>
      <c r="AC698" s="196"/>
      <c r="AD698" s="196"/>
      <c r="AE698" s="196"/>
      <c r="AF698" s="196"/>
      <c r="AG698" s="196"/>
      <c r="AH698" s="196"/>
    </row>
    <row r="699">
      <c r="A699" s="196"/>
      <c r="B699" s="196"/>
      <c r="C699" s="196"/>
      <c r="D699" s="196"/>
      <c r="E699" s="196"/>
      <c r="F699" s="196"/>
      <c r="G699" s="196"/>
      <c r="H699" s="196"/>
      <c r="I699" s="139"/>
      <c r="J699" s="196"/>
      <c r="K699" s="196"/>
      <c r="L699" s="139"/>
      <c r="M699" s="196"/>
      <c r="N699" s="196"/>
      <c r="O699" s="196"/>
      <c r="P699" s="196"/>
      <c r="Q699" s="196"/>
      <c r="R699" s="196"/>
      <c r="S699" s="196"/>
      <c r="T699" s="196"/>
      <c r="U699" s="196"/>
      <c r="V699" s="196"/>
      <c r="W699" s="196"/>
      <c r="X699" s="196"/>
      <c r="Y699" s="196"/>
      <c r="Z699" s="196"/>
      <c r="AA699" s="196"/>
      <c r="AB699" s="196"/>
      <c r="AC699" s="196"/>
      <c r="AD699" s="196"/>
      <c r="AE699" s="196"/>
      <c r="AF699" s="196"/>
      <c r="AG699" s="196"/>
      <c r="AH699" s="196"/>
    </row>
    <row r="700">
      <c r="A700" s="196"/>
      <c r="B700" s="196"/>
      <c r="C700" s="196"/>
      <c r="D700" s="196"/>
      <c r="E700" s="196"/>
      <c r="F700" s="196"/>
      <c r="G700" s="196"/>
      <c r="H700" s="196"/>
      <c r="I700" s="139"/>
      <c r="J700" s="196"/>
      <c r="K700" s="196"/>
      <c r="L700" s="139"/>
      <c r="M700" s="196"/>
      <c r="N700" s="196"/>
      <c r="O700" s="196"/>
      <c r="P700" s="196"/>
      <c r="Q700" s="196"/>
      <c r="R700" s="196"/>
      <c r="S700" s="196"/>
      <c r="T700" s="196"/>
      <c r="U700" s="196"/>
      <c r="V700" s="196"/>
      <c r="W700" s="196"/>
      <c r="X700" s="196"/>
      <c r="Y700" s="196"/>
      <c r="Z700" s="196"/>
      <c r="AA700" s="196"/>
      <c r="AB700" s="196"/>
      <c r="AC700" s="196"/>
      <c r="AD700" s="196"/>
      <c r="AE700" s="196"/>
      <c r="AF700" s="196"/>
      <c r="AG700" s="196"/>
      <c r="AH700" s="196"/>
    </row>
    <row r="701">
      <c r="A701" s="196"/>
      <c r="B701" s="196"/>
      <c r="C701" s="196"/>
      <c r="D701" s="196"/>
      <c r="E701" s="196"/>
      <c r="F701" s="196"/>
      <c r="G701" s="196"/>
      <c r="H701" s="196"/>
      <c r="I701" s="139"/>
      <c r="J701" s="196"/>
      <c r="K701" s="196"/>
      <c r="L701" s="139"/>
      <c r="M701" s="196"/>
      <c r="N701" s="196"/>
      <c r="O701" s="196"/>
      <c r="P701" s="196"/>
      <c r="Q701" s="196"/>
      <c r="R701" s="196"/>
      <c r="S701" s="196"/>
      <c r="T701" s="196"/>
      <c r="U701" s="196"/>
      <c r="V701" s="196"/>
      <c r="W701" s="196"/>
      <c r="X701" s="196"/>
      <c r="Y701" s="196"/>
      <c r="Z701" s="196"/>
      <c r="AA701" s="196"/>
      <c r="AB701" s="196"/>
      <c r="AC701" s="196"/>
      <c r="AD701" s="196"/>
      <c r="AE701" s="196"/>
      <c r="AF701" s="196"/>
      <c r="AG701" s="196"/>
      <c r="AH701" s="196"/>
    </row>
    <row r="702">
      <c r="A702" s="196"/>
      <c r="B702" s="196"/>
      <c r="C702" s="196"/>
      <c r="D702" s="196"/>
      <c r="E702" s="196"/>
      <c r="F702" s="196"/>
      <c r="G702" s="196"/>
      <c r="H702" s="196"/>
      <c r="I702" s="139"/>
      <c r="J702" s="196"/>
      <c r="K702" s="196"/>
      <c r="L702" s="139"/>
      <c r="M702" s="196"/>
      <c r="N702" s="196"/>
      <c r="O702" s="196"/>
      <c r="P702" s="196"/>
      <c r="Q702" s="196"/>
      <c r="R702" s="196"/>
      <c r="S702" s="196"/>
      <c r="T702" s="196"/>
      <c r="U702" s="196"/>
      <c r="V702" s="196"/>
      <c r="W702" s="196"/>
      <c r="X702" s="196"/>
      <c r="Y702" s="196"/>
      <c r="Z702" s="196"/>
      <c r="AA702" s="196"/>
      <c r="AB702" s="196"/>
      <c r="AC702" s="196"/>
      <c r="AD702" s="196"/>
      <c r="AE702" s="196"/>
      <c r="AF702" s="196"/>
      <c r="AG702" s="196"/>
      <c r="AH702" s="196"/>
    </row>
    <row r="703">
      <c r="A703" s="196"/>
      <c r="B703" s="196"/>
      <c r="C703" s="196"/>
      <c r="D703" s="196"/>
      <c r="E703" s="196"/>
      <c r="F703" s="196"/>
      <c r="G703" s="196"/>
      <c r="H703" s="196"/>
      <c r="I703" s="139"/>
      <c r="J703" s="196"/>
      <c r="K703" s="196"/>
      <c r="L703" s="139"/>
      <c r="M703" s="196"/>
      <c r="N703" s="196"/>
      <c r="O703" s="196"/>
      <c r="P703" s="196"/>
      <c r="Q703" s="196"/>
      <c r="R703" s="196"/>
      <c r="S703" s="196"/>
      <c r="T703" s="196"/>
      <c r="U703" s="196"/>
      <c r="V703" s="196"/>
      <c r="W703" s="196"/>
      <c r="X703" s="196"/>
      <c r="Y703" s="196"/>
      <c r="Z703" s="196"/>
      <c r="AA703" s="196"/>
      <c r="AB703" s="196"/>
      <c r="AC703" s="196"/>
      <c r="AD703" s="196"/>
      <c r="AE703" s="196"/>
      <c r="AF703" s="196"/>
      <c r="AG703" s="196"/>
      <c r="AH703" s="196"/>
    </row>
    <row r="704">
      <c r="A704" s="196"/>
      <c r="B704" s="196"/>
      <c r="C704" s="196"/>
      <c r="D704" s="196"/>
      <c r="E704" s="196"/>
      <c r="F704" s="196"/>
      <c r="G704" s="196"/>
      <c r="H704" s="196"/>
      <c r="I704" s="139"/>
      <c r="J704" s="196"/>
      <c r="K704" s="196"/>
      <c r="L704" s="139"/>
      <c r="M704" s="196"/>
      <c r="N704" s="196"/>
      <c r="O704" s="196"/>
      <c r="P704" s="196"/>
      <c r="Q704" s="196"/>
      <c r="R704" s="196"/>
      <c r="S704" s="196"/>
      <c r="T704" s="196"/>
      <c r="U704" s="196"/>
      <c r="V704" s="196"/>
      <c r="W704" s="196"/>
      <c r="X704" s="196"/>
      <c r="Y704" s="196"/>
      <c r="Z704" s="196"/>
      <c r="AA704" s="196"/>
      <c r="AB704" s="196"/>
      <c r="AC704" s="196"/>
      <c r="AD704" s="196"/>
      <c r="AE704" s="196"/>
      <c r="AF704" s="196"/>
      <c r="AG704" s="196"/>
      <c r="AH704" s="196"/>
    </row>
    <row r="705">
      <c r="A705" s="196"/>
      <c r="B705" s="196"/>
      <c r="C705" s="196"/>
      <c r="D705" s="196"/>
      <c r="E705" s="196"/>
      <c r="F705" s="196"/>
      <c r="G705" s="196"/>
      <c r="H705" s="196"/>
      <c r="I705" s="139"/>
      <c r="J705" s="196"/>
      <c r="K705" s="196"/>
      <c r="L705" s="139"/>
      <c r="M705" s="196"/>
      <c r="N705" s="196"/>
      <c r="O705" s="196"/>
      <c r="P705" s="196"/>
      <c r="Q705" s="196"/>
      <c r="R705" s="196"/>
      <c r="S705" s="196"/>
      <c r="T705" s="196"/>
      <c r="U705" s="196"/>
      <c r="V705" s="196"/>
      <c r="W705" s="196"/>
      <c r="X705" s="196"/>
      <c r="Y705" s="196"/>
      <c r="Z705" s="196"/>
      <c r="AA705" s="196"/>
      <c r="AB705" s="196"/>
      <c r="AC705" s="196"/>
      <c r="AD705" s="196"/>
      <c r="AE705" s="196"/>
      <c r="AF705" s="196"/>
      <c r="AG705" s="196"/>
      <c r="AH705" s="196"/>
    </row>
    <row r="706">
      <c r="A706" s="196"/>
      <c r="B706" s="196"/>
      <c r="C706" s="196"/>
      <c r="D706" s="196"/>
      <c r="E706" s="196"/>
      <c r="F706" s="196"/>
      <c r="G706" s="196"/>
      <c r="H706" s="196"/>
      <c r="I706" s="139"/>
      <c r="J706" s="196"/>
      <c r="K706" s="196"/>
      <c r="L706" s="139"/>
      <c r="M706" s="196"/>
      <c r="N706" s="196"/>
      <c r="O706" s="196"/>
      <c r="P706" s="196"/>
      <c r="Q706" s="196"/>
      <c r="R706" s="196"/>
      <c r="S706" s="196"/>
      <c r="T706" s="196"/>
      <c r="U706" s="196"/>
      <c r="V706" s="196"/>
      <c r="W706" s="196"/>
      <c r="X706" s="196"/>
      <c r="Y706" s="196"/>
      <c r="Z706" s="196"/>
      <c r="AA706" s="196"/>
      <c r="AB706" s="196"/>
      <c r="AC706" s="196"/>
      <c r="AD706" s="196"/>
      <c r="AE706" s="196"/>
      <c r="AF706" s="196"/>
      <c r="AG706" s="196"/>
      <c r="AH706" s="196"/>
    </row>
    <row r="707">
      <c r="A707" s="196"/>
      <c r="B707" s="196"/>
      <c r="C707" s="196"/>
      <c r="D707" s="196"/>
      <c r="E707" s="196"/>
      <c r="F707" s="196"/>
      <c r="G707" s="196"/>
      <c r="H707" s="196"/>
      <c r="I707" s="139"/>
      <c r="J707" s="196"/>
      <c r="K707" s="196"/>
      <c r="L707" s="139"/>
      <c r="M707" s="196"/>
      <c r="N707" s="196"/>
      <c r="O707" s="196"/>
      <c r="P707" s="196"/>
      <c r="Q707" s="196"/>
      <c r="R707" s="196"/>
      <c r="S707" s="196"/>
      <c r="T707" s="196"/>
      <c r="U707" s="196"/>
      <c r="V707" s="196"/>
      <c r="W707" s="196"/>
      <c r="X707" s="196"/>
      <c r="Y707" s="196"/>
      <c r="Z707" s="196"/>
      <c r="AA707" s="196"/>
      <c r="AB707" s="196"/>
      <c r="AC707" s="196"/>
      <c r="AD707" s="196"/>
      <c r="AE707" s="196"/>
      <c r="AF707" s="196"/>
      <c r="AG707" s="196"/>
      <c r="AH707" s="196"/>
    </row>
    <row r="708">
      <c r="A708" s="196"/>
      <c r="B708" s="196"/>
      <c r="C708" s="196"/>
      <c r="D708" s="196"/>
      <c r="E708" s="196"/>
      <c r="F708" s="196"/>
      <c r="G708" s="196"/>
      <c r="H708" s="196"/>
      <c r="I708" s="139"/>
      <c r="J708" s="196"/>
      <c r="K708" s="196"/>
      <c r="L708" s="139"/>
      <c r="M708" s="196"/>
      <c r="N708" s="196"/>
      <c r="O708" s="196"/>
      <c r="P708" s="196"/>
      <c r="Q708" s="196"/>
      <c r="R708" s="196"/>
      <c r="S708" s="196"/>
      <c r="T708" s="196"/>
      <c r="U708" s="196"/>
      <c r="V708" s="196"/>
      <c r="W708" s="196"/>
      <c r="X708" s="196"/>
      <c r="Y708" s="196"/>
      <c r="Z708" s="196"/>
      <c r="AA708" s="196"/>
      <c r="AB708" s="196"/>
      <c r="AC708" s="196"/>
      <c r="AD708" s="196"/>
      <c r="AE708" s="196"/>
      <c r="AF708" s="196"/>
      <c r="AG708" s="196"/>
      <c r="AH708" s="196"/>
    </row>
    <row r="709">
      <c r="A709" s="196"/>
      <c r="B709" s="196"/>
      <c r="C709" s="196"/>
      <c r="D709" s="196"/>
      <c r="E709" s="196"/>
      <c r="F709" s="196"/>
      <c r="G709" s="196"/>
      <c r="H709" s="196"/>
      <c r="I709" s="139"/>
      <c r="J709" s="196"/>
      <c r="K709" s="196"/>
      <c r="L709" s="139"/>
      <c r="M709" s="196"/>
      <c r="N709" s="196"/>
      <c r="O709" s="196"/>
      <c r="P709" s="196"/>
      <c r="Q709" s="196"/>
      <c r="R709" s="196"/>
      <c r="S709" s="196"/>
      <c r="T709" s="196"/>
      <c r="U709" s="196"/>
      <c r="V709" s="196"/>
      <c r="W709" s="196"/>
      <c r="X709" s="196"/>
      <c r="Y709" s="196"/>
      <c r="Z709" s="196"/>
      <c r="AA709" s="196"/>
      <c r="AB709" s="196"/>
      <c r="AC709" s="196"/>
      <c r="AD709" s="196"/>
      <c r="AE709" s="196"/>
      <c r="AF709" s="196"/>
      <c r="AG709" s="196"/>
      <c r="AH709" s="196"/>
    </row>
    <row r="710">
      <c r="A710" s="196"/>
      <c r="B710" s="196"/>
      <c r="C710" s="196"/>
      <c r="D710" s="196"/>
      <c r="E710" s="196"/>
      <c r="F710" s="196"/>
      <c r="G710" s="196"/>
      <c r="H710" s="196"/>
      <c r="I710" s="139"/>
      <c r="J710" s="196"/>
      <c r="K710" s="196"/>
      <c r="L710" s="139"/>
      <c r="M710" s="196"/>
      <c r="N710" s="196"/>
      <c r="O710" s="196"/>
      <c r="P710" s="196"/>
      <c r="Q710" s="196"/>
      <c r="R710" s="196"/>
      <c r="S710" s="196"/>
      <c r="T710" s="196"/>
      <c r="U710" s="196"/>
      <c r="V710" s="196"/>
      <c r="W710" s="196"/>
      <c r="X710" s="196"/>
      <c r="Y710" s="196"/>
      <c r="Z710" s="196"/>
      <c r="AA710" s="196"/>
      <c r="AB710" s="196"/>
      <c r="AC710" s="196"/>
      <c r="AD710" s="196"/>
      <c r="AE710" s="196"/>
      <c r="AF710" s="196"/>
      <c r="AG710" s="196"/>
      <c r="AH710" s="196"/>
    </row>
    <row r="711">
      <c r="A711" s="196"/>
      <c r="B711" s="196"/>
      <c r="C711" s="196"/>
      <c r="D711" s="196"/>
      <c r="E711" s="196"/>
      <c r="F711" s="196"/>
      <c r="G711" s="196"/>
      <c r="H711" s="196"/>
      <c r="I711" s="139"/>
      <c r="J711" s="196"/>
      <c r="K711" s="196"/>
      <c r="L711" s="139"/>
      <c r="M711" s="196"/>
      <c r="N711" s="196"/>
      <c r="O711" s="196"/>
      <c r="P711" s="196"/>
      <c r="Q711" s="196"/>
      <c r="R711" s="196"/>
      <c r="S711" s="196"/>
      <c r="T711" s="196"/>
      <c r="U711" s="196"/>
      <c r="V711" s="196"/>
      <c r="W711" s="196"/>
      <c r="X711" s="196"/>
      <c r="Y711" s="196"/>
      <c r="Z711" s="196"/>
      <c r="AA711" s="196"/>
      <c r="AB711" s="196"/>
      <c r="AC711" s="196"/>
      <c r="AD711" s="196"/>
      <c r="AE711" s="196"/>
      <c r="AF711" s="196"/>
      <c r="AG711" s="196"/>
      <c r="AH711" s="196"/>
    </row>
    <row r="712">
      <c r="A712" s="196"/>
      <c r="B712" s="196"/>
      <c r="C712" s="196"/>
      <c r="D712" s="196"/>
      <c r="E712" s="196"/>
      <c r="F712" s="196"/>
      <c r="G712" s="196"/>
      <c r="H712" s="196"/>
      <c r="I712" s="139"/>
      <c r="J712" s="196"/>
      <c r="K712" s="196"/>
      <c r="L712" s="139"/>
      <c r="M712" s="196"/>
      <c r="N712" s="196"/>
      <c r="O712" s="196"/>
      <c r="P712" s="196"/>
      <c r="Q712" s="196"/>
      <c r="R712" s="196"/>
      <c r="S712" s="196"/>
      <c r="T712" s="196"/>
      <c r="U712" s="196"/>
      <c r="V712" s="196"/>
      <c r="W712" s="196"/>
      <c r="X712" s="196"/>
      <c r="Y712" s="196"/>
      <c r="Z712" s="196"/>
      <c r="AA712" s="196"/>
      <c r="AB712" s="196"/>
      <c r="AC712" s="196"/>
      <c r="AD712" s="196"/>
      <c r="AE712" s="196"/>
      <c r="AF712" s="196"/>
      <c r="AG712" s="196"/>
      <c r="AH712" s="196"/>
    </row>
    <row r="713">
      <c r="A713" s="196"/>
      <c r="B713" s="196"/>
      <c r="C713" s="196"/>
      <c r="D713" s="196"/>
      <c r="E713" s="196"/>
      <c r="F713" s="196"/>
      <c r="G713" s="196"/>
      <c r="H713" s="196"/>
      <c r="I713" s="139"/>
      <c r="J713" s="196"/>
      <c r="K713" s="196"/>
      <c r="L713" s="139"/>
      <c r="M713" s="196"/>
      <c r="N713" s="196"/>
      <c r="O713" s="196"/>
      <c r="P713" s="196"/>
      <c r="Q713" s="196"/>
      <c r="R713" s="196"/>
      <c r="S713" s="196"/>
      <c r="T713" s="196"/>
      <c r="U713" s="196"/>
      <c r="V713" s="196"/>
      <c r="W713" s="196"/>
      <c r="X713" s="196"/>
      <c r="Y713" s="196"/>
      <c r="Z713" s="196"/>
      <c r="AA713" s="196"/>
      <c r="AB713" s="196"/>
      <c r="AC713" s="196"/>
      <c r="AD713" s="196"/>
      <c r="AE713" s="196"/>
      <c r="AF713" s="196"/>
      <c r="AG713" s="196"/>
      <c r="AH713" s="196"/>
    </row>
    <row r="714">
      <c r="A714" s="196"/>
      <c r="B714" s="196"/>
      <c r="C714" s="196"/>
      <c r="D714" s="196"/>
      <c r="E714" s="196"/>
      <c r="F714" s="196"/>
      <c r="G714" s="196"/>
      <c r="H714" s="196"/>
      <c r="I714" s="139"/>
      <c r="J714" s="196"/>
      <c r="K714" s="196"/>
      <c r="L714" s="139"/>
      <c r="M714" s="196"/>
      <c r="N714" s="196"/>
      <c r="O714" s="196"/>
      <c r="P714" s="196"/>
      <c r="Q714" s="196"/>
      <c r="R714" s="196"/>
      <c r="S714" s="196"/>
      <c r="T714" s="196"/>
      <c r="U714" s="196"/>
      <c r="V714" s="196"/>
      <c r="W714" s="196"/>
      <c r="X714" s="196"/>
      <c r="Y714" s="196"/>
      <c r="Z714" s="196"/>
      <c r="AA714" s="196"/>
      <c r="AB714" s="196"/>
      <c r="AC714" s="196"/>
      <c r="AD714" s="196"/>
      <c r="AE714" s="196"/>
      <c r="AF714" s="196"/>
      <c r="AG714" s="196"/>
      <c r="AH714" s="196"/>
    </row>
    <row r="715">
      <c r="A715" s="196"/>
      <c r="B715" s="196"/>
      <c r="C715" s="196"/>
      <c r="D715" s="196"/>
      <c r="E715" s="196"/>
      <c r="F715" s="196"/>
      <c r="G715" s="196"/>
      <c r="H715" s="196"/>
      <c r="I715" s="139"/>
      <c r="J715" s="196"/>
      <c r="K715" s="196"/>
      <c r="L715" s="139"/>
      <c r="M715" s="196"/>
      <c r="N715" s="196"/>
      <c r="O715" s="196"/>
      <c r="P715" s="196"/>
      <c r="Q715" s="196"/>
      <c r="R715" s="196"/>
      <c r="S715" s="196"/>
      <c r="T715" s="196"/>
      <c r="U715" s="196"/>
      <c r="V715" s="196"/>
      <c r="W715" s="196"/>
      <c r="X715" s="196"/>
      <c r="Y715" s="196"/>
      <c r="Z715" s="196"/>
      <c r="AA715" s="196"/>
      <c r="AB715" s="196"/>
      <c r="AC715" s="196"/>
      <c r="AD715" s="196"/>
      <c r="AE715" s="196"/>
      <c r="AF715" s="196"/>
      <c r="AG715" s="196"/>
      <c r="AH715" s="196"/>
    </row>
    <row r="716">
      <c r="A716" s="196"/>
      <c r="B716" s="196"/>
      <c r="C716" s="196"/>
      <c r="D716" s="196"/>
      <c r="E716" s="196"/>
      <c r="F716" s="196"/>
      <c r="G716" s="196"/>
      <c r="H716" s="196"/>
      <c r="I716" s="139"/>
      <c r="J716" s="196"/>
      <c r="K716" s="196"/>
      <c r="L716" s="139"/>
      <c r="M716" s="196"/>
      <c r="N716" s="196"/>
      <c r="O716" s="196"/>
      <c r="P716" s="196"/>
      <c r="Q716" s="196"/>
      <c r="R716" s="196"/>
      <c r="S716" s="196"/>
      <c r="T716" s="196"/>
      <c r="U716" s="196"/>
      <c r="V716" s="196"/>
      <c r="W716" s="196"/>
      <c r="X716" s="196"/>
      <c r="Y716" s="196"/>
      <c r="Z716" s="196"/>
      <c r="AA716" s="196"/>
      <c r="AB716" s="196"/>
      <c r="AC716" s="196"/>
      <c r="AD716" s="196"/>
      <c r="AE716" s="196"/>
      <c r="AF716" s="196"/>
      <c r="AG716" s="196"/>
      <c r="AH716" s="196"/>
    </row>
    <row r="717">
      <c r="A717" s="196"/>
      <c r="B717" s="196"/>
      <c r="C717" s="196"/>
      <c r="D717" s="196"/>
      <c r="E717" s="196"/>
      <c r="F717" s="196"/>
      <c r="G717" s="196"/>
      <c r="H717" s="196"/>
      <c r="I717" s="139"/>
      <c r="J717" s="196"/>
      <c r="K717" s="196"/>
      <c r="L717" s="139"/>
      <c r="M717" s="196"/>
      <c r="N717" s="196"/>
      <c r="O717" s="196"/>
      <c r="P717" s="196"/>
      <c r="Q717" s="196"/>
      <c r="R717" s="196"/>
      <c r="S717" s="196"/>
      <c r="T717" s="196"/>
      <c r="U717" s="196"/>
      <c r="V717" s="196"/>
      <c r="W717" s="196"/>
      <c r="X717" s="196"/>
      <c r="Y717" s="196"/>
      <c r="Z717" s="196"/>
      <c r="AA717" s="196"/>
      <c r="AB717" s="196"/>
      <c r="AC717" s="196"/>
      <c r="AD717" s="196"/>
      <c r="AE717" s="196"/>
      <c r="AF717" s="196"/>
      <c r="AG717" s="196"/>
      <c r="AH717" s="196"/>
    </row>
    <row r="718">
      <c r="A718" s="196"/>
      <c r="B718" s="196"/>
      <c r="C718" s="196"/>
      <c r="D718" s="196"/>
      <c r="E718" s="196"/>
      <c r="F718" s="196"/>
      <c r="G718" s="196"/>
      <c r="H718" s="196"/>
      <c r="I718" s="139"/>
      <c r="J718" s="196"/>
      <c r="K718" s="196"/>
      <c r="L718" s="139"/>
      <c r="M718" s="196"/>
      <c r="N718" s="196"/>
      <c r="O718" s="196"/>
      <c r="P718" s="196"/>
      <c r="Q718" s="196"/>
      <c r="R718" s="196"/>
      <c r="S718" s="196"/>
      <c r="T718" s="196"/>
      <c r="U718" s="196"/>
      <c r="V718" s="196"/>
      <c r="W718" s="196"/>
      <c r="X718" s="196"/>
      <c r="Y718" s="196"/>
      <c r="Z718" s="196"/>
      <c r="AA718" s="196"/>
      <c r="AB718" s="196"/>
      <c r="AC718" s="196"/>
      <c r="AD718" s="196"/>
      <c r="AE718" s="196"/>
      <c r="AF718" s="196"/>
      <c r="AG718" s="196"/>
      <c r="AH718" s="196"/>
    </row>
    <row r="719">
      <c r="A719" s="196"/>
      <c r="B719" s="196"/>
      <c r="C719" s="196"/>
      <c r="D719" s="196"/>
      <c r="E719" s="196"/>
      <c r="F719" s="196"/>
      <c r="G719" s="196"/>
      <c r="H719" s="196"/>
      <c r="I719" s="139"/>
      <c r="J719" s="196"/>
      <c r="K719" s="196"/>
      <c r="L719" s="139"/>
      <c r="M719" s="196"/>
      <c r="N719" s="196"/>
      <c r="O719" s="196"/>
      <c r="P719" s="196"/>
      <c r="Q719" s="196"/>
      <c r="R719" s="196"/>
      <c r="S719" s="196"/>
      <c r="T719" s="196"/>
      <c r="U719" s="196"/>
      <c r="V719" s="196"/>
      <c r="W719" s="196"/>
      <c r="X719" s="196"/>
      <c r="Y719" s="196"/>
      <c r="Z719" s="196"/>
      <c r="AA719" s="196"/>
      <c r="AB719" s="196"/>
      <c r="AC719" s="196"/>
      <c r="AD719" s="196"/>
      <c r="AE719" s="196"/>
      <c r="AF719" s="196"/>
      <c r="AG719" s="196"/>
      <c r="AH719" s="196"/>
    </row>
    <row r="720">
      <c r="A720" s="196"/>
      <c r="B720" s="196"/>
      <c r="C720" s="196"/>
      <c r="D720" s="196"/>
      <c r="E720" s="196"/>
      <c r="F720" s="196"/>
      <c r="G720" s="196"/>
      <c r="H720" s="196"/>
      <c r="I720" s="139"/>
      <c r="J720" s="196"/>
      <c r="K720" s="196"/>
      <c r="L720" s="139"/>
      <c r="M720" s="196"/>
      <c r="N720" s="196"/>
      <c r="O720" s="196"/>
      <c r="P720" s="196"/>
      <c r="Q720" s="196"/>
      <c r="R720" s="196"/>
      <c r="S720" s="196"/>
      <c r="T720" s="196"/>
      <c r="U720" s="196"/>
      <c r="V720" s="196"/>
      <c r="W720" s="196"/>
      <c r="X720" s="196"/>
      <c r="Y720" s="196"/>
      <c r="Z720" s="196"/>
      <c r="AA720" s="196"/>
      <c r="AB720" s="196"/>
      <c r="AC720" s="196"/>
      <c r="AD720" s="196"/>
      <c r="AE720" s="196"/>
      <c r="AF720" s="196"/>
      <c r="AG720" s="196"/>
      <c r="AH720" s="196"/>
    </row>
    <row r="721">
      <c r="A721" s="196"/>
      <c r="B721" s="196"/>
      <c r="C721" s="196"/>
      <c r="D721" s="196"/>
      <c r="E721" s="196"/>
      <c r="F721" s="196"/>
      <c r="G721" s="196"/>
      <c r="H721" s="196"/>
      <c r="I721" s="139"/>
      <c r="J721" s="196"/>
      <c r="K721" s="196"/>
      <c r="L721" s="139"/>
      <c r="M721" s="196"/>
      <c r="N721" s="196"/>
      <c r="O721" s="196"/>
      <c r="P721" s="196"/>
      <c r="Q721" s="196"/>
      <c r="R721" s="196"/>
      <c r="S721" s="196"/>
      <c r="T721" s="196"/>
      <c r="U721" s="196"/>
      <c r="V721" s="196"/>
      <c r="W721" s="196"/>
      <c r="X721" s="196"/>
      <c r="Y721" s="196"/>
      <c r="Z721" s="196"/>
      <c r="AA721" s="196"/>
      <c r="AB721" s="196"/>
      <c r="AC721" s="196"/>
      <c r="AD721" s="196"/>
      <c r="AE721" s="196"/>
      <c r="AF721" s="196"/>
      <c r="AG721" s="196"/>
      <c r="AH721" s="196"/>
    </row>
    <row r="722">
      <c r="A722" s="196"/>
      <c r="B722" s="196"/>
      <c r="C722" s="196"/>
      <c r="D722" s="196"/>
      <c r="E722" s="196"/>
      <c r="F722" s="196"/>
      <c r="G722" s="196"/>
      <c r="H722" s="196"/>
      <c r="I722" s="139"/>
      <c r="J722" s="196"/>
      <c r="K722" s="196"/>
      <c r="L722" s="139"/>
      <c r="M722" s="196"/>
      <c r="N722" s="196"/>
      <c r="O722" s="196"/>
      <c r="P722" s="196"/>
      <c r="Q722" s="196"/>
      <c r="R722" s="196"/>
      <c r="S722" s="196"/>
      <c r="T722" s="196"/>
      <c r="U722" s="196"/>
      <c r="V722" s="196"/>
      <c r="W722" s="196"/>
      <c r="X722" s="196"/>
      <c r="Y722" s="196"/>
      <c r="Z722" s="196"/>
      <c r="AA722" s="196"/>
      <c r="AB722" s="196"/>
      <c r="AC722" s="196"/>
      <c r="AD722" s="196"/>
      <c r="AE722" s="196"/>
      <c r="AF722" s="196"/>
      <c r="AG722" s="196"/>
      <c r="AH722" s="196"/>
    </row>
    <row r="723">
      <c r="A723" s="196"/>
      <c r="B723" s="196"/>
      <c r="C723" s="196"/>
      <c r="D723" s="196"/>
      <c r="E723" s="196"/>
      <c r="F723" s="196"/>
      <c r="G723" s="196"/>
      <c r="H723" s="196"/>
      <c r="I723" s="139"/>
      <c r="J723" s="196"/>
      <c r="K723" s="196"/>
      <c r="L723" s="139"/>
      <c r="M723" s="196"/>
      <c r="N723" s="196"/>
      <c r="O723" s="196"/>
      <c r="P723" s="196"/>
      <c r="Q723" s="196"/>
      <c r="R723" s="196"/>
      <c r="S723" s="196"/>
      <c r="T723" s="196"/>
      <c r="U723" s="196"/>
      <c r="V723" s="196"/>
      <c r="W723" s="196"/>
      <c r="X723" s="196"/>
      <c r="Y723" s="196"/>
      <c r="Z723" s="196"/>
      <c r="AA723" s="196"/>
      <c r="AB723" s="196"/>
      <c r="AC723" s="196"/>
      <c r="AD723" s="196"/>
      <c r="AE723" s="196"/>
      <c r="AF723" s="196"/>
      <c r="AG723" s="196"/>
      <c r="AH723" s="196"/>
    </row>
    <row r="724">
      <c r="A724" s="196"/>
      <c r="B724" s="196"/>
      <c r="C724" s="196"/>
      <c r="D724" s="196"/>
      <c r="E724" s="196"/>
      <c r="F724" s="196"/>
      <c r="G724" s="196"/>
      <c r="H724" s="196"/>
      <c r="I724" s="139"/>
      <c r="J724" s="196"/>
      <c r="K724" s="196"/>
      <c r="L724" s="139"/>
      <c r="M724" s="196"/>
      <c r="N724" s="196"/>
      <c r="O724" s="196"/>
      <c r="P724" s="196"/>
      <c r="Q724" s="196"/>
      <c r="R724" s="196"/>
      <c r="S724" s="196"/>
      <c r="T724" s="196"/>
      <c r="U724" s="196"/>
      <c r="V724" s="196"/>
      <c r="W724" s="196"/>
      <c r="X724" s="196"/>
      <c r="Y724" s="196"/>
      <c r="Z724" s="196"/>
      <c r="AA724" s="196"/>
      <c r="AB724" s="196"/>
      <c r="AC724" s="196"/>
      <c r="AD724" s="196"/>
      <c r="AE724" s="196"/>
      <c r="AF724" s="196"/>
      <c r="AG724" s="196"/>
      <c r="AH724" s="196"/>
    </row>
    <row r="725">
      <c r="A725" s="196"/>
      <c r="B725" s="196"/>
      <c r="C725" s="196"/>
      <c r="D725" s="196"/>
      <c r="E725" s="196"/>
      <c r="F725" s="196"/>
      <c r="G725" s="196"/>
      <c r="H725" s="196"/>
      <c r="I725" s="139"/>
      <c r="J725" s="196"/>
      <c r="K725" s="196"/>
      <c r="L725" s="139"/>
      <c r="M725" s="196"/>
      <c r="N725" s="196"/>
      <c r="O725" s="196"/>
      <c r="P725" s="196"/>
      <c r="Q725" s="196"/>
      <c r="R725" s="196"/>
      <c r="S725" s="196"/>
      <c r="T725" s="196"/>
      <c r="U725" s="196"/>
      <c r="V725" s="196"/>
      <c r="W725" s="196"/>
      <c r="X725" s="196"/>
      <c r="Y725" s="196"/>
      <c r="Z725" s="196"/>
      <c r="AA725" s="196"/>
      <c r="AB725" s="196"/>
      <c r="AC725" s="196"/>
      <c r="AD725" s="196"/>
      <c r="AE725" s="196"/>
      <c r="AF725" s="196"/>
      <c r="AG725" s="196"/>
      <c r="AH725" s="196"/>
    </row>
    <row r="726">
      <c r="A726" s="196"/>
      <c r="B726" s="196"/>
      <c r="C726" s="196"/>
      <c r="D726" s="196"/>
      <c r="E726" s="196"/>
      <c r="F726" s="196"/>
      <c r="G726" s="196"/>
      <c r="H726" s="196"/>
      <c r="I726" s="139"/>
      <c r="J726" s="196"/>
      <c r="K726" s="196"/>
      <c r="L726" s="139"/>
      <c r="M726" s="196"/>
      <c r="N726" s="196"/>
      <c r="O726" s="196"/>
      <c r="P726" s="196"/>
      <c r="Q726" s="196"/>
      <c r="R726" s="196"/>
      <c r="S726" s="196"/>
      <c r="T726" s="196"/>
      <c r="U726" s="196"/>
      <c r="V726" s="196"/>
      <c r="W726" s="196"/>
      <c r="X726" s="196"/>
      <c r="Y726" s="196"/>
      <c r="Z726" s="196"/>
      <c r="AA726" s="196"/>
      <c r="AB726" s="196"/>
      <c r="AC726" s="196"/>
      <c r="AD726" s="196"/>
      <c r="AE726" s="196"/>
      <c r="AF726" s="196"/>
      <c r="AG726" s="196"/>
      <c r="AH726" s="196"/>
    </row>
    <row r="727">
      <c r="A727" s="196"/>
      <c r="B727" s="196"/>
      <c r="C727" s="196"/>
      <c r="D727" s="196"/>
      <c r="E727" s="196"/>
      <c r="F727" s="196"/>
      <c r="G727" s="196"/>
      <c r="H727" s="196"/>
      <c r="I727" s="139"/>
      <c r="J727" s="196"/>
      <c r="K727" s="196"/>
      <c r="L727" s="139"/>
      <c r="M727" s="196"/>
      <c r="N727" s="196"/>
      <c r="O727" s="196"/>
      <c r="P727" s="196"/>
      <c r="Q727" s="196"/>
      <c r="R727" s="196"/>
      <c r="S727" s="196"/>
      <c r="T727" s="196"/>
      <c r="U727" s="196"/>
      <c r="V727" s="196"/>
      <c r="W727" s="196"/>
      <c r="X727" s="196"/>
      <c r="Y727" s="196"/>
      <c r="Z727" s="196"/>
      <c r="AA727" s="196"/>
      <c r="AB727" s="196"/>
      <c r="AC727" s="196"/>
      <c r="AD727" s="196"/>
      <c r="AE727" s="196"/>
      <c r="AF727" s="196"/>
      <c r="AG727" s="196"/>
      <c r="AH727" s="196"/>
    </row>
    <row r="728">
      <c r="A728" s="196"/>
      <c r="B728" s="196"/>
      <c r="C728" s="196"/>
      <c r="D728" s="196"/>
      <c r="E728" s="196"/>
      <c r="F728" s="196"/>
      <c r="G728" s="196"/>
      <c r="H728" s="196"/>
      <c r="I728" s="139"/>
      <c r="J728" s="196"/>
      <c r="K728" s="196"/>
      <c r="L728" s="139"/>
      <c r="M728" s="196"/>
      <c r="N728" s="196"/>
      <c r="O728" s="196"/>
      <c r="P728" s="196"/>
      <c r="Q728" s="196"/>
      <c r="R728" s="196"/>
      <c r="S728" s="196"/>
      <c r="T728" s="196"/>
      <c r="U728" s="196"/>
      <c r="V728" s="196"/>
      <c r="W728" s="196"/>
      <c r="X728" s="196"/>
      <c r="Y728" s="196"/>
      <c r="Z728" s="196"/>
      <c r="AA728" s="196"/>
      <c r="AB728" s="196"/>
      <c r="AC728" s="196"/>
      <c r="AD728" s="196"/>
      <c r="AE728" s="196"/>
      <c r="AF728" s="196"/>
      <c r="AG728" s="196"/>
      <c r="AH728" s="196"/>
    </row>
    <row r="729">
      <c r="A729" s="196"/>
      <c r="B729" s="196"/>
      <c r="C729" s="196"/>
      <c r="D729" s="196"/>
      <c r="E729" s="196"/>
      <c r="F729" s="196"/>
      <c r="G729" s="196"/>
      <c r="H729" s="196"/>
      <c r="I729" s="139"/>
      <c r="J729" s="196"/>
      <c r="K729" s="196"/>
      <c r="L729" s="139"/>
      <c r="M729" s="196"/>
      <c r="N729" s="196"/>
      <c r="O729" s="196"/>
      <c r="P729" s="196"/>
      <c r="Q729" s="196"/>
      <c r="R729" s="196"/>
      <c r="S729" s="196"/>
      <c r="T729" s="196"/>
      <c r="U729" s="196"/>
      <c r="V729" s="196"/>
      <c r="W729" s="196"/>
      <c r="X729" s="196"/>
      <c r="Y729" s="196"/>
      <c r="Z729" s="196"/>
      <c r="AA729" s="196"/>
      <c r="AB729" s="196"/>
      <c r="AC729" s="196"/>
      <c r="AD729" s="196"/>
      <c r="AE729" s="196"/>
      <c r="AF729" s="196"/>
      <c r="AG729" s="196"/>
      <c r="AH729" s="196"/>
    </row>
    <row r="730">
      <c r="A730" s="196"/>
      <c r="B730" s="196"/>
      <c r="C730" s="196"/>
      <c r="D730" s="196"/>
      <c r="E730" s="196"/>
      <c r="F730" s="196"/>
      <c r="G730" s="196"/>
      <c r="H730" s="196"/>
      <c r="I730" s="139"/>
      <c r="J730" s="196"/>
      <c r="K730" s="196"/>
      <c r="L730" s="139"/>
      <c r="M730" s="196"/>
      <c r="N730" s="196"/>
      <c r="O730" s="196"/>
      <c r="P730" s="196"/>
      <c r="Q730" s="196"/>
      <c r="R730" s="196"/>
      <c r="S730" s="196"/>
      <c r="T730" s="196"/>
      <c r="U730" s="196"/>
      <c r="V730" s="196"/>
      <c r="W730" s="196"/>
      <c r="X730" s="196"/>
      <c r="Y730" s="196"/>
      <c r="Z730" s="196"/>
      <c r="AA730" s="196"/>
      <c r="AB730" s="196"/>
      <c r="AC730" s="196"/>
      <c r="AD730" s="196"/>
      <c r="AE730" s="196"/>
      <c r="AF730" s="196"/>
      <c r="AG730" s="196"/>
      <c r="AH730" s="196"/>
    </row>
    <row r="731">
      <c r="A731" s="196"/>
      <c r="B731" s="196"/>
      <c r="C731" s="196"/>
      <c r="D731" s="196"/>
      <c r="E731" s="196"/>
      <c r="F731" s="196"/>
      <c r="G731" s="196"/>
      <c r="H731" s="196"/>
      <c r="I731" s="139"/>
      <c r="J731" s="196"/>
      <c r="K731" s="196"/>
      <c r="L731" s="139"/>
      <c r="M731" s="196"/>
      <c r="N731" s="196"/>
      <c r="O731" s="196"/>
      <c r="P731" s="196"/>
      <c r="Q731" s="196"/>
      <c r="R731" s="196"/>
      <c r="S731" s="196"/>
      <c r="T731" s="196"/>
      <c r="U731" s="196"/>
      <c r="V731" s="196"/>
      <c r="W731" s="196"/>
      <c r="X731" s="196"/>
      <c r="Y731" s="196"/>
      <c r="Z731" s="196"/>
      <c r="AA731" s="196"/>
      <c r="AB731" s="196"/>
      <c r="AC731" s="196"/>
      <c r="AD731" s="196"/>
      <c r="AE731" s="196"/>
      <c r="AF731" s="196"/>
      <c r="AG731" s="196"/>
      <c r="AH731" s="196"/>
    </row>
    <row r="732">
      <c r="A732" s="196"/>
      <c r="B732" s="196"/>
      <c r="C732" s="196"/>
      <c r="D732" s="196"/>
      <c r="E732" s="196"/>
      <c r="F732" s="196"/>
      <c r="G732" s="196"/>
      <c r="H732" s="196"/>
      <c r="I732" s="139"/>
      <c r="J732" s="196"/>
      <c r="K732" s="196"/>
      <c r="L732" s="139"/>
      <c r="M732" s="196"/>
      <c r="N732" s="196"/>
      <c r="O732" s="196"/>
      <c r="P732" s="196"/>
      <c r="Q732" s="196"/>
      <c r="R732" s="196"/>
      <c r="S732" s="196"/>
      <c r="T732" s="196"/>
      <c r="U732" s="196"/>
      <c r="V732" s="196"/>
      <c r="W732" s="196"/>
      <c r="X732" s="196"/>
      <c r="Y732" s="196"/>
      <c r="Z732" s="196"/>
      <c r="AA732" s="196"/>
      <c r="AB732" s="196"/>
      <c r="AC732" s="196"/>
      <c r="AD732" s="196"/>
      <c r="AE732" s="196"/>
      <c r="AF732" s="196"/>
      <c r="AG732" s="196"/>
      <c r="AH732" s="196"/>
    </row>
    <row r="733">
      <c r="A733" s="196"/>
      <c r="B733" s="196"/>
      <c r="C733" s="196"/>
      <c r="D733" s="196"/>
      <c r="E733" s="196"/>
      <c r="F733" s="196"/>
      <c r="G733" s="196"/>
      <c r="H733" s="196"/>
      <c r="I733" s="139"/>
      <c r="J733" s="196"/>
      <c r="K733" s="196"/>
      <c r="L733" s="139"/>
      <c r="M733" s="196"/>
      <c r="N733" s="196"/>
      <c r="O733" s="196"/>
      <c r="P733" s="196"/>
      <c r="Q733" s="196"/>
      <c r="R733" s="196"/>
      <c r="S733" s="196"/>
      <c r="T733" s="196"/>
      <c r="U733" s="196"/>
      <c r="V733" s="196"/>
      <c r="W733" s="196"/>
      <c r="X733" s="196"/>
      <c r="Y733" s="196"/>
      <c r="Z733" s="196"/>
      <c r="AA733" s="196"/>
      <c r="AB733" s="196"/>
      <c r="AC733" s="196"/>
      <c r="AD733" s="196"/>
      <c r="AE733" s="196"/>
      <c r="AF733" s="196"/>
      <c r="AG733" s="196"/>
      <c r="AH733" s="196"/>
    </row>
    <row r="734">
      <c r="A734" s="196"/>
      <c r="B734" s="196"/>
      <c r="C734" s="196"/>
      <c r="D734" s="196"/>
      <c r="E734" s="196"/>
      <c r="F734" s="196"/>
      <c r="G734" s="196"/>
      <c r="H734" s="196"/>
      <c r="I734" s="139"/>
      <c r="J734" s="196"/>
      <c r="K734" s="196"/>
      <c r="L734" s="139"/>
      <c r="M734" s="196"/>
      <c r="N734" s="196"/>
      <c r="O734" s="196"/>
      <c r="P734" s="196"/>
      <c r="Q734" s="196"/>
      <c r="R734" s="196"/>
      <c r="S734" s="196"/>
      <c r="T734" s="196"/>
      <c r="U734" s="196"/>
      <c r="V734" s="196"/>
      <c r="W734" s="196"/>
      <c r="X734" s="196"/>
      <c r="Y734" s="196"/>
      <c r="Z734" s="196"/>
      <c r="AA734" s="196"/>
      <c r="AB734" s="196"/>
      <c r="AC734" s="196"/>
      <c r="AD734" s="196"/>
      <c r="AE734" s="196"/>
      <c r="AF734" s="196"/>
      <c r="AG734" s="196"/>
      <c r="AH734" s="196"/>
    </row>
    <row r="735">
      <c r="A735" s="196"/>
      <c r="B735" s="196"/>
      <c r="C735" s="196"/>
      <c r="D735" s="196"/>
      <c r="E735" s="196"/>
      <c r="F735" s="196"/>
      <c r="G735" s="196"/>
      <c r="H735" s="196"/>
      <c r="I735" s="139"/>
      <c r="J735" s="196"/>
      <c r="K735" s="196"/>
      <c r="L735" s="139"/>
      <c r="M735" s="196"/>
      <c r="N735" s="196"/>
      <c r="O735" s="196"/>
      <c r="P735" s="196"/>
      <c r="Q735" s="196"/>
      <c r="R735" s="196"/>
      <c r="S735" s="196"/>
      <c r="T735" s="196"/>
      <c r="U735" s="196"/>
      <c r="V735" s="196"/>
      <c r="W735" s="196"/>
      <c r="X735" s="196"/>
      <c r="Y735" s="196"/>
      <c r="Z735" s="196"/>
      <c r="AA735" s="196"/>
      <c r="AB735" s="196"/>
      <c r="AC735" s="196"/>
      <c r="AD735" s="196"/>
      <c r="AE735" s="196"/>
      <c r="AF735" s="196"/>
      <c r="AG735" s="196"/>
      <c r="AH735" s="196"/>
    </row>
    <row r="736">
      <c r="A736" s="196"/>
      <c r="B736" s="196"/>
      <c r="C736" s="196"/>
      <c r="D736" s="196"/>
      <c r="E736" s="196"/>
      <c r="F736" s="196"/>
      <c r="G736" s="196"/>
      <c r="H736" s="196"/>
      <c r="I736" s="139"/>
      <c r="J736" s="196"/>
      <c r="K736" s="196"/>
      <c r="L736" s="139"/>
      <c r="M736" s="196"/>
      <c r="N736" s="196"/>
      <c r="O736" s="196"/>
      <c r="P736" s="196"/>
      <c r="Q736" s="196"/>
      <c r="R736" s="196"/>
      <c r="S736" s="196"/>
      <c r="T736" s="196"/>
      <c r="U736" s="196"/>
      <c r="V736" s="196"/>
      <c r="W736" s="196"/>
      <c r="X736" s="196"/>
      <c r="Y736" s="196"/>
      <c r="Z736" s="196"/>
      <c r="AA736" s="196"/>
      <c r="AB736" s="196"/>
      <c r="AC736" s="196"/>
      <c r="AD736" s="196"/>
      <c r="AE736" s="196"/>
      <c r="AF736" s="196"/>
      <c r="AG736" s="196"/>
      <c r="AH736" s="196"/>
    </row>
    <row r="737">
      <c r="A737" s="196"/>
      <c r="B737" s="196"/>
      <c r="C737" s="196"/>
      <c r="D737" s="196"/>
      <c r="E737" s="196"/>
      <c r="F737" s="196"/>
      <c r="G737" s="196"/>
      <c r="H737" s="196"/>
      <c r="I737" s="139"/>
      <c r="J737" s="196"/>
      <c r="K737" s="196"/>
      <c r="L737" s="139"/>
      <c r="M737" s="196"/>
      <c r="N737" s="196"/>
      <c r="O737" s="196"/>
      <c r="P737" s="196"/>
      <c r="Q737" s="196"/>
      <c r="R737" s="196"/>
      <c r="S737" s="196"/>
      <c r="T737" s="196"/>
      <c r="U737" s="196"/>
      <c r="V737" s="196"/>
      <c r="W737" s="196"/>
      <c r="X737" s="196"/>
      <c r="Y737" s="196"/>
      <c r="Z737" s="196"/>
      <c r="AA737" s="196"/>
      <c r="AB737" s="196"/>
      <c r="AC737" s="196"/>
      <c r="AD737" s="196"/>
      <c r="AE737" s="196"/>
      <c r="AF737" s="196"/>
      <c r="AG737" s="196"/>
      <c r="AH737" s="196"/>
    </row>
    <row r="738">
      <c r="A738" s="196"/>
      <c r="B738" s="196"/>
      <c r="C738" s="196"/>
      <c r="D738" s="196"/>
      <c r="E738" s="196"/>
      <c r="F738" s="196"/>
      <c r="G738" s="196"/>
      <c r="H738" s="196"/>
      <c r="I738" s="139"/>
      <c r="J738" s="196"/>
      <c r="K738" s="196"/>
      <c r="L738" s="139"/>
      <c r="M738" s="196"/>
      <c r="N738" s="196"/>
      <c r="O738" s="196"/>
      <c r="P738" s="196"/>
      <c r="Q738" s="196"/>
      <c r="R738" s="196"/>
      <c r="S738" s="196"/>
      <c r="T738" s="196"/>
      <c r="U738" s="196"/>
      <c r="V738" s="196"/>
      <c r="W738" s="196"/>
      <c r="X738" s="196"/>
      <c r="Y738" s="196"/>
      <c r="Z738" s="196"/>
      <c r="AA738" s="196"/>
      <c r="AB738" s="196"/>
      <c r="AC738" s="196"/>
      <c r="AD738" s="196"/>
      <c r="AE738" s="196"/>
      <c r="AF738" s="196"/>
      <c r="AG738" s="196"/>
      <c r="AH738" s="196"/>
    </row>
    <row r="739">
      <c r="A739" s="196"/>
      <c r="B739" s="196"/>
      <c r="C739" s="196"/>
      <c r="D739" s="196"/>
      <c r="E739" s="196"/>
      <c r="F739" s="196"/>
      <c r="G739" s="196"/>
      <c r="H739" s="196"/>
      <c r="I739" s="139"/>
      <c r="J739" s="196"/>
      <c r="K739" s="196"/>
      <c r="L739" s="139"/>
      <c r="M739" s="196"/>
      <c r="N739" s="196"/>
      <c r="O739" s="196"/>
      <c r="P739" s="196"/>
      <c r="Q739" s="196"/>
      <c r="R739" s="196"/>
      <c r="S739" s="196"/>
      <c r="T739" s="196"/>
      <c r="U739" s="196"/>
      <c r="V739" s="196"/>
      <c r="W739" s="196"/>
      <c r="X739" s="196"/>
      <c r="Y739" s="196"/>
      <c r="Z739" s="196"/>
      <c r="AA739" s="196"/>
      <c r="AB739" s="196"/>
      <c r="AC739" s="196"/>
      <c r="AD739" s="196"/>
      <c r="AE739" s="196"/>
      <c r="AF739" s="196"/>
      <c r="AG739" s="196"/>
      <c r="AH739" s="196"/>
    </row>
    <row r="740">
      <c r="A740" s="196"/>
      <c r="B740" s="196"/>
      <c r="C740" s="196"/>
      <c r="D740" s="196"/>
      <c r="E740" s="196"/>
      <c r="F740" s="196"/>
      <c r="G740" s="196"/>
      <c r="H740" s="196"/>
      <c r="I740" s="139"/>
      <c r="J740" s="196"/>
      <c r="K740" s="196"/>
      <c r="L740" s="139"/>
      <c r="M740" s="196"/>
      <c r="N740" s="196"/>
      <c r="O740" s="196"/>
      <c r="P740" s="196"/>
      <c r="Q740" s="196"/>
      <c r="R740" s="196"/>
      <c r="S740" s="196"/>
      <c r="T740" s="196"/>
      <c r="U740" s="196"/>
      <c r="V740" s="196"/>
      <c r="W740" s="196"/>
      <c r="X740" s="196"/>
      <c r="Y740" s="196"/>
      <c r="Z740" s="196"/>
      <c r="AA740" s="196"/>
      <c r="AB740" s="196"/>
      <c r="AC740" s="196"/>
      <c r="AD740" s="196"/>
      <c r="AE740" s="196"/>
      <c r="AF740" s="196"/>
      <c r="AG740" s="196"/>
      <c r="AH740" s="196"/>
    </row>
    <row r="741">
      <c r="A741" s="196"/>
      <c r="B741" s="196"/>
      <c r="C741" s="196"/>
      <c r="D741" s="196"/>
      <c r="E741" s="196"/>
      <c r="F741" s="196"/>
      <c r="G741" s="196"/>
      <c r="H741" s="196"/>
      <c r="I741" s="139"/>
      <c r="J741" s="196"/>
      <c r="K741" s="196"/>
      <c r="L741" s="139"/>
      <c r="M741" s="196"/>
      <c r="N741" s="196"/>
      <c r="O741" s="196"/>
      <c r="P741" s="196"/>
      <c r="Q741" s="196"/>
      <c r="R741" s="196"/>
      <c r="S741" s="196"/>
      <c r="T741" s="196"/>
      <c r="U741" s="196"/>
      <c r="V741" s="196"/>
      <c r="W741" s="196"/>
      <c r="X741" s="196"/>
      <c r="Y741" s="196"/>
      <c r="Z741" s="196"/>
      <c r="AA741" s="196"/>
      <c r="AB741" s="196"/>
      <c r="AC741" s="196"/>
      <c r="AD741" s="196"/>
      <c r="AE741" s="196"/>
      <c r="AF741" s="196"/>
      <c r="AG741" s="196"/>
      <c r="AH741" s="196"/>
    </row>
    <row r="742">
      <c r="A742" s="196"/>
      <c r="B742" s="196"/>
      <c r="C742" s="196"/>
      <c r="D742" s="196"/>
      <c r="E742" s="196"/>
      <c r="F742" s="196"/>
      <c r="G742" s="196"/>
      <c r="H742" s="196"/>
      <c r="I742" s="139"/>
      <c r="J742" s="196"/>
      <c r="K742" s="196"/>
      <c r="L742" s="139"/>
      <c r="M742" s="196"/>
      <c r="N742" s="196"/>
      <c r="O742" s="196"/>
      <c r="P742" s="196"/>
      <c r="Q742" s="196"/>
      <c r="R742" s="196"/>
      <c r="S742" s="196"/>
      <c r="T742" s="196"/>
      <c r="U742" s="196"/>
      <c r="V742" s="196"/>
      <c r="W742" s="196"/>
      <c r="X742" s="196"/>
      <c r="Y742" s="196"/>
      <c r="Z742" s="196"/>
      <c r="AA742" s="196"/>
      <c r="AB742" s="196"/>
      <c r="AC742" s="196"/>
      <c r="AD742" s="196"/>
      <c r="AE742" s="196"/>
      <c r="AF742" s="196"/>
      <c r="AG742" s="196"/>
      <c r="AH742" s="196"/>
    </row>
    <row r="743">
      <c r="A743" s="196"/>
      <c r="B743" s="196"/>
      <c r="C743" s="196"/>
      <c r="D743" s="196"/>
      <c r="E743" s="196"/>
      <c r="F743" s="196"/>
      <c r="G743" s="196"/>
      <c r="H743" s="196"/>
      <c r="I743" s="139"/>
      <c r="J743" s="196"/>
      <c r="K743" s="196"/>
      <c r="L743" s="139"/>
      <c r="M743" s="196"/>
      <c r="N743" s="196"/>
      <c r="O743" s="196"/>
      <c r="P743" s="196"/>
      <c r="Q743" s="196"/>
      <c r="R743" s="196"/>
      <c r="S743" s="196"/>
      <c r="T743" s="196"/>
      <c r="U743" s="196"/>
      <c r="V743" s="196"/>
      <c r="W743" s="196"/>
      <c r="X743" s="196"/>
      <c r="Y743" s="196"/>
      <c r="Z743" s="196"/>
      <c r="AA743" s="196"/>
      <c r="AB743" s="196"/>
      <c r="AC743" s="196"/>
      <c r="AD743" s="196"/>
      <c r="AE743" s="196"/>
      <c r="AF743" s="196"/>
      <c r="AG743" s="196"/>
      <c r="AH743" s="196"/>
    </row>
    <row r="744">
      <c r="A744" s="196"/>
      <c r="B744" s="196"/>
      <c r="C744" s="196"/>
      <c r="D744" s="196"/>
      <c r="E744" s="196"/>
      <c r="F744" s="196"/>
      <c r="G744" s="196"/>
      <c r="H744" s="196"/>
      <c r="I744" s="139"/>
      <c r="J744" s="196"/>
      <c r="K744" s="196"/>
      <c r="L744" s="139"/>
      <c r="M744" s="196"/>
      <c r="N744" s="196"/>
      <c r="O744" s="196"/>
      <c r="P744" s="196"/>
      <c r="Q744" s="196"/>
      <c r="R744" s="196"/>
      <c r="S744" s="196"/>
      <c r="T744" s="196"/>
      <c r="U744" s="196"/>
      <c r="V744" s="196"/>
      <c r="W744" s="196"/>
      <c r="X744" s="196"/>
      <c r="Y744" s="196"/>
      <c r="Z744" s="196"/>
      <c r="AA744" s="196"/>
      <c r="AB744" s="196"/>
      <c r="AC744" s="196"/>
      <c r="AD744" s="196"/>
      <c r="AE744" s="196"/>
      <c r="AF744" s="196"/>
      <c r="AG744" s="196"/>
      <c r="AH744" s="196"/>
    </row>
    <row r="745">
      <c r="A745" s="196"/>
      <c r="B745" s="196"/>
      <c r="C745" s="196"/>
      <c r="D745" s="196"/>
      <c r="E745" s="196"/>
      <c r="F745" s="196"/>
      <c r="G745" s="196"/>
      <c r="H745" s="196"/>
      <c r="I745" s="139"/>
      <c r="J745" s="196"/>
      <c r="K745" s="196"/>
      <c r="L745" s="139"/>
      <c r="M745" s="196"/>
      <c r="N745" s="196"/>
      <c r="O745" s="196"/>
      <c r="P745" s="196"/>
      <c r="Q745" s="196"/>
      <c r="R745" s="196"/>
      <c r="S745" s="196"/>
      <c r="T745" s="196"/>
      <c r="U745" s="196"/>
      <c r="V745" s="196"/>
      <c r="W745" s="196"/>
      <c r="X745" s="196"/>
      <c r="Y745" s="196"/>
      <c r="Z745" s="196"/>
      <c r="AA745" s="196"/>
      <c r="AB745" s="196"/>
      <c r="AC745" s="196"/>
      <c r="AD745" s="196"/>
      <c r="AE745" s="196"/>
      <c r="AF745" s="196"/>
      <c r="AG745" s="196"/>
      <c r="AH745" s="196"/>
    </row>
    <row r="746">
      <c r="A746" s="196"/>
      <c r="B746" s="196"/>
      <c r="C746" s="196"/>
      <c r="D746" s="196"/>
      <c r="E746" s="196"/>
      <c r="F746" s="196"/>
      <c r="G746" s="196"/>
      <c r="H746" s="196"/>
      <c r="I746" s="139"/>
      <c r="J746" s="196"/>
      <c r="K746" s="196"/>
      <c r="L746" s="139"/>
      <c r="M746" s="196"/>
      <c r="N746" s="196"/>
      <c r="O746" s="196"/>
      <c r="P746" s="196"/>
      <c r="Q746" s="196"/>
      <c r="R746" s="196"/>
      <c r="S746" s="196"/>
      <c r="T746" s="196"/>
      <c r="U746" s="196"/>
      <c r="V746" s="196"/>
      <c r="W746" s="196"/>
      <c r="X746" s="196"/>
      <c r="Y746" s="196"/>
      <c r="Z746" s="196"/>
      <c r="AA746" s="196"/>
      <c r="AB746" s="196"/>
      <c r="AC746" s="196"/>
      <c r="AD746" s="196"/>
      <c r="AE746" s="196"/>
      <c r="AF746" s="196"/>
      <c r="AG746" s="196"/>
      <c r="AH746" s="196"/>
    </row>
    <row r="747">
      <c r="A747" s="196"/>
      <c r="B747" s="196"/>
      <c r="C747" s="196"/>
      <c r="D747" s="196"/>
      <c r="E747" s="196"/>
      <c r="F747" s="196"/>
      <c r="G747" s="196"/>
      <c r="H747" s="196"/>
      <c r="I747" s="139"/>
      <c r="J747" s="196"/>
      <c r="K747" s="196"/>
      <c r="L747" s="139"/>
      <c r="M747" s="196"/>
      <c r="N747" s="196"/>
      <c r="O747" s="196"/>
      <c r="P747" s="196"/>
      <c r="Q747" s="196"/>
      <c r="R747" s="196"/>
      <c r="S747" s="196"/>
      <c r="T747" s="196"/>
      <c r="U747" s="196"/>
      <c r="V747" s="196"/>
      <c r="W747" s="196"/>
      <c r="X747" s="196"/>
      <c r="Y747" s="196"/>
      <c r="Z747" s="196"/>
      <c r="AA747" s="196"/>
      <c r="AB747" s="196"/>
      <c r="AC747" s="196"/>
      <c r="AD747" s="196"/>
      <c r="AE747" s="196"/>
      <c r="AF747" s="196"/>
      <c r="AG747" s="196"/>
      <c r="AH747" s="196"/>
    </row>
    <row r="748">
      <c r="A748" s="196"/>
      <c r="B748" s="196"/>
      <c r="C748" s="196"/>
      <c r="D748" s="196"/>
      <c r="E748" s="196"/>
      <c r="F748" s="196"/>
      <c r="G748" s="196"/>
      <c r="H748" s="196"/>
      <c r="I748" s="139"/>
      <c r="J748" s="196"/>
      <c r="K748" s="196"/>
      <c r="L748" s="139"/>
      <c r="M748" s="196"/>
      <c r="N748" s="196"/>
      <c r="O748" s="196"/>
      <c r="P748" s="196"/>
      <c r="Q748" s="196"/>
      <c r="R748" s="196"/>
      <c r="S748" s="196"/>
      <c r="T748" s="196"/>
      <c r="U748" s="196"/>
      <c r="V748" s="196"/>
      <c r="W748" s="196"/>
      <c r="X748" s="196"/>
      <c r="Y748" s="196"/>
      <c r="Z748" s="196"/>
      <c r="AA748" s="196"/>
      <c r="AB748" s="196"/>
      <c r="AC748" s="196"/>
      <c r="AD748" s="196"/>
      <c r="AE748" s="196"/>
      <c r="AF748" s="196"/>
      <c r="AG748" s="196"/>
      <c r="AH748" s="196"/>
    </row>
    <row r="749">
      <c r="A749" s="196"/>
      <c r="B749" s="196"/>
      <c r="C749" s="196"/>
      <c r="D749" s="196"/>
      <c r="E749" s="196"/>
      <c r="F749" s="196"/>
      <c r="G749" s="196"/>
      <c r="H749" s="196"/>
      <c r="I749" s="139"/>
      <c r="J749" s="196"/>
      <c r="K749" s="196"/>
      <c r="L749" s="139"/>
      <c r="M749" s="196"/>
      <c r="N749" s="196"/>
      <c r="O749" s="196"/>
      <c r="P749" s="196"/>
      <c r="Q749" s="196"/>
      <c r="R749" s="196"/>
      <c r="S749" s="196"/>
      <c r="T749" s="196"/>
      <c r="U749" s="196"/>
      <c r="V749" s="196"/>
      <c r="W749" s="196"/>
      <c r="X749" s="196"/>
      <c r="Y749" s="196"/>
      <c r="Z749" s="196"/>
      <c r="AA749" s="196"/>
      <c r="AB749" s="196"/>
      <c r="AC749" s="196"/>
      <c r="AD749" s="196"/>
      <c r="AE749" s="196"/>
      <c r="AF749" s="196"/>
      <c r="AG749" s="196"/>
      <c r="AH749" s="196"/>
    </row>
    <row r="750">
      <c r="A750" s="196"/>
      <c r="B750" s="196"/>
      <c r="C750" s="196"/>
      <c r="D750" s="196"/>
      <c r="E750" s="196"/>
      <c r="F750" s="196"/>
      <c r="G750" s="196"/>
      <c r="H750" s="196"/>
      <c r="I750" s="139"/>
      <c r="J750" s="196"/>
      <c r="K750" s="196"/>
      <c r="L750" s="139"/>
      <c r="M750" s="196"/>
      <c r="N750" s="196"/>
      <c r="O750" s="196"/>
      <c r="P750" s="196"/>
      <c r="Q750" s="196"/>
      <c r="R750" s="196"/>
      <c r="S750" s="196"/>
      <c r="T750" s="196"/>
      <c r="U750" s="196"/>
      <c r="V750" s="196"/>
      <c r="W750" s="196"/>
      <c r="X750" s="196"/>
      <c r="Y750" s="196"/>
      <c r="Z750" s="196"/>
      <c r="AA750" s="196"/>
      <c r="AB750" s="196"/>
      <c r="AC750" s="196"/>
      <c r="AD750" s="196"/>
      <c r="AE750" s="196"/>
      <c r="AF750" s="196"/>
      <c r="AG750" s="196"/>
      <c r="AH750" s="196"/>
    </row>
    <row r="751">
      <c r="A751" s="196"/>
      <c r="B751" s="196"/>
      <c r="C751" s="196"/>
      <c r="D751" s="196"/>
      <c r="E751" s="196"/>
      <c r="F751" s="196"/>
      <c r="G751" s="196"/>
      <c r="H751" s="196"/>
      <c r="I751" s="139"/>
      <c r="J751" s="196"/>
      <c r="K751" s="196"/>
      <c r="L751" s="139"/>
      <c r="M751" s="196"/>
      <c r="N751" s="196"/>
      <c r="O751" s="196"/>
      <c r="P751" s="196"/>
      <c r="Q751" s="196"/>
      <c r="R751" s="196"/>
      <c r="S751" s="196"/>
      <c r="T751" s="196"/>
      <c r="U751" s="196"/>
      <c r="V751" s="196"/>
      <c r="W751" s="196"/>
      <c r="X751" s="196"/>
      <c r="Y751" s="196"/>
      <c r="Z751" s="196"/>
      <c r="AA751" s="196"/>
      <c r="AB751" s="196"/>
      <c r="AC751" s="196"/>
      <c r="AD751" s="196"/>
      <c r="AE751" s="196"/>
      <c r="AF751" s="196"/>
      <c r="AG751" s="196"/>
      <c r="AH751" s="196"/>
    </row>
    <row r="752">
      <c r="A752" s="196"/>
      <c r="B752" s="196"/>
      <c r="C752" s="196"/>
      <c r="D752" s="196"/>
      <c r="E752" s="196"/>
      <c r="F752" s="196"/>
      <c r="G752" s="196"/>
      <c r="H752" s="196"/>
      <c r="I752" s="139"/>
      <c r="J752" s="196"/>
      <c r="K752" s="196"/>
      <c r="L752" s="139"/>
      <c r="M752" s="196"/>
      <c r="N752" s="196"/>
      <c r="O752" s="196"/>
      <c r="P752" s="196"/>
      <c r="Q752" s="196"/>
      <c r="R752" s="196"/>
      <c r="S752" s="196"/>
      <c r="T752" s="196"/>
      <c r="U752" s="196"/>
      <c r="V752" s="196"/>
      <c r="W752" s="196"/>
      <c r="X752" s="196"/>
      <c r="Y752" s="196"/>
      <c r="Z752" s="196"/>
      <c r="AA752" s="196"/>
      <c r="AB752" s="196"/>
      <c r="AC752" s="196"/>
      <c r="AD752" s="196"/>
      <c r="AE752" s="196"/>
      <c r="AF752" s="196"/>
      <c r="AG752" s="196"/>
      <c r="AH752" s="196"/>
    </row>
    <row r="753">
      <c r="A753" s="196"/>
      <c r="B753" s="196"/>
      <c r="C753" s="196"/>
      <c r="D753" s="196"/>
      <c r="E753" s="196"/>
      <c r="F753" s="196"/>
      <c r="G753" s="196"/>
      <c r="H753" s="196"/>
      <c r="I753" s="139"/>
      <c r="J753" s="196"/>
      <c r="K753" s="196"/>
      <c r="L753" s="139"/>
      <c r="M753" s="196"/>
      <c r="N753" s="196"/>
      <c r="O753" s="196"/>
      <c r="P753" s="196"/>
      <c r="Q753" s="196"/>
      <c r="R753" s="196"/>
      <c r="S753" s="196"/>
      <c r="T753" s="196"/>
      <c r="U753" s="196"/>
      <c r="V753" s="196"/>
      <c r="W753" s="196"/>
      <c r="X753" s="196"/>
      <c r="Y753" s="196"/>
      <c r="Z753" s="196"/>
      <c r="AA753" s="196"/>
      <c r="AB753" s="196"/>
      <c r="AC753" s="196"/>
      <c r="AD753" s="196"/>
      <c r="AE753" s="196"/>
      <c r="AF753" s="196"/>
      <c r="AG753" s="196"/>
      <c r="AH753" s="196"/>
    </row>
    <row r="754">
      <c r="A754" s="196"/>
      <c r="B754" s="196"/>
      <c r="C754" s="196"/>
      <c r="D754" s="196"/>
      <c r="E754" s="196"/>
      <c r="F754" s="196"/>
      <c r="G754" s="196"/>
      <c r="H754" s="196"/>
      <c r="I754" s="139"/>
      <c r="J754" s="196"/>
      <c r="K754" s="196"/>
      <c r="L754" s="139"/>
      <c r="M754" s="196"/>
      <c r="N754" s="196"/>
      <c r="O754" s="196"/>
      <c r="P754" s="196"/>
      <c r="Q754" s="196"/>
      <c r="R754" s="196"/>
      <c r="S754" s="196"/>
      <c r="T754" s="196"/>
      <c r="U754" s="196"/>
      <c r="V754" s="196"/>
      <c r="W754" s="196"/>
      <c r="X754" s="196"/>
      <c r="Y754" s="196"/>
      <c r="Z754" s="196"/>
      <c r="AA754" s="196"/>
      <c r="AB754" s="196"/>
      <c r="AC754" s="196"/>
      <c r="AD754" s="196"/>
      <c r="AE754" s="196"/>
      <c r="AF754" s="196"/>
      <c r="AG754" s="196"/>
      <c r="AH754" s="196"/>
    </row>
    <row r="755">
      <c r="A755" s="196"/>
      <c r="B755" s="196"/>
      <c r="C755" s="196"/>
      <c r="D755" s="196"/>
      <c r="E755" s="196"/>
      <c r="F755" s="196"/>
      <c r="G755" s="196"/>
      <c r="H755" s="196"/>
      <c r="I755" s="139"/>
      <c r="J755" s="196"/>
      <c r="K755" s="196"/>
      <c r="L755" s="139"/>
      <c r="M755" s="196"/>
      <c r="N755" s="196"/>
      <c r="O755" s="196"/>
      <c r="P755" s="196"/>
      <c r="Q755" s="196"/>
      <c r="R755" s="196"/>
      <c r="S755" s="196"/>
      <c r="T755" s="196"/>
      <c r="U755" s="196"/>
      <c r="V755" s="196"/>
      <c r="W755" s="196"/>
      <c r="X755" s="196"/>
      <c r="Y755" s="196"/>
      <c r="Z755" s="196"/>
      <c r="AA755" s="196"/>
      <c r="AB755" s="196"/>
      <c r="AC755" s="196"/>
      <c r="AD755" s="196"/>
      <c r="AE755" s="196"/>
      <c r="AF755" s="196"/>
      <c r="AG755" s="196"/>
      <c r="AH755" s="196"/>
    </row>
    <row r="756">
      <c r="A756" s="196"/>
      <c r="B756" s="196"/>
      <c r="C756" s="196"/>
      <c r="D756" s="196"/>
      <c r="E756" s="196"/>
      <c r="F756" s="196"/>
      <c r="G756" s="196"/>
      <c r="H756" s="196"/>
      <c r="I756" s="139"/>
      <c r="J756" s="196"/>
      <c r="K756" s="196"/>
      <c r="L756" s="139"/>
      <c r="M756" s="196"/>
      <c r="N756" s="196"/>
      <c r="O756" s="196"/>
      <c r="P756" s="196"/>
      <c r="Q756" s="196"/>
      <c r="R756" s="196"/>
      <c r="S756" s="196"/>
      <c r="T756" s="196"/>
      <c r="U756" s="196"/>
      <c r="V756" s="196"/>
      <c r="W756" s="196"/>
      <c r="X756" s="196"/>
      <c r="Y756" s="196"/>
      <c r="Z756" s="196"/>
      <c r="AA756" s="196"/>
      <c r="AB756" s="196"/>
      <c r="AC756" s="196"/>
      <c r="AD756" s="196"/>
      <c r="AE756" s="196"/>
      <c r="AF756" s="196"/>
      <c r="AG756" s="196"/>
      <c r="AH756" s="196"/>
    </row>
    <row r="757">
      <c r="A757" s="196"/>
      <c r="B757" s="196"/>
      <c r="C757" s="196"/>
      <c r="D757" s="196"/>
      <c r="E757" s="196"/>
      <c r="F757" s="196"/>
      <c r="G757" s="196"/>
      <c r="H757" s="196"/>
      <c r="I757" s="139"/>
      <c r="J757" s="196"/>
      <c r="K757" s="196"/>
      <c r="L757" s="139"/>
      <c r="M757" s="196"/>
      <c r="N757" s="196"/>
      <c r="O757" s="196"/>
      <c r="P757" s="196"/>
      <c r="Q757" s="196"/>
      <c r="R757" s="196"/>
      <c r="S757" s="196"/>
      <c r="T757" s="196"/>
      <c r="U757" s="196"/>
      <c r="V757" s="196"/>
      <c r="W757" s="196"/>
      <c r="X757" s="196"/>
      <c r="Y757" s="196"/>
      <c r="Z757" s="196"/>
      <c r="AA757" s="196"/>
      <c r="AB757" s="196"/>
      <c r="AC757" s="196"/>
      <c r="AD757" s="196"/>
      <c r="AE757" s="196"/>
      <c r="AF757" s="196"/>
      <c r="AG757" s="196"/>
      <c r="AH757" s="196"/>
    </row>
    <row r="758">
      <c r="A758" s="196"/>
      <c r="B758" s="196"/>
      <c r="C758" s="196"/>
      <c r="D758" s="196"/>
      <c r="E758" s="196"/>
      <c r="F758" s="196"/>
      <c r="G758" s="196"/>
      <c r="H758" s="196"/>
      <c r="I758" s="139"/>
      <c r="J758" s="196"/>
      <c r="K758" s="196"/>
      <c r="L758" s="139"/>
      <c r="M758" s="196"/>
      <c r="N758" s="196"/>
      <c r="O758" s="196"/>
      <c r="P758" s="196"/>
      <c r="Q758" s="196"/>
      <c r="R758" s="196"/>
      <c r="S758" s="196"/>
      <c r="T758" s="196"/>
      <c r="U758" s="196"/>
      <c r="V758" s="196"/>
      <c r="W758" s="196"/>
      <c r="X758" s="196"/>
      <c r="Y758" s="196"/>
      <c r="Z758" s="196"/>
      <c r="AA758" s="196"/>
      <c r="AB758" s="196"/>
      <c r="AC758" s="196"/>
      <c r="AD758" s="196"/>
      <c r="AE758" s="196"/>
      <c r="AF758" s="196"/>
      <c r="AG758" s="196"/>
      <c r="AH758" s="196"/>
    </row>
    <row r="759">
      <c r="A759" s="196"/>
      <c r="B759" s="196"/>
      <c r="C759" s="196"/>
      <c r="D759" s="196"/>
      <c r="E759" s="196"/>
      <c r="F759" s="196"/>
      <c r="G759" s="196"/>
      <c r="H759" s="196"/>
      <c r="I759" s="139"/>
      <c r="J759" s="196"/>
      <c r="K759" s="196"/>
      <c r="L759" s="139"/>
      <c r="M759" s="196"/>
      <c r="N759" s="196"/>
      <c r="O759" s="196"/>
      <c r="P759" s="196"/>
      <c r="Q759" s="196"/>
      <c r="R759" s="196"/>
      <c r="S759" s="196"/>
      <c r="T759" s="196"/>
      <c r="U759" s="196"/>
      <c r="V759" s="196"/>
      <c r="W759" s="196"/>
      <c r="X759" s="196"/>
      <c r="Y759" s="196"/>
      <c r="Z759" s="196"/>
      <c r="AA759" s="196"/>
      <c r="AB759" s="196"/>
      <c r="AC759" s="196"/>
      <c r="AD759" s="196"/>
      <c r="AE759" s="196"/>
      <c r="AF759" s="196"/>
      <c r="AG759" s="196"/>
      <c r="AH759" s="196"/>
    </row>
    <row r="760">
      <c r="A760" s="196"/>
      <c r="B760" s="196"/>
      <c r="C760" s="196"/>
      <c r="D760" s="196"/>
      <c r="E760" s="196"/>
      <c r="F760" s="196"/>
      <c r="G760" s="196"/>
      <c r="H760" s="196"/>
      <c r="I760" s="139"/>
      <c r="J760" s="196"/>
      <c r="K760" s="196"/>
      <c r="L760" s="139"/>
      <c r="M760" s="196"/>
      <c r="N760" s="196"/>
      <c r="O760" s="196"/>
      <c r="P760" s="196"/>
      <c r="Q760" s="196"/>
      <c r="R760" s="196"/>
      <c r="S760" s="196"/>
      <c r="T760" s="196"/>
      <c r="U760" s="196"/>
      <c r="V760" s="196"/>
      <c r="W760" s="196"/>
      <c r="X760" s="196"/>
      <c r="Y760" s="196"/>
      <c r="Z760" s="196"/>
      <c r="AA760" s="196"/>
      <c r="AB760" s="196"/>
      <c r="AC760" s="196"/>
      <c r="AD760" s="196"/>
      <c r="AE760" s="196"/>
      <c r="AF760" s="196"/>
      <c r="AG760" s="196"/>
      <c r="AH760" s="196"/>
    </row>
    <row r="761">
      <c r="A761" s="196"/>
      <c r="B761" s="196"/>
      <c r="C761" s="196"/>
      <c r="D761" s="196"/>
      <c r="E761" s="196"/>
      <c r="F761" s="196"/>
      <c r="G761" s="196"/>
      <c r="H761" s="196"/>
      <c r="I761" s="139"/>
      <c r="J761" s="196"/>
      <c r="K761" s="196"/>
      <c r="L761" s="139"/>
      <c r="M761" s="196"/>
      <c r="N761" s="196"/>
      <c r="O761" s="196"/>
      <c r="P761" s="196"/>
      <c r="Q761" s="196"/>
      <c r="R761" s="196"/>
      <c r="S761" s="196"/>
      <c r="T761" s="196"/>
      <c r="U761" s="196"/>
      <c r="V761" s="196"/>
      <c r="W761" s="196"/>
      <c r="X761" s="196"/>
      <c r="Y761" s="196"/>
      <c r="Z761" s="196"/>
      <c r="AA761" s="196"/>
      <c r="AB761" s="196"/>
      <c r="AC761" s="196"/>
      <c r="AD761" s="196"/>
      <c r="AE761" s="196"/>
      <c r="AF761" s="196"/>
      <c r="AG761" s="196"/>
      <c r="AH761" s="196"/>
    </row>
    <row r="762">
      <c r="A762" s="196"/>
      <c r="B762" s="196"/>
      <c r="C762" s="196"/>
      <c r="D762" s="196"/>
      <c r="E762" s="196"/>
      <c r="F762" s="196"/>
      <c r="G762" s="196"/>
      <c r="H762" s="196"/>
      <c r="I762" s="139"/>
      <c r="J762" s="196"/>
      <c r="K762" s="196"/>
      <c r="L762" s="139"/>
      <c r="M762" s="196"/>
      <c r="N762" s="196"/>
      <c r="O762" s="196"/>
      <c r="P762" s="196"/>
      <c r="Q762" s="196"/>
      <c r="R762" s="196"/>
      <c r="S762" s="196"/>
      <c r="T762" s="196"/>
      <c r="U762" s="196"/>
      <c r="V762" s="196"/>
      <c r="W762" s="196"/>
      <c r="X762" s="196"/>
      <c r="Y762" s="196"/>
      <c r="Z762" s="196"/>
      <c r="AA762" s="196"/>
      <c r="AB762" s="196"/>
      <c r="AC762" s="196"/>
      <c r="AD762" s="196"/>
      <c r="AE762" s="196"/>
      <c r="AF762" s="196"/>
      <c r="AG762" s="196"/>
      <c r="AH762" s="196"/>
    </row>
    <row r="763">
      <c r="A763" s="196"/>
      <c r="B763" s="196"/>
      <c r="C763" s="196"/>
      <c r="D763" s="196"/>
      <c r="E763" s="196"/>
      <c r="F763" s="196"/>
      <c r="G763" s="196"/>
      <c r="H763" s="196"/>
      <c r="I763" s="139"/>
      <c r="J763" s="196"/>
      <c r="K763" s="196"/>
      <c r="L763" s="139"/>
      <c r="M763" s="196"/>
      <c r="N763" s="196"/>
      <c r="O763" s="196"/>
      <c r="P763" s="196"/>
      <c r="Q763" s="196"/>
      <c r="R763" s="196"/>
      <c r="S763" s="196"/>
      <c r="T763" s="196"/>
      <c r="U763" s="196"/>
      <c r="V763" s="196"/>
      <c r="W763" s="196"/>
      <c r="X763" s="196"/>
      <c r="Y763" s="196"/>
      <c r="Z763" s="196"/>
      <c r="AA763" s="196"/>
      <c r="AB763" s="196"/>
      <c r="AC763" s="196"/>
      <c r="AD763" s="196"/>
      <c r="AE763" s="196"/>
      <c r="AF763" s="196"/>
      <c r="AG763" s="196"/>
      <c r="AH763" s="196"/>
    </row>
    <row r="764">
      <c r="A764" s="196"/>
      <c r="B764" s="196"/>
      <c r="C764" s="196"/>
      <c r="D764" s="196"/>
      <c r="E764" s="196"/>
      <c r="F764" s="196"/>
      <c r="G764" s="196"/>
      <c r="H764" s="196"/>
      <c r="I764" s="139"/>
      <c r="J764" s="196"/>
      <c r="K764" s="196"/>
      <c r="L764" s="139"/>
      <c r="M764" s="196"/>
      <c r="N764" s="196"/>
      <c r="O764" s="196"/>
      <c r="P764" s="196"/>
      <c r="Q764" s="196"/>
      <c r="R764" s="196"/>
      <c r="S764" s="196"/>
      <c r="T764" s="196"/>
      <c r="U764" s="196"/>
      <c r="V764" s="196"/>
      <c r="W764" s="196"/>
      <c r="X764" s="196"/>
      <c r="Y764" s="196"/>
      <c r="Z764" s="196"/>
      <c r="AA764" s="196"/>
      <c r="AB764" s="196"/>
      <c r="AC764" s="196"/>
      <c r="AD764" s="196"/>
      <c r="AE764" s="196"/>
      <c r="AF764" s="196"/>
      <c r="AG764" s="196"/>
      <c r="AH764" s="196"/>
    </row>
    <row r="765">
      <c r="A765" s="196"/>
      <c r="B765" s="196"/>
      <c r="C765" s="196"/>
      <c r="D765" s="196"/>
      <c r="E765" s="196"/>
      <c r="F765" s="196"/>
      <c r="G765" s="196"/>
      <c r="H765" s="196"/>
      <c r="I765" s="139"/>
      <c r="J765" s="196"/>
      <c r="K765" s="196"/>
      <c r="L765" s="139"/>
      <c r="M765" s="196"/>
      <c r="N765" s="196"/>
      <c r="O765" s="196"/>
      <c r="P765" s="196"/>
      <c r="Q765" s="196"/>
      <c r="R765" s="196"/>
      <c r="S765" s="196"/>
      <c r="T765" s="196"/>
      <c r="U765" s="196"/>
      <c r="V765" s="196"/>
      <c r="W765" s="196"/>
      <c r="X765" s="196"/>
      <c r="Y765" s="196"/>
      <c r="Z765" s="196"/>
      <c r="AA765" s="196"/>
      <c r="AB765" s="196"/>
      <c r="AC765" s="196"/>
      <c r="AD765" s="196"/>
      <c r="AE765" s="196"/>
      <c r="AF765" s="196"/>
      <c r="AG765" s="196"/>
      <c r="AH765" s="196"/>
    </row>
    <row r="766">
      <c r="A766" s="196"/>
      <c r="B766" s="196"/>
      <c r="C766" s="196"/>
      <c r="D766" s="196"/>
      <c r="E766" s="196"/>
      <c r="F766" s="196"/>
      <c r="G766" s="196"/>
      <c r="H766" s="196"/>
      <c r="I766" s="139"/>
      <c r="J766" s="196"/>
      <c r="K766" s="196"/>
      <c r="L766" s="139"/>
      <c r="M766" s="196"/>
      <c r="N766" s="196"/>
      <c r="O766" s="196"/>
      <c r="P766" s="196"/>
      <c r="Q766" s="196"/>
      <c r="R766" s="196"/>
      <c r="S766" s="196"/>
      <c r="T766" s="196"/>
      <c r="U766" s="196"/>
      <c r="V766" s="196"/>
      <c r="W766" s="196"/>
      <c r="X766" s="196"/>
      <c r="Y766" s="196"/>
      <c r="Z766" s="196"/>
      <c r="AA766" s="196"/>
      <c r="AB766" s="196"/>
      <c r="AC766" s="196"/>
      <c r="AD766" s="196"/>
      <c r="AE766" s="196"/>
      <c r="AF766" s="196"/>
      <c r="AG766" s="196"/>
      <c r="AH766" s="196"/>
    </row>
    <row r="767">
      <c r="A767" s="196"/>
      <c r="B767" s="196"/>
      <c r="C767" s="196"/>
      <c r="D767" s="196"/>
      <c r="E767" s="196"/>
      <c r="F767" s="196"/>
      <c r="G767" s="196"/>
      <c r="H767" s="196"/>
      <c r="I767" s="139"/>
      <c r="J767" s="196"/>
      <c r="K767" s="196"/>
      <c r="L767" s="139"/>
      <c r="M767" s="196"/>
      <c r="N767" s="196"/>
      <c r="O767" s="196"/>
      <c r="P767" s="196"/>
      <c r="Q767" s="196"/>
      <c r="R767" s="196"/>
      <c r="S767" s="196"/>
      <c r="T767" s="196"/>
      <c r="U767" s="196"/>
      <c r="V767" s="196"/>
      <c r="W767" s="196"/>
      <c r="X767" s="196"/>
      <c r="Y767" s="196"/>
      <c r="Z767" s="196"/>
      <c r="AA767" s="196"/>
      <c r="AB767" s="196"/>
      <c r="AC767" s="196"/>
      <c r="AD767" s="196"/>
      <c r="AE767" s="196"/>
      <c r="AF767" s="196"/>
      <c r="AG767" s="196"/>
      <c r="AH767" s="196"/>
    </row>
    <row r="768">
      <c r="A768" s="196"/>
      <c r="B768" s="196"/>
      <c r="C768" s="196"/>
      <c r="D768" s="196"/>
      <c r="E768" s="196"/>
      <c r="F768" s="196"/>
      <c r="G768" s="196"/>
      <c r="H768" s="196"/>
      <c r="I768" s="139"/>
      <c r="J768" s="196"/>
      <c r="K768" s="196"/>
      <c r="L768" s="139"/>
      <c r="M768" s="196"/>
      <c r="N768" s="196"/>
      <c r="O768" s="196"/>
      <c r="P768" s="196"/>
      <c r="Q768" s="196"/>
      <c r="R768" s="196"/>
      <c r="S768" s="196"/>
      <c r="T768" s="196"/>
      <c r="U768" s="196"/>
      <c r="V768" s="196"/>
      <c r="W768" s="196"/>
      <c r="X768" s="196"/>
      <c r="Y768" s="196"/>
      <c r="Z768" s="196"/>
      <c r="AA768" s="196"/>
      <c r="AB768" s="196"/>
      <c r="AC768" s="196"/>
      <c r="AD768" s="196"/>
      <c r="AE768" s="196"/>
      <c r="AF768" s="196"/>
      <c r="AG768" s="196"/>
      <c r="AH768" s="196"/>
    </row>
    <row r="769">
      <c r="A769" s="196"/>
      <c r="B769" s="196"/>
      <c r="C769" s="196"/>
      <c r="D769" s="196"/>
      <c r="E769" s="196"/>
      <c r="F769" s="196"/>
      <c r="G769" s="196"/>
      <c r="H769" s="196"/>
      <c r="I769" s="139"/>
      <c r="J769" s="196"/>
      <c r="K769" s="196"/>
      <c r="L769" s="139"/>
      <c r="M769" s="196"/>
      <c r="N769" s="196"/>
      <c r="O769" s="196"/>
      <c r="P769" s="196"/>
      <c r="Q769" s="196"/>
      <c r="R769" s="196"/>
      <c r="S769" s="196"/>
      <c r="T769" s="196"/>
      <c r="U769" s="196"/>
      <c r="V769" s="196"/>
      <c r="W769" s="196"/>
      <c r="X769" s="196"/>
      <c r="Y769" s="196"/>
      <c r="Z769" s="196"/>
      <c r="AA769" s="196"/>
      <c r="AB769" s="196"/>
      <c r="AC769" s="196"/>
      <c r="AD769" s="196"/>
      <c r="AE769" s="196"/>
      <c r="AF769" s="196"/>
      <c r="AG769" s="196"/>
      <c r="AH769" s="196"/>
    </row>
    <row r="770">
      <c r="A770" s="196"/>
      <c r="B770" s="196"/>
      <c r="C770" s="196"/>
      <c r="D770" s="196"/>
      <c r="E770" s="196"/>
      <c r="F770" s="196"/>
      <c r="G770" s="196"/>
      <c r="H770" s="196"/>
      <c r="I770" s="139"/>
      <c r="J770" s="196"/>
      <c r="K770" s="196"/>
      <c r="L770" s="139"/>
      <c r="M770" s="196"/>
      <c r="N770" s="196"/>
      <c r="O770" s="196"/>
      <c r="P770" s="196"/>
      <c r="Q770" s="196"/>
      <c r="R770" s="196"/>
      <c r="S770" s="196"/>
      <c r="T770" s="196"/>
      <c r="U770" s="196"/>
      <c r="V770" s="196"/>
      <c r="W770" s="196"/>
      <c r="X770" s="196"/>
      <c r="Y770" s="196"/>
      <c r="Z770" s="196"/>
      <c r="AA770" s="196"/>
      <c r="AB770" s="196"/>
      <c r="AC770" s="196"/>
      <c r="AD770" s="196"/>
      <c r="AE770" s="196"/>
      <c r="AF770" s="196"/>
      <c r="AG770" s="196"/>
      <c r="AH770" s="196"/>
    </row>
    <row r="771">
      <c r="A771" s="196"/>
      <c r="B771" s="196"/>
      <c r="C771" s="196"/>
      <c r="D771" s="196"/>
      <c r="E771" s="196"/>
      <c r="F771" s="196"/>
      <c r="G771" s="196"/>
      <c r="H771" s="196"/>
      <c r="I771" s="139"/>
      <c r="J771" s="196"/>
      <c r="K771" s="196"/>
      <c r="L771" s="139"/>
      <c r="M771" s="196"/>
      <c r="N771" s="196"/>
      <c r="O771" s="196"/>
      <c r="P771" s="196"/>
      <c r="Q771" s="196"/>
      <c r="R771" s="196"/>
      <c r="S771" s="196"/>
      <c r="T771" s="196"/>
      <c r="U771" s="196"/>
      <c r="V771" s="196"/>
      <c r="W771" s="196"/>
      <c r="X771" s="196"/>
      <c r="Y771" s="196"/>
      <c r="Z771" s="196"/>
      <c r="AA771" s="196"/>
      <c r="AB771" s="196"/>
      <c r="AC771" s="196"/>
      <c r="AD771" s="196"/>
      <c r="AE771" s="196"/>
      <c r="AF771" s="196"/>
      <c r="AG771" s="196"/>
      <c r="AH771" s="196"/>
    </row>
    <row r="772">
      <c r="A772" s="196"/>
      <c r="B772" s="196"/>
      <c r="C772" s="196"/>
      <c r="D772" s="196"/>
      <c r="E772" s="196"/>
      <c r="F772" s="196"/>
      <c r="G772" s="196"/>
      <c r="H772" s="196"/>
      <c r="I772" s="139"/>
      <c r="J772" s="196"/>
      <c r="K772" s="196"/>
      <c r="L772" s="139"/>
      <c r="M772" s="196"/>
      <c r="N772" s="196"/>
      <c r="O772" s="196"/>
      <c r="P772" s="196"/>
      <c r="Q772" s="196"/>
      <c r="R772" s="196"/>
      <c r="S772" s="196"/>
      <c r="T772" s="196"/>
      <c r="U772" s="196"/>
      <c r="V772" s="196"/>
      <c r="W772" s="196"/>
      <c r="X772" s="196"/>
      <c r="Y772" s="196"/>
      <c r="Z772" s="196"/>
      <c r="AA772" s="196"/>
      <c r="AB772" s="196"/>
      <c r="AC772" s="196"/>
      <c r="AD772" s="196"/>
      <c r="AE772" s="196"/>
      <c r="AF772" s="196"/>
      <c r="AG772" s="196"/>
      <c r="AH772" s="196"/>
    </row>
    <row r="773">
      <c r="A773" s="196"/>
      <c r="B773" s="196"/>
      <c r="C773" s="196"/>
      <c r="D773" s="196"/>
      <c r="E773" s="196"/>
      <c r="F773" s="196"/>
      <c r="G773" s="196"/>
      <c r="H773" s="196"/>
      <c r="I773" s="139"/>
      <c r="J773" s="196"/>
      <c r="K773" s="196"/>
      <c r="L773" s="139"/>
      <c r="M773" s="196"/>
      <c r="N773" s="196"/>
      <c r="O773" s="196"/>
      <c r="P773" s="196"/>
      <c r="Q773" s="196"/>
      <c r="R773" s="196"/>
      <c r="S773" s="196"/>
      <c r="T773" s="196"/>
      <c r="U773" s="196"/>
      <c r="V773" s="196"/>
      <c r="W773" s="196"/>
      <c r="X773" s="196"/>
      <c r="Y773" s="196"/>
      <c r="Z773" s="196"/>
      <c r="AA773" s="196"/>
      <c r="AB773" s="196"/>
      <c r="AC773" s="196"/>
      <c r="AD773" s="196"/>
      <c r="AE773" s="196"/>
      <c r="AF773" s="196"/>
      <c r="AG773" s="196"/>
      <c r="AH773" s="196"/>
    </row>
    <row r="774">
      <c r="A774" s="196"/>
      <c r="B774" s="196"/>
      <c r="C774" s="196"/>
      <c r="D774" s="196"/>
      <c r="E774" s="196"/>
      <c r="F774" s="196"/>
      <c r="G774" s="196"/>
      <c r="H774" s="196"/>
      <c r="I774" s="139"/>
      <c r="J774" s="196"/>
      <c r="K774" s="196"/>
      <c r="L774" s="139"/>
      <c r="M774" s="196"/>
      <c r="N774" s="196"/>
      <c r="O774" s="196"/>
      <c r="P774" s="196"/>
      <c r="Q774" s="196"/>
      <c r="R774" s="196"/>
      <c r="S774" s="196"/>
      <c r="T774" s="196"/>
      <c r="U774" s="196"/>
      <c r="V774" s="196"/>
      <c r="W774" s="196"/>
      <c r="X774" s="196"/>
      <c r="Y774" s="196"/>
      <c r="Z774" s="196"/>
      <c r="AA774" s="196"/>
      <c r="AB774" s="196"/>
      <c r="AC774" s="196"/>
      <c r="AD774" s="196"/>
      <c r="AE774" s="196"/>
      <c r="AF774" s="196"/>
      <c r="AG774" s="196"/>
      <c r="AH774" s="196"/>
    </row>
    <row r="775">
      <c r="A775" s="196"/>
      <c r="B775" s="196"/>
      <c r="C775" s="196"/>
      <c r="D775" s="196"/>
      <c r="E775" s="196"/>
      <c r="F775" s="196"/>
      <c r="G775" s="196"/>
      <c r="H775" s="196"/>
      <c r="I775" s="139"/>
      <c r="J775" s="196"/>
      <c r="K775" s="196"/>
      <c r="L775" s="139"/>
      <c r="M775" s="196"/>
      <c r="N775" s="196"/>
      <c r="O775" s="196"/>
      <c r="P775" s="196"/>
      <c r="Q775" s="196"/>
      <c r="R775" s="196"/>
      <c r="S775" s="196"/>
      <c r="T775" s="196"/>
      <c r="U775" s="196"/>
      <c r="V775" s="196"/>
      <c r="W775" s="196"/>
      <c r="X775" s="196"/>
      <c r="Y775" s="196"/>
      <c r="Z775" s="196"/>
      <c r="AA775" s="196"/>
      <c r="AB775" s="196"/>
      <c r="AC775" s="196"/>
      <c r="AD775" s="196"/>
      <c r="AE775" s="196"/>
      <c r="AF775" s="196"/>
      <c r="AG775" s="196"/>
      <c r="AH775" s="196"/>
    </row>
    <row r="776">
      <c r="A776" s="196"/>
      <c r="B776" s="196"/>
      <c r="C776" s="196"/>
      <c r="D776" s="196"/>
      <c r="E776" s="196"/>
      <c r="F776" s="196"/>
      <c r="G776" s="196"/>
      <c r="H776" s="196"/>
      <c r="I776" s="139"/>
      <c r="J776" s="196"/>
      <c r="K776" s="196"/>
      <c r="L776" s="139"/>
      <c r="M776" s="196"/>
      <c r="N776" s="196"/>
      <c r="O776" s="196"/>
      <c r="P776" s="196"/>
      <c r="Q776" s="196"/>
      <c r="R776" s="196"/>
      <c r="S776" s="196"/>
      <c r="T776" s="196"/>
      <c r="U776" s="196"/>
      <c r="V776" s="196"/>
      <c r="W776" s="196"/>
      <c r="X776" s="196"/>
      <c r="Y776" s="196"/>
      <c r="Z776" s="196"/>
      <c r="AA776" s="196"/>
      <c r="AB776" s="196"/>
      <c r="AC776" s="196"/>
      <c r="AD776" s="196"/>
      <c r="AE776" s="196"/>
      <c r="AF776" s="196"/>
      <c r="AG776" s="196"/>
      <c r="AH776" s="196"/>
    </row>
    <row r="777">
      <c r="A777" s="196"/>
      <c r="B777" s="196"/>
      <c r="C777" s="196"/>
      <c r="D777" s="196"/>
      <c r="E777" s="196"/>
      <c r="F777" s="196"/>
      <c r="G777" s="196"/>
      <c r="H777" s="196"/>
      <c r="I777" s="139"/>
      <c r="J777" s="196"/>
      <c r="K777" s="196"/>
      <c r="L777" s="139"/>
      <c r="M777" s="196"/>
      <c r="N777" s="196"/>
      <c r="O777" s="196"/>
      <c r="P777" s="196"/>
      <c r="Q777" s="196"/>
      <c r="R777" s="196"/>
      <c r="S777" s="196"/>
      <c r="T777" s="196"/>
      <c r="U777" s="196"/>
      <c r="V777" s="196"/>
      <c r="W777" s="196"/>
      <c r="X777" s="196"/>
      <c r="Y777" s="196"/>
      <c r="Z777" s="196"/>
      <c r="AA777" s="196"/>
      <c r="AB777" s="196"/>
      <c r="AC777" s="196"/>
      <c r="AD777" s="196"/>
      <c r="AE777" s="196"/>
      <c r="AF777" s="196"/>
      <c r="AG777" s="196"/>
      <c r="AH777" s="196"/>
    </row>
    <row r="778">
      <c r="A778" s="196"/>
      <c r="B778" s="196"/>
      <c r="C778" s="196"/>
      <c r="D778" s="196"/>
      <c r="E778" s="196"/>
      <c r="F778" s="196"/>
      <c r="G778" s="196"/>
      <c r="H778" s="196"/>
      <c r="I778" s="139"/>
      <c r="J778" s="196"/>
      <c r="K778" s="196"/>
      <c r="L778" s="139"/>
      <c r="M778" s="196"/>
      <c r="N778" s="196"/>
      <c r="O778" s="196"/>
      <c r="P778" s="196"/>
      <c r="Q778" s="196"/>
      <c r="R778" s="196"/>
      <c r="S778" s="196"/>
      <c r="T778" s="196"/>
      <c r="U778" s="196"/>
      <c r="V778" s="196"/>
      <c r="W778" s="196"/>
      <c r="X778" s="196"/>
      <c r="Y778" s="196"/>
      <c r="Z778" s="196"/>
      <c r="AA778" s="196"/>
      <c r="AB778" s="196"/>
      <c r="AC778" s="196"/>
      <c r="AD778" s="196"/>
      <c r="AE778" s="196"/>
      <c r="AF778" s="196"/>
      <c r="AG778" s="196"/>
      <c r="AH778" s="196"/>
    </row>
    <row r="779">
      <c r="A779" s="196"/>
      <c r="B779" s="196"/>
      <c r="C779" s="196"/>
      <c r="D779" s="196"/>
      <c r="E779" s="196"/>
      <c r="F779" s="196"/>
      <c r="G779" s="196"/>
      <c r="H779" s="196"/>
      <c r="I779" s="139"/>
      <c r="J779" s="196"/>
      <c r="K779" s="196"/>
      <c r="L779" s="139"/>
      <c r="M779" s="196"/>
      <c r="N779" s="196"/>
      <c r="O779" s="196"/>
      <c r="P779" s="196"/>
      <c r="Q779" s="196"/>
      <c r="R779" s="196"/>
      <c r="S779" s="196"/>
      <c r="T779" s="196"/>
      <c r="U779" s="196"/>
      <c r="V779" s="196"/>
      <c r="W779" s="196"/>
      <c r="X779" s="196"/>
      <c r="Y779" s="196"/>
      <c r="Z779" s="196"/>
      <c r="AA779" s="196"/>
      <c r="AB779" s="196"/>
      <c r="AC779" s="196"/>
      <c r="AD779" s="196"/>
      <c r="AE779" s="196"/>
      <c r="AF779" s="196"/>
      <c r="AG779" s="196"/>
      <c r="AH779" s="196"/>
    </row>
    <row r="780">
      <c r="A780" s="196"/>
      <c r="B780" s="196"/>
      <c r="C780" s="196"/>
      <c r="D780" s="196"/>
      <c r="E780" s="196"/>
      <c r="F780" s="196"/>
      <c r="G780" s="196"/>
      <c r="H780" s="196"/>
      <c r="I780" s="139"/>
      <c r="J780" s="196"/>
      <c r="K780" s="196"/>
      <c r="L780" s="139"/>
      <c r="M780" s="196"/>
      <c r="N780" s="196"/>
      <c r="O780" s="196"/>
      <c r="P780" s="196"/>
      <c r="Q780" s="196"/>
      <c r="R780" s="196"/>
      <c r="S780" s="196"/>
      <c r="T780" s="196"/>
      <c r="U780" s="196"/>
      <c r="V780" s="196"/>
      <c r="W780" s="196"/>
      <c r="X780" s="196"/>
      <c r="Y780" s="196"/>
      <c r="Z780" s="196"/>
      <c r="AA780" s="196"/>
      <c r="AB780" s="196"/>
      <c r="AC780" s="196"/>
      <c r="AD780" s="196"/>
      <c r="AE780" s="196"/>
      <c r="AF780" s="196"/>
      <c r="AG780" s="196"/>
      <c r="AH780" s="196"/>
    </row>
    <row r="781">
      <c r="A781" s="196"/>
      <c r="B781" s="196"/>
      <c r="C781" s="196"/>
      <c r="D781" s="196"/>
      <c r="E781" s="196"/>
      <c r="F781" s="196"/>
      <c r="G781" s="196"/>
      <c r="H781" s="196"/>
      <c r="I781" s="139"/>
      <c r="J781" s="196"/>
      <c r="K781" s="196"/>
      <c r="L781" s="139"/>
      <c r="M781" s="196"/>
      <c r="N781" s="196"/>
      <c r="O781" s="196"/>
      <c r="P781" s="196"/>
      <c r="Q781" s="196"/>
      <c r="R781" s="196"/>
      <c r="S781" s="196"/>
      <c r="T781" s="196"/>
      <c r="U781" s="196"/>
      <c r="V781" s="196"/>
      <c r="W781" s="196"/>
      <c r="X781" s="196"/>
      <c r="Y781" s="196"/>
      <c r="Z781" s="196"/>
      <c r="AA781" s="196"/>
      <c r="AB781" s="196"/>
      <c r="AC781" s="196"/>
      <c r="AD781" s="196"/>
      <c r="AE781" s="196"/>
      <c r="AF781" s="196"/>
      <c r="AG781" s="196"/>
      <c r="AH781" s="196"/>
    </row>
    <row r="782">
      <c r="A782" s="196"/>
      <c r="B782" s="196"/>
      <c r="C782" s="196"/>
      <c r="D782" s="196"/>
      <c r="E782" s="196"/>
      <c r="F782" s="196"/>
      <c r="G782" s="196"/>
      <c r="H782" s="196"/>
      <c r="I782" s="139"/>
      <c r="J782" s="196"/>
      <c r="K782" s="196"/>
      <c r="L782" s="139"/>
      <c r="M782" s="196"/>
      <c r="N782" s="196"/>
      <c r="O782" s="196"/>
      <c r="P782" s="196"/>
      <c r="Q782" s="196"/>
      <c r="R782" s="196"/>
      <c r="S782" s="196"/>
      <c r="T782" s="196"/>
      <c r="U782" s="196"/>
      <c r="V782" s="196"/>
      <c r="W782" s="196"/>
      <c r="X782" s="196"/>
      <c r="Y782" s="196"/>
      <c r="Z782" s="196"/>
      <c r="AA782" s="196"/>
      <c r="AB782" s="196"/>
      <c r="AC782" s="196"/>
      <c r="AD782" s="196"/>
      <c r="AE782" s="196"/>
      <c r="AF782" s="196"/>
      <c r="AG782" s="196"/>
      <c r="AH782" s="196"/>
    </row>
    <row r="783">
      <c r="A783" s="196"/>
      <c r="B783" s="196"/>
      <c r="C783" s="196"/>
      <c r="D783" s="196"/>
      <c r="E783" s="196"/>
      <c r="F783" s="196"/>
      <c r="G783" s="196"/>
      <c r="H783" s="196"/>
      <c r="I783" s="139"/>
      <c r="J783" s="196"/>
      <c r="K783" s="196"/>
      <c r="L783" s="139"/>
      <c r="M783" s="196"/>
      <c r="N783" s="196"/>
      <c r="O783" s="196"/>
      <c r="P783" s="196"/>
      <c r="Q783" s="196"/>
      <c r="R783" s="196"/>
      <c r="S783" s="196"/>
      <c r="T783" s="196"/>
      <c r="U783" s="196"/>
      <c r="V783" s="196"/>
      <c r="W783" s="196"/>
      <c r="X783" s="196"/>
      <c r="Y783" s="196"/>
      <c r="Z783" s="196"/>
      <c r="AA783" s="196"/>
      <c r="AB783" s="196"/>
      <c r="AC783" s="196"/>
      <c r="AD783" s="196"/>
      <c r="AE783" s="196"/>
      <c r="AF783" s="196"/>
      <c r="AG783" s="196"/>
      <c r="AH783" s="196"/>
    </row>
    <row r="784">
      <c r="A784" s="196"/>
      <c r="B784" s="196"/>
      <c r="C784" s="196"/>
      <c r="D784" s="196"/>
      <c r="E784" s="196"/>
      <c r="F784" s="196"/>
      <c r="G784" s="196"/>
      <c r="H784" s="196"/>
      <c r="I784" s="139"/>
      <c r="J784" s="196"/>
      <c r="K784" s="196"/>
      <c r="L784" s="139"/>
      <c r="M784" s="196"/>
      <c r="N784" s="196"/>
      <c r="O784" s="196"/>
      <c r="P784" s="196"/>
      <c r="Q784" s="196"/>
      <c r="R784" s="196"/>
      <c r="S784" s="196"/>
      <c r="T784" s="196"/>
      <c r="U784" s="196"/>
      <c r="V784" s="196"/>
      <c r="W784" s="196"/>
      <c r="X784" s="196"/>
      <c r="Y784" s="196"/>
      <c r="Z784" s="196"/>
      <c r="AA784" s="196"/>
      <c r="AB784" s="196"/>
      <c r="AC784" s="196"/>
      <c r="AD784" s="196"/>
      <c r="AE784" s="196"/>
      <c r="AF784" s="196"/>
      <c r="AG784" s="196"/>
      <c r="AH784" s="196"/>
    </row>
    <row r="785">
      <c r="A785" s="196"/>
      <c r="B785" s="196"/>
      <c r="C785" s="196"/>
      <c r="D785" s="196"/>
      <c r="E785" s="196"/>
      <c r="F785" s="196"/>
      <c r="G785" s="196"/>
      <c r="H785" s="196"/>
      <c r="I785" s="139"/>
      <c r="J785" s="196"/>
      <c r="K785" s="196"/>
      <c r="L785" s="139"/>
      <c r="M785" s="196"/>
      <c r="N785" s="196"/>
      <c r="O785" s="196"/>
      <c r="P785" s="196"/>
      <c r="Q785" s="196"/>
      <c r="R785" s="196"/>
      <c r="S785" s="196"/>
      <c r="T785" s="196"/>
      <c r="U785" s="196"/>
      <c r="V785" s="196"/>
      <c r="W785" s="196"/>
      <c r="X785" s="196"/>
      <c r="Y785" s="196"/>
      <c r="Z785" s="196"/>
      <c r="AA785" s="196"/>
      <c r="AB785" s="196"/>
      <c r="AC785" s="196"/>
      <c r="AD785" s="196"/>
      <c r="AE785" s="196"/>
      <c r="AF785" s="196"/>
      <c r="AG785" s="196"/>
      <c r="AH785" s="196"/>
    </row>
    <row r="786">
      <c r="A786" s="196"/>
      <c r="B786" s="196"/>
      <c r="C786" s="196"/>
      <c r="D786" s="196"/>
      <c r="E786" s="196"/>
      <c r="F786" s="196"/>
      <c r="G786" s="196"/>
      <c r="H786" s="196"/>
      <c r="I786" s="139"/>
      <c r="J786" s="196"/>
      <c r="K786" s="196"/>
      <c r="L786" s="139"/>
      <c r="M786" s="196"/>
      <c r="N786" s="196"/>
      <c r="O786" s="196"/>
      <c r="P786" s="196"/>
      <c r="Q786" s="196"/>
      <c r="R786" s="196"/>
      <c r="S786" s="196"/>
      <c r="T786" s="196"/>
      <c r="U786" s="196"/>
      <c r="V786" s="196"/>
      <c r="W786" s="196"/>
      <c r="X786" s="196"/>
      <c r="Y786" s="196"/>
      <c r="Z786" s="196"/>
      <c r="AA786" s="196"/>
      <c r="AB786" s="196"/>
      <c r="AC786" s="196"/>
      <c r="AD786" s="196"/>
      <c r="AE786" s="196"/>
      <c r="AF786" s="196"/>
      <c r="AG786" s="196"/>
      <c r="AH786" s="196"/>
    </row>
    <row r="787">
      <c r="A787" s="196"/>
      <c r="B787" s="196"/>
      <c r="C787" s="196"/>
      <c r="D787" s="196"/>
      <c r="E787" s="196"/>
      <c r="F787" s="196"/>
      <c r="G787" s="196"/>
      <c r="H787" s="196"/>
      <c r="I787" s="139"/>
      <c r="J787" s="196"/>
      <c r="K787" s="196"/>
      <c r="L787" s="139"/>
      <c r="M787" s="196"/>
      <c r="N787" s="196"/>
      <c r="O787" s="196"/>
      <c r="P787" s="196"/>
      <c r="Q787" s="196"/>
      <c r="R787" s="196"/>
      <c r="S787" s="196"/>
      <c r="T787" s="196"/>
      <c r="U787" s="196"/>
      <c r="V787" s="196"/>
      <c r="W787" s="196"/>
      <c r="X787" s="196"/>
      <c r="Y787" s="196"/>
      <c r="Z787" s="196"/>
      <c r="AA787" s="196"/>
      <c r="AB787" s="196"/>
      <c r="AC787" s="196"/>
      <c r="AD787" s="196"/>
      <c r="AE787" s="196"/>
      <c r="AF787" s="196"/>
      <c r="AG787" s="196"/>
      <c r="AH787" s="196"/>
    </row>
    <row r="788">
      <c r="A788" s="196"/>
      <c r="B788" s="196"/>
      <c r="C788" s="196"/>
      <c r="D788" s="196"/>
      <c r="E788" s="196"/>
      <c r="F788" s="196"/>
      <c r="G788" s="196"/>
      <c r="H788" s="196"/>
      <c r="I788" s="139"/>
      <c r="J788" s="196"/>
      <c r="K788" s="196"/>
      <c r="L788" s="139"/>
      <c r="M788" s="196"/>
      <c r="N788" s="196"/>
      <c r="O788" s="196"/>
      <c r="P788" s="196"/>
      <c r="Q788" s="196"/>
      <c r="R788" s="196"/>
      <c r="S788" s="196"/>
      <c r="T788" s="196"/>
      <c r="U788" s="196"/>
      <c r="V788" s="196"/>
      <c r="W788" s="196"/>
      <c r="X788" s="196"/>
      <c r="Y788" s="196"/>
      <c r="Z788" s="196"/>
      <c r="AA788" s="196"/>
      <c r="AB788" s="196"/>
      <c r="AC788" s="196"/>
      <c r="AD788" s="196"/>
      <c r="AE788" s="196"/>
      <c r="AF788" s="196"/>
      <c r="AG788" s="196"/>
      <c r="AH788" s="196"/>
    </row>
    <row r="789">
      <c r="A789" s="196"/>
      <c r="B789" s="196"/>
      <c r="C789" s="196"/>
      <c r="D789" s="196"/>
      <c r="E789" s="196"/>
      <c r="F789" s="196"/>
      <c r="G789" s="196"/>
      <c r="H789" s="196"/>
      <c r="I789" s="139"/>
      <c r="J789" s="196"/>
      <c r="K789" s="196"/>
      <c r="L789" s="139"/>
      <c r="M789" s="196"/>
      <c r="N789" s="196"/>
      <c r="O789" s="196"/>
      <c r="P789" s="196"/>
      <c r="Q789" s="196"/>
      <c r="R789" s="196"/>
      <c r="S789" s="196"/>
      <c r="T789" s="196"/>
      <c r="U789" s="196"/>
      <c r="V789" s="196"/>
      <c r="W789" s="196"/>
      <c r="X789" s="196"/>
      <c r="Y789" s="196"/>
      <c r="Z789" s="196"/>
      <c r="AA789" s="196"/>
      <c r="AB789" s="196"/>
      <c r="AC789" s="196"/>
      <c r="AD789" s="196"/>
      <c r="AE789" s="196"/>
      <c r="AF789" s="196"/>
      <c r="AG789" s="196"/>
      <c r="AH789" s="196"/>
    </row>
    <row r="790">
      <c r="A790" s="196"/>
      <c r="B790" s="196"/>
      <c r="C790" s="196"/>
      <c r="D790" s="196"/>
      <c r="E790" s="196"/>
      <c r="F790" s="196"/>
      <c r="G790" s="196"/>
      <c r="H790" s="196"/>
      <c r="I790" s="139"/>
      <c r="J790" s="196"/>
      <c r="K790" s="196"/>
      <c r="L790" s="139"/>
      <c r="M790" s="196"/>
      <c r="N790" s="196"/>
      <c r="O790" s="196"/>
      <c r="P790" s="196"/>
      <c r="Q790" s="196"/>
      <c r="R790" s="196"/>
      <c r="S790" s="196"/>
      <c r="T790" s="196"/>
      <c r="U790" s="196"/>
      <c r="V790" s="196"/>
      <c r="W790" s="196"/>
      <c r="X790" s="196"/>
      <c r="Y790" s="196"/>
      <c r="Z790" s="196"/>
      <c r="AA790" s="196"/>
      <c r="AB790" s="196"/>
      <c r="AC790" s="196"/>
      <c r="AD790" s="196"/>
      <c r="AE790" s="196"/>
      <c r="AF790" s="196"/>
      <c r="AG790" s="196"/>
      <c r="AH790" s="196"/>
    </row>
    <row r="791">
      <c r="A791" s="196"/>
      <c r="B791" s="196"/>
      <c r="C791" s="196"/>
      <c r="D791" s="196"/>
      <c r="E791" s="196"/>
      <c r="F791" s="196"/>
      <c r="G791" s="196"/>
      <c r="H791" s="196"/>
      <c r="I791" s="139"/>
      <c r="J791" s="196"/>
      <c r="K791" s="196"/>
      <c r="L791" s="139"/>
      <c r="M791" s="196"/>
      <c r="N791" s="196"/>
      <c r="O791" s="196"/>
      <c r="P791" s="196"/>
      <c r="Q791" s="196"/>
      <c r="R791" s="196"/>
      <c r="S791" s="196"/>
      <c r="T791" s="196"/>
      <c r="U791" s="196"/>
      <c r="V791" s="196"/>
      <c r="W791" s="196"/>
      <c r="X791" s="196"/>
      <c r="Y791" s="196"/>
      <c r="Z791" s="196"/>
      <c r="AA791" s="196"/>
      <c r="AB791" s="196"/>
      <c r="AC791" s="196"/>
      <c r="AD791" s="196"/>
      <c r="AE791" s="196"/>
      <c r="AF791" s="196"/>
      <c r="AG791" s="196"/>
      <c r="AH791" s="196"/>
    </row>
    <row r="792">
      <c r="A792" s="196"/>
      <c r="B792" s="196"/>
      <c r="C792" s="196"/>
      <c r="D792" s="196"/>
      <c r="E792" s="196"/>
      <c r="F792" s="196"/>
      <c r="G792" s="196"/>
      <c r="H792" s="196"/>
      <c r="I792" s="139"/>
      <c r="J792" s="196"/>
      <c r="K792" s="196"/>
      <c r="L792" s="139"/>
      <c r="M792" s="196"/>
      <c r="N792" s="196"/>
      <c r="O792" s="196"/>
      <c r="P792" s="196"/>
      <c r="Q792" s="196"/>
      <c r="R792" s="196"/>
      <c r="S792" s="196"/>
      <c r="T792" s="196"/>
      <c r="U792" s="196"/>
      <c r="V792" s="196"/>
      <c r="W792" s="196"/>
      <c r="X792" s="196"/>
      <c r="Y792" s="196"/>
      <c r="Z792" s="196"/>
      <c r="AA792" s="196"/>
      <c r="AB792" s="196"/>
      <c r="AC792" s="196"/>
      <c r="AD792" s="196"/>
      <c r="AE792" s="196"/>
      <c r="AF792" s="196"/>
      <c r="AG792" s="196"/>
      <c r="AH792" s="196"/>
    </row>
    <row r="793">
      <c r="A793" s="196"/>
      <c r="B793" s="196"/>
      <c r="C793" s="196"/>
      <c r="D793" s="196"/>
      <c r="E793" s="196"/>
      <c r="F793" s="196"/>
      <c r="G793" s="196"/>
      <c r="H793" s="196"/>
      <c r="I793" s="139"/>
      <c r="J793" s="196"/>
      <c r="K793" s="196"/>
      <c r="L793" s="139"/>
      <c r="M793" s="196"/>
      <c r="N793" s="196"/>
      <c r="O793" s="196"/>
      <c r="P793" s="196"/>
      <c r="Q793" s="196"/>
      <c r="R793" s="196"/>
      <c r="S793" s="196"/>
      <c r="T793" s="196"/>
      <c r="U793" s="196"/>
      <c r="V793" s="196"/>
      <c r="W793" s="196"/>
      <c r="X793" s="196"/>
      <c r="Y793" s="196"/>
      <c r="Z793" s="196"/>
      <c r="AA793" s="196"/>
      <c r="AB793" s="196"/>
      <c r="AC793" s="196"/>
      <c r="AD793" s="196"/>
      <c r="AE793" s="196"/>
      <c r="AF793" s="196"/>
      <c r="AG793" s="196"/>
      <c r="AH793" s="196"/>
    </row>
    <row r="794">
      <c r="A794" s="196"/>
      <c r="B794" s="196"/>
      <c r="C794" s="196"/>
      <c r="D794" s="196"/>
      <c r="E794" s="196"/>
      <c r="F794" s="196"/>
      <c r="G794" s="196"/>
      <c r="H794" s="196"/>
      <c r="I794" s="139"/>
      <c r="J794" s="196"/>
      <c r="K794" s="196"/>
      <c r="L794" s="139"/>
      <c r="M794" s="196"/>
      <c r="N794" s="196"/>
      <c r="O794" s="196"/>
      <c r="P794" s="196"/>
      <c r="Q794" s="196"/>
      <c r="R794" s="196"/>
      <c r="S794" s="196"/>
      <c r="T794" s="196"/>
      <c r="U794" s="196"/>
      <c r="V794" s="196"/>
      <c r="W794" s="196"/>
      <c r="X794" s="196"/>
      <c r="Y794" s="196"/>
      <c r="Z794" s="196"/>
      <c r="AA794" s="196"/>
      <c r="AB794" s="196"/>
      <c r="AC794" s="196"/>
      <c r="AD794" s="196"/>
      <c r="AE794" s="196"/>
      <c r="AF794" s="196"/>
      <c r="AG794" s="196"/>
      <c r="AH794" s="196"/>
    </row>
    <row r="795">
      <c r="A795" s="196"/>
      <c r="B795" s="196"/>
      <c r="C795" s="196"/>
      <c r="D795" s="196"/>
      <c r="E795" s="196"/>
      <c r="F795" s="196"/>
      <c r="G795" s="196"/>
      <c r="H795" s="196"/>
      <c r="I795" s="139"/>
      <c r="J795" s="196"/>
      <c r="K795" s="196"/>
      <c r="L795" s="139"/>
      <c r="M795" s="196"/>
      <c r="N795" s="196"/>
      <c r="O795" s="196"/>
      <c r="P795" s="196"/>
      <c r="Q795" s="196"/>
      <c r="R795" s="196"/>
      <c r="S795" s="196"/>
      <c r="T795" s="196"/>
      <c r="U795" s="196"/>
      <c r="V795" s="196"/>
      <c r="W795" s="196"/>
      <c r="X795" s="196"/>
      <c r="Y795" s="196"/>
      <c r="Z795" s="196"/>
      <c r="AA795" s="196"/>
      <c r="AB795" s="196"/>
      <c r="AC795" s="196"/>
      <c r="AD795" s="196"/>
      <c r="AE795" s="196"/>
      <c r="AF795" s="196"/>
      <c r="AG795" s="196"/>
      <c r="AH795" s="196"/>
    </row>
    <row r="796">
      <c r="A796" s="196"/>
      <c r="B796" s="196"/>
      <c r="C796" s="196"/>
      <c r="D796" s="196"/>
      <c r="E796" s="196"/>
      <c r="F796" s="196"/>
      <c r="G796" s="196"/>
      <c r="H796" s="196"/>
      <c r="I796" s="139"/>
      <c r="J796" s="196"/>
      <c r="K796" s="196"/>
      <c r="L796" s="139"/>
      <c r="M796" s="196"/>
      <c r="N796" s="196"/>
      <c r="O796" s="196"/>
      <c r="P796" s="196"/>
      <c r="Q796" s="196"/>
      <c r="R796" s="196"/>
      <c r="S796" s="196"/>
      <c r="T796" s="196"/>
      <c r="U796" s="196"/>
      <c r="V796" s="196"/>
      <c r="W796" s="196"/>
      <c r="X796" s="196"/>
      <c r="Y796" s="196"/>
      <c r="Z796" s="196"/>
      <c r="AA796" s="196"/>
      <c r="AB796" s="196"/>
      <c r="AC796" s="196"/>
      <c r="AD796" s="196"/>
      <c r="AE796" s="196"/>
      <c r="AF796" s="196"/>
      <c r="AG796" s="196"/>
      <c r="AH796" s="196"/>
    </row>
    <row r="797">
      <c r="A797" s="196"/>
      <c r="B797" s="196"/>
      <c r="C797" s="196"/>
      <c r="D797" s="196"/>
      <c r="E797" s="196"/>
      <c r="F797" s="196"/>
      <c r="G797" s="196"/>
      <c r="H797" s="196"/>
      <c r="I797" s="139"/>
      <c r="J797" s="196"/>
      <c r="K797" s="196"/>
      <c r="L797" s="139"/>
      <c r="M797" s="196"/>
      <c r="N797" s="196"/>
      <c r="O797" s="196"/>
      <c r="P797" s="196"/>
      <c r="Q797" s="196"/>
      <c r="R797" s="196"/>
      <c r="S797" s="196"/>
      <c r="T797" s="196"/>
      <c r="U797" s="196"/>
      <c r="V797" s="196"/>
      <c r="W797" s="196"/>
      <c r="X797" s="196"/>
      <c r="Y797" s="196"/>
      <c r="Z797" s="196"/>
      <c r="AA797" s="196"/>
      <c r="AB797" s="196"/>
      <c r="AC797" s="196"/>
      <c r="AD797" s="196"/>
      <c r="AE797" s="196"/>
      <c r="AF797" s="196"/>
      <c r="AG797" s="196"/>
      <c r="AH797" s="196"/>
    </row>
    <row r="798">
      <c r="A798" s="196"/>
      <c r="B798" s="196"/>
      <c r="C798" s="196"/>
      <c r="D798" s="196"/>
      <c r="E798" s="196"/>
      <c r="F798" s="196"/>
      <c r="G798" s="196"/>
      <c r="H798" s="196"/>
      <c r="I798" s="139"/>
      <c r="J798" s="196"/>
      <c r="K798" s="196"/>
      <c r="L798" s="139"/>
      <c r="M798" s="196"/>
      <c r="N798" s="196"/>
      <c r="O798" s="196"/>
      <c r="P798" s="196"/>
      <c r="Q798" s="196"/>
      <c r="R798" s="196"/>
      <c r="S798" s="196"/>
      <c r="T798" s="196"/>
      <c r="U798" s="196"/>
      <c r="V798" s="196"/>
      <c r="W798" s="196"/>
      <c r="X798" s="196"/>
      <c r="Y798" s="196"/>
      <c r="Z798" s="196"/>
      <c r="AA798" s="196"/>
      <c r="AB798" s="196"/>
      <c r="AC798" s="196"/>
      <c r="AD798" s="196"/>
      <c r="AE798" s="196"/>
      <c r="AF798" s="196"/>
      <c r="AG798" s="196"/>
      <c r="AH798" s="196"/>
    </row>
    <row r="799">
      <c r="A799" s="196"/>
      <c r="B799" s="196"/>
      <c r="C799" s="196"/>
      <c r="D799" s="196"/>
      <c r="E799" s="196"/>
      <c r="F799" s="196"/>
      <c r="G799" s="196"/>
      <c r="H799" s="196"/>
      <c r="I799" s="139"/>
      <c r="J799" s="196"/>
      <c r="K799" s="196"/>
      <c r="L799" s="139"/>
      <c r="M799" s="196"/>
      <c r="N799" s="196"/>
      <c r="O799" s="196"/>
      <c r="P799" s="196"/>
      <c r="Q799" s="196"/>
      <c r="R799" s="196"/>
      <c r="S799" s="196"/>
      <c r="T799" s="196"/>
      <c r="U799" s="196"/>
      <c r="V799" s="196"/>
      <c r="W799" s="196"/>
      <c r="X799" s="196"/>
      <c r="Y799" s="196"/>
      <c r="Z799" s="196"/>
      <c r="AA799" s="196"/>
      <c r="AB799" s="196"/>
      <c r="AC799" s="196"/>
      <c r="AD799" s="196"/>
      <c r="AE799" s="196"/>
      <c r="AF799" s="196"/>
      <c r="AG799" s="196"/>
      <c r="AH799" s="196"/>
    </row>
    <row r="800">
      <c r="A800" s="196"/>
      <c r="B800" s="196"/>
      <c r="C800" s="196"/>
      <c r="D800" s="196"/>
      <c r="E800" s="196"/>
      <c r="F800" s="196"/>
      <c r="G800" s="196"/>
      <c r="H800" s="196"/>
      <c r="I800" s="139"/>
      <c r="J800" s="196"/>
      <c r="K800" s="196"/>
      <c r="L800" s="139"/>
      <c r="M800" s="196"/>
      <c r="N800" s="196"/>
      <c r="O800" s="196"/>
      <c r="P800" s="196"/>
      <c r="Q800" s="196"/>
      <c r="R800" s="196"/>
      <c r="S800" s="196"/>
      <c r="T800" s="196"/>
      <c r="U800" s="196"/>
      <c r="V800" s="196"/>
      <c r="W800" s="196"/>
      <c r="X800" s="196"/>
      <c r="Y800" s="196"/>
      <c r="Z800" s="196"/>
      <c r="AA800" s="196"/>
      <c r="AB800" s="196"/>
      <c r="AC800" s="196"/>
      <c r="AD800" s="196"/>
      <c r="AE800" s="196"/>
      <c r="AF800" s="196"/>
      <c r="AG800" s="196"/>
      <c r="AH800" s="196"/>
    </row>
    <row r="801">
      <c r="A801" s="196"/>
      <c r="B801" s="196"/>
      <c r="C801" s="196"/>
      <c r="D801" s="196"/>
      <c r="E801" s="196"/>
      <c r="F801" s="196"/>
      <c r="G801" s="196"/>
      <c r="H801" s="196"/>
      <c r="I801" s="139"/>
      <c r="J801" s="196"/>
      <c r="K801" s="196"/>
      <c r="L801" s="139"/>
      <c r="M801" s="196"/>
      <c r="N801" s="196"/>
      <c r="O801" s="196"/>
      <c r="P801" s="196"/>
      <c r="Q801" s="196"/>
      <c r="R801" s="196"/>
      <c r="S801" s="196"/>
      <c r="T801" s="196"/>
      <c r="U801" s="196"/>
      <c r="V801" s="196"/>
      <c r="W801" s="196"/>
      <c r="X801" s="196"/>
      <c r="Y801" s="196"/>
      <c r="Z801" s="196"/>
      <c r="AA801" s="196"/>
      <c r="AB801" s="196"/>
      <c r="AC801" s="196"/>
      <c r="AD801" s="196"/>
      <c r="AE801" s="196"/>
      <c r="AF801" s="196"/>
      <c r="AG801" s="196"/>
      <c r="AH801" s="196"/>
    </row>
    <row r="802">
      <c r="A802" s="196"/>
      <c r="B802" s="196"/>
      <c r="C802" s="196"/>
      <c r="D802" s="196"/>
      <c r="E802" s="196"/>
      <c r="F802" s="196"/>
      <c r="G802" s="196"/>
      <c r="H802" s="196"/>
      <c r="I802" s="139"/>
      <c r="J802" s="196"/>
      <c r="K802" s="196"/>
      <c r="L802" s="139"/>
      <c r="M802" s="196"/>
      <c r="N802" s="196"/>
      <c r="O802" s="196"/>
      <c r="P802" s="196"/>
      <c r="Q802" s="196"/>
      <c r="R802" s="196"/>
      <c r="S802" s="196"/>
      <c r="T802" s="196"/>
      <c r="U802" s="196"/>
      <c r="V802" s="196"/>
      <c r="W802" s="196"/>
      <c r="X802" s="196"/>
      <c r="Y802" s="196"/>
      <c r="Z802" s="196"/>
      <c r="AA802" s="196"/>
      <c r="AB802" s="196"/>
      <c r="AC802" s="196"/>
      <c r="AD802" s="196"/>
      <c r="AE802" s="196"/>
      <c r="AF802" s="196"/>
      <c r="AG802" s="196"/>
      <c r="AH802" s="196"/>
    </row>
    <row r="803">
      <c r="A803" s="196"/>
      <c r="B803" s="196"/>
      <c r="C803" s="196"/>
      <c r="D803" s="196"/>
      <c r="E803" s="196"/>
      <c r="F803" s="196"/>
      <c r="G803" s="196"/>
      <c r="H803" s="196"/>
      <c r="I803" s="139"/>
      <c r="J803" s="196"/>
      <c r="K803" s="196"/>
      <c r="L803" s="139"/>
      <c r="M803" s="196"/>
      <c r="N803" s="196"/>
      <c r="O803" s="196"/>
      <c r="P803" s="196"/>
      <c r="Q803" s="196"/>
      <c r="R803" s="196"/>
      <c r="S803" s="196"/>
      <c r="T803" s="196"/>
      <c r="U803" s="196"/>
      <c r="V803" s="196"/>
      <c r="W803" s="196"/>
      <c r="X803" s="196"/>
      <c r="Y803" s="196"/>
      <c r="Z803" s="196"/>
      <c r="AA803" s="196"/>
      <c r="AB803" s="196"/>
      <c r="AC803" s="196"/>
      <c r="AD803" s="196"/>
      <c r="AE803" s="196"/>
      <c r="AF803" s="196"/>
      <c r="AG803" s="196"/>
      <c r="AH803" s="196"/>
    </row>
    <row r="804">
      <c r="A804" s="196"/>
      <c r="B804" s="196"/>
      <c r="C804" s="196"/>
      <c r="D804" s="196"/>
      <c r="E804" s="196"/>
      <c r="F804" s="196"/>
      <c r="G804" s="196"/>
      <c r="H804" s="196"/>
      <c r="I804" s="139"/>
      <c r="J804" s="196"/>
      <c r="K804" s="196"/>
      <c r="L804" s="139"/>
      <c r="M804" s="196"/>
      <c r="N804" s="196"/>
      <c r="O804" s="196"/>
      <c r="P804" s="196"/>
      <c r="Q804" s="196"/>
      <c r="R804" s="196"/>
      <c r="S804" s="196"/>
      <c r="T804" s="196"/>
      <c r="U804" s="196"/>
      <c r="V804" s="196"/>
      <c r="W804" s="196"/>
      <c r="X804" s="196"/>
      <c r="Y804" s="196"/>
      <c r="Z804" s="196"/>
      <c r="AA804" s="196"/>
      <c r="AB804" s="196"/>
      <c r="AC804" s="196"/>
      <c r="AD804" s="196"/>
      <c r="AE804" s="196"/>
      <c r="AF804" s="196"/>
      <c r="AG804" s="196"/>
      <c r="AH804" s="196"/>
    </row>
    <row r="805">
      <c r="A805" s="196"/>
      <c r="B805" s="196"/>
      <c r="C805" s="196"/>
      <c r="D805" s="196"/>
      <c r="E805" s="196"/>
      <c r="F805" s="196"/>
      <c r="G805" s="196"/>
      <c r="H805" s="196"/>
      <c r="I805" s="139"/>
      <c r="J805" s="196"/>
      <c r="K805" s="196"/>
      <c r="L805" s="139"/>
      <c r="M805" s="196"/>
      <c r="N805" s="196"/>
      <c r="O805" s="196"/>
      <c r="P805" s="196"/>
      <c r="Q805" s="196"/>
      <c r="R805" s="196"/>
      <c r="S805" s="196"/>
      <c r="T805" s="196"/>
      <c r="U805" s="196"/>
      <c r="V805" s="196"/>
      <c r="W805" s="196"/>
      <c r="X805" s="196"/>
      <c r="Y805" s="196"/>
      <c r="Z805" s="196"/>
      <c r="AA805" s="196"/>
      <c r="AB805" s="196"/>
      <c r="AC805" s="196"/>
      <c r="AD805" s="196"/>
      <c r="AE805" s="196"/>
      <c r="AF805" s="196"/>
      <c r="AG805" s="196"/>
      <c r="AH805" s="196"/>
    </row>
    <row r="806">
      <c r="A806" s="196"/>
      <c r="B806" s="196"/>
      <c r="C806" s="196"/>
      <c r="D806" s="196"/>
      <c r="E806" s="196"/>
      <c r="F806" s="196"/>
      <c r="G806" s="196"/>
      <c r="H806" s="196"/>
      <c r="I806" s="139"/>
      <c r="J806" s="196"/>
      <c r="K806" s="196"/>
      <c r="L806" s="139"/>
      <c r="M806" s="196"/>
      <c r="N806" s="196"/>
      <c r="O806" s="196"/>
      <c r="P806" s="196"/>
      <c r="Q806" s="196"/>
      <c r="R806" s="196"/>
      <c r="S806" s="196"/>
      <c r="T806" s="196"/>
      <c r="U806" s="196"/>
      <c r="V806" s="196"/>
      <c r="W806" s="196"/>
      <c r="X806" s="196"/>
      <c r="Y806" s="196"/>
      <c r="Z806" s="196"/>
      <c r="AA806" s="196"/>
      <c r="AB806" s="196"/>
      <c r="AC806" s="196"/>
      <c r="AD806" s="196"/>
      <c r="AE806" s="196"/>
      <c r="AF806" s="196"/>
      <c r="AG806" s="196"/>
      <c r="AH806" s="196"/>
    </row>
    <row r="807">
      <c r="A807" s="196"/>
      <c r="B807" s="196"/>
      <c r="C807" s="196"/>
      <c r="D807" s="196"/>
      <c r="E807" s="196"/>
      <c r="F807" s="196"/>
      <c r="G807" s="196"/>
      <c r="H807" s="196"/>
      <c r="I807" s="139"/>
      <c r="J807" s="196"/>
      <c r="K807" s="196"/>
      <c r="L807" s="139"/>
      <c r="M807" s="196"/>
      <c r="N807" s="196"/>
      <c r="O807" s="196"/>
      <c r="P807" s="196"/>
      <c r="Q807" s="196"/>
      <c r="R807" s="196"/>
      <c r="S807" s="196"/>
      <c r="T807" s="196"/>
      <c r="U807" s="196"/>
      <c r="V807" s="196"/>
      <c r="W807" s="196"/>
      <c r="X807" s="196"/>
      <c r="Y807" s="196"/>
      <c r="Z807" s="196"/>
      <c r="AA807" s="196"/>
      <c r="AB807" s="196"/>
      <c r="AC807" s="196"/>
      <c r="AD807" s="196"/>
      <c r="AE807" s="196"/>
      <c r="AF807" s="196"/>
      <c r="AG807" s="196"/>
      <c r="AH807" s="196"/>
    </row>
    <row r="808">
      <c r="A808" s="196"/>
      <c r="B808" s="196"/>
      <c r="C808" s="196"/>
      <c r="D808" s="196"/>
      <c r="E808" s="196"/>
      <c r="F808" s="196"/>
      <c r="G808" s="196"/>
      <c r="H808" s="196"/>
      <c r="I808" s="139"/>
      <c r="J808" s="196"/>
      <c r="K808" s="196"/>
      <c r="L808" s="139"/>
      <c r="M808" s="196"/>
      <c r="N808" s="196"/>
      <c r="O808" s="196"/>
      <c r="P808" s="196"/>
      <c r="Q808" s="196"/>
      <c r="R808" s="196"/>
      <c r="S808" s="196"/>
      <c r="T808" s="196"/>
      <c r="U808" s="196"/>
      <c r="V808" s="196"/>
      <c r="W808" s="196"/>
      <c r="X808" s="196"/>
      <c r="Y808" s="196"/>
      <c r="Z808" s="196"/>
      <c r="AA808" s="196"/>
      <c r="AB808" s="196"/>
      <c r="AC808" s="196"/>
      <c r="AD808" s="196"/>
      <c r="AE808" s="196"/>
      <c r="AF808" s="196"/>
      <c r="AG808" s="196"/>
      <c r="AH808" s="196"/>
    </row>
    <row r="809">
      <c r="A809" s="196"/>
      <c r="B809" s="196"/>
      <c r="C809" s="196"/>
      <c r="D809" s="196"/>
      <c r="E809" s="196"/>
      <c r="F809" s="196"/>
      <c r="G809" s="196"/>
      <c r="H809" s="196"/>
      <c r="I809" s="139"/>
      <c r="J809" s="196"/>
      <c r="K809" s="196"/>
      <c r="L809" s="139"/>
      <c r="M809" s="196"/>
      <c r="N809" s="196"/>
      <c r="O809" s="196"/>
      <c r="P809" s="196"/>
      <c r="Q809" s="196"/>
      <c r="R809" s="196"/>
      <c r="S809" s="196"/>
      <c r="T809" s="196"/>
      <c r="U809" s="196"/>
      <c r="V809" s="196"/>
      <c r="W809" s="196"/>
      <c r="X809" s="196"/>
      <c r="Y809" s="196"/>
      <c r="Z809" s="196"/>
      <c r="AA809" s="196"/>
      <c r="AB809" s="196"/>
      <c r="AC809" s="196"/>
      <c r="AD809" s="196"/>
      <c r="AE809" s="196"/>
      <c r="AF809" s="196"/>
      <c r="AG809" s="196"/>
      <c r="AH809" s="196"/>
    </row>
    <row r="810">
      <c r="A810" s="196"/>
      <c r="B810" s="196"/>
      <c r="C810" s="196"/>
      <c r="D810" s="196"/>
      <c r="E810" s="196"/>
      <c r="F810" s="196"/>
      <c r="G810" s="196"/>
      <c r="H810" s="196"/>
      <c r="I810" s="139"/>
      <c r="J810" s="196"/>
      <c r="K810" s="196"/>
      <c r="L810" s="139"/>
      <c r="M810" s="196"/>
      <c r="N810" s="196"/>
      <c r="O810" s="196"/>
      <c r="P810" s="196"/>
      <c r="Q810" s="196"/>
      <c r="R810" s="196"/>
      <c r="S810" s="196"/>
      <c r="T810" s="196"/>
      <c r="U810" s="196"/>
      <c r="V810" s="196"/>
      <c r="W810" s="196"/>
      <c r="X810" s="196"/>
      <c r="Y810" s="196"/>
      <c r="Z810" s="196"/>
      <c r="AA810" s="196"/>
      <c r="AB810" s="196"/>
      <c r="AC810" s="196"/>
      <c r="AD810" s="196"/>
      <c r="AE810" s="196"/>
      <c r="AF810" s="196"/>
      <c r="AG810" s="196"/>
      <c r="AH810" s="196"/>
    </row>
    <row r="811">
      <c r="A811" s="196"/>
      <c r="B811" s="196"/>
      <c r="C811" s="196"/>
      <c r="D811" s="196"/>
      <c r="E811" s="196"/>
      <c r="F811" s="196"/>
      <c r="G811" s="196"/>
      <c r="H811" s="196"/>
      <c r="I811" s="139"/>
      <c r="J811" s="196"/>
      <c r="K811" s="196"/>
      <c r="L811" s="139"/>
      <c r="M811" s="196"/>
      <c r="N811" s="196"/>
      <c r="O811" s="196"/>
      <c r="P811" s="196"/>
      <c r="Q811" s="196"/>
      <c r="R811" s="196"/>
      <c r="S811" s="196"/>
      <c r="T811" s="196"/>
      <c r="U811" s="196"/>
      <c r="V811" s="196"/>
      <c r="W811" s="196"/>
      <c r="X811" s="196"/>
      <c r="Y811" s="196"/>
      <c r="Z811" s="196"/>
      <c r="AA811" s="196"/>
      <c r="AB811" s="196"/>
      <c r="AC811" s="196"/>
      <c r="AD811" s="196"/>
      <c r="AE811" s="196"/>
      <c r="AF811" s="196"/>
      <c r="AG811" s="196"/>
      <c r="AH811" s="196"/>
    </row>
    <row r="812">
      <c r="A812" s="196"/>
      <c r="B812" s="196"/>
      <c r="C812" s="196"/>
      <c r="D812" s="196"/>
      <c r="E812" s="196"/>
      <c r="F812" s="196"/>
      <c r="G812" s="196"/>
      <c r="H812" s="196"/>
      <c r="I812" s="139"/>
      <c r="J812" s="196"/>
      <c r="K812" s="196"/>
      <c r="L812" s="139"/>
      <c r="M812" s="196"/>
      <c r="N812" s="196"/>
      <c r="O812" s="196"/>
      <c r="P812" s="196"/>
      <c r="Q812" s="196"/>
      <c r="R812" s="196"/>
      <c r="S812" s="196"/>
      <c r="T812" s="196"/>
      <c r="U812" s="196"/>
      <c r="V812" s="196"/>
      <c r="W812" s="196"/>
      <c r="X812" s="196"/>
      <c r="Y812" s="196"/>
      <c r="Z812" s="196"/>
      <c r="AA812" s="196"/>
      <c r="AB812" s="196"/>
      <c r="AC812" s="196"/>
      <c r="AD812" s="196"/>
      <c r="AE812" s="196"/>
      <c r="AF812" s="196"/>
      <c r="AG812" s="196"/>
      <c r="AH812" s="196"/>
    </row>
    <row r="813">
      <c r="A813" s="196"/>
      <c r="B813" s="196"/>
      <c r="C813" s="196"/>
      <c r="D813" s="196"/>
      <c r="E813" s="196"/>
      <c r="F813" s="196"/>
      <c r="G813" s="196"/>
      <c r="H813" s="196"/>
      <c r="I813" s="139"/>
      <c r="J813" s="196"/>
      <c r="K813" s="196"/>
      <c r="L813" s="139"/>
      <c r="M813" s="196"/>
      <c r="N813" s="196"/>
      <c r="O813" s="196"/>
      <c r="P813" s="196"/>
      <c r="Q813" s="196"/>
      <c r="R813" s="196"/>
      <c r="S813" s="196"/>
      <c r="T813" s="196"/>
      <c r="U813" s="196"/>
      <c r="V813" s="196"/>
      <c r="W813" s="196"/>
      <c r="X813" s="196"/>
      <c r="Y813" s="196"/>
      <c r="Z813" s="196"/>
      <c r="AA813" s="196"/>
      <c r="AB813" s="196"/>
      <c r="AC813" s="196"/>
      <c r="AD813" s="196"/>
      <c r="AE813" s="196"/>
      <c r="AF813" s="196"/>
      <c r="AG813" s="196"/>
      <c r="AH813" s="196"/>
    </row>
    <row r="814">
      <c r="A814" s="196"/>
      <c r="B814" s="196"/>
      <c r="C814" s="196"/>
      <c r="D814" s="196"/>
      <c r="E814" s="196"/>
      <c r="F814" s="196"/>
      <c r="G814" s="196"/>
      <c r="H814" s="196"/>
      <c r="I814" s="139"/>
      <c r="J814" s="196"/>
      <c r="K814" s="196"/>
      <c r="L814" s="139"/>
      <c r="M814" s="196"/>
      <c r="N814" s="196"/>
      <c r="O814" s="196"/>
      <c r="P814" s="196"/>
      <c r="Q814" s="196"/>
      <c r="R814" s="196"/>
      <c r="S814" s="196"/>
      <c r="T814" s="196"/>
      <c r="U814" s="196"/>
      <c r="V814" s="196"/>
      <c r="W814" s="196"/>
      <c r="X814" s="196"/>
      <c r="Y814" s="196"/>
      <c r="Z814" s="196"/>
      <c r="AA814" s="196"/>
      <c r="AB814" s="196"/>
      <c r="AC814" s="196"/>
      <c r="AD814" s="196"/>
      <c r="AE814" s="196"/>
      <c r="AF814" s="196"/>
      <c r="AG814" s="196"/>
      <c r="AH814" s="196"/>
    </row>
    <row r="815">
      <c r="A815" s="196"/>
      <c r="B815" s="196"/>
      <c r="C815" s="196"/>
      <c r="D815" s="196"/>
      <c r="E815" s="196"/>
      <c r="F815" s="196"/>
      <c r="G815" s="196"/>
      <c r="H815" s="196"/>
      <c r="I815" s="139"/>
      <c r="J815" s="196"/>
      <c r="K815" s="196"/>
      <c r="L815" s="139"/>
      <c r="M815" s="196"/>
      <c r="N815" s="196"/>
      <c r="O815" s="196"/>
      <c r="P815" s="196"/>
      <c r="Q815" s="196"/>
      <c r="R815" s="196"/>
      <c r="S815" s="196"/>
      <c r="T815" s="196"/>
      <c r="U815" s="196"/>
      <c r="V815" s="196"/>
      <c r="W815" s="196"/>
      <c r="X815" s="196"/>
      <c r="Y815" s="196"/>
      <c r="Z815" s="196"/>
      <c r="AA815" s="196"/>
      <c r="AB815" s="196"/>
      <c r="AC815" s="196"/>
      <c r="AD815" s="196"/>
      <c r="AE815" s="196"/>
      <c r="AF815" s="196"/>
      <c r="AG815" s="196"/>
      <c r="AH815" s="196"/>
    </row>
    <row r="816">
      <c r="A816" s="196"/>
      <c r="B816" s="196"/>
      <c r="C816" s="196"/>
      <c r="D816" s="196"/>
      <c r="E816" s="196"/>
      <c r="F816" s="196"/>
      <c r="G816" s="196"/>
      <c r="H816" s="196"/>
      <c r="I816" s="139"/>
      <c r="J816" s="196"/>
      <c r="K816" s="196"/>
      <c r="L816" s="139"/>
      <c r="M816" s="196"/>
      <c r="N816" s="196"/>
      <c r="O816" s="196"/>
      <c r="P816" s="196"/>
      <c r="Q816" s="196"/>
      <c r="R816" s="196"/>
      <c r="S816" s="196"/>
      <c r="T816" s="196"/>
      <c r="U816" s="196"/>
      <c r="V816" s="196"/>
      <c r="W816" s="196"/>
      <c r="X816" s="196"/>
      <c r="Y816" s="196"/>
      <c r="Z816" s="196"/>
      <c r="AA816" s="196"/>
      <c r="AB816" s="196"/>
      <c r="AC816" s="196"/>
      <c r="AD816" s="196"/>
      <c r="AE816" s="196"/>
      <c r="AF816" s="196"/>
      <c r="AG816" s="196"/>
      <c r="AH816" s="196"/>
    </row>
    <row r="817">
      <c r="A817" s="196"/>
      <c r="B817" s="196"/>
      <c r="C817" s="196"/>
      <c r="D817" s="196"/>
      <c r="E817" s="196"/>
      <c r="F817" s="196"/>
      <c r="G817" s="196"/>
      <c r="H817" s="196"/>
      <c r="I817" s="139"/>
      <c r="J817" s="196"/>
      <c r="K817" s="196"/>
      <c r="L817" s="139"/>
      <c r="M817" s="196"/>
      <c r="N817" s="196"/>
      <c r="O817" s="196"/>
      <c r="P817" s="196"/>
      <c r="Q817" s="196"/>
      <c r="R817" s="196"/>
      <c r="S817" s="196"/>
      <c r="T817" s="196"/>
      <c r="U817" s="196"/>
      <c r="V817" s="196"/>
      <c r="W817" s="196"/>
      <c r="X817" s="196"/>
      <c r="Y817" s="196"/>
      <c r="Z817" s="196"/>
      <c r="AA817" s="196"/>
      <c r="AB817" s="196"/>
      <c r="AC817" s="196"/>
      <c r="AD817" s="196"/>
      <c r="AE817" s="196"/>
      <c r="AF817" s="196"/>
      <c r="AG817" s="196"/>
      <c r="AH817" s="196"/>
    </row>
    <row r="818">
      <c r="A818" s="196"/>
      <c r="B818" s="196"/>
      <c r="C818" s="196"/>
      <c r="D818" s="196"/>
      <c r="E818" s="196"/>
      <c r="F818" s="196"/>
      <c r="G818" s="196"/>
      <c r="H818" s="196"/>
      <c r="I818" s="139"/>
      <c r="J818" s="196"/>
      <c r="K818" s="196"/>
      <c r="L818" s="139"/>
      <c r="M818" s="196"/>
      <c r="N818" s="196"/>
      <c r="O818" s="196"/>
      <c r="P818" s="196"/>
      <c r="Q818" s="196"/>
      <c r="R818" s="196"/>
      <c r="S818" s="196"/>
      <c r="T818" s="196"/>
      <c r="U818" s="196"/>
      <c r="V818" s="196"/>
      <c r="W818" s="196"/>
      <c r="X818" s="196"/>
      <c r="Y818" s="196"/>
      <c r="Z818" s="196"/>
      <c r="AA818" s="196"/>
      <c r="AB818" s="196"/>
      <c r="AC818" s="196"/>
      <c r="AD818" s="196"/>
      <c r="AE818" s="196"/>
      <c r="AF818" s="196"/>
      <c r="AG818" s="196"/>
      <c r="AH818" s="196"/>
    </row>
    <row r="819">
      <c r="A819" s="196"/>
      <c r="B819" s="196"/>
      <c r="C819" s="196"/>
      <c r="D819" s="196"/>
      <c r="E819" s="196"/>
      <c r="F819" s="196"/>
      <c r="G819" s="196"/>
      <c r="H819" s="196"/>
      <c r="I819" s="139"/>
      <c r="J819" s="196"/>
      <c r="K819" s="196"/>
      <c r="L819" s="139"/>
      <c r="M819" s="196"/>
      <c r="N819" s="196"/>
      <c r="O819" s="196"/>
      <c r="P819" s="196"/>
      <c r="Q819" s="196"/>
      <c r="R819" s="196"/>
      <c r="S819" s="196"/>
      <c r="T819" s="196"/>
      <c r="U819" s="196"/>
      <c r="V819" s="196"/>
      <c r="W819" s="196"/>
      <c r="X819" s="196"/>
      <c r="Y819" s="196"/>
      <c r="Z819" s="196"/>
      <c r="AA819" s="196"/>
      <c r="AB819" s="196"/>
      <c r="AC819" s="196"/>
      <c r="AD819" s="196"/>
      <c r="AE819" s="196"/>
      <c r="AF819" s="196"/>
      <c r="AG819" s="196"/>
      <c r="AH819" s="196"/>
    </row>
    <row r="820">
      <c r="A820" s="196"/>
      <c r="B820" s="196"/>
      <c r="C820" s="196"/>
      <c r="D820" s="196"/>
      <c r="E820" s="196"/>
      <c r="F820" s="196"/>
      <c r="G820" s="196"/>
      <c r="H820" s="196"/>
      <c r="I820" s="139"/>
      <c r="J820" s="196"/>
      <c r="K820" s="196"/>
      <c r="L820" s="139"/>
      <c r="M820" s="196"/>
      <c r="N820" s="196"/>
      <c r="O820" s="196"/>
      <c r="P820" s="196"/>
      <c r="Q820" s="196"/>
      <c r="R820" s="196"/>
      <c r="S820" s="196"/>
      <c r="T820" s="196"/>
      <c r="U820" s="196"/>
      <c r="V820" s="196"/>
      <c r="W820" s="196"/>
      <c r="X820" s="196"/>
      <c r="Y820" s="196"/>
      <c r="Z820" s="196"/>
      <c r="AA820" s="196"/>
      <c r="AB820" s="196"/>
      <c r="AC820" s="196"/>
      <c r="AD820" s="196"/>
      <c r="AE820" s="196"/>
      <c r="AF820" s="196"/>
      <c r="AG820" s="196"/>
      <c r="AH820" s="196"/>
    </row>
    <row r="821">
      <c r="A821" s="196"/>
      <c r="B821" s="196"/>
      <c r="C821" s="196"/>
      <c r="D821" s="196"/>
      <c r="E821" s="196"/>
      <c r="F821" s="196"/>
      <c r="G821" s="196"/>
      <c r="H821" s="196"/>
      <c r="I821" s="139"/>
      <c r="J821" s="196"/>
      <c r="K821" s="196"/>
      <c r="L821" s="139"/>
      <c r="M821" s="196"/>
      <c r="N821" s="196"/>
      <c r="O821" s="196"/>
      <c r="P821" s="196"/>
      <c r="Q821" s="196"/>
      <c r="R821" s="196"/>
      <c r="S821" s="196"/>
      <c r="T821" s="196"/>
      <c r="U821" s="196"/>
      <c r="V821" s="196"/>
      <c r="W821" s="196"/>
      <c r="X821" s="196"/>
      <c r="Y821" s="196"/>
      <c r="Z821" s="196"/>
      <c r="AA821" s="196"/>
      <c r="AB821" s="196"/>
      <c r="AC821" s="196"/>
      <c r="AD821" s="196"/>
      <c r="AE821" s="196"/>
      <c r="AF821" s="196"/>
      <c r="AG821" s="196"/>
      <c r="AH821" s="196"/>
    </row>
    <row r="822">
      <c r="A822" s="196"/>
      <c r="B822" s="196"/>
      <c r="C822" s="196"/>
      <c r="D822" s="196"/>
      <c r="E822" s="196"/>
      <c r="F822" s="196"/>
      <c r="G822" s="196"/>
      <c r="H822" s="196"/>
      <c r="I822" s="139"/>
      <c r="J822" s="196"/>
      <c r="K822" s="196"/>
      <c r="L822" s="139"/>
      <c r="M822" s="196"/>
      <c r="N822" s="196"/>
      <c r="O822" s="196"/>
      <c r="P822" s="196"/>
      <c r="Q822" s="196"/>
      <c r="R822" s="196"/>
      <c r="S822" s="196"/>
      <c r="T822" s="196"/>
      <c r="U822" s="196"/>
      <c r="V822" s="196"/>
      <c r="W822" s="196"/>
      <c r="X822" s="196"/>
      <c r="Y822" s="196"/>
      <c r="Z822" s="196"/>
      <c r="AA822" s="196"/>
      <c r="AB822" s="196"/>
      <c r="AC822" s="196"/>
      <c r="AD822" s="196"/>
      <c r="AE822" s="196"/>
      <c r="AF822" s="196"/>
      <c r="AG822" s="196"/>
      <c r="AH822" s="196"/>
    </row>
    <row r="823">
      <c r="A823" s="196"/>
      <c r="B823" s="196"/>
      <c r="C823" s="196"/>
      <c r="D823" s="196"/>
      <c r="E823" s="196"/>
      <c r="F823" s="196"/>
      <c r="G823" s="196"/>
      <c r="H823" s="196"/>
      <c r="I823" s="139"/>
      <c r="J823" s="196"/>
      <c r="K823" s="196"/>
      <c r="L823" s="139"/>
      <c r="M823" s="196"/>
      <c r="N823" s="196"/>
      <c r="O823" s="196"/>
      <c r="P823" s="196"/>
      <c r="Q823" s="196"/>
      <c r="R823" s="196"/>
      <c r="S823" s="196"/>
      <c r="T823" s="196"/>
      <c r="U823" s="196"/>
      <c r="V823" s="196"/>
      <c r="W823" s="196"/>
      <c r="X823" s="196"/>
      <c r="Y823" s="196"/>
      <c r="Z823" s="196"/>
      <c r="AA823" s="196"/>
      <c r="AB823" s="196"/>
      <c r="AC823" s="196"/>
      <c r="AD823" s="196"/>
      <c r="AE823" s="196"/>
      <c r="AF823" s="196"/>
      <c r="AG823" s="196"/>
      <c r="AH823" s="196"/>
    </row>
    <row r="824">
      <c r="A824" s="196"/>
      <c r="B824" s="196"/>
      <c r="C824" s="196"/>
      <c r="D824" s="196"/>
      <c r="E824" s="196"/>
      <c r="F824" s="196"/>
      <c r="G824" s="196"/>
      <c r="H824" s="196"/>
      <c r="I824" s="139"/>
      <c r="J824" s="196"/>
      <c r="K824" s="196"/>
      <c r="L824" s="139"/>
      <c r="M824" s="196"/>
      <c r="N824" s="196"/>
      <c r="O824" s="196"/>
      <c r="P824" s="196"/>
      <c r="Q824" s="196"/>
      <c r="R824" s="196"/>
      <c r="S824" s="196"/>
      <c r="T824" s="196"/>
      <c r="U824" s="196"/>
      <c r="V824" s="196"/>
      <c r="W824" s="196"/>
      <c r="X824" s="196"/>
      <c r="Y824" s="196"/>
      <c r="Z824" s="196"/>
      <c r="AA824" s="196"/>
      <c r="AB824" s="196"/>
      <c r="AC824" s="196"/>
      <c r="AD824" s="196"/>
      <c r="AE824" s="196"/>
      <c r="AF824" s="196"/>
      <c r="AG824" s="196"/>
      <c r="AH824" s="196"/>
    </row>
    <row r="825">
      <c r="A825" s="196"/>
      <c r="B825" s="196"/>
      <c r="C825" s="196"/>
      <c r="D825" s="196"/>
      <c r="E825" s="196"/>
      <c r="F825" s="196"/>
      <c r="G825" s="196"/>
      <c r="H825" s="196"/>
      <c r="I825" s="139"/>
      <c r="J825" s="196"/>
      <c r="K825" s="196"/>
      <c r="L825" s="139"/>
      <c r="M825" s="196"/>
      <c r="N825" s="196"/>
      <c r="O825" s="196"/>
      <c r="P825" s="196"/>
      <c r="Q825" s="196"/>
      <c r="R825" s="196"/>
      <c r="S825" s="196"/>
      <c r="T825" s="196"/>
      <c r="U825" s="196"/>
      <c r="V825" s="196"/>
      <c r="W825" s="196"/>
      <c r="X825" s="196"/>
      <c r="Y825" s="196"/>
      <c r="Z825" s="196"/>
      <c r="AA825" s="196"/>
      <c r="AB825" s="196"/>
      <c r="AC825" s="196"/>
      <c r="AD825" s="196"/>
      <c r="AE825" s="196"/>
      <c r="AF825" s="196"/>
      <c r="AG825" s="196"/>
      <c r="AH825" s="196"/>
    </row>
    <row r="826">
      <c r="A826" s="196"/>
      <c r="B826" s="196"/>
      <c r="C826" s="196"/>
      <c r="D826" s="196"/>
      <c r="E826" s="196"/>
      <c r="F826" s="196"/>
      <c r="G826" s="196"/>
      <c r="H826" s="196"/>
      <c r="I826" s="139"/>
      <c r="J826" s="196"/>
      <c r="K826" s="196"/>
      <c r="L826" s="139"/>
      <c r="M826" s="196"/>
      <c r="N826" s="196"/>
      <c r="O826" s="196"/>
      <c r="P826" s="196"/>
      <c r="Q826" s="196"/>
      <c r="R826" s="196"/>
      <c r="S826" s="196"/>
      <c r="T826" s="196"/>
      <c r="U826" s="196"/>
      <c r="V826" s="196"/>
      <c r="W826" s="196"/>
      <c r="X826" s="196"/>
      <c r="Y826" s="196"/>
      <c r="Z826" s="196"/>
      <c r="AA826" s="196"/>
      <c r="AB826" s="196"/>
      <c r="AC826" s="196"/>
      <c r="AD826" s="196"/>
      <c r="AE826" s="196"/>
      <c r="AF826" s="196"/>
      <c r="AG826" s="196"/>
      <c r="AH826" s="196"/>
    </row>
    <row r="827">
      <c r="A827" s="196"/>
      <c r="B827" s="196"/>
      <c r="C827" s="196"/>
      <c r="D827" s="196"/>
      <c r="E827" s="196"/>
      <c r="F827" s="196"/>
      <c r="G827" s="196"/>
      <c r="H827" s="196"/>
      <c r="I827" s="139"/>
      <c r="J827" s="196"/>
      <c r="K827" s="196"/>
      <c r="L827" s="139"/>
      <c r="M827" s="196"/>
      <c r="N827" s="196"/>
      <c r="O827" s="196"/>
      <c r="P827" s="196"/>
      <c r="Q827" s="196"/>
      <c r="R827" s="196"/>
      <c r="S827" s="196"/>
      <c r="T827" s="196"/>
      <c r="U827" s="196"/>
      <c r="V827" s="196"/>
      <c r="W827" s="196"/>
      <c r="X827" s="196"/>
      <c r="Y827" s="196"/>
      <c r="Z827" s="196"/>
      <c r="AA827" s="196"/>
      <c r="AB827" s="196"/>
      <c r="AC827" s="196"/>
      <c r="AD827" s="196"/>
      <c r="AE827" s="196"/>
      <c r="AF827" s="196"/>
      <c r="AG827" s="196"/>
      <c r="AH827" s="196"/>
    </row>
    <row r="828">
      <c r="A828" s="196"/>
      <c r="B828" s="196"/>
      <c r="C828" s="196"/>
      <c r="D828" s="196"/>
      <c r="E828" s="196"/>
      <c r="F828" s="196"/>
      <c r="G828" s="196"/>
      <c r="H828" s="196"/>
      <c r="I828" s="139"/>
      <c r="J828" s="196"/>
      <c r="K828" s="196"/>
      <c r="L828" s="139"/>
      <c r="M828" s="196"/>
      <c r="N828" s="196"/>
      <c r="O828" s="196"/>
      <c r="P828" s="196"/>
      <c r="Q828" s="196"/>
      <c r="R828" s="196"/>
      <c r="S828" s="196"/>
      <c r="T828" s="196"/>
      <c r="U828" s="196"/>
      <c r="V828" s="196"/>
      <c r="W828" s="196"/>
      <c r="X828" s="196"/>
      <c r="Y828" s="196"/>
      <c r="Z828" s="196"/>
      <c r="AA828" s="196"/>
      <c r="AB828" s="196"/>
      <c r="AC828" s="196"/>
      <c r="AD828" s="196"/>
      <c r="AE828" s="196"/>
      <c r="AF828" s="196"/>
      <c r="AG828" s="196"/>
      <c r="AH828" s="196"/>
    </row>
    <row r="829">
      <c r="A829" s="196"/>
      <c r="B829" s="196"/>
      <c r="C829" s="196"/>
      <c r="D829" s="196"/>
      <c r="E829" s="196"/>
      <c r="F829" s="196"/>
      <c r="G829" s="196"/>
      <c r="H829" s="196"/>
      <c r="I829" s="139"/>
      <c r="J829" s="196"/>
      <c r="K829" s="196"/>
      <c r="L829" s="139"/>
      <c r="M829" s="196"/>
      <c r="N829" s="196"/>
      <c r="O829" s="196"/>
      <c r="P829" s="196"/>
      <c r="Q829" s="196"/>
      <c r="R829" s="196"/>
      <c r="S829" s="196"/>
      <c r="T829" s="196"/>
      <c r="U829" s="196"/>
      <c r="V829" s="196"/>
      <c r="W829" s="196"/>
      <c r="X829" s="196"/>
      <c r="Y829" s="196"/>
      <c r="Z829" s="196"/>
      <c r="AA829" s="196"/>
      <c r="AB829" s="196"/>
      <c r="AC829" s="196"/>
      <c r="AD829" s="196"/>
      <c r="AE829" s="196"/>
      <c r="AF829" s="196"/>
      <c r="AG829" s="196"/>
      <c r="AH829" s="196"/>
    </row>
    <row r="830">
      <c r="A830" s="196"/>
      <c r="B830" s="196"/>
      <c r="C830" s="196"/>
      <c r="D830" s="196"/>
      <c r="E830" s="196"/>
      <c r="F830" s="196"/>
      <c r="G830" s="196"/>
      <c r="H830" s="196"/>
      <c r="I830" s="139"/>
      <c r="J830" s="196"/>
      <c r="K830" s="196"/>
      <c r="L830" s="139"/>
      <c r="M830" s="196"/>
      <c r="N830" s="196"/>
      <c r="O830" s="196"/>
      <c r="P830" s="196"/>
      <c r="Q830" s="196"/>
      <c r="R830" s="196"/>
      <c r="S830" s="196"/>
      <c r="T830" s="196"/>
      <c r="U830" s="196"/>
      <c r="V830" s="196"/>
      <c r="W830" s="196"/>
      <c r="X830" s="196"/>
      <c r="Y830" s="196"/>
      <c r="Z830" s="196"/>
      <c r="AA830" s="196"/>
      <c r="AB830" s="196"/>
      <c r="AC830" s="196"/>
      <c r="AD830" s="196"/>
      <c r="AE830" s="196"/>
      <c r="AF830" s="196"/>
      <c r="AG830" s="196"/>
      <c r="AH830" s="196"/>
    </row>
    <row r="831">
      <c r="A831" s="196"/>
      <c r="B831" s="196"/>
      <c r="C831" s="196"/>
      <c r="D831" s="196"/>
      <c r="E831" s="196"/>
      <c r="F831" s="196"/>
      <c r="G831" s="196"/>
      <c r="H831" s="196"/>
      <c r="I831" s="139"/>
      <c r="J831" s="196"/>
      <c r="K831" s="196"/>
      <c r="L831" s="139"/>
      <c r="M831" s="196"/>
      <c r="N831" s="196"/>
      <c r="O831" s="196"/>
      <c r="P831" s="196"/>
      <c r="Q831" s="196"/>
      <c r="R831" s="196"/>
      <c r="S831" s="196"/>
      <c r="T831" s="196"/>
      <c r="U831" s="196"/>
      <c r="V831" s="196"/>
      <c r="W831" s="196"/>
      <c r="X831" s="196"/>
      <c r="Y831" s="196"/>
      <c r="Z831" s="196"/>
      <c r="AA831" s="196"/>
      <c r="AB831" s="196"/>
      <c r="AC831" s="196"/>
      <c r="AD831" s="196"/>
      <c r="AE831" s="196"/>
      <c r="AF831" s="196"/>
      <c r="AG831" s="196"/>
      <c r="AH831" s="196"/>
    </row>
    <row r="832">
      <c r="A832" s="196"/>
      <c r="B832" s="196"/>
      <c r="C832" s="196"/>
      <c r="D832" s="196"/>
      <c r="E832" s="196"/>
      <c r="F832" s="196"/>
      <c r="G832" s="196"/>
      <c r="H832" s="196"/>
      <c r="I832" s="139"/>
      <c r="J832" s="196"/>
      <c r="K832" s="196"/>
      <c r="L832" s="139"/>
      <c r="M832" s="196"/>
      <c r="N832" s="196"/>
      <c r="O832" s="196"/>
      <c r="P832" s="196"/>
      <c r="Q832" s="196"/>
      <c r="R832" s="196"/>
      <c r="S832" s="196"/>
      <c r="T832" s="196"/>
      <c r="U832" s="196"/>
      <c r="V832" s="196"/>
      <c r="W832" s="196"/>
      <c r="X832" s="196"/>
      <c r="Y832" s="196"/>
      <c r="Z832" s="196"/>
      <c r="AA832" s="196"/>
      <c r="AB832" s="196"/>
      <c r="AC832" s="196"/>
      <c r="AD832" s="196"/>
      <c r="AE832" s="196"/>
      <c r="AF832" s="196"/>
      <c r="AG832" s="196"/>
      <c r="AH832" s="196"/>
    </row>
    <row r="833">
      <c r="A833" s="196"/>
      <c r="B833" s="196"/>
      <c r="C833" s="196"/>
      <c r="D833" s="196"/>
      <c r="E833" s="196"/>
      <c r="F833" s="196"/>
      <c r="G833" s="196"/>
      <c r="H833" s="196"/>
      <c r="I833" s="139"/>
      <c r="J833" s="196"/>
      <c r="K833" s="196"/>
      <c r="L833" s="139"/>
      <c r="M833" s="196"/>
      <c r="N833" s="196"/>
      <c r="O833" s="196"/>
      <c r="P833" s="196"/>
      <c r="Q833" s="196"/>
      <c r="R833" s="196"/>
      <c r="S833" s="196"/>
      <c r="T833" s="196"/>
      <c r="U833" s="196"/>
      <c r="V833" s="196"/>
      <c r="W833" s="196"/>
      <c r="X833" s="196"/>
      <c r="Y833" s="196"/>
      <c r="Z833" s="196"/>
      <c r="AA833" s="196"/>
      <c r="AB833" s="196"/>
      <c r="AC833" s="196"/>
      <c r="AD833" s="196"/>
      <c r="AE833" s="196"/>
      <c r="AF833" s="196"/>
      <c r="AG833" s="196"/>
      <c r="AH833" s="196"/>
    </row>
    <row r="834">
      <c r="A834" s="196"/>
      <c r="B834" s="196"/>
      <c r="C834" s="196"/>
      <c r="D834" s="196"/>
      <c r="E834" s="196"/>
      <c r="F834" s="196"/>
      <c r="G834" s="196"/>
      <c r="H834" s="196"/>
      <c r="I834" s="139"/>
      <c r="J834" s="196"/>
      <c r="K834" s="196"/>
      <c r="L834" s="139"/>
      <c r="M834" s="196"/>
      <c r="N834" s="196"/>
      <c r="O834" s="196"/>
      <c r="P834" s="196"/>
      <c r="Q834" s="196"/>
      <c r="R834" s="196"/>
      <c r="S834" s="196"/>
      <c r="T834" s="196"/>
      <c r="U834" s="196"/>
      <c r="V834" s="196"/>
      <c r="W834" s="196"/>
      <c r="X834" s="196"/>
      <c r="Y834" s="196"/>
      <c r="Z834" s="196"/>
      <c r="AA834" s="196"/>
      <c r="AB834" s="196"/>
      <c r="AC834" s="196"/>
      <c r="AD834" s="196"/>
      <c r="AE834" s="196"/>
      <c r="AF834" s="196"/>
      <c r="AG834" s="196"/>
      <c r="AH834" s="196"/>
    </row>
    <row r="835">
      <c r="A835" s="196"/>
      <c r="B835" s="196"/>
      <c r="C835" s="196"/>
      <c r="D835" s="196"/>
      <c r="E835" s="196"/>
      <c r="F835" s="196"/>
      <c r="G835" s="196"/>
      <c r="H835" s="196"/>
      <c r="I835" s="139"/>
      <c r="J835" s="196"/>
      <c r="K835" s="196"/>
      <c r="L835" s="139"/>
      <c r="M835" s="196"/>
      <c r="N835" s="196"/>
      <c r="O835" s="196"/>
      <c r="P835" s="196"/>
      <c r="Q835" s="196"/>
      <c r="R835" s="196"/>
      <c r="S835" s="196"/>
      <c r="T835" s="196"/>
      <c r="U835" s="196"/>
      <c r="V835" s="196"/>
      <c r="W835" s="196"/>
      <c r="X835" s="196"/>
      <c r="Y835" s="196"/>
      <c r="Z835" s="196"/>
      <c r="AA835" s="196"/>
      <c r="AB835" s="196"/>
      <c r="AC835" s="196"/>
      <c r="AD835" s="196"/>
      <c r="AE835" s="196"/>
      <c r="AF835" s="196"/>
      <c r="AG835" s="196"/>
      <c r="AH835" s="196"/>
    </row>
    <row r="836">
      <c r="A836" s="196"/>
      <c r="B836" s="196"/>
      <c r="C836" s="196"/>
      <c r="D836" s="196"/>
      <c r="E836" s="196"/>
      <c r="F836" s="196"/>
      <c r="G836" s="196"/>
      <c r="H836" s="196"/>
      <c r="I836" s="139"/>
      <c r="J836" s="196"/>
      <c r="K836" s="196"/>
      <c r="L836" s="139"/>
      <c r="M836" s="196"/>
      <c r="N836" s="196"/>
      <c r="O836" s="196"/>
      <c r="P836" s="196"/>
      <c r="Q836" s="196"/>
      <c r="R836" s="196"/>
      <c r="S836" s="196"/>
      <c r="T836" s="196"/>
      <c r="U836" s="196"/>
      <c r="V836" s="196"/>
      <c r="W836" s="196"/>
      <c r="X836" s="196"/>
      <c r="Y836" s="196"/>
      <c r="Z836" s="196"/>
      <c r="AA836" s="196"/>
      <c r="AB836" s="196"/>
      <c r="AC836" s="196"/>
      <c r="AD836" s="196"/>
      <c r="AE836" s="196"/>
      <c r="AF836" s="196"/>
      <c r="AG836" s="196"/>
      <c r="AH836" s="196"/>
    </row>
    <row r="837">
      <c r="A837" s="196"/>
      <c r="B837" s="196"/>
      <c r="C837" s="196"/>
      <c r="D837" s="196"/>
      <c r="E837" s="196"/>
      <c r="F837" s="196"/>
      <c r="G837" s="196"/>
      <c r="H837" s="196"/>
      <c r="I837" s="139"/>
      <c r="J837" s="196"/>
      <c r="K837" s="196"/>
      <c r="L837" s="139"/>
      <c r="M837" s="196"/>
      <c r="N837" s="196"/>
      <c r="O837" s="196"/>
      <c r="P837" s="196"/>
      <c r="Q837" s="196"/>
      <c r="R837" s="196"/>
      <c r="S837" s="196"/>
      <c r="T837" s="196"/>
      <c r="U837" s="196"/>
      <c r="V837" s="196"/>
      <c r="W837" s="196"/>
      <c r="X837" s="196"/>
      <c r="Y837" s="196"/>
      <c r="Z837" s="196"/>
      <c r="AA837" s="196"/>
      <c r="AB837" s="196"/>
      <c r="AC837" s="196"/>
      <c r="AD837" s="196"/>
      <c r="AE837" s="196"/>
      <c r="AF837" s="196"/>
      <c r="AG837" s="196"/>
      <c r="AH837" s="196"/>
    </row>
    <row r="838">
      <c r="A838" s="196"/>
      <c r="B838" s="196"/>
      <c r="C838" s="196"/>
      <c r="D838" s="196"/>
      <c r="E838" s="196"/>
      <c r="F838" s="196"/>
      <c r="G838" s="196"/>
      <c r="H838" s="196"/>
      <c r="I838" s="139"/>
      <c r="J838" s="196"/>
      <c r="K838" s="196"/>
      <c r="L838" s="139"/>
      <c r="M838" s="196"/>
      <c r="N838" s="196"/>
      <c r="O838" s="196"/>
      <c r="P838" s="196"/>
      <c r="Q838" s="196"/>
      <c r="R838" s="196"/>
      <c r="S838" s="196"/>
      <c r="T838" s="196"/>
      <c r="U838" s="196"/>
      <c r="V838" s="196"/>
      <c r="W838" s="196"/>
      <c r="X838" s="196"/>
      <c r="Y838" s="196"/>
      <c r="Z838" s="196"/>
      <c r="AA838" s="196"/>
      <c r="AB838" s="196"/>
      <c r="AC838" s="196"/>
      <c r="AD838" s="196"/>
      <c r="AE838" s="196"/>
      <c r="AF838" s="196"/>
      <c r="AG838" s="196"/>
      <c r="AH838" s="196"/>
    </row>
    <row r="839">
      <c r="A839" s="196"/>
      <c r="B839" s="196"/>
      <c r="C839" s="196"/>
      <c r="D839" s="196"/>
      <c r="E839" s="196"/>
      <c r="F839" s="196"/>
      <c r="G839" s="196"/>
      <c r="H839" s="196"/>
      <c r="I839" s="139"/>
      <c r="J839" s="196"/>
      <c r="K839" s="196"/>
      <c r="L839" s="139"/>
      <c r="M839" s="196"/>
      <c r="N839" s="196"/>
      <c r="O839" s="196"/>
      <c r="P839" s="196"/>
      <c r="Q839" s="196"/>
      <c r="R839" s="196"/>
      <c r="S839" s="196"/>
      <c r="T839" s="196"/>
      <c r="U839" s="196"/>
      <c r="V839" s="196"/>
      <c r="W839" s="196"/>
      <c r="X839" s="196"/>
      <c r="Y839" s="196"/>
      <c r="Z839" s="196"/>
      <c r="AA839" s="196"/>
      <c r="AB839" s="196"/>
      <c r="AC839" s="196"/>
      <c r="AD839" s="196"/>
      <c r="AE839" s="196"/>
      <c r="AF839" s="196"/>
      <c r="AG839" s="196"/>
      <c r="AH839" s="196"/>
    </row>
    <row r="840">
      <c r="A840" s="196"/>
      <c r="B840" s="196"/>
      <c r="C840" s="196"/>
      <c r="D840" s="196"/>
      <c r="E840" s="196"/>
      <c r="F840" s="196"/>
      <c r="G840" s="196"/>
      <c r="H840" s="196"/>
      <c r="I840" s="139"/>
      <c r="J840" s="196"/>
      <c r="K840" s="196"/>
      <c r="L840" s="139"/>
      <c r="M840" s="196"/>
      <c r="N840" s="196"/>
      <c r="O840" s="196"/>
      <c r="P840" s="196"/>
      <c r="Q840" s="196"/>
      <c r="R840" s="196"/>
      <c r="S840" s="196"/>
      <c r="T840" s="196"/>
      <c r="U840" s="196"/>
      <c r="V840" s="196"/>
      <c r="W840" s="196"/>
      <c r="X840" s="196"/>
      <c r="Y840" s="196"/>
      <c r="Z840" s="196"/>
      <c r="AA840" s="196"/>
      <c r="AB840" s="196"/>
      <c r="AC840" s="196"/>
      <c r="AD840" s="196"/>
      <c r="AE840" s="196"/>
      <c r="AF840" s="196"/>
      <c r="AG840" s="196"/>
      <c r="AH840" s="196"/>
    </row>
    <row r="841">
      <c r="A841" s="196"/>
      <c r="B841" s="196"/>
      <c r="C841" s="196"/>
      <c r="D841" s="196"/>
      <c r="E841" s="196"/>
      <c r="F841" s="196"/>
      <c r="G841" s="196"/>
      <c r="H841" s="196"/>
      <c r="I841" s="139"/>
      <c r="J841" s="196"/>
      <c r="K841" s="196"/>
      <c r="L841" s="139"/>
      <c r="M841" s="196"/>
      <c r="N841" s="196"/>
      <c r="O841" s="196"/>
      <c r="P841" s="196"/>
      <c r="Q841" s="196"/>
      <c r="R841" s="196"/>
      <c r="S841" s="196"/>
      <c r="T841" s="196"/>
      <c r="U841" s="196"/>
      <c r="V841" s="196"/>
      <c r="W841" s="196"/>
      <c r="X841" s="196"/>
      <c r="Y841" s="196"/>
      <c r="Z841" s="196"/>
      <c r="AA841" s="196"/>
      <c r="AB841" s="196"/>
      <c r="AC841" s="196"/>
      <c r="AD841" s="196"/>
      <c r="AE841" s="196"/>
      <c r="AF841" s="196"/>
      <c r="AG841" s="196"/>
      <c r="AH841" s="196"/>
    </row>
    <row r="842">
      <c r="A842" s="196"/>
      <c r="B842" s="196"/>
      <c r="C842" s="196"/>
      <c r="D842" s="196"/>
      <c r="E842" s="196"/>
      <c r="F842" s="196"/>
      <c r="G842" s="196"/>
      <c r="H842" s="196"/>
      <c r="I842" s="139"/>
      <c r="J842" s="196"/>
      <c r="K842" s="196"/>
      <c r="L842" s="139"/>
      <c r="M842" s="196"/>
      <c r="N842" s="196"/>
      <c r="O842" s="196"/>
      <c r="P842" s="196"/>
      <c r="Q842" s="196"/>
      <c r="R842" s="196"/>
      <c r="S842" s="196"/>
      <c r="T842" s="196"/>
      <c r="U842" s="196"/>
      <c r="V842" s="196"/>
      <c r="W842" s="196"/>
      <c r="X842" s="196"/>
      <c r="Y842" s="196"/>
      <c r="Z842" s="196"/>
      <c r="AA842" s="196"/>
      <c r="AB842" s="196"/>
      <c r="AC842" s="196"/>
      <c r="AD842" s="196"/>
      <c r="AE842" s="196"/>
      <c r="AF842" s="196"/>
      <c r="AG842" s="196"/>
      <c r="AH842" s="196"/>
    </row>
    <row r="843">
      <c r="A843" s="196"/>
      <c r="B843" s="196"/>
      <c r="C843" s="196"/>
      <c r="D843" s="196"/>
      <c r="E843" s="196"/>
      <c r="F843" s="196"/>
      <c r="G843" s="196"/>
      <c r="H843" s="196"/>
      <c r="I843" s="139"/>
      <c r="J843" s="196"/>
      <c r="K843" s="196"/>
      <c r="L843" s="139"/>
      <c r="M843" s="196"/>
      <c r="N843" s="196"/>
      <c r="O843" s="196"/>
      <c r="P843" s="196"/>
      <c r="Q843" s="196"/>
      <c r="R843" s="196"/>
      <c r="S843" s="196"/>
      <c r="T843" s="196"/>
      <c r="U843" s="196"/>
      <c r="V843" s="196"/>
      <c r="W843" s="196"/>
      <c r="X843" s="196"/>
      <c r="Y843" s="196"/>
      <c r="Z843" s="196"/>
      <c r="AA843" s="196"/>
      <c r="AB843" s="196"/>
      <c r="AC843" s="196"/>
      <c r="AD843" s="196"/>
      <c r="AE843" s="196"/>
      <c r="AF843" s="196"/>
      <c r="AG843" s="196"/>
      <c r="AH843" s="196"/>
    </row>
    <row r="844">
      <c r="A844" s="196"/>
      <c r="B844" s="196"/>
      <c r="C844" s="196"/>
      <c r="D844" s="196"/>
      <c r="E844" s="196"/>
      <c r="F844" s="196"/>
      <c r="G844" s="196"/>
      <c r="H844" s="196"/>
      <c r="I844" s="139"/>
      <c r="J844" s="196"/>
      <c r="K844" s="196"/>
      <c r="L844" s="139"/>
      <c r="M844" s="196"/>
      <c r="N844" s="196"/>
      <c r="O844" s="196"/>
      <c r="P844" s="196"/>
      <c r="Q844" s="196"/>
      <c r="R844" s="196"/>
      <c r="S844" s="196"/>
      <c r="T844" s="196"/>
      <c r="U844" s="196"/>
      <c r="V844" s="196"/>
      <c r="W844" s="196"/>
      <c r="X844" s="196"/>
      <c r="Y844" s="196"/>
      <c r="Z844" s="196"/>
      <c r="AA844" s="196"/>
      <c r="AB844" s="196"/>
      <c r="AC844" s="196"/>
      <c r="AD844" s="196"/>
      <c r="AE844" s="196"/>
      <c r="AF844" s="196"/>
      <c r="AG844" s="196"/>
      <c r="AH844" s="196"/>
    </row>
    <row r="845">
      <c r="A845" s="196"/>
      <c r="B845" s="196"/>
      <c r="C845" s="196"/>
      <c r="D845" s="196"/>
      <c r="E845" s="196"/>
      <c r="F845" s="196"/>
      <c r="G845" s="196"/>
      <c r="H845" s="196"/>
      <c r="I845" s="139"/>
      <c r="J845" s="196"/>
      <c r="K845" s="196"/>
      <c r="L845" s="139"/>
      <c r="M845" s="196"/>
      <c r="N845" s="196"/>
      <c r="O845" s="196"/>
      <c r="P845" s="196"/>
      <c r="Q845" s="196"/>
      <c r="R845" s="196"/>
      <c r="S845" s="196"/>
      <c r="T845" s="196"/>
      <c r="U845" s="196"/>
      <c r="V845" s="196"/>
      <c r="W845" s="196"/>
      <c r="X845" s="196"/>
      <c r="Y845" s="196"/>
      <c r="Z845" s="196"/>
      <c r="AA845" s="196"/>
      <c r="AB845" s="196"/>
      <c r="AC845" s="196"/>
      <c r="AD845" s="196"/>
      <c r="AE845" s="196"/>
      <c r="AF845" s="196"/>
      <c r="AG845" s="196"/>
      <c r="AH845" s="196"/>
    </row>
    <row r="846">
      <c r="A846" s="196"/>
      <c r="B846" s="196"/>
      <c r="C846" s="196"/>
      <c r="D846" s="196"/>
      <c r="E846" s="196"/>
      <c r="F846" s="196"/>
      <c r="G846" s="196"/>
      <c r="H846" s="196"/>
      <c r="I846" s="139"/>
      <c r="J846" s="196"/>
      <c r="K846" s="196"/>
      <c r="L846" s="139"/>
      <c r="M846" s="196"/>
      <c r="N846" s="196"/>
      <c r="O846" s="196"/>
      <c r="P846" s="196"/>
      <c r="Q846" s="196"/>
      <c r="R846" s="196"/>
      <c r="S846" s="196"/>
      <c r="T846" s="196"/>
      <c r="U846" s="196"/>
      <c r="V846" s="196"/>
      <c r="W846" s="196"/>
      <c r="X846" s="196"/>
      <c r="Y846" s="196"/>
      <c r="Z846" s="196"/>
      <c r="AA846" s="196"/>
      <c r="AB846" s="196"/>
      <c r="AC846" s="196"/>
      <c r="AD846" s="196"/>
      <c r="AE846" s="196"/>
      <c r="AF846" s="196"/>
      <c r="AG846" s="196"/>
      <c r="AH846" s="196"/>
    </row>
    <row r="847">
      <c r="A847" s="196"/>
      <c r="B847" s="196"/>
      <c r="C847" s="196"/>
      <c r="D847" s="196"/>
      <c r="E847" s="196"/>
      <c r="F847" s="196"/>
      <c r="G847" s="196"/>
      <c r="H847" s="196"/>
      <c r="I847" s="139"/>
      <c r="J847" s="196"/>
      <c r="K847" s="196"/>
      <c r="L847" s="139"/>
      <c r="M847" s="196"/>
      <c r="N847" s="196"/>
      <c r="O847" s="196"/>
      <c r="P847" s="196"/>
      <c r="Q847" s="196"/>
      <c r="R847" s="196"/>
      <c r="S847" s="196"/>
      <c r="T847" s="196"/>
      <c r="U847" s="196"/>
      <c r="V847" s="196"/>
      <c r="W847" s="196"/>
      <c r="X847" s="196"/>
      <c r="Y847" s="196"/>
      <c r="Z847" s="196"/>
      <c r="AA847" s="196"/>
      <c r="AB847" s="196"/>
      <c r="AC847" s="196"/>
      <c r="AD847" s="196"/>
      <c r="AE847" s="196"/>
      <c r="AF847" s="196"/>
      <c r="AG847" s="196"/>
      <c r="AH847" s="196"/>
    </row>
    <row r="848">
      <c r="A848" s="196"/>
      <c r="B848" s="196"/>
      <c r="C848" s="196"/>
      <c r="D848" s="196"/>
      <c r="E848" s="196"/>
      <c r="F848" s="196"/>
      <c r="G848" s="196"/>
      <c r="H848" s="196"/>
      <c r="I848" s="139"/>
      <c r="J848" s="196"/>
      <c r="K848" s="196"/>
      <c r="L848" s="139"/>
      <c r="M848" s="196"/>
      <c r="N848" s="196"/>
      <c r="O848" s="196"/>
      <c r="P848" s="196"/>
      <c r="Q848" s="196"/>
      <c r="R848" s="196"/>
      <c r="S848" s="196"/>
      <c r="T848" s="196"/>
      <c r="U848" s="196"/>
      <c r="V848" s="196"/>
      <c r="W848" s="196"/>
      <c r="X848" s="196"/>
      <c r="Y848" s="196"/>
      <c r="Z848" s="196"/>
      <c r="AA848" s="196"/>
      <c r="AB848" s="196"/>
      <c r="AC848" s="196"/>
      <c r="AD848" s="196"/>
      <c r="AE848" s="196"/>
      <c r="AF848" s="196"/>
      <c r="AG848" s="196"/>
      <c r="AH848" s="196"/>
    </row>
    <row r="849">
      <c r="A849" s="196"/>
      <c r="B849" s="196"/>
      <c r="C849" s="196"/>
      <c r="D849" s="196"/>
      <c r="E849" s="196"/>
      <c r="F849" s="196"/>
      <c r="G849" s="196"/>
      <c r="H849" s="196"/>
      <c r="I849" s="139"/>
      <c r="J849" s="196"/>
      <c r="K849" s="196"/>
      <c r="L849" s="139"/>
      <c r="M849" s="196"/>
      <c r="N849" s="196"/>
      <c r="O849" s="196"/>
      <c r="P849" s="196"/>
      <c r="Q849" s="196"/>
      <c r="R849" s="196"/>
      <c r="S849" s="196"/>
      <c r="T849" s="196"/>
      <c r="U849" s="196"/>
      <c r="V849" s="196"/>
      <c r="W849" s="196"/>
      <c r="X849" s="196"/>
      <c r="Y849" s="196"/>
      <c r="Z849" s="196"/>
      <c r="AA849" s="196"/>
      <c r="AB849" s="196"/>
      <c r="AC849" s="196"/>
      <c r="AD849" s="196"/>
      <c r="AE849" s="196"/>
      <c r="AF849" s="196"/>
      <c r="AG849" s="196"/>
      <c r="AH849" s="196"/>
    </row>
    <row r="850">
      <c r="A850" s="196"/>
      <c r="B850" s="196"/>
      <c r="C850" s="196"/>
      <c r="D850" s="196"/>
      <c r="E850" s="196"/>
      <c r="F850" s="196"/>
      <c r="G850" s="196"/>
      <c r="H850" s="196"/>
      <c r="I850" s="139"/>
      <c r="J850" s="196"/>
      <c r="K850" s="196"/>
      <c r="L850" s="139"/>
      <c r="M850" s="196"/>
      <c r="N850" s="196"/>
      <c r="O850" s="196"/>
      <c r="P850" s="196"/>
      <c r="Q850" s="196"/>
      <c r="R850" s="196"/>
      <c r="S850" s="196"/>
      <c r="T850" s="196"/>
      <c r="U850" s="196"/>
      <c r="V850" s="196"/>
      <c r="W850" s="196"/>
      <c r="X850" s="196"/>
      <c r="Y850" s="196"/>
      <c r="Z850" s="196"/>
      <c r="AA850" s="196"/>
      <c r="AB850" s="196"/>
      <c r="AC850" s="196"/>
      <c r="AD850" s="196"/>
      <c r="AE850" s="196"/>
      <c r="AF850" s="196"/>
      <c r="AG850" s="196"/>
      <c r="AH850" s="196"/>
    </row>
    <row r="851">
      <c r="A851" s="196"/>
      <c r="B851" s="196"/>
      <c r="C851" s="196"/>
      <c r="D851" s="196"/>
      <c r="E851" s="196"/>
      <c r="F851" s="196"/>
      <c r="G851" s="196"/>
      <c r="H851" s="196"/>
      <c r="I851" s="139"/>
      <c r="J851" s="196"/>
      <c r="K851" s="196"/>
      <c r="L851" s="139"/>
      <c r="M851" s="196"/>
      <c r="N851" s="196"/>
      <c r="O851" s="196"/>
      <c r="P851" s="196"/>
      <c r="Q851" s="196"/>
      <c r="R851" s="196"/>
      <c r="S851" s="196"/>
      <c r="T851" s="196"/>
      <c r="U851" s="196"/>
      <c r="V851" s="196"/>
      <c r="W851" s="196"/>
      <c r="X851" s="196"/>
      <c r="Y851" s="196"/>
      <c r="Z851" s="196"/>
      <c r="AA851" s="196"/>
      <c r="AB851" s="196"/>
      <c r="AC851" s="196"/>
      <c r="AD851" s="196"/>
      <c r="AE851" s="196"/>
      <c r="AF851" s="196"/>
      <c r="AG851" s="196"/>
      <c r="AH851" s="196"/>
    </row>
    <row r="852">
      <c r="A852" s="196"/>
      <c r="B852" s="196"/>
      <c r="C852" s="196"/>
      <c r="D852" s="196"/>
      <c r="E852" s="196"/>
      <c r="F852" s="196"/>
      <c r="G852" s="196"/>
      <c r="H852" s="196"/>
      <c r="I852" s="139"/>
      <c r="J852" s="196"/>
      <c r="K852" s="196"/>
      <c r="L852" s="139"/>
      <c r="M852" s="196"/>
      <c r="N852" s="196"/>
      <c r="O852" s="196"/>
      <c r="P852" s="196"/>
      <c r="Q852" s="196"/>
      <c r="R852" s="196"/>
      <c r="S852" s="196"/>
      <c r="T852" s="196"/>
      <c r="U852" s="196"/>
      <c r="V852" s="196"/>
      <c r="W852" s="196"/>
      <c r="X852" s="196"/>
      <c r="Y852" s="196"/>
      <c r="Z852" s="196"/>
      <c r="AA852" s="196"/>
      <c r="AB852" s="196"/>
      <c r="AC852" s="196"/>
      <c r="AD852" s="196"/>
      <c r="AE852" s="196"/>
      <c r="AF852" s="196"/>
      <c r="AG852" s="196"/>
      <c r="AH852" s="196"/>
    </row>
    <row r="853">
      <c r="A853" s="196"/>
      <c r="B853" s="196"/>
      <c r="C853" s="196"/>
      <c r="D853" s="196"/>
      <c r="E853" s="196"/>
      <c r="F853" s="196"/>
      <c r="G853" s="196"/>
      <c r="H853" s="196"/>
      <c r="I853" s="139"/>
      <c r="J853" s="196"/>
      <c r="K853" s="196"/>
      <c r="L853" s="139"/>
      <c r="M853" s="196"/>
      <c r="N853" s="196"/>
      <c r="O853" s="196"/>
      <c r="P853" s="196"/>
      <c r="Q853" s="196"/>
      <c r="R853" s="196"/>
      <c r="S853" s="196"/>
      <c r="T853" s="196"/>
      <c r="U853" s="196"/>
      <c r="V853" s="196"/>
      <c r="W853" s="196"/>
      <c r="X853" s="196"/>
      <c r="Y853" s="196"/>
      <c r="Z853" s="196"/>
      <c r="AA853" s="196"/>
      <c r="AB853" s="196"/>
      <c r="AC853" s="196"/>
      <c r="AD853" s="196"/>
      <c r="AE853" s="196"/>
      <c r="AF853" s="196"/>
      <c r="AG853" s="196"/>
      <c r="AH853" s="196"/>
    </row>
    <row r="854">
      <c r="A854" s="196"/>
      <c r="B854" s="196"/>
      <c r="C854" s="196"/>
      <c r="D854" s="196"/>
      <c r="E854" s="196"/>
      <c r="F854" s="196"/>
      <c r="G854" s="196"/>
      <c r="H854" s="196"/>
      <c r="I854" s="139"/>
      <c r="J854" s="196"/>
      <c r="K854" s="196"/>
      <c r="L854" s="139"/>
      <c r="M854" s="196"/>
      <c r="N854" s="196"/>
      <c r="O854" s="196"/>
      <c r="P854" s="196"/>
      <c r="Q854" s="196"/>
      <c r="R854" s="196"/>
      <c r="S854" s="196"/>
      <c r="T854" s="196"/>
      <c r="U854" s="196"/>
      <c r="V854" s="196"/>
      <c r="W854" s="196"/>
      <c r="X854" s="196"/>
      <c r="Y854" s="196"/>
      <c r="Z854" s="196"/>
      <c r="AA854" s="196"/>
      <c r="AB854" s="196"/>
      <c r="AC854" s="196"/>
      <c r="AD854" s="196"/>
      <c r="AE854" s="196"/>
      <c r="AF854" s="196"/>
      <c r="AG854" s="196"/>
      <c r="AH854" s="196"/>
    </row>
    <row r="855">
      <c r="A855" s="196"/>
      <c r="B855" s="196"/>
      <c r="C855" s="196"/>
      <c r="D855" s="196"/>
      <c r="E855" s="196"/>
      <c r="F855" s="196"/>
      <c r="G855" s="196"/>
      <c r="H855" s="196"/>
      <c r="I855" s="139"/>
      <c r="J855" s="196"/>
      <c r="K855" s="196"/>
      <c r="L855" s="139"/>
      <c r="M855" s="196"/>
      <c r="N855" s="196"/>
      <c r="O855" s="196"/>
      <c r="P855" s="196"/>
      <c r="Q855" s="196"/>
      <c r="R855" s="196"/>
      <c r="S855" s="196"/>
      <c r="T855" s="196"/>
      <c r="U855" s="196"/>
      <c r="V855" s="196"/>
      <c r="W855" s="196"/>
      <c r="X855" s="196"/>
      <c r="Y855" s="196"/>
      <c r="Z855" s="196"/>
      <c r="AA855" s="196"/>
      <c r="AB855" s="196"/>
      <c r="AC855" s="196"/>
      <c r="AD855" s="196"/>
      <c r="AE855" s="196"/>
      <c r="AF855" s="196"/>
      <c r="AG855" s="196"/>
      <c r="AH855" s="196"/>
    </row>
    <row r="856">
      <c r="A856" s="196"/>
      <c r="B856" s="196"/>
      <c r="C856" s="196"/>
      <c r="D856" s="196"/>
      <c r="E856" s="196"/>
      <c r="F856" s="196"/>
      <c r="G856" s="196"/>
      <c r="H856" s="196"/>
      <c r="I856" s="139"/>
      <c r="J856" s="196"/>
      <c r="K856" s="196"/>
      <c r="L856" s="139"/>
      <c r="M856" s="196"/>
      <c r="N856" s="196"/>
      <c r="O856" s="196"/>
      <c r="P856" s="196"/>
      <c r="Q856" s="196"/>
      <c r="R856" s="196"/>
      <c r="S856" s="196"/>
      <c r="T856" s="196"/>
      <c r="U856" s="196"/>
      <c r="V856" s="196"/>
      <c r="W856" s="196"/>
      <c r="X856" s="196"/>
      <c r="Y856" s="196"/>
      <c r="Z856" s="196"/>
      <c r="AA856" s="196"/>
      <c r="AB856" s="196"/>
      <c r="AC856" s="196"/>
      <c r="AD856" s="196"/>
      <c r="AE856" s="196"/>
      <c r="AF856" s="196"/>
      <c r="AG856" s="196"/>
      <c r="AH856" s="196"/>
    </row>
    <row r="857">
      <c r="A857" s="196"/>
      <c r="B857" s="196"/>
      <c r="C857" s="196"/>
      <c r="D857" s="196"/>
      <c r="E857" s="196"/>
      <c r="F857" s="196"/>
      <c r="G857" s="196"/>
      <c r="H857" s="196"/>
      <c r="I857" s="139"/>
      <c r="J857" s="196"/>
      <c r="K857" s="196"/>
      <c r="L857" s="139"/>
      <c r="M857" s="196"/>
      <c r="N857" s="196"/>
      <c r="O857" s="196"/>
      <c r="P857" s="196"/>
      <c r="Q857" s="196"/>
      <c r="R857" s="196"/>
      <c r="S857" s="196"/>
      <c r="T857" s="196"/>
      <c r="U857" s="196"/>
      <c r="V857" s="196"/>
      <c r="W857" s="196"/>
      <c r="X857" s="196"/>
      <c r="Y857" s="196"/>
      <c r="Z857" s="196"/>
      <c r="AA857" s="196"/>
      <c r="AB857" s="196"/>
      <c r="AC857" s="196"/>
      <c r="AD857" s="196"/>
      <c r="AE857" s="196"/>
      <c r="AF857" s="196"/>
      <c r="AG857" s="196"/>
      <c r="AH857" s="196"/>
    </row>
    <row r="858">
      <c r="A858" s="196"/>
      <c r="B858" s="196"/>
      <c r="C858" s="196"/>
      <c r="D858" s="196"/>
      <c r="E858" s="196"/>
      <c r="F858" s="196"/>
      <c r="G858" s="196"/>
      <c r="H858" s="196"/>
      <c r="I858" s="139"/>
      <c r="J858" s="196"/>
      <c r="K858" s="196"/>
      <c r="L858" s="139"/>
      <c r="M858" s="196"/>
      <c r="N858" s="196"/>
      <c r="O858" s="196"/>
      <c r="P858" s="196"/>
      <c r="Q858" s="196"/>
      <c r="R858" s="196"/>
      <c r="S858" s="196"/>
      <c r="T858" s="196"/>
      <c r="U858" s="196"/>
      <c r="V858" s="196"/>
      <c r="W858" s="196"/>
      <c r="X858" s="196"/>
      <c r="Y858" s="196"/>
      <c r="Z858" s="196"/>
      <c r="AA858" s="196"/>
      <c r="AB858" s="196"/>
      <c r="AC858" s="196"/>
      <c r="AD858" s="196"/>
      <c r="AE858" s="196"/>
      <c r="AF858" s="196"/>
      <c r="AG858" s="196"/>
      <c r="AH858" s="196"/>
    </row>
    <row r="859">
      <c r="A859" s="196"/>
      <c r="B859" s="196"/>
      <c r="C859" s="196"/>
      <c r="D859" s="196"/>
      <c r="E859" s="196"/>
      <c r="F859" s="196"/>
      <c r="G859" s="196"/>
      <c r="H859" s="196"/>
      <c r="I859" s="139"/>
      <c r="J859" s="196"/>
      <c r="K859" s="196"/>
      <c r="L859" s="139"/>
      <c r="M859" s="196"/>
      <c r="N859" s="196"/>
      <c r="O859" s="196"/>
      <c r="P859" s="196"/>
      <c r="Q859" s="196"/>
      <c r="R859" s="196"/>
      <c r="S859" s="196"/>
      <c r="T859" s="196"/>
      <c r="U859" s="196"/>
      <c r="V859" s="196"/>
      <c r="W859" s="196"/>
      <c r="X859" s="196"/>
      <c r="Y859" s="196"/>
      <c r="Z859" s="196"/>
      <c r="AA859" s="196"/>
      <c r="AB859" s="196"/>
      <c r="AC859" s="196"/>
      <c r="AD859" s="196"/>
      <c r="AE859" s="196"/>
      <c r="AF859" s="196"/>
      <c r="AG859" s="196"/>
      <c r="AH859" s="196"/>
    </row>
    <row r="860">
      <c r="A860" s="196"/>
      <c r="B860" s="196"/>
      <c r="C860" s="196"/>
      <c r="D860" s="196"/>
      <c r="E860" s="196"/>
      <c r="F860" s="196"/>
      <c r="G860" s="196"/>
      <c r="H860" s="196"/>
      <c r="I860" s="139"/>
      <c r="J860" s="196"/>
      <c r="K860" s="196"/>
      <c r="L860" s="139"/>
      <c r="M860" s="196"/>
      <c r="N860" s="196"/>
      <c r="O860" s="196"/>
      <c r="P860" s="196"/>
      <c r="Q860" s="196"/>
      <c r="R860" s="196"/>
      <c r="S860" s="196"/>
      <c r="T860" s="196"/>
      <c r="U860" s="196"/>
      <c r="V860" s="196"/>
      <c r="W860" s="196"/>
      <c r="X860" s="196"/>
      <c r="Y860" s="196"/>
      <c r="Z860" s="196"/>
      <c r="AA860" s="196"/>
      <c r="AB860" s="196"/>
      <c r="AC860" s="196"/>
      <c r="AD860" s="196"/>
      <c r="AE860" s="196"/>
      <c r="AF860" s="196"/>
      <c r="AG860" s="196"/>
      <c r="AH860" s="196"/>
    </row>
    <row r="861">
      <c r="A861" s="196"/>
      <c r="B861" s="196"/>
      <c r="C861" s="196"/>
      <c r="D861" s="196"/>
      <c r="E861" s="196"/>
      <c r="F861" s="196"/>
      <c r="G861" s="196"/>
      <c r="H861" s="196"/>
      <c r="I861" s="139"/>
      <c r="J861" s="196"/>
      <c r="K861" s="196"/>
      <c r="L861" s="139"/>
      <c r="M861" s="196"/>
      <c r="N861" s="196"/>
      <c r="O861" s="196"/>
      <c r="P861" s="196"/>
      <c r="Q861" s="196"/>
      <c r="R861" s="196"/>
      <c r="S861" s="196"/>
      <c r="T861" s="196"/>
      <c r="U861" s="196"/>
      <c r="V861" s="196"/>
      <c r="W861" s="196"/>
      <c r="X861" s="196"/>
      <c r="Y861" s="196"/>
      <c r="Z861" s="196"/>
      <c r="AA861" s="196"/>
      <c r="AB861" s="196"/>
      <c r="AC861" s="196"/>
      <c r="AD861" s="196"/>
      <c r="AE861" s="196"/>
      <c r="AF861" s="196"/>
      <c r="AG861" s="196"/>
      <c r="AH861" s="196"/>
    </row>
    <row r="862">
      <c r="A862" s="196"/>
      <c r="B862" s="196"/>
      <c r="C862" s="196"/>
      <c r="D862" s="196"/>
      <c r="E862" s="196"/>
      <c r="F862" s="196"/>
      <c r="G862" s="196"/>
      <c r="H862" s="196"/>
      <c r="I862" s="139"/>
      <c r="J862" s="196"/>
      <c r="K862" s="196"/>
      <c r="L862" s="139"/>
      <c r="M862" s="196"/>
      <c r="N862" s="196"/>
      <c r="O862" s="196"/>
      <c r="P862" s="196"/>
      <c r="Q862" s="196"/>
      <c r="R862" s="196"/>
      <c r="S862" s="196"/>
      <c r="T862" s="196"/>
      <c r="U862" s="196"/>
      <c r="V862" s="196"/>
      <c r="W862" s="196"/>
      <c r="X862" s="196"/>
      <c r="Y862" s="196"/>
      <c r="Z862" s="196"/>
      <c r="AA862" s="196"/>
      <c r="AB862" s="196"/>
      <c r="AC862" s="196"/>
      <c r="AD862" s="196"/>
      <c r="AE862" s="196"/>
      <c r="AF862" s="196"/>
      <c r="AG862" s="196"/>
      <c r="AH862" s="196"/>
    </row>
    <row r="863">
      <c r="A863" s="196"/>
      <c r="B863" s="196"/>
      <c r="C863" s="196"/>
      <c r="D863" s="196"/>
      <c r="E863" s="196"/>
      <c r="F863" s="196"/>
      <c r="G863" s="196"/>
      <c r="H863" s="196"/>
      <c r="I863" s="139"/>
      <c r="J863" s="196"/>
      <c r="K863" s="196"/>
      <c r="L863" s="139"/>
      <c r="M863" s="196"/>
      <c r="N863" s="196"/>
      <c r="O863" s="196"/>
      <c r="P863" s="196"/>
      <c r="Q863" s="196"/>
      <c r="R863" s="196"/>
      <c r="S863" s="196"/>
      <c r="T863" s="196"/>
      <c r="U863" s="196"/>
      <c r="V863" s="196"/>
      <c r="W863" s="196"/>
      <c r="X863" s="196"/>
      <c r="Y863" s="196"/>
      <c r="Z863" s="196"/>
      <c r="AA863" s="196"/>
      <c r="AB863" s="196"/>
      <c r="AC863" s="196"/>
      <c r="AD863" s="196"/>
      <c r="AE863" s="196"/>
      <c r="AF863" s="196"/>
      <c r="AG863" s="196"/>
      <c r="AH863" s="196"/>
    </row>
    <row r="864">
      <c r="A864" s="196"/>
      <c r="B864" s="196"/>
      <c r="C864" s="196"/>
      <c r="D864" s="196"/>
      <c r="E864" s="196"/>
      <c r="F864" s="196"/>
      <c r="G864" s="196"/>
      <c r="H864" s="196"/>
      <c r="I864" s="139"/>
      <c r="J864" s="196"/>
      <c r="K864" s="196"/>
      <c r="L864" s="139"/>
      <c r="M864" s="196"/>
      <c r="N864" s="196"/>
      <c r="O864" s="196"/>
      <c r="P864" s="196"/>
      <c r="Q864" s="196"/>
      <c r="R864" s="196"/>
      <c r="S864" s="196"/>
      <c r="T864" s="196"/>
      <c r="U864" s="196"/>
      <c r="V864" s="196"/>
      <c r="W864" s="196"/>
      <c r="X864" s="196"/>
      <c r="Y864" s="196"/>
      <c r="Z864" s="196"/>
      <c r="AA864" s="196"/>
      <c r="AB864" s="196"/>
      <c r="AC864" s="196"/>
      <c r="AD864" s="196"/>
      <c r="AE864" s="196"/>
      <c r="AF864" s="196"/>
      <c r="AG864" s="196"/>
      <c r="AH864" s="196"/>
    </row>
    <row r="865">
      <c r="A865" s="196"/>
      <c r="B865" s="196"/>
      <c r="C865" s="196"/>
      <c r="D865" s="196"/>
      <c r="E865" s="196"/>
      <c r="F865" s="196"/>
      <c r="G865" s="196"/>
      <c r="H865" s="196"/>
      <c r="I865" s="139"/>
      <c r="J865" s="196"/>
      <c r="K865" s="196"/>
      <c r="L865" s="139"/>
      <c r="M865" s="196"/>
      <c r="N865" s="196"/>
      <c r="O865" s="196"/>
      <c r="P865" s="196"/>
      <c r="Q865" s="196"/>
      <c r="R865" s="196"/>
      <c r="S865" s="196"/>
      <c r="T865" s="196"/>
      <c r="U865" s="196"/>
      <c r="V865" s="196"/>
      <c r="W865" s="196"/>
      <c r="X865" s="196"/>
      <c r="Y865" s="196"/>
      <c r="Z865" s="196"/>
      <c r="AA865" s="196"/>
      <c r="AB865" s="196"/>
      <c r="AC865" s="196"/>
      <c r="AD865" s="196"/>
      <c r="AE865" s="196"/>
      <c r="AF865" s="196"/>
      <c r="AG865" s="196"/>
      <c r="AH865" s="196"/>
    </row>
    <row r="866">
      <c r="A866" s="196"/>
      <c r="B866" s="196"/>
      <c r="C866" s="196"/>
      <c r="D866" s="196"/>
      <c r="E866" s="196"/>
      <c r="F866" s="196"/>
      <c r="G866" s="196"/>
      <c r="H866" s="196"/>
      <c r="I866" s="139"/>
      <c r="J866" s="196"/>
      <c r="K866" s="196"/>
      <c r="L866" s="139"/>
      <c r="M866" s="196"/>
      <c r="N866" s="196"/>
      <c r="O866" s="196"/>
      <c r="P866" s="196"/>
      <c r="Q866" s="196"/>
      <c r="R866" s="196"/>
      <c r="S866" s="196"/>
      <c r="T866" s="196"/>
      <c r="U866" s="196"/>
      <c r="V866" s="196"/>
      <c r="W866" s="196"/>
      <c r="X866" s="196"/>
      <c r="Y866" s="196"/>
      <c r="Z866" s="196"/>
      <c r="AA866" s="196"/>
      <c r="AB866" s="196"/>
      <c r="AC866" s="196"/>
      <c r="AD866" s="196"/>
      <c r="AE866" s="196"/>
      <c r="AF866" s="196"/>
      <c r="AG866" s="196"/>
      <c r="AH866" s="196"/>
    </row>
    <row r="867">
      <c r="A867" s="196"/>
      <c r="B867" s="196"/>
      <c r="C867" s="196"/>
      <c r="D867" s="196"/>
      <c r="E867" s="196"/>
      <c r="F867" s="196"/>
      <c r="G867" s="196"/>
      <c r="H867" s="196"/>
      <c r="I867" s="139"/>
      <c r="J867" s="196"/>
      <c r="K867" s="196"/>
      <c r="L867" s="139"/>
      <c r="M867" s="196"/>
      <c r="N867" s="196"/>
      <c r="O867" s="196"/>
      <c r="P867" s="196"/>
      <c r="Q867" s="196"/>
      <c r="R867" s="196"/>
      <c r="S867" s="196"/>
      <c r="T867" s="196"/>
      <c r="U867" s="196"/>
      <c r="V867" s="196"/>
      <c r="W867" s="196"/>
      <c r="X867" s="196"/>
      <c r="Y867" s="196"/>
      <c r="Z867" s="196"/>
      <c r="AA867" s="196"/>
      <c r="AB867" s="196"/>
      <c r="AC867" s="196"/>
      <c r="AD867" s="196"/>
      <c r="AE867" s="196"/>
      <c r="AF867" s="196"/>
      <c r="AG867" s="196"/>
      <c r="AH867" s="196"/>
    </row>
    <row r="868">
      <c r="A868" s="196"/>
      <c r="B868" s="196"/>
      <c r="C868" s="196"/>
      <c r="D868" s="196"/>
      <c r="E868" s="196"/>
      <c r="F868" s="196"/>
      <c r="G868" s="196"/>
      <c r="H868" s="196"/>
      <c r="I868" s="139"/>
      <c r="J868" s="196"/>
      <c r="K868" s="196"/>
      <c r="L868" s="139"/>
      <c r="M868" s="196"/>
      <c r="N868" s="196"/>
      <c r="O868" s="196"/>
      <c r="P868" s="196"/>
      <c r="Q868" s="196"/>
      <c r="R868" s="196"/>
      <c r="S868" s="196"/>
      <c r="T868" s="196"/>
      <c r="U868" s="196"/>
      <c r="V868" s="196"/>
      <c r="W868" s="196"/>
      <c r="X868" s="196"/>
      <c r="Y868" s="196"/>
      <c r="Z868" s="196"/>
      <c r="AA868" s="196"/>
      <c r="AB868" s="196"/>
      <c r="AC868" s="196"/>
      <c r="AD868" s="196"/>
      <c r="AE868" s="196"/>
      <c r="AF868" s="196"/>
      <c r="AG868" s="196"/>
      <c r="AH868" s="196"/>
    </row>
    <row r="869">
      <c r="A869" s="196"/>
      <c r="B869" s="196"/>
      <c r="C869" s="196"/>
      <c r="D869" s="196"/>
      <c r="E869" s="196"/>
      <c r="F869" s="196"/>
      <c r="G869" s="196"/>
      <c r="H869" s="196"/>
      <c r="I869" s="139"/>
      <c r="J869" s="196"/>
      <c r="K869" s="196"/>
      <c r="L869" s="139"/>
      <c r="M869" s="196"/>
      <c r="N869" s="196"/>
      <c r="O869" s="196"/>
      <c r="P869" s="196"/>
      <c r="Q869" s="196"/>
      <c r="R869" s="196"/>
      <c r="S869" s="196"/>
      <c r="T869" s="196"/>
      <c r="U869" s="196"/>
      <c r="V869" s="196"/>
      <c r="W869" s="196"/>
      <c r="X869" s="196"/>
      <c r="Y869" s="196"/>
      <c r="Z869" s="196"/>
      <c r="AA869" s="196"/>
      <c r="AB869" s="196"/>
      <c r="AC869" s="196"/>
      <c r="AD869" s="196"/>
      <c r="AE869" s="196"/>
      <c r="AF869" s="196"/>
      <c r="AG869" s="196"/>
      <c r="AH869" s="196"/>
    </row>
    <row r="870">
      <c r="A870" s="196"/>
      <c r="B870" s="196"/>
      <c r="C870" s="196"/>
      <c r="D870" s="196"/>
      <c r="E870" s="196"/>
      <c r="F870" s="196"/>
      <c r="G870" s="196"/>
      <c r="H870" s="196"/>
      <c r="I870" s="139"/>
      <c r="J870" s="196"/>
      <c r="K870" s="196"/>
      <c r="L870" s="139"/>
      <c r="M870" s="196"/>
      <c r="N870" s="196"/>
      <c r="O870" s="196"/>
      <c r="P870" s="196"/>
      <c r="Q870" s="196"/>
      <c r="R870" s="196"/>
      <c r="S870" s="196"/>
      <c r="T870" s="196"/>
      <c r="U870" s="196"/>
      <c r="V870" s="196"/>
      <c r="W870" s="196"/>
      <c r="X870" s="196"/>
      <c r="Y870" s="196"/>
      <c r="Z870" s="196"/>
      <c r="AA870" s="196"/>
      <c r="AB870" s="196"/>
      <c r="AC870" s="196"/>
      <c r="AD870" s="196"/>
      <c r="AE870" s="196"/>
      <c r="AF870" s="196"/>
      <c r="AG870" s="196"/>
      <c r="AH870" s="196"/>
    </row>
    <row r="871">
      <c r="A871" s="196"/>
      <c r="B871" s="196"/>
      <c r="C871" s="196"/>
      <c r="D871" s="196"/>
      <c r="E871" s="196"/>
      <c r="F871" s="196"/>
      <c r="G871" s="196"/>
      <c r="H871" s="196"/>
      <c r="I871" s="139"/>
      <c r="J871" s="196"/>
      <c r="K871" s="196"/>
      <c r="L871" s="139"/>
      <c r="M871" s="196"/>
      <c r="N871" s="196"/>
      <c r="O871" s="196"/>
      <c r="P871" s="196"/>
      <c r="Q871" s="196"/>
      <c r="R871" s="196"/>
      <c r="S871" s="196"/>
      <c r="T871" s="196"/>
      <c r="U871" s="196"/>
      <c r="V871" s="196"/>
      <c r="W871" s="196"/>
      <c r="X871" s="196"/>
      <c r="Y871" s="196"/>
      <c r="Z871" s="196"/>
      <c r="AA871" s="196"/>
      <c r="AB871" s="196"/>
      <c r="AC871" s="196"/>
      <c r="AD871" s="196"/>
      <c r="AE871" s="196"/>
      <c r="AF871" s="196"/>
      <c r="AG871" s="196"/>
      <c r="AH871" s="196"/>
    </row>
    <row r="872">
      <c r="A872" s="196"/>
      <c r="B872" s="196"/>
      <c r="C872" s="196"/>
      <c r="D872" s="196"/>
      <c r="E872" s="196"/>
      <c r="F872" s="196"/>
      <c r="G872" s="196"/>
      <c r="H872" s="196"/>
      <c r="I872" s="139"/>
      <c r="J872" s="196"/>
      <c r="K872" s="196"/>
      <c r="L872" s="139"/>
      <c r="M872" s="196"/>
      <c r="N872" s="196"/>
      <c r="O872" s="196"/>
      <c r="P872" s="196"/>
      <c r="Q872" s="196"/>
      <c r="R872" s="196"/>
      <c r="S872" s="196"/>
      <c r="T872" s="196"/>
      <c r="U872" s="196"/>
      <c r="V872" s="196"/>
      <c r="W872" s="196"/>
      <c r="X872" s="196"/>
      <c r="Y872" s="196"/>
      <c r="Z872" s="196"/>
      <c r="AA872" s="196"/>
      <c r="AB872" s="196"/>
      <c r="AC872" s="196"/>
      <c r="AD872" s="196"/>
      <c r="AE872" s="196"/>
      <c r="AF872" s="196"/>
      <c r="AG872" s="196"/>
      <c r="AH872" s="196"/>
    </row>
    <row r="873">
      <c r="A873" s="196"/>
      <c r="B873" s="196"/>
      <c r="C873" s="196"/>
      <c r="D873" s="196"/>
      <c r="E873" s="196"/>
      <c r="F873" s="196"/>
      <c r="G873" s="196"/>
      <c r="H873" s="196"/>
      <c r="I873" s="139"/>
      <c r="J873" s="196"/>
      <c r="K873" s="196"/>
      <c r="L873" s="139"/>
      <c r="M873" s="196"/>
      <c r="N873" s="196"/>
      <c r="O873" s="196"/>
      <c r="P873" s="196"/>
      <c r="Q873" s="196"/>
      <c r="R873" s="196"/>
      <c r="S873" s="196"/>
      <c r="T873" s="196"/>
      <c r="U873" s="196"/>
      <c r="V873" s="196"/>
      <c r="W873" s="196"/>
      <c r="X873" s="196"/>
      <c r="Y873" s="196"/>
      <c r="Z873" s="196"/>
      <c r="AA873" s="196"/>
      <c r="AB873" s="196"/>
      <c r="AC873" s="196"/>
      <c r="AD873" s="196"/>
      <c r="AE873" s="196"/>
      <c r="AF873" s="196"/>
      <c r="AG873" s="196"/>
      <c r="AH873" s="196"/>
    </row>
    <row r="874">
      <c r="A874" s="196"/>
      <c r="B874" s="196"/>
      <c r="C874" s="196"/>
      <c r="D874" s="196"/>
      <c r="E874" s="196"/>
      <c r="F874" s="196"/>
      <c r="G874" s="196"/>
      <c r="H874" s="196"/>
      <c r="I874" s="139"/>
      <c r="J874" s="196"/>
      <c r="K874" s="196"/>
      <c r="L874" s="139"/>
      <c r="M874" s="196"/>
      <c r="N874" s="196"/>
      <c r="O874" s="196"/>
      <c r="P874" s="196"/>
      <c r="Q874" s="196"/>
      <c r="R874" s="196"/>
      <c r="S874" s="196"/>
      <c r="T874" s="196"/>
      <c r="U874" s="196"/>
      <c r="V874" s="196"/>
      <c r="W874" s="196"/>
      <c r="X874" s="196"/>
      <c r="Y874" s="196"/>
      <c r="Z874" s="196"/>
      <c r="AA874" s="196"/>
      <c r="AB874" s="196"/>
      <c r="AC874" s="196"/>
      <c r="AD874" s="196"/>
      <c r="AE874" s="196"/>
      <c r="AF874" s="196"/>
      <c r="AG874" s="196"/>
      <c r="AH874" s="196"/>
    </row>
    <row r="875">
      <c r="A875" s="196"/>
      <c r="B875" s="196"/>
      <c r="C875" s="196"/>
      <c r="D875" s="196"/>
      <c r="E875" s="196"/>
      <c r="F875" s="196"/>
      <c r="G875" s="196"/>
      <c r="H875" s="196"/>
      <c r="I875" s="139"/>
      <c r="J875" s="196"/>
      <c r="K875" s="196"/>
      <c r="L875" s="139"/>
      <c r="M875" s="196"/>
      <c r="N875" s="196"/>
      <c r="O875" s="196"/>
      <c r="P875" s="196"/>
      <c r="Q875" s="196"/>
      <c r="R875" s="196"/>
      <c r="S875" s="196"/>
      <c r="T875" s="196"/>
      <c r="U875" s="196"/>
      <c r="V875" s="196"/>
      <c r="W875" s="196"/>
      <c r="X875" s="196"/>
      <c r="Y875" s="196"/>
      <c r="Z875" s="196"/>
      <c r="AA875" s="196"/>
      <c r="AB875" s="196"/>
      <c r="AC875" s="196"/>
      <c r="AD875" s="196"/>
      <c r="AE875" s="196"/>
      <c r="AF875" s="196"/>
      <c r="AG875" s="196"/>
      <c r="AH875" s="196"/>
    </row>
    <row r="876">
      <c r="A876" s="196"/>
      <c r="B876" s="196"/>
      <c r="C876" s="196"/>
      <c r="D876" s="196"/>
      <c r="E876" s="196"/>
      <c r="F876" s="196"/>
      <c r="G876" s="196"/>
      <c r="H876" s="196"/>
      <c r="I876" s="139"/>
      <c r="J876" s="196"/>
      <c r="K876" s="196"/>
      <c r="L876" s="139"/>
      <c r="M876" s="196"/>
      <c r="N876" s="196"/>
      <c r="O876" s="196"/>
      <c r="P876" s="196"/>
      <c r="Q876" s="196"/>
      <c r="R876" s="196"/>
      <c r="S876" s="196"/>
      <c r="T876" s="196"/>
      <c r="U876" s="196"/>
      <c r="V876" s="196"/>
      <c r="W876" s="196"/>
      <c r="X876" s="196"/>
      <c r="Y876" s="196"/>
      <c r="Z876" s="196"/>
      <c r="AA876" s="196"/>
      <c r="AB876" s="196"/>
      <c r="AC876" s="196"/>
      <c r="AD876" s="196"/>
      <c r="AE876" s="196"/>
      <c r="AF876" s="196"/>
      <c r="AG876" s="196"/>
      <c r="AH876" s="196"/>
    </row>
    <row r="877">
      <c r="A877" s="196"/>
      <c r="B877" s="196"/>
      <c r="C877" s="196"/>
      <c r="D877" s="196"/>
      <c r="E877" s="196"/>
      <c r="F877" s="196"/>
      <c r="G877" s="196"/>
      <c r="H877" s="196"/>
      <c r="I877" s="139"/>
      <c r="J877" s="196"/>
      <c r="K877" s="196"/>
      <c r="L877" s="139"/>
      <c r="M877" s="196"/>
      <c r="N877" s="196"/>
      <c r="O877" s="196"/>
      <c r="P877" s="196"/>
      <c r="Q877" s="196"/>
      <c r="R877" s="196"/>
      <c r="S877" s="196"/>
      <c r="T877" s="196"/>
      <c r="U877" s="196"/>
      <c r="V877" s="196"/>
      <c r="W877" s="196"/>
      <c r="X877" s="196"/>
      <c r="Y877" s="196"/>
      <c r="Z877" s="196"/>
      <c r="AA877" s="196"/>
      <c r="AB877" s="196"/>
      <c r="AC877" s="196"/>
      <c r="AD877" s="196"/>
      <c r="AE877" s="196"/>
      <c r="AF877" s="196"/>
      <c r="AG877" s="196"/>
      <c r="AH877" s="196"/>
    </row>
    <row r="878">
      <c r="A878" s="196"/>
      <c r="B878" s="196"/>
      <c r="C878" s="196"/>
      <c r="D878" s="196"/>
      <c r="E878" s="196"/>
      <c r="F878" s="196"/>
      <c r="G878" s="196"/>
      <c r="H878" s="196"/>
      <c r="I878" s="139"/>
      <c r="J878" s="196"/>
      <c r="K878" s="196"/>
      <c r="L878" s="139"/>
      <c r="M878" s="196"/>
      <c r="N878" s="196"/>
      <c r="O878" s="196"/>
      <c r="P878" s="196"/>
      <c r="Q878" s="196"/>
      <c r="R878" s="196"/>
      <c r="S878" s="196"/>
      <c r="T878" s="196"/>
      <c r="U878" s="196"/>
      <c r="V878" s="196"/>
      <c r="W878" s="196"/>
      <c r="X878" s="196"/>
      <c r="Y878" s="196"/>
      <c r="Z878" s="196"/>
      <c r="AA878" s="196"/>
      <c r="AB878" s="196"/>
      <c r="AC878" s="196"/>
      <c r="AD878" s="196"/>
      <c r="AE878" s="196"/>
      <c r="AF878" s="196"/>
      <c r="AG878" s="196"/>
      <c r="AH878" s="196"/>
    </row>
    <row r="879">
      <c r="A879" s="196"/>
      <c r="B879" s="196"/>
      <c r="C879" s="196"/>
      <c r="D879" s="196"/>
      <c r="E879" s="196"/>
      <c r="F879" s="196"/>
      <c r="G879" s="196"/>
      <c r="H879" s="196"/>
      <c r="I879" s="139"/>
      <c r="J879" s="196"/>
      <c r="K879" s="196"/>
      <c r="L879" s="139"/>
      <c r="M879" s="196"/>
      <c r="N879" s="196"/>
      <c r="O879" s="196"/>
      <c r="P879" s="196"/>
      <c r="Q879" s="196"/>
      <c r="R879" s="196"/>
      <c r="S879" s="196"/>
      <c r="T879" s="196"/>
      <c r="U879" s="196"/>
      <c r="V879" s="196"/>
      <c r="W879" s="196"/>
      <c r="X879" s="196"/>
      <c r="Y879" s="196"/>
      <c r="Z879" s="196"/>
      <c r="AA879" s="196"/>
      <c r="AB879" s="196"/>
      <c r="AC879" s="196"/>
      <c r="AD879" s="196"/>
      <c r="AE879" s="196"/>
      <c r="AF879" s="196"/>
      <c r="AG879" s="196"/>
      <c r="AH879" s="196"/>
    </row>
    <row r="880">
      <c r="A880" s="196"/>
      <c r="B880" s="196"/>
      <c r="C880" s="196"/>
      <c r="D880" s="196"/>
      <c r="E880" s="196"/>
      <c r="F880" s="196"/>
      <c r="G880" s="196"/>
      <c r="H880" s="196"/>
      <c r="I880" s="139"/>
      <c r="J880" s="196"/>
      <c r="K880" s="196"/>
      <c r="L880" s="139"/>
      <c r="M880" s="196"/>
      <c r="N880" s="196"/>
      <c r="O880" s="196"/>
      <c r="P880" s="196"/>
      <c r="Q880" s="196"/>
      <c r="R880" s="196"/>
      <c r="S880" s="196"/>
      <c r="T880" s="196"/>
      <c r="U880" s="196"/>
      <c r="V880" s="196"/>
      <c r="W880" s="196"/>
      <c r="X880" s="196"/>
      <c r="Y880" s="196"/>
      <c r="Z880" s="196"/>
      <c r="AA880" s="196"/>
      <c r="AB880" s="196"/>
      <c r="AC880" s="196"/>
      <c r="AD880" s="196"/>
      <c r="AE880" s="196"/>
      <c r="AF880" s="196"/>
      <c r="AG880" s="196"/>
      <c r="AH880" s="196"/>
    </row>
    <row r="881">
      <c r="A881" s="196"/>
      <c r="B881" s="196"/>
      <c r="C881" s="196"/>
      <c r="D881" s="196"/>
      <c r="E881" s="196"/>
      <c r="F881" s="196"/>
      <c r="G881" s="196"/>
      <c r="H881" s="196"/>
      <c r="I881" s="139"/>
      <c r="J881" s="196"/>
      <c r="K881" s="196"/>
      <c r="L881" s="139"/>
      <c r="M881" s="196"/>
      <c r="N881" s="196"/>
      <c r="O881" s="196"/>
      <c r="P881" s="196"/>
      <c r="Q881" s="196"/>
      <c r="R881" s="196"/>
      <c r="S881" s="196"/>
      <c r="T881" s="196"/>
      <c r="U881" s="196"/>
      <c r="V881" s="196"/>
      <c r="W881" s="196"/>
      <c r="X881" s="196"/>
      <c r="Y881" s="196"/>
      <c r="Z881" s="196"/>
      <c r="AA881" s="196"/>
      <c r="AB881" s="196"/>
      <c r="AC881" s="196"/>
      <c r="AD881" s="196"/>
      <c r="AE881" s="196"/>
      <c r="AF881" s="196"/>
      <c r="AG881" s="196"/>
      <c r="AH881" s="196"/>
    </row>
    <row r="882">
      <c r="A882" s="196"/>
      <c r="B882" s="196"/>
      <c r="C882" s="196"/>
      <c r="D882" s="196"/>
      <c r="E882" s="196"/>
      <c r="F882" s="196"/>
      <c r="G882" s="196"/>
      <c r="H882" s="196"/>
      <c r="I882" s="139"/>
      <c r="J882" s="196"/>
      <c r="K882" s="196"/>
      <c r="L882" s="139"/>
      <c r="M882" s="196"/>
      <c r="N882" s="196"/>
      <c r="O882" s="196"/>
      <c r="P882" s="196"/>
      <c r="Q882" s="196"/>
      <c r="R882" s="196"/>
      <c r="S882" s="196"/>
      <c r="T882" s="196"/>
      <c r="U882" s="196"/>
      <c r="V882" s="196"/>
      <c r="W882" s="196"/>
      <c r="X882" s="196"/>
      <c r="Y882" s="196"/>
      <c r="Z882" s="196"/>
      <c r="AA882" s="196"/>
      <c r="AB882" s="196"/>
      <c r="AC882" s="196"/>
      <c r="AD882" s="196"/>
      <c r="AE882" s="196"/>
      <c r="AF882" s="196"/>
      <c r="AG882" s="196"/>
      <c r="AH882" s="196"/>
    </row>
    <row r="883">
      <c r="A883" s="196"/>
      <c r="B883" s="196"/>
      <c r="C883" s="196"/>
      <c r="D883" s="196"/>
      <c r="E883" s="196"/>
      <c r="F883" s="196"/>
      <c r="G883" s="196"/>
      <c r="H883" s="196"/>
      <c r="I883" s="139"/>
      <c r="J883" s="196"/>
      <c r="K883" s="196"/>
      <c r="L883" s="139"/>
      <c r="M883" s="196"/>
      <c r="N883" s="196"/>
      <c r="O883" s="196"/>
      <c r="P883" s="196"/>
      <c r="Q883" s="196"/>
      <c r="R883" s="196"/>
      <c r="S883" s="196"/>
      <c r="T883" s="196"/>
      <c r="U883" s="196"/>
      <c r="V883" s="196"/>
      <c r="W883" s="196"/>
      <c r="X883" s="196"/>
      <c r="Y883" s="196"/>
      <c r="Z883" s="196"/>
      <c r="AA883" s="196"/>
      <c r="AB883" s="196"/>
      <c r="AC883" s="196"/>
      <c r="AD883" s="196"/>
      <c r="AE883" s="196"/>
      <c r="AF883" s="196"/>
      <c r="AG883" s="196"/>
      <c r="AH883" s="196"/>
    </row>
    <row r="884">
      <c r="A884" s="196"/>
      <c r="B884" s="196"/>
      <c r="C884" s="196"/>
      <c r="D884" s="196"/>
      <c r="E884" s="196"/>
      <c r="F884" s="196"/>
      <c r="G884" s="196"/>
      <c r="H884" s="196"/>
      <c r="I884" s="139"/>
      <c r="J884" s="196"/>
      <c r="K884" s="196"/>
      <c r="L884" s="139"/>
      <c r="M884" s="196"/>
      <c r="N884" s="196"/>
      <c r="O884" s="196"/>
      <c r="P884" s="196"/>
      <c r="Q884" s="196"/>
      <c r="R884" s="196"/>
      <c r="S884" s="196"/>
      <c r="T884" s="196"/>
      <c r="U884" s="196"/>
      <c r="V884" s="196"/>
      <c r="W884" s="196"/>
      <c r="X884" s="196"/>
      <c r="Y884" s="196"/>
      <c r="Z884" s="196"/>
      <c r="AA884" s="196"/>
      <c r="AB884" s="196"/>
      <c r="AC884" s="196"/>
      <c r="AD884" s="196"/>
      <c r="AE884" s="196"/>
      <c r="AF884" s="196"/>
      <c r="AG884" s="196"/>
      <c r="AH884" s="196"/>
    </row>
    <row r="885">
      <c r="A885" s="196"/>
      <c r="B885" s="196"/>
      <c r="C885" s="196"/>
      <c r="D885" s="196"/>
      <c r="E885" s="196"/>
      <c r="F885" s="196"/>
      <c r="G885" s="196"/>
      <c r="H885" s="196"/>
      <c r="I885" s="139"/>
      <c r="J885" s="196"/>
      <c r="K885" s="196"/>
      <c r="L885" s="139"/>
      <c r="M885" s="196"/>
      <c r="N885" s="196"/>
      <c r="O885" s="196"/>
      <c r="P885" s="196"/>
      <c r="Q885" s="196"/>
      <c r="R885" s="196"/>
      <c r="S885" s="196"/>
      <c r="T885" s="196"/>
      <c r="U885" s="196"/>
      <c r="V885" s="196"/>
      <c r="W885" s="196"/>
      <c r="X885" s="196"/>
      <c r="Y885" s="196"/>
      <c r="Z885" s="196"/>
      <c r="AA885" s="196"/>
      <c r="AB885" s="196"/>
      <c r="AC885" s="196"/>
      <c r="AD885" s="196"/>
      <c r="AE885" s="196"/>
      <c r="AF885" s="196"/>
      <c r="AG885" s="196"/>
      <c r="AH885" s="196"/>
    </row>
    <row r="886">
      <c r="A886" s="196"/>
      <c r="B886" s="196"/>
      <c r="C886" s="196"/>
      <c r="D886" s="196"/>
      <c r="E886" s="196"/>
      <c r="F886" s="196"/>
      <c r="G886" s="196"/>
      <c r="H886" s="196"/>
      <c r="I886" s="139"/>
      <c r="J886" s="196"/>
      <c r="K886" s="196"/>
      <c r="L886" s="139"/>
      <c r="M886" s="196"/>
      <c r="N886" s="196"/>
      <c r="O886" s="196"/>
      <c r="P886" s="196"/>
      <c r="Q886" s="196"/>
      <c r="R886" s="196"/>
      <c r="S886" s="196"/>
      <c r="T886" s="196"/>
      <c r="U886" s="196"/>
      <c r="V886" s="196"/>
      <c r="W886" s="196"/>
      <c r="X886" s="196"/>
      <c r="Y886" s="196"/>
      <c r="Z886" s="196"/>
      <c r="AA886" s="196"/>
      <c r="AB886" s="196"/>
      <c r="AC886" s="196"/>
      <c r="AD886" s="196"/>
      <c r="AE886" s="196"/>
      <c r="AF886" s="196"/>
      <c r="AG886" s="196"/>
      <c r="AH886" s="196"/>
    </row>
    <row r="887">
      <c r="A887" s="196"/>
      <c r="B887" s="196"/>
      <c r="C887" s="196"/>
      <c r="D887" s="196"/>
      <c r="E887" s="196"/>
      <c r="F887" s="196"/>
      <c r="G887" s="196"/>
      <c r="H887" s="196"/>
      <c r="I887" s="139"/>
      <c r="J887" s="196"/>
      <c r="K887" s="196"/>
      <c r="L887" s="139"/>
      <c r="M887" s="196"/>
      <c r="N887" s="196"/>
      <c r="O887" s="196"/>
      <c r="P887" s="196"/>
      <c r="Q887" s="196"/>
      <c r="R887" s="196"/>
      <c r="S887" s="196"/>
      <c r="T887" s="196"/>
      <c r="U887" s="196"/>
      <c r="V887" s="196"/>
      <c r="W887" s="196"/>
      <c r="X887" s="196"/>
      <c r="Y887" s="196"/>
      <c r="Z887" s="196"/>
      <c r="AA887" s="196"/>
      <c r="AB887" s="196"/>
      <c r="AC887" s="196"/>
      <c r="AD887" s="196"/>
      <c r="AE887" s="196"/>
      <c r="AF887" s="196"/>
      <c r="AG887" s="196"/>
      <c r="AH887" s="196"/>
    </row>
    <row r="888">
      <c r="A888" s="196"/>
      <c r="B888" s="196"/>
      <c r="C888" s="196"/>
      <c r="D888" s="196"/>
      <c r="E888" s="196"/>
      <c r="F888" s="196"/>
      <c r="G888" s="196"/>
      <c r="H888" s="196"/>
      <c r="I888" s="139"/>
      <c r="J888" s="196"/>
      <c r="K888" s="196"/>
      <c r="L888" s="139"/>
      <c r="M888" s="196"/>
      <c r="N888" s="196"/>
      <c r="O888" s="196"/>
      <c r="P888" s="196"/>
      <c r="Q888" s="196"/>
      <c r="R888" s="196"/>
      <c r="S888" s="196"/>
      <c r="T888" s="196"/>
      <c r="U888" s="196"/>
      <c r="V888" s="196"/>
      <c r="W888" s="196"/>
      <c r="X888" s="196"/>
      <c r="Y888" s="196"/>
      <c r="Z888" s="196"/>
      <c r="AA888" s="196"/>
      <c r="AB888" s="196"/>
      <c r="AC888" s="196"/>
      <c r="AD888" s="196"/>
      <c r="AE888" s="196"/>
      <c r="AF888" s="196"/>
      <c r="AG888" s="196"/>
      <c r="AH888" s="196"/>
    </row>
    <row r="889">
      <c r="A889" s="196"/>
      <c r="B889" s="196"/>
      <c r="C889" s="196"/>
      <c r="D889" s="196"/>
      <c r="E889" s="196"/>
      <c r="F889" s="196"/>
      <c r="G889" s="196"/>
      <c r="H889" s="196"/>
      <c r="I889" s="139"/>
      <c r="J889" s="196"/>
      <c r="K889" s="196"/>
      <c r="L889" s="139"/>
      <c r="M889" s="196"/>
      <c r="N889" s="196"/>
      <c r="O889" s="196"/>
      <c r="P889" s="196"/>
      <c r="Q889" s="196"/>
      <c r="R889" s="196"/>
      <c r="S889" s="196"/>
      <c r="T889" s="196"/>
      <c r="U889" s="196"/>
      <c r="V889" s="196"/>
      <c r="W889" s="196"/>
      <c r="X889" s="196"/>
      <c r="Y889" s="196"/>
      <c r="Z889" s="196"/>
      <c r="AA889" s="196"/>
      <c r="AB889" s="196"/>
      <c r="AC889" s="196"/>
      <c r="AD889" s="196"/>
      <c r="AE889" s="196"/>
      <c r="AF889" s="196"/>
      <c r="AG889" s="196"/>
      <c r="AH889" s="196"/>
    </row>
    <row r="890">
      <c r="A890" s="196"/>
      <c r="B890" s="196"/>
      <c r="C890" s="196"/>
      <c r="D890" s="196"/>
      <c r="E890" s="196"/>
      <c r="F890" s="196"/>
      <c r="G890" s="196"/>
      <c r="H890" s="196"/>
      <c r="I890" s="139"/>
      <c r="J890" s="196"/>
      <c r="K890" s="196"/>
      <c r="L890" s="139"/>
      <c r="M890" s="196"/>
      <c r="N890" s="196"/>
      <c r="O890" s="196"/>
      <c r="P890" s="196"/>
      <c r="Q890" s="196"/>
      <c r="R890" s="196"/>
      <c r="S890" s="196"/>
      <c r="T890" s="196"/>
      <c r="U890" s="196"/>
      <c r="V890" s="196"/>
      <c r="W890" s="196"/>
      <c r="X890" s="196"/>
      <c r="Y890" s="196"/>
      <c r="Z890" s="196"/>
      <c r="AA890" s="196"/>
      <c r="AB890" s="196"/>
      <c r="AC890" s="196"/>
      <c r="AD890" s="196"/>
      <c r="AE890" s="196"/>
      <c r="AF890" s="196"/>
      <c r="AG890" s="196"/>
      <c r="AH890" s="196"/>
    </row>
    <row r="891">
      <c r="A891" s="196"/>
      <c r="B891" s="196"/>
      <c r="C891" s="196"/>
      <c r="D891" s="196"/>
      <c r="E891" s="196"/>
      <c r="F891" s="196"/>
      <c r="G891" s="196"/>
      <c r="H891" s="196"/>
      <c r="I891" s="139"/>
      <c r="J891" s="196"/>
      <c r="K891" s="196"/>
      <c r="L891" s="139"/>
      <c r="M891" s="196"/>
      <c r="N891" s="196"/>
      <c r="O891" s="196"/>
      <c r="P891" s="196"/>
      <c r="Q891" s="196"/>
      <c r="R891" s="196"/>
      <c r="S891" s="196"/>
      <c r="T891" s="196"/>
      <c r="U891" s="196"/>
      <c r="V891" s="196"/>
      <c r="W891" s="196"/>
      <c r="X891" s="196"/>
      <c r="Y891" s="196"/>
      <c r="Z891" s="196"/>
      <c r="AA891" s="196"/>
      <c r="AB891" s="196"/>
      <c r="AC891" s="196"/>
      <c r="AD891" s="196"/>
      <c r="AE891" s="196"/>
      <c r="AF891" s="196"/>
      <c r="AG891" s="196"/>
      <c r="AH891" s="196"/>
    </row>
    <row r="892">
      <c r="A892" s="196"/>
      <c r="B892" s="196"/>
      <c r="C892" s="196"/>
      <c r="D892" s="196"/>
      <c r="E892" s="196"/>
      <c r="F892" s="196"/>
      <c r="G892" s="196"/>
      <c r="H892" s="196"/>
      <c r="I892" s="139"/>
      <c r="J892" s="196"/>
      <c r="K892" s="196"/>
      <c r="L892" s="139"/>
      <c r="M892" s="196"/>
      <c r="N892" s="196"/>
      <c r="O892" s="196"/>
      <c r="P892" s="196"/>
      <c r="Q892" s="196"/>
      <c r="R892" s="196"/>
      <c r="S892" s="196"/>
      <c r="T892" s="196"/>
      <c r="U892" s="196"/>
      <c r="V892" s="196"/>
      <c r="W892" s="196"/>
      <c r="X892" s="196"/>
      <c r="Y892" s="196"/>
      <c r="Z892" s="196"/>
      <c r="AA892" s="196"/>
      <c r="AB892" s="196"/>
      <c r="AC892" s="196"/>
      <c r="AD892" s="196"/>
      <c r="AE892" s="196"/>
      <c r="AF892" s="196"/>
      <c r="AG892" s="196"/>
      <c r="AH892" s="196"/>
    </row>
    <row r="893">
      <c r="A893" s="196"/>
      <c r="B893" s="196"/>
      <c r="C893" s="196"/>
      <c r="D893" s="196"/>
      <c r="E893" s="196"/>
      <c r="F893" s="196"/>
      <c r="G893" s="196"/>
      <c r="H893" s="196"/>
      <c r="I893" s="139"/>
      <c r="J893" s="196"/>
      <c r="K893" s="196"/>
      <c r="L893" s="139"/>
      <c r="M893" s="196"/>
      <c r="N893" s="196"/>
      <c r="O893" s="196"/>
      <c r="P893" s="196"/>
      <c r="Q893" s="196"/>
      <c r="R893" s="196"/>
      <c r="S893" s="196"/>
      <c r="T893" s="196"/>
      <c r="U893" s="196"/>
      <c r="V893" s="196"/>
      <c r="W893" s="196"/>
      <c r="X893" s="196"/>
      <c r="Y893" s="196"/>
      <c r="Z893" s="196"/>
      <c r="AA893" s="196"/>
      <c r="AB893" s="196"/>
      <c r="AC893" s="196"/>
      <c r="AD893" s="196"/>
      <c r="AE893" s="196"/>
      <c r="AF893" s="196"/>
      <c r="AG893" s="196"/>
      <c r="AH893" s="196"/>
    </row>
    <row r="894">
      <c r="A894" s="196"/>
      <c r="B894" s="196"/>
      <c r="C894" s="196"/>
      <c r="D894" s="196"/>
      <c r="E894" s="196"/>
      <c r="F894" s="196"/>
      <c r="G894" s="196"/>
      <c r="H894" s="196"/>
      <c r="I894" s="139"/>
      <c r="J894" s="196"/>
      <c r="K894" s="196"/>
      <c r="L894" s="139"/>
      <c r="M894" s="196"/>
      <c r="N894" s="196"/>
      <c r="O894" s="196"/>
      <c r="P894" s="196"/>
      <c r="Q894" s="196"/>
      <c r="R894" s="196"/>
      <c r="S894" s="196"/>
      <c r="T894" s="196"/>
      <c r="U894" s="196"/>
      <c r="V894" s="196"/>
      <c r="W894" s="196"/>
      <c r="X894" s="196"/>
      <c r="Y894" s="196"/>
      <c r="Z894" s="196"/>
      <c r="AA894" s="196"/>
      <c r="AB894" s="196"/>
      <c r="AC894" s="196"/>
      <c r="AD894" s="196"/>
      <c r="AE894" s="196"/>
      <c r="AF894" s="196"/>
      <c r="AG894" s="196"/>
      <c r="AH894" s="196"/>
    </row>
    <row r="895">
      <c r="A895" s="196"/>
      <c r="B895" s="196"/>
      <c r="C895" s="196"/>
      <c r="D895" s="196"/>
      <c r="E895" s="196"/>
      <c r="F895" s="196"/>
      <c r="G895" s="196"/>
      <c r="H895" s="196"/>
      <c r="I895" s="139"/>
      <c r="J895" s="196"/>
      <c r="K895" s="196"/>
      <c r="L895" s="139"/>
      <c r="M895" s="196"/>
      <c r="N895" s="196"/>
      <c r="O895" s="196"/>
      <c r="P895" s="196"/>
      <c r="Q895" s="196"/>
      <c r="R895" s="196"/>
      <c r="S895" s="196"/>
      <c r="T895" s="196"/>
      <c r="U895" s="196"/>
      <c r="V895" s="196"/>
      <c r="W895" s="196"/>
      <c r="X895" s="196"/>
      <c r="Y895" s="196"/>
      <c r="Z895" s="196"/>
      <c r="AA895" s="196"/>
      <c r="AB895" s="196"/>
      <c r="AC895" s="196"/>
      <c r="AD895" s="196"/>
      <c r="AE895" s="196"/>
      <c r="AF895" s="196"/>
      <c r="AG895" s="196"/>
      <c r="AH895" s="196"/>
    </row>
    <row r="896">
      <c r="A896" s="196"/>
      <c r="B896" s="196"/>
      <c r="C896" s="196"/>
      <c r="D896" s="196"/>
      <c r="E896" s="196"/>
      <c r="F896" s="196"/>
      <c r="G896" s="196"/>
      <c r="H896" s="196"/>
      <c r="I896" s="139"/>
      <c r="J896" s="196"/>
      <c r="K896" s="196"/>
      <c r="L896" s="139"/>
      <c r="M896" s="196"/>
      <c r="N896" s="196"/>
      <c r="O896" s="196"/>
      <c r="P896" s="196"/>
      <c r="Q896" s="196"/>
      <c r="R896" s="196"/>
      <c r="S896" s="196"/>
      <c r="T896" s="196"/>
      <c r="U896" s="196"/>
      <c r="V896" s="196"/>
      <c r="W896" s="196"/>
      <c r="X896" s="196"/>
      <c r="Y896" s="196"/>
      <c r="Z896" s="196"/>
      <c r="AA896" s="196"/>
      <c r="AB896" s="196"/>
      <c r="AC896" s="196"/>
      <c r="AD896" s="196"/>
      <c r="AE896" s="196"/>
      <c r="AF896" s="196"/>
      <c r="AG896" s="196"/>
      <c r="AH896" s="196"/>
    </row>
    <row r="897">
      <c r="A897" s="196"/>
      <c r="B897" s="196"/>
      <c r="C897" s="196"/>
      <c r="D897" s="196"/>
      <c r="E897" s="196"/>
      <c r="F897" s="196"/>
      <c r="G897" s="196"/>
      <c r="H897" s="196"/>
      <c r="I897" s="139"/>
      <c r="J897" s="196"/>
      <c r="K897" s="196"/>
      <c r="L897" s="139"/>
      <c r="M897" s="196"/>
      <c r="N897" s="196"/>
      <c r="O897" s="196"/>
      <c r="P897" s="196"/>
      <c r="Q897" s="196"/>
      <c r="R897" s="196"/>
      <c r="S897" s="196"/>
      <c r="T897" s="196"/>
      <c r="U897" s="196"/>
      <c r="V897" s="196"/>
      <c r="W897" s="196"/>
      <c r="X897" s="196"/>
      <c r="Y897" s="196"/>
      <c r="Z897" s="196"/>
      <c r="AA897" s="196"/>
      <c r="AB897" s="196"/>
      <c r="AC897" s="196"/>
      <c r="AD897" s="196"/>
      <c r="AE897" s="196"/>
      <c r="AF897" s="196"/>
      <c r="AG897" s="196"/>
      <c r="AH897" s="196"/>
    </row>
    <row r="898">
      <c r="A898" s="196"/>
      <c r="B898" s="196"/>
      <c r="C898" s="196"/>
      <c r="D898" s="196"/>
      <c r="E898" s="196"/>
      <c r="F898" s="196"/>
      <c r="G898" s="196"/>
      <c r="H898" s="196"/>
      <c r="I898" s="139"/>
      <c r="J898" s="196"/>
      <c r="K898" s="196"/>
      <c r="L898" s="139"/>
      <c r="M898" s="196"/>
      <c r="N898" s="196"/>
      <c r="O898" s="196"/>
      <c r="P898" s="196"/>
      <c r="Q898" s="196"/>
      <c r="R898" s="196"/>
      <c r="S898" s="196"/>
      <c r="T898" s="196"/>
      <c r="U898" s="196"/>
      <c r="V898" s="196"/>
      <c r="W898" s="196"/>
      <c r="X898" s="196"/>
      <c r="Y898" s="196"/>
      <c r="Z898" s="196"/>
      <c r="AA898" s="196"/>
      <c r="AB898" s="196"/>
      <c r="AC898" s="196"/>
      <c r="AD898" s="196"/>
      <c r="AE898" s="196"/>
      <c r="AF898" s="196"/>
      <c r="AG898" s="196"/>
      <c r="AH898" s="196"/>
    </row>
    <row r="899">
      <c r="A899" s="196"/>
      <c r="B899" s="196"/>
      <c r="C899" s="196"/>
      <c r="D899" s="196"/>
      <c r="E899" s="196"/>
      <c r="F899" s="196"/>
      <c r="G899" s="196"/>
      <c r="H899" s="196"/>
      <c r="I899" s="139"/>
      <c r="J899" s="196"/>
      <c r="K899" s="196"/>
      <c r="L899" s="139"/>
      <c r="M899" s="196"/>
      <c r="N899" s="196"/>
      <c r="O899" s="196"/>
      <c r="P899" s="196"/>
      <c r="Q899" s="196"/>
      <c r="R899" s="196"/>
      <c r="S899" s="196"/>
      <c r="T899" s="196"/>
      <c r="U899" s="196"/>
      <c r="V899" s="196"/>
      <c r="W899" s="196"/>
      <c r="X899" s="196"/>
      <c r="Y899" s="196"/>
      <c r="Z899" s="196"/>
      <c r="AA899" s="196"/>
      <c r="AB899" s="196"/>
      <c r="AC899" s="196"/>
      <c r="AD899" s="196"/>
      <c r="AE899" s="196"/>
      <c r="AF899" s="196"/>
      <c r="AG899" s="196"/>
      <c r="AH899" s="196"/>
    </row>
    <row r="900">
      <c r="A900" s="196"/>
      <c r="B900" s="196"/>
      <c r="C900" s="196"/>
      <c r="D900" s="196"/>
      <c r="E900" s="196"/>
      <c r="F900" s="196"/>
      <c r="G900" s="196"/>
      <c r="H900" s="196"/>
      <c r="I900" s="139"/>
      <c r="J900" s="196"/>
      <c r="K900" s="196"/>
      <c r="L900" s="139"/>
      <c r="M900" s="196"/>
      <c r="N900" s="196"/>
      <c r="O900" s="196"/>
      <c r="P900" s="196"/>
      <c r="Q900" s="196"/>
      <c r="R900" s="196"/>
      <c r="S900" s="196"/>
      <c r="T900" s="196"/>
      <c r="U900" s="196"/>
      <c r="V900" s="196"/>
      <c r="W900" s="196"/>
      <c r="X900" s="196"/>
      <c r="Y900" s="196"/>
      <c r="Z900" s="196"/>
      <c r="AA900" s="196"/>
      <c r="AB900" s="196"/>
      <c r="AC900" s="196"/>
      <c r="AD900" s="196"/>
      <c r="AE900" s="196"/>
      <c r="AF900" s="196"/>
      <c r="AG900" s="196"/>
      <c r="AH900" s="196"/>
    </row>
    <row r="901">
      <c r="A901" s="196"/>
      <c r="B901" s="196"/>
      <c r="C901" s="196"/>
      <c r="D901" s="196"/>
      <c r="E901" s="196"/>
      <c r="F901" s="196"/>
      <c r="G901" s="196"/>
      <c r="H901" s="196"/>
      <c r="I901" s="139"/>
      <c r="J901" s="196"/>
      <c r="K901" s="196"/>
      <c r="L901" s="139"/>
      <c r="M901" s="196"/>
      <c r="N901" s="196"/>
      <c r="O901" s="196"/>
      <c r="P901" s="196"/>
      <c r="Q901" s="196"/>
      <c r="R901" s="196"/>
      <c r="S901" s="196"/>
      <c r="T901" s="196"/>
      <c r="U901" s="196"/>
      <c r="V901" s="196"/>
      <c r="W901" s="196"/>
      <c r="X901" s="196"/>
      <c r="Y901" s="196"/>
      <c r="Z901" s="196"/>
      <c r="AA901" s="196"/>
      <c r="AB901" s="196"/>
      <c r="AC901" s="196"/>
      <c r="AD901" s="196"/>
      <c r="AE901" s="196"/>
      <c r="AF901" s="196"/>
      <c r="AG901" s="196"/>
      <c r="AH901" s="196"/>
    </row>
    <row r="902">
      <c r="A902" s="196"/>
      <c r="B902" s="196"/>
      <c r="C902" s="196"/>
      <c r="D902" s="196"/>
      <c r="E902" s="196"/>
      <c r="F902" s="196"/>
      <c r="G902" s="196"/>
      <c r="H902" s="196"/>
      <c r="I902" s="139"/>
      <c r="J902" s="196"/>
      <c r="K902" s="196"/>
      <c r="L902" s="139"/>
      <c r="M902" s="196"/>
      <c r="N902" s="196"/>
      <c r="O902" s="196"/>
      <c r="P902" s="196"/>
      <c r="Q902" s="196"/>
      <c r="R902" s="196"/>
      <c r="S902" s="196"/>
      <c r="T902" s="196"/>
      <c r="U902" s="196"/>
      <c r="V902" s="196"/>
      <c r="W902" s="196"/>
      <c r="X902" s="196"/>
      <c r="Y902" s="196"/>
      <c r="Z902" s="196"/>
      <c r="AA902" s="196"/>
      <c r="AB902" s="196"/>
      <c r="AC902" s="196"/>
      <c r="AD902" s="196"/>
      <c r="AE902" s="196"/>
      <c r="AF902" s="196"/>
      <c r="AG902" s="196"/>
      <c r="AH902" s="196"/>
    </row>
    <row r="903">
      <c r="A903" s="196"/>
      <c r="B903" s="196"/>
      <c r="C903" s="196"/>
      <c r="D903" s="196"/>
      <c r="E903" s="196"/>
      <c r="F903" s="196"/>
      <c r="G903" s="196"/>
      <c r="H903" s="196"/>
      <c r="I903" s="139"/>
      <c r="J903" s="196"/>
      <c r="K903" s="196"/>
      <c r="L903" s="139"/>
      <c r="M903" s="196"/>
      <c r="N903" s="196"/>
      <c r="O903" s="196"/>
      <c r="P903" s="196"/>
      <c r="Q903" s="196"/>
      <c r="R903" s="196"/>
      <c r="S903" s="196"/>
      <c r="T903" s="196"/>
      <c r="U903" s="196"/>
      <c r="V903" s="196"/>
      <c r="W903" s="196"/>
      <c r="X903" s="196"/>
      <c r="Y903" s="196"/>
      <c r="Z903" s="196"/>
      <c r="AA903" s="196"/>
      <c r="AB903" s="196"/>
      <c r="AC903" s="196"/>
      <c r="AD903" s="196"/>
      <c r="AE903" s="196"/>
      <c r="AF903" s="196"/>
      <c r="AG903" s="196"/>
      <c r="AH903" s="196"/>
    </row>
    <row r="904">
      <c r="A904" s="196"/>
      <c r="B904" s="196"/>
      <c r="C904" s="196"/>
      <c r="D904" s="196"/>
      <c r="E904" s="196"/>
      <c r="F904" s="196"/>
      <c r="G904" s="196"/>
      <c r="H904" s="196"/>
      <c r="I904" s="139"/>
      <c r="J904" s="196"/>
      <c r="K904" s="196"/>
      <c r="L904" s="139"/>
      <c r="M904" s="196"/>
      <c r="N904" s="196"/>
      <c r="O904" s="196"/>
      <c r="P904" s="196"/>
      <c r="Q904" s="196"/>
      <c r="R904" s="196"/>
      <c r="S904" s="196"/>
      <c r="T904" s="196"/>
      <c r="U904" s="196"/>
      <c r="V904" s="196"/>
      <c r="W904" s="196"/>
      <c r="X904" s="196"/>
      <c r="Y904" s="196"/>
      <c r="Z904" s="196"/>
      <c r="AA904" s="196"/>
      <c r="AB904" s="196"/>
      <c r="AC904" s="196"/>
      <c r="AD904" s="196"/>
      <c r="AE904" s="196"/>
      <c r="AF904" s="196"/>
      <c r="AG904" s="196"/>
      <c r="AH904" s="196"/>
    </row>
    <row r="905">
      <c r="A905" s="196"/>
      <c r="B905" s="196"/>
      <c r="C905" s="196"/>
      <c r="D905" s="196"/>
      <c r="E905" s="196"/>
      <c r="F905" s="196"/>
      <c r="G905" s="196"/>
      <c r="H905" s="196"/>
      <c r="I905" s="139"/>
      <c r="J905" s="196"/>
      <c r="K905" s="196"/>
      <c r="L905" s="139"/>
      <c r="M905" s="196"/>
      <c r="N905" s="196"/>
      <c r="O905" s="196"/>
      <c r="P905" s="196"/>
      <c r="Q905" s="196"/>
      <c r="R905" s="196"/>
      <c r="S905" s="196"/>
      <c r="T905" s="196"/>
      <c r="U905" s="196"/>
      <c r="V905" s="196"/>
      <c r="W905" s="196"/>
      <c r="X905" s="196"/>
      <c r="Y905" s="196"/>
      <c r="Z905" s="196"/>
      <c r="AA905" s="196"/>
      <c r="AB905" s="196"/>
      <c r="AC905" s="196"/>
      <c r="AD905" s="196"/>
      <c r="AE905" s="196"/>
      <c r="AF905" s="196"/>
      <c r="AG905" s="196"/>
      <c r="AH905" s="196"/>
    </row>
    <row r="906">
      <c r="A906" s="196"/>
      <c r="B906" s="196"/>
      <c r="C906" s="196"/>
      <c r="D906" s="196"/>
      <c r="E906" s="196"/>
      <c r="F906" s="196"/>
      <c r="G906" s="196"/>
      <c r="H906" s="196"/>
      <c r="I906" s="139"/>
      <c r="J906" s="196"/>
      <c r="K906" s="196"/>
      <c r="L906" s="139"/>
      <c r="M906" s="196"/>
      <c r="N906" s="196"/>
      <c r="O906" s="196"/>
      <c r="P906" s="196"/>
      <c r="Q906" s="196"/>
      <c r="R906" s="196"/>
      <c r="S906" s="196"/>
      <c r="T906" s="196"/>
      <c r="U906" s="196"/>
      <c r="V906" s="196"/>
      <c r="W906" s="196"/>
      <c r="X906" s="196"/>
      <c r="Y906" s="196"/>
      <c r="Z906" s="196"/>
      <c r="AA906" s="196"/>
      <c r="AB906" s="196"/>
      <c r="AC906" s="196"/>
      <c r="AD906" s="196"/>
      <c r="AE906" s="196"/>
      <c r="AF906" s="196"/>
      <c r="AG906" s="196"/>
      <c r="AH906" s="196"/>
    </row>
    <row r="907">
      <c r="A907" s="196"/>
      <c r="B907" s="196"/>
      <c r="C907" s="196"/>
      <c r="D907" s="196"/>
      <c r="E907" s="196"/>
      <c r="F907" s="196"/>
      <c r="G907" s="196"/>
      <c r="H907" s="196"/>
      <c r="I907" s="139"/>
      <c r="J907" s="196"/>
      <c r="K907" s="196"/>
      <c r="L907" s="139"/>
      <c r="M907" s="196"/>
      <c r="N907" s="196"/>
      <c r="O907" s="196"/>
      <c r="P907" s="196"/>
      <c r="Q907" s="196"/>
      <c r="R907" s="196"/>
      <c r="S907" s="196"/>
      <c r="T907" s="196"/>
      <c r="U907" s="196"/>
      <c r="V907" s="196"/>
      <c r="W907" s="196"/>
      <c r="X907" s="196"/>
      <c r="Y907" s="196"/>
      <c r="Z907" s="196"/>
      <c r="AA907" s="196"/>
      <c r="AB907" s="196"/>
      <c r="AC907" s="196"/>
      <c r="AD907" s="196"/>
      <c r="AE907" s="196"/>
      <c r="AF907" s="196"/>
      <c r="AG907" s="196"/>
      <c r="AH907" s="196"/>
    </row>
    <row r="908">
      <c r="A908" s="196"/>
      <c r="B908" s="196"/>
      <c r="C908" s="196"/>
      <c r="D908" s="196"/>
      <c r="E908" s="196"/>
      <c r="F908" s="196"/>
      <c r="G908" s="196"/>
      <c r="H908" s="196"/>
      <c r="I908" s="139"/>
      <c r="J908" s="196"/>
      <c r="K908" s="196"/>
      <c r="L908" s="139"/>
      <c r="M908" s="196"/>
      <c r="N908" s="196"/>
      <c r="O908" s="196"/>
      <c r="P908" s="196"/>
      <c r="Q908" s="196"/>
      <c r="R908" s="196"/>
      <c r="S908" s="196"/>
      <c r="T908" s="196"/>
      <c r="U908" s="196"/>
      <c r="V908" s="196"/>
      <c r="W908" s="196"/>
      <c r="X908" s="196"/>
      <c r="Y908" s="196"/>
      <c r="Z908" s="196"/>
      <c r="AA908" s="196"/>
      <c r="AB908" s="196"/>
      <c r="AC908" s="196"/>
      <c r="AD908" s="196"/>
      <c r="AE908" s="196"/>
      <c r="AF908" s="196"/>
      <c r="AG908" s="196"/>
      <c r="AH908" s="196"/>
    </row>
    <row r="909">
      <c r="A909" s="196"/>
      <c r="B909" s="196"/>
      <c r="C909" s="196"/>
      <c r="D909" s="196"/>
      <c r="E909" s="196"/>
      <c r="F909" s="196"/>
      <c r="G909" s="196"/>
      <c r="H909" s="196"/>
      <c r="I909" s="139"/>
      <c r="J909" s="196"/>
      <c r="K909" s="196"/>
      <c r="L909" s="139"/>
      <c r="M909" s="196"/>
      <c r="N909" s="196"/>
      <c r="O909" s="196"/>
      <c r="P909" s="196"/>
      <c r="Q909" s="196"/>
      <c r="R909" s="196"/>
      <c r="S909" s="196"/>
      <c r="T909" s="196"/>
      <c r="U909" s="196"/>
      <c r="V909" s="196"/>
      <c r="W909" s="196"/>
      <c r="X909" s="196"/>
      <c r="Y909" s="196"/>
      <c r="Z909" s="196"/>
      <c r="AA909" s="196"/>
      <c r="AB909" s="196"/>
      <c r="AC909" s="196"/>
      <c r="AD909" s="196"/>
      <c r="AE909" s="196"/>
      <c r="AF909" s="196"/>
      <c r="AG909" s="196"/>
      <c r="AH909" s="196"/>
    </row>
    <row r="910">
      <c r="A910" s="196"/>
      <c r="B910" s="196"/>
      <c r="C910" s="196"/>
      <c r="D910" s="196"/>
      <c r="E910" s="196"/>
      <c r="F910" s="196"/>
      <c r="G910" s="196"/>
      <c r="H910" s="196"/>
      <c r="I910" s="139"/>
      <c r="J910" s="196"/>
      <c r="K910" s="196"/>
      <c r="L910" s="139"/>
      <c r="M910" s="196"/>
      <c r="N910" s="196"/>
      <c r="O910" s="196"/>
      <c r="P910" s="196"/>
      <c r="Q910" s="196"/>
      <c r="R910" s="196"/>
      <c r="S910" s="196"/>
      <c r="T910" s="196"/>
      <c r="U910" s="196"/>
      <c r="V910" s="196"/>
      <c r="W910" s="196"/>
      <c r="X910" s="196"/>
      <c r="Y910" s="196"/>
      <c r="Z910" s="196"/>
      <c r="AA910" s="196"/>
      <c r="AB910" s="196"/>
      <c r="AC910" s="196"/>
      <c r="AD910" s="196"/>
      <c r="AE910" s="196"/>
      <c r="AF910" s="196"/>
      <c r="AG910" s="196"/>
      <c r="AH910" s="196"/>
    </row>
    <row r="911">
      <c r="A911" s="196"/>
      <c r="B911" s="196"/>
      <c r="C911" s="196"/>
      <c r="D911" s="196"/>
      <c r="E911" s="196"/>
      <c r="F911" s="196"/>
      <c r="G911" s="196"/>
      <c r="H911" s="196"/>
      <c r="I911" s="139"/>
      <c r="J911" s="196"/>
      <c r="K911" s="196"/>
      <c r="L911" s="139"/>
      <c r="M911" s="196"/>
      <c r="N911" s="196"/>
      <c r="O911" s="196"/>
      <c r="P911" s="196"/>
      <c r="Q911" s="196"/>
      <c r="R911" s="196"/>
      <c r="S911" s="196"/>
      <c r="T911" s="196"/>
      <c r="U911" s="196"/>
      <c r="V911" s="196"/>
      <c r="W911" s="196"/>
      <c r="X911" s="196"/>
      <c r="Y911" s="196"/>
      <c r="Z911" s="196"/>
      <c r="AA911" s="196"/>
      <c r="AB911" s="196"/>
      <c r="AC911" s="196"/>
      <c r="AD911" s="196"/>
      <c r="AE911" s="196"/>
      <c r="AF911" s="196"/>
      <c r="AG911" s="196"/>
      <c r="AH911" s="196"/>
    </row>
    <row r="912">
      <c r="A912" s="196"/>
      <c r="B912" s="196"/>
      <c r="C912" s="196"/>
      <c r="D912" s="196"/>
      <c r="E912" s="196"/>
      <c r="F912" s="196"/>
      <c r="G912" s="196"/>
      <c r="H912" s="196"/>
      <c r="I912" s="139"/>
      <c r="J912" s="196"/>
      <c r="K912" s="196"/>
      <c r="L912" s="139"/>
      <c r="M912" s="196"/>
      <c r="N912" s="196"/>
      <c r="O912" s="196"/>
      <c r="P912" s="196"/>
      <c r="Q912" s="196"/>
      <c r="R912" s="196"/>
      <c r="S912" s="196"/>
      <c r="T912" s="196"/>
      <c r="U912" s="196"/>
      <c r="V912" s="196"/>
      <c r="W912" s="196"/>
      <c r="X912" s="196"/>
      <c r="Y912" s="196"/>
      <c r="Z912" s="196"/>
      <c r="AA912" s="196"/>
      <c r="AB912" s="196"/>
      <c r="AC912" s="196"/>
      <c r="AD912" s="196"/>
      <c r="AE912" s="196"/>
      <c r="AF912" s="196"/>
      <c r="AG912" s="196"/>
      <c r="AH912" s="196"/>
    </row>
    <row r="913">
      <c r="A913" s="196"/>
      <c r="B913" s="196"/>
      <c r="C913" s="196"/>
      <c r="D913" s="196"/>
      <c r="E913" s="196"/>
      <c r="F913" s="196"/>
      <c r="G913" s="196"/>
      <c r="H913" s="196"/>
      <c r="I913" s="139"/>
      <c r="J913" s="196"/>
      <c r="K913" s="196"/>
      <c r="L913" s="139"/>
      <c r="M913" s="196"/>
      <c r="N913" s="196"/>
      <c r="O913" s="196"/>
      <c r="P913" s="196"/>
      <c r="Q913" s="196"/>
      <c r="R913" s="196"/>
      <c r="S913" s="196"/>
      <c r="T913" s="196"/>
      <c r="U913" s="196"/>
      <c r="V913" s="196"/>
      <c r="W913" s="196"/>
      <c r="X913" s="196"/>
      <c r="Y913" s="196"/>
      <c r="Z913" s="196"/>
      <c r="AA913" s="196"/>
      <c r="AB913" s="196"/>
      <c r="AC913" s="196"/>
      <c r="AD913" s="196"/>
      <c r="AE913" s="196"/>
      <c r="AF913" s="196"/>
      <c r="AG913" s="196"/>
      <c r="AH913" s="196"/>
    </row>
    <row r="914">
      <c r="A914" s="196"/>
      <c r="B914" s="196"/>
      <c r="C914" s="196"/>
      <c r="D914" s="196"/>
      <c r="E914" s="196"/>
      <c r="F914" s="196"/>
      <c r="G914" s="196"/>
      <c r="H914" s="196"/>
      <c r="I914" s="139"/>
      <c r="J914" s="196"/>
      <c r="K914" s="196"/>
      <c r="L914" s="139"/>
      <c r="M914" s="196"/>
      <c r="N914" s="196"/>
      <c r="O914" s="196"/>
      <c r="P914" s="196"/>
      <c r="Q914" s="196"/>
      <c r="R914" s="196"/>
      <c r="S914" s="196"/>
      <c r="T914" s="196"/>
      <c r="U914" s="196"/>
      <c r="V914" s="196"/>
      <c r="W914" s="196"/>
      <c r="X914" s="196"/>
      <c r="Y914" s="196"/>
      <c r="Z914" s="196"/>
      <c r="AA914" s="196"/>
      <c r="AB914" s="196"/>
      <c r="AC914" s="196"/>
      <c r="AD914" s="196"/>
      <c r="AE914" s="196"/>
      <c r="AF914" s="196"/>
      <c r="AG914" s="196"/>
      <c r="AH914" s="196"/>
    </row>
    <row r="915">
      <c r="A915" s="196"/>
      <c r="B915" s="196"/>
      <c r="C915" s="196"/>
      <c r="D915" s="196"/>
      <c r="E915" s="196"/>
      <c r="F915" s="196"/>
      <c r="G915" s="196"/>
      <c r="H915" s="196"/>
      <c r="I915" s="139"/>
      <c r="J915" s="196"/>
      <c r="K915" s="196"/>
      <c r="L915" s="139"/>
      <c r="M915" s="196"/>
      <c r="N915" s="196"/>
      <c r="O915" s="196"/>
      <c r="P915" s="196"/>
      <c r="Q915" s="196"/>
      <c r="R915" s="196"/>
      <c r="S915" s="196"/>
      <c r="T915" s="196"/>
      <c r="U915" s="196"/>
      <c r="V915" s="196"/>
      <c r="W915" s="196"/>
      <c r="X915" s="196"/>
      <c r="Y915" s="196"/>
      <c r="Z915" s="196"/>
      <c r="AA915" s="196"/>
      <c r="AB915" s="196"/>
      <c r="AC915" s="196"/>
      <c r="AD915" s="196"/>
      <c r="AE915" s="196"/>
      <c r="AF915" s="196"/>
      <c r="AG915" s="196"/>
      <c r="AH915" s="196"/>
    </row>
    <row r="916">
      <c r="A916" s="196"/>
      <c r="B916" s="196"/>
      <c r="C916" s="196"/>
      <c r="D916" s="196"/>
      <c r="E916" s="196"/>
      <c r="F916" s="196"/>
      <c r="G916" s="196"/>
      <c r="H916" s="196"/>
      <c r="I916" s="139"/>
      <c r="J916" s="196"/>
      <c r="K916" s="196"/>
      <c r="L916" s="139"/>
      <c r="M916" s="196"/>
      <c r="N916" s="196"/>
      <c r="O916" s="196"/>
      <c r="P916" s="196"/>
      <c r="Q916" s="196"/>
      <c r="R916" s="196"/>
      <c r="S916" s="196"/>
      <c r="T916" s="196"/>
      <c r="U916" s="196"/>
      <c r="V916" s="196"/>
      <c r="W916" s="196"/>
      <c r="X916" s="196"/>
      <c r="Y916" s="196"/>
      <c r="Z916" s="196"/>
      <c r="AA916" s="196"/>
      <c r="AB916" s="196"/>
      <c r="AC916" s="196"/>
      <c r="AD916" s="196"/>
      <c r="AE916" s="196"/>
      <c r="AF916" s="196"/>
      <c r="AG916" s="196"/>
      <c r="AH916" s="196"/>
    </row>
    <row r="917">
      <c r="A917" s="196"/>
      <c r="B917" s="196"/>
      <c r="C917" s="196"/>
      <c r="D917" s="196"/>
      <c r="E917" s="196"/>
      <c r="F917" s="196"/>
      <c r="G917" s="196"/>
      <c r="H917" s="196"/>
      <c r="I917" s="139"/>
      <c r="J917" s="196"/>
      <c r="K917" s="196"/>
      <c r="L917" s="139"/>
      <c r="M917" s="196"/>
      <c r="N917" s="196"/>
      <c r="O917" s="196"/>
      <c r="P917" s="196"/>
      <c r="Q917" s="196"/>
      <c r="R917" s="196"/>
      <c r="S917" s="196"/>
      <c r="T917" s="196"/>
      <c r="U917" s="196"/>
      <c r="V917" s="196"/>
      <c r="W917" s="196"/>
      <c r="X917" s="196"/>
      <c r="Y917" s="196"/>
      <c r="Z917" s="196"/>
      <c r="AA917" s="196"/>
      <c r="AB917" s="196"/>
      <c r="AC917" s="196"/>
      <c r="AD917" s="196"/>
      <c r="AE917" s="196"/>
      <c r="AF917" s="196"/>
      <c r="AG917" s="196"/>
      <c r="AH917" s="196"/>
    </row>
    <row r="918">
      <c r="A918" s="196"/>
      <c r="B918" s="196"/>
      <c r="C918" s="196"/>
      <c r="D918" s="196"/>
      <c r="E918" s="196"/>
      <c r="F918" s="196"/>
      <c r="G918" s="196"/>
      <c r="H918" s="196"/>
      <c r="I918" s="139"/>
      <c r="J918" s="196"/>
      <c r="K918" s="196"/>
      <c r="L918" s="139"/>
      <c r="M918" s="196"/>
      <c r="N918" s="196"/>
      <c r="O918" s="196"/>
      <c r="P918" s="196"/>
      <c r="Q918" s="196"/>
      <c r="R918" s="196"/>
      <c r="S918" s="196"/>
      <c r="T918" s="196"/>
      <c r="U918" s="196"/>
      <c r="V918" s="196"/>
      <c r="W918" s="196"/>
      <c r="X918" s="196"/>
      <c r="Y918" s="196"/>
      <c r="Z918" s="196"/>
      <c r="AA918" s="196"/>
      <c r="AB918" s="196"/>
      <c r="AC918" s="196"/>
      <c r="AD918" s="196"/>
      <c r="AE918" s="196"/>
      <c r="AF918" s="196"/>
      <c r="AG918" s="196"/>
      <c r="AH918" s="196"/>
    </row>
    <row r="919">
      <c r="A919" s="196"/>
      <c r="B919" s="196"/>
      <c r="C919" s="196"/>
      <c r="D919" s="196"/>
      <c r="E919" s="196"/>
      <c r="F919" s="196"/>
      <c r="G919" s="196"/>
      <c r="H919" s="196"/>
      <c r="I919" s="139"/>
      <c r="J919" s="196"/>
      <c r="K919" s="196"/>
      <c r="L919" s="139"/>
      <c r="M919" s="196"/>
      <c r="N919" s="196"/>
      <c r="O919" s="196"/>
      <c r="P919" s="196"/>
      <c r="Q919" s="196"/>
      <c r="R919" s="196"/>
      <c r="S919" s="196"/>
      <c r="T919" s="196"/>
      <c r="U919" s="196"/>
      <c r="V919" s="196"/>
      <c r="W919" s="196"/>
      <c r="X919" s="196"/>
      <c r="Y919" s="196"/>
      <c r="Z919" s="196"/>
      <c r="AA919" s="196"/>
      <c r="AB919" s="196"/>
      <c r="AC919" s="196"/>
      <c r="AD919" s="196"/>
      <c r="AE919" s="196"/>
      <c r="AF919" s="196"/>
      <c r="AG919" s="196"/>
      <c r="AH919" s="196"/>
    </row>
    <row r="920">
      <c r="A920" s="196"/>
      <c r="B920" s="196"/>
      <c r="C920" s="196"/>
      <c r="D920" s="196"/>
      <c r="E920" s="196"/>
      <c r="F920" s="196"/>
      <c r="G920" s="196"/>
      <c r="H920" s="196"/>
      <c r="I920" s="139"/>
      <c r="J920" s="196"/>
      <c r="K920" s="196"/>
      <c r="L920" s="139"/>
      <c r="M920" s="196"/>
      <c r="N920" s="196"/>
      <c r="O920" s="196"/>
      <c r="P920" s="196"/>
      <c r="Q920" s="196"/>
      <c r="R920" s="196"/>
      <c r="S920" s="196"/>
      <c r="T920" s="196"/>
      <c r="U920" s="196"/>
      <c r="V920" s="196"/>
      <c r="W920" s="196"/>
      <c r="X920" s="196"/>
      <c r="Y920" s="196"/>
      <c r="Z920" s="196"/>
      <c r="AA920" s="196"/>
      <c r="AB920" s="196"/>
      <c r="AC920" s="196"/>
      <c r="AD920" s="196"/>
      <c r="AE920" s="196"/>
      <c r="AF920" s="196"/>
      <c r="AG920" s="196"/>
      <c r="AH920" s="196"/>
    </row>
    <row r="921">
      <c r="A921" s="196"/>
      <c r="B921" s="196"/>
      <c r="C921" s="196"/>
      <c r="D921" s="196"/>
      <c r="E921" s="196"/>
      <c r="F921" s="196"/>
      <c r="G921" s="196"/>
      <c r="H921" s="196"/>
      <c r="I921" s="139"/>
      <c r="J921" s="196"/>
      <c r="K921" s="196"/>
      <c r="L921" s="139"/>
      <c r="M921" s="196"/>
      <c r="N921" s="196"/>
      <c r="O921" s="196"/>
      <c r="P921" s="196"/>
      <c r="Q921" s="196"/>
      <c r="R921" s="196"/>
      <c r="S921" s="196"/>
      <c r="T921" s="196"/>
      <c r="U921" s="196"/>
      <c r="V921" s="196"/>
      <c r="W921" s="196"/>
      <c r="X921" s="196"/>
      <c r="Y921" s="196"/>
      <c r="Z921" s="196"/>
      <c r="AA921" s="196"/>
      <c r="AB921" s="196"/>
      <c r="AC921" s="196"/>
      <c r="AD921" s="196"/>
      <c r="AE921" s="196"/>
      <c r="AF921" s="196"/>
      <c r="AG921" s="196"/>
      <c r="AH921" s="196"/>
    </row>
    <row r="922">
      <c r="A922" s="196"/>
      <c r="B922" s="196"/>
      <c r="C922" s="196"/>
      <c r="D922" s="196"/>
      <c r="E922" s="196"/>
      <c r="F922" s="196"/>
      <c r="G922" s="196"/>
      <c r="H922" s="196"/>
      <c r="I922" s="139"/>
      <c r="J922" s="196"/>
      <c r="K922" s="196"/>
      <c r="L922" s="139"/>
      <c r="M922" s="196"/>
      <c r="N922" s="196"/>
      <c r="O922" s="196"/>
      <c r="P922" s="196"/>
      <c r="Q922" s="196"/>
      <c r="R922" s="196"/>
      <c r="S922" s="196"/>
      <c r="T922" s="196"/>
      <c r="U922" s="196"/>
      <c r="V922" s="196"/>
      <c r="W922" s="196"/>
      <c r="X922" s="196"/>
      <c r="Y922" s="196"/>
      <c r="Z922" s="196"/>
      <c r="AA922" s="196"/>
      <c r="AB922" s="196"/>
      <c r="AC922" s="196"/>
      <c r="AD922" s="196"/>
      <c r="AE922" s="196"/>
      <c r="AF922" s="196"/>
      <c r="AG922" s="196"/>
      <c r="AH922" s="196"/>
    </row>
    <row r="923">
      <c r="A923" s="196"/>
      <c r="B923" s="196"/>
      <c r="C923" s="196"/>
      <c r="D923" s="196"/>
      <c r="E923" s="196"/>
      <c r="F923" s="196"/>
      <c r="G923" s="196"/>
      <c r="H923" s="196"/>
      <c r="I923" s="139"/>
      <c r="J923" s="196"/>
      <c r="K923" s="196"/>
      <c r="L923" s="139"/>
      <c r="M923" s="196"/>
      <c r="N923" s="196"/>
      <c r="O923" s="196"/>
      <c r="P923" s="196"/>
      <c r="Q923" s="196"/>
      <c r="R923" s="196"/>
      <c r="S923" s="196"/>
      <c r="T923" s="196"/>
      <c r="U923" s="196"/>
      <c r="V923" s="196"/>
      <c r="W923" s="196"/>
      <c r="X923" s="196"/>
      <c r="Y923" s="196"/>
      <c r="Z923" s="196"/>
      <c r="AA923" s="196"/>
      <c r="AB923" s="196"/>
      <c r="AC923" s="196"/>
      <c r="AD923" s="196"/>
      <c r="AE923" s="196"/>
      <c r="AF923" s="196"/>
      <c r="AG923" s="196"/>
      <c r="AH923" s="196"/>
    </row>
    <row r="924">
      <c r="A924" s="196"/>
      <c r="B924" s="196"/>
      <c r="C924" s="196"/>
      <c r="D924" s="196"/>
      <c r="E924" s="196"/>
      <c r="F924" s="196"/>
      <c r="G924" s="196"/>
      <c r="H924" s="196"/>
      <c r="I924" s="139"/>
      <c r="J924" s="196"/>
      <c r="K924" s="196"/>
      <c r="L924" s="139"/>
      <c r="M924" s="196"/>
      <c r="N924" s="196"/>
      <c r="O924" s="196"/>
      <c r="P924" s="196"/>
      <c r="Q924" s="196"/>
      <c r="R924" s="196"/>
      <c r="S924" s="196"/>
      <c r="T924" s="196"/>
      <c r="U924" s="196"/>
      <c r="V924" s="196"/>
      <c r="W924" s="196"/>
      <c r="X924" s="196"/>
      <c r="Y924" s="196"/>
      <c r="Z924" s="196"/>
      <c r="AA924" s="196"/>
      <c r="AB924" s="196"/>
      <c r="AC924" s="196"/>
      <c r="AD924" s="196"/>
      <c r="AE924" s="196"/>
      <c r="AF924" s="196"/>
      <c r="AG924" s="196"/>
      <c r="AH924" s="196"/>
    </row>
    <row r="925">
      <c r="A925" s="196"/>
      <c r="B925" s="196"/>
      <c r="C925" s="196"/>
      <c r="D925" s="196"/>
      <c r="E925" s="196"/>
      <c r="F925" s="196"/>
      <c r="G925" s="196"/>
      <c r="H925" s="196"/>
      <c r="I925" s="139"/>
      <c r="J925" s="196"/>
      <c r="K925" s="196"/>
      <c r="L925" s="139"/>
      <c r="M925" s="196"/>
      <c r="N925" s="196"/>
      <c r="O925" s="196"/>
      <c r="P925" s="196"/>
      <c r="Q925" s="196"/>
      <c r="R925" s="196"/>
      <c r="S925" s="196"/>
      <c r="T925" s="196"/>
      <c r="U925" s="196"/>
      <c r="V925" s="196"/>
      <c r="W925" s="196"/>
      <c r="X925" s="196"/>
      <c r="Y925" s="196"/>
      <c r="Z925" s="196"/>
      <c r="AA925" s="196"/>
      <c r="AB925" s="196"/>
      <c r="AC925" s="196"/>
      <c r="AD925" s="196"/>
      <c r="AE925" s="196"/>
      <c r="AF925" s="196"/>
      <c r="AG925" s="196"/>
      <c r="AH925" s="196"/>
    </row>
    <row r="926">
      <c r="A926" s="196"/>
      <c r="B926" s="196"/>
      <c r="C926" s="196"/>
      <c r="D926" s="196"/>
      <c r="E926" s="196"/>
      <c r="F926" s="196"/>
      <c r="G926" s="196"/>
      <c r="H926" s="196"/>
      <c r="I926" s="139"/>
      <c r="J926" s="196"/>
      <c r="K926" s="196"/>
      <c r="L926" s="139"/>
      <c r="M926" s="196"/>
      <c r="N926" s="196"/>
      <c r="O926" s="196"/>
      <c r="P926" s="196"/>
      <c r="Q926" s="196"/>
      <c r="R926" s="196"/>
      <c r="S926" s="196"/>
      <c r="T926" s="196"/>
      <c r="U926" s="196"/>
      <c r="V926" s="196"/>
      <c r="W926" s="196"/>
      <c r="X926" s="196"/>
      <c r="Y926" s="196"/>
      <c r="Z926" s="196"/>
      <c r="AA926" s="196"/>
      <c r="AB926" s="196"/>
      <c r="AC926" s="196"/>
      <c r="AD926" s="196"/>
      <c r="AE926" s="196"/>
      <c r="AF926" s="196"/>
      <c r="AG926" s="196"/>
      <c r="AH926" s="196"/>
    </row>
    <row r="927">
      <c r="A927" s="196"/>
      <c r="B927" s="196"/>
      <c r="C927" s="196"/>
      <c r="D927" s="196"/>
      <c r="E927" s="196"/>
      <c r="F927" s="196"/>
      <c r="G927" s="196"/>
      <c r="H927" s="196"/>
      <c r="I927" s="139"/>
      <c r="J927" s="196"/>
      <c r="K927" s="196"/>
      <c r="L927" s="139"/>
      <c r="M927" s="196"/>
      <c r="N927" s="196"/>
      <c r="O927" s="196"/>
      <c r="P927" s="196"/>
      <c r="Q927" s="196"/>
      <c r="R927" s="196"/>
      <c r="S927" s="196"/>
      <c r="T927" s="196"/>
      <c r="U927" s="196"/>
      <c r="V927" s="196"/>
      <c r="W927" s="196"/>
      <c r="X927" s="196"/>
      <c r="Y927" s="196"/>
      <c r="Z927" s="196"/>
      <c r="AA927" s="196"/>
      <c r="AB927" s="196"/>
      <c r="AC927" s="196"/>
      <c r="AD927" s="196"/>
      <c r="AE927" s="196"/>
      <c r="AF927" s="196"/>
      <c r="AG927" s="196"/>
      <c r="AH927" s="196"/>
    </row>
    <row r="928">
      <c r="A928" s="196"/>
      <c r="B928" s="196"/>
      <c r="C928" s="196"/>
      <c r="D928" s="196"/>
      <c r="E928" s="196"/>
      <c r="F928" s="196"/>
      <c r="G928" s="196"/>
      <c r="H928" s="196"/>
      <c r="I928" s="139"/>
      <c r="J928" s="196"/>
      <c r="K928" s="196"/>
      <c r="L928" s="139"/>
      <c r="M928" s="196"/>
      <c r="N928" s="196"/>
      <c r="O928" s="196"/>
      <c r="P928" s="196"/>
      <c r="Q928" s="196"/>
      <c r="R928" s="196"/>
      <c r="S928" s="196"/>
      <c r="T928" s="196"/>
      <c r="U928" s="196"/>
      <c r="V928" s="196"/>
      <c r="W928" s="196"/>
      <c r="X928" s="196"/>
      <c r="Y928" s="196"/>
      <c r="Z928" s="196"/>
      <c r="AA928" s="196"/>
      <c r="AB928" s="196"/>
      <c r="AC928" s="196"/>
      <c r="AD928" s="196"/>
      <c r="AE928" s="196"/>
      <c r="AF928" s="196"/>
      <c r="AG928" s="196"/>
      <c r="AH928" s="196"/>
    </row>
    <row r="929">
      <c r="A929" s="196"/>
      <c r="B929" s="196"/>
      <c r="C929" s="196"/>
      <c r="D929" s="196"/>
      <c r="E929" s="196"/>
      <c r="F929" s="196"/>
      <c r="G929" s="196"/>
      <c r="H929" s="196"/>
      <c r="I929" s="139"/>
      <c r="J929" s="196"/>
      <c r="K929" s="196"/>
      <c r="L929" s="139"/>
      <c r="M929" s="196"/>
      <c r="N929" s="196"/>
      <c r="O929" s="196"/>
      <c r="P929" s="196"/>
      <c r="Q929" s="196"/>
      <c r="R929" s="196"/>
      <c r="S929" s="196"/>
      <c r="T929" s="196"/>
      <c r="U929" s="196"/>
      <c r="V929" s="196"/>
      <c r="W929" s="196"/>
      <c r="X929" s="196"/>
      <c r="Y929" s="196"/>
      <c r="Z929" s="196"/>
      <c r="AA929" s="196"/>
      <c r="AB929" s="196"/>
      <c r="AC929" s="196"/>
      <c r="AD929" s="196"/>
      <c r="AE929" s="196"/>
      <c r="AF929" s="196"/>
      <c r="AG929" s="196"/>
      <c r="AH929" s="196"/>
    </row>
    <row r="930">
      <c r="A930" s="196"/>
      <c r="B930" s="196"/>
      <c r="C930" s="196"/>
      <c r="D930" s="196"/>
      <c r="E930" s="196"/>
      <c r="F930" s="196"/>
      <c r="G930" s="196"/>
      <c r="H930" s="196"/>
      <c r="I930" s="139"/>
      <c r="J930" s="196"/>
      <c r="K930" s="196"/>
      <c r="L930" s="139"/>
      <c r="M930" s="196"/>
      <c r="N930" s="196"/>
      <c r="O930" s="196"/>
      <c r="P930" s="196"/>
      <c r="Q930" s="196"/>
      <c r="R930" s="196"/>
      <c r="S930" s="196"/>
      <c r="T930" s="196"/>
      <c r="U930" s="196"/>
      <c r="V930" s="196"/>
      <c r="W930" s="196"/>
      <c r="X930" s="196"/>
      <c r="Y930" s="196"/>
      <c r="Z930" s="196"/>
      <c r="AA930" s="196"/>
      <c r="AB930" s="196"/>
      <c r="AC930" s="196"/>
      <c r="AD930" s="196"/>
      <c r="AE930" s="196"/>
      <c r="AF930" s="196"/>
      <c r="AG930" s="196"/>
      <c r="AH930" s="196"/>
    </row>
    <row r="931">
      <c r="A931" s="196"/>
      <c r="B931" s="196"/>
      <c r="C931" s="196"/>
      <c r="D931" s="196"/>
      <c r="E931" s="196"/>
      <c r="F931" s="196"/>
      <c r="G931" s="196"/>
      <c r="H931" s="196"/>
      <c r="I931" s="139"/>
      <c r="J931" s="196"/>
      <c r="K931" s="196"/>
      <c r="L931" s="139"/>
      <c r="M931" s="196"/>
      <c r="N931" s="196"/>
      <c r="O931" s="196"/>
      <c r="P931" s="196"/>
      <c r="Q931" s="196"/>
      <c r="R931" s="196"/>
      <c r="S931" s="196"/>
      <c r="T931" s="196"/>
      <c r="U931" s="196"/>
      <c r="V931" s="196"/>
      <c r="W931" s="196"/>
      <c r="X931" s="196"/>
      <c r="Y931" s="196"/>
      <c r="Z931" s="196"/>
      <c r="AA931" s="196"/>
      <c r="AB931" s="196"/>
      <c r="AC931" s="196"/>
      <c r="AD931" s="196"/>
      <c r="AE931" s="196"/>
      <c r="AF931" s="196"/>
      <c r="AG931" s="196"/>
      <c r="AH931" s="196"/>
    </row>
    <row r="932">
      <c r="A932" s="196"/>
      <c r="B932" s="196"/>
      <c r="C932" s="196"/>
      <c r="D932" s="196"/>
      <c r="E932" s="196"/>
      <c r="F932" s="196"/>
      <c r="G932" s="196"/>
      <c r="H932" s="196"/>
      <c r="I932" s="139"/>
      <c r="J932" s="196"/>
      <c r="K932" s="196"/>
      <c r="L932" s="139"/>
      <c r="M932" s="196"/>
      <c r="N932" s="196"/>
      <c r="O932" s="196"/>
      <c r="P932" s="196"/>
      <c r="Q932" s="196"/>
      <c r="R932" s="196"/>
      <c r="S932" s="196"/>
      <c r="T932" s="196"/>
      <c r="U932" s="196"/>
      <c r="V932" s="196"/>
      <c r="W932" s="196"/>
      <c r="X932" s="196"/>
      <c r="Y932" s="196"/>
      <c r="Z932" s="196"/>
      <c r="AA932" s="196"/>
      <c r="AB932" s="196"/>
      <c r="AC932" s="196"/>
      <c r="AD932" s="196"/>
      <c r="AE932" s="196"/>
      <c r="AF932" s="196"/>
      <c r="AG932" s="196"/>
      <c r="AH932" s="196"/>
    </row>
    <row r="933">
      <c r="A933" s="196"/>
      <c r="B933" s="196"/>
      <c r="C933" s="196"/>
      <c r="D933" s="196"/>
      <c r="E933" s="196"/>
      <c r="F933" s="196"/>
      <c r="G933" s="196"/>
      <c r="H933" s="196"/>
      <c r="I933" s="139"/>
      <c r="J933" s="196"/>
      <c r="K933" s="196"/>
      <c r="L933" s="139"/>
      <c r="M933" s="196"/>
      <c r="N933" s="196"/>
      <c r="O933" s="196"/>
      <c r="P933" s="196"/>
      <c r="Q933" s="196"/>
      <c r="R933" s="196"/>
      <c r="S933" s="196"/>
      <c r="T933" s="196"/>
      <c r="U933" s="196"/>
      <c r="V933" s="196"/>
      <c r="W933" s="196"/>
      <c r="X933" s="196"/>
      <c r="Y933" s="196"/>
      <c r="Z933" s="196"/>
      <c r="AA933" s="196"/>
      <c r="AB933" s="196"/>
      <c r="AC933" s="196"/>
      <c r="AD933" s="196"/>
      <c r="AE933" s="196"/>
      <c r="AF933" s="196"/>
      <c r="AG933" s="196"/>
      <c r="AH933" s="196"/>
    </row>
    <row r="934">
      <c r="A934" s="196"/>
      <c r="B934" s="196"/>
      <c r="C934" s="196"/>
      <c r="D934" s="196"/>
      <c r="E934" s="196"/>
      <c r="F934" s="196"/>
      <c r="G934" s="196"/>
      <c r="H934" s="196"/>
      <c r="I934" s="139"/>
      <c r="J934" s="196"/>
      <c r="K934" s="196"/>
      <c r="L934" s="139"/>
      <c r="M934" s="196"/>
      <c r="N934" s="196"/>
      <c r="O934" s="196"/>
      <c r="P934" s="196"/>
      <c r="Q934" s="196"/>
      <c r="R934" s="196"/>
      <c r="S934" s="196"/>
      <c r="T934" s="196"/>
      <c r="U934" s="196"/>
      <c r="V934" s="196"/>
      <c r="W934" s="196"/>
      <c r="X934" s="196"/>
      <c r="Y934" s="196"/>
      <c r="Z934" s="196"/>
      <c r="AA934" s="196"/>
      <c r="AB934" s="196"/>
      <c r="AC934" s="196"/>
      <c r="AD934" s="196"/>
      <c r="AE934" s="196"/>
      <c r="AF934" s="196"/>
      <c r="AG934" s="196"/>
      <c r="AH934" s="196"/>
    </row>
    <row r="935">
      <c r="A935" s="196"/>
      <c r="B935" s="196"/>
      <c r="C935" s="196"/>
      <c r="D935" s="196"/>
      <c r="E935" s="196"/>
      <c r="F935" s="196"/>
      <c r="G935" s="196"/>
      <c r="H935" s="196"/>
      <c r="I935" s="139"/>
      <c r="J935" s="196"/>
      <c r="K935" s="196"/>
      <c r="L935" s="139"/>
      <c r="M935" s="196"/>
      <c r="N935" s="196"/>
      <c r="O935" s="196"/>
      <c r="P935" s="196"/>
      <c r="Q935" s="196"/>
      <c r="R935" s="196"/>
      <c r="S935" s="196"/>
      <c r="T935" s="196"/>
      <c r="U935" s="196"/>
      <c r="V935" s="196"/>
      <c r="W935" s="196"/>
      <c r="X935" s="196"/>
      <c r="Y935" s="196"/>
      <c r="Z935" s="196"/>
      <c r="AA935" s="196"/>
      <c r="AB935" s="196"/>
      <c r="AC935" s="196"/>
      <c r="AD935" s="196"/>
      <c r="AE935" s="196"/>
      <c r="AF935" s="196"/>
      <c r="AG935" s="196"/>
      <c r="AH935" s="196"/>
    </row>
    <row r="936">
      <c r="A936" s="196"/>
      <c r="B936" s="196"/>
      <c r="C936" s="196"/>
      <c r="D936" s="196"/>
      <c r="E936" s="196"/>
      <c r="F936" s="196"/>
      <c r="G936" s="196"/>
      <c r="H936" s="196"/>
      <c r="I936" s="139"/>
      <c r="J936" s="196"/>
      <c r="K936" s="196"/>
      <c r="L936" s="139"/>
      <c r="M936" s="196"/>
      <c r="N936" s="196"/>
      <c r="O936" s="196"/>
      <c r="P936" s="196"/>
      <c r="Q936" s="196"/>
      <c r="R936" s="196"/>
      <c r="S936" s="196"/>
      <c r="T936" s="196"/>
      <c r="U936" s="196"/>
      <c r="V936" s="196"/>
      <c r="W936" s="196"/>
      <c r="X936" s="196"/>
      <c r="Y936" s="196"/>
      <c r="Z936" s="196"/>
      <c r="AA936" s="196"/>
      <c r="AB936" s="196"/>
      <c r="AC936" s="196"/>
      <c r="AD936" s="196"/>
      <c r="AE936" s="196"/>
      <c r="AF936" s="196"/>
      <c r="AG936" s="196"/>
      <c r="AH936" s="196"/>
    </row>
    <row r="937">
      <c r="A937" s="196"/>
      <c r="B937" s="196"/>
      <c r="C937" s="196"/>
      <c r="D937" s="196"/>
      <c r="E937" s="196"/>
      <c r="F937" s="196"/>
      <c r="G937" s="196"/>
      <c r="H937" s="196"/>
      <c r="I937" s="139"/>
      <c r="J937" s="196"/>
      <c r="K937" s="196"/>
      <c r="L937" s="139"/>
      <c r="M937" s="196"/>
      <c r="N937" s="196"/>
      <c r="O937" s="196"/>
      <c r="P937" s="196"/>
      <c r="Q937" s="196"/>
      <c r="R937" s="196"/>
      <c r="S937" s="196"/>
      <c r="T937" s="196"/>
      <c r="U937" s="196"/>
      <c r="V937" s="196"/>
      <c r="W937" s="196"/>
      <c r="X937" s="196"/>
      <c r="Y937" s="196"/>
      <c r="Z937" s="196"/>
      <c r="AA937" s="196"/>
      <c r="AB937" s="196"/>
      <c r="AC937" s="196"/>
      <c r="AD937" s="196"/>
      <c r="AE937" s="196"/>
      <c r="AF937" s="196"/>
      <c r="AG937" s="196"/>
      <c r="AH937" s="196"/>
    </row>
    <row r="938">
      <c r="A938" s="196"/>
      <c r="B938" s="196"/>
      <c r="C938" s="196"/>
      <c r="D938" s="196"/>
      <c r="E938" s="196"/>
      <c r="F938" s="196"/>
      <c r="G938" s="196"/>
      <c r="H938" s="196"/>
      <c r="I938" s="139"/>
      <c r="J938" s="196"/>
      <c r="K938" s="196"/>
      <c r="L938" s="139"/>
      <c r="M938" s="196"/>
      <c r="N938" s="196"/>
      <c r="O938" s="196"/>
      <c r="P938" s="196"/>
      <c r="Q938" s="196"/>
      <c r="R938" s="196"/>
      <c r="S938" s="196"/>
      <c r="T938" s="196"/>
      <c r="U938" s="196"/>
      <c r="V938" s="196"/>
      <c r="W938" s="196"/>
      <c r="X938" s="196"/>
      <c r="Y938" s="196"/>
      <c r="Z938" s="196"/>
      <c r="AA938" s="196"/>
      <c r="AB938" s="196"/>
      <c r="AC938" s="196"/>
      <c r="AD938" s="196"/>
      <c r="AE938" s="196"/>
      <c r="AF938" s="196"/>
      <c r="AG938" s="196"/>
      <c r="AH938" s="196"/>
    </row>
    <row r="939">
      <c r="A939" s="196"/>
      <c r="B939" s="196"/>
      <c r="C939" s="196"/>
      <c r="D939" s="196"/>
      <c r="E939" s="196"/>
      <c r="F939" s="196"/>
      <c r="G939" s="196"/>
      <c r="H939" s="196"/>
      <c r="I939" s="139"/>
      <c r="J939" s="196"/>
      <c r="K939" s="196"/>
      <c r="L939" s="139"/>
      <c r="M939" s="196"/>
      <c r="N939" s="196"/>
      <c r="O939" s="196"/>
      <c r="P939" s="196"/>
      <c r="Q939" s="196"/>
      <c r="R939" s="196"/>
      <c r="S939" s="196"/>
      <c r="T939" s="196"/>
      <c r="U939" s="196"/>
      <c r="V939" s="196"/>
      <c r="W939" s="196"/>
      <c r="X939" s="196"/>
      <c r="Y939" s="196"/>
      <c r="Z939" s="196"/>
      <c r="AA939" s="196"/>
      <c r="AB939" s="196"/>
      <c r="AC939" s="196"/>
      <c r="AD939" s="196"/>
      <c r="AE939" s="196"/>
      <c r="AF939" s="196"/>
      <c r="AG939" s="196"/>
      <c r="AH939" s="196"/>
    </row>
    <row r="940">
      <c r="A940" s="196"/>
      <c r="B940" s="196"/>
      <c r="C940" s="196"/>
      <c r="D940" s="196"/>
      <c r="E940" s="196"/>
      <c r="F940" s="196"/>
      <c r="G940" s="196"/>
      <c r="H940" s="196"/>
      <c r="I940" s="139"/>
      <c r="J940" s="196"/>
      <c r="K940" s="196"/>
      <c r="L940" s="139"/>
      <c r="M940" s="196"/>
      <c r="N940" s="196"/>
      <c r="O940" s="196"/>
      <c r="P940" s="196"/>
      <c r="Q940" s="196"/>
      <c r="R940" s="196"/>
      <c r="S940" s="196"/>
      <c r="T940" s="196"/>
      <c r="U940" s="196"/>
      <c r="V940" s="196"/>
      <c r="W940" s="196"/>
      <c r="X940" s="196"/>
      <c r="Y940" s="196"/>
      <c r="Z940" s="196"/>
      <c r="AA940" s="196"/>
      <c r="AB940" s="196"/>
      <c r="AC940" s="196"/>
      <c r="AD940" s="196"/>
      <c r="AE940" s="196"/>
      <c r="AF940" s="196"/>
      <c r="AG940" s="196"/>
      <c r="AH940" s="196"/>
    </row>
    <row r="941">
      <c r="A941" s="196"/>
      <c r="B941" s="196"/>
      <c r="C941" s="196"/>
      <c r="D941" s="196"/>
      <c r="E941" s="196"/>
      <c r="F941" s="196"/>
      <c r="G941" s="196"/>
      <c r="H941" s="196"/>
      <c r="I941" s="139"/>
      <c r="J941" s="196"/>
      <c r="K941" s="196"/>
      <c r="L941" s="139"/>
      <c r="M941" s="196"/>
      <c r="N941" s="196"/>
      <c r="O941" s="196"/>
      <c r="P941" s="196"/>
      <c r="Q941" s="196"/>
      <c r="R941" s="196"/>
      <c r="S941" s="196"/>
      <c r="T941" s="196"/>
      <c r="U941" s="196"/>
      <c r="V941" s="196"/>
      <c r="W941" s="196"/>
      <c r="X941" s="196"/>
      <c r="Y941" s="196"/>
      <c r="Z941" s="196"/>
      <c r="AA941" s="196"/>
      <c r="AB941" s="196"/>
      <c r="AC941" s="196"/>
      <c r="AD941" s="196"/>
      <c r="AE941" s="196"/>
      <c r="AF941" s="196"/>
      <c r="AG941" s="196"/>
      <c r="AH941" s="196"/>
    </row>
    <row r="942">
      <c r="A942" s="196"/>
      <c r="B942" s="196"/>
      <c r="C942" s="196"/>
      <c r="D942" s="196"/>
      <c r="E942" s="196"/>
      <c r="F942" s="196"/>
      <c r="G942" s="196"/>
      <c r="H942" s="196"/>
      <c r="I942" s="139"/>
      <c r="J942" s="196"/>
      <c r="K942" s="196"/>
      <c r="L942" s="139"/>
      <c r="M942" s="196"/>
      <c r="N942" s="196"/>
      <c r="O942" s="196"/>
      <c r="P942" s="196"/>
      <c r="Q942" s="196"/>
      <c r="R942" s="196"/>
      <c r="S942" s="196"/>
      <c r="T942" s="196"/>
      <c r="U942" s="196"/>
      <c r="V942" s="196"/>
      <c r="W942" s="196"/>
      <c r="X942" s="196"/>
      <c r="Y942" s="196"/>
      <c r="Z942" s="196"/>
      <c r="AA942" s="196"/>
      <c r="AB942" s="196"/>
      <c r="AC942" s="196"/>
      <c r="AD942" s="196"/>
      <c r="AE942" s="196"/>
      <c r="AF942" s="196"/>
      <c r="AG942" s="196"/>
      <c r="AH942" s="196"/>
    </row>
    <row r="943">
      <c r="A943" s="196"/>
      <c r="B943" s="196"/>
      <c r="C943" s="196"/>
      <c r="D943" s="196"/>
      <c r="E943" s="196"/>
      <c r="F943" s="196"/>
      <c r="G943" s="196"/>
      <c r="H943" s="196"/>
      <c r="I943" s="139"/>
      <c r="J943" s="196"/>
      <c r="K943" s="196"/>
      <c r="L943" s="139"/>
      <c r="M943" s="196"/>
      <c r="N943" s="196"/>
      <c r="O943" s="196"/>
      <c r="P943" s="196"/>
      <c r="Q943" s="196"/>
      <c r="R943" s="196"/>
      <c r="S943" s="196"/>
      <c r="T943" s="196"/>
      <c r="U943" s="196"/>
      <c r="V943" s="196"/>
      <c r="W943" s="196"/>
      <c r="X943" s="196"/>
      <c r="Y943" s="196"/>
      <c r="Z943" s="196"/>
      <c r="AA943" s="196"/>
      <c r="AB943" s="196"/>
      <c r="AC943" s="196"/>
      <c r="AD943" s="196"/>
      <c r="AE943" s="196"/>
      <c r="AF943" s="196"/>
      <c r="AG943" s="196"/>
      <c r="AH943" s="196"/>
    </row>
    <row r="944">
      <c r="A944" s="196"/>
      <c r="B944" s="196"/>
      <c r="C944" s="196"/>
      <c r="D944" s="196"/>
      <c r="E944" s="196"/>
      <c r="F944" s="196"/>
      <c r="G944" s="196"/>
      <c r="H944" s="196"/>
      <c r="I944" s="139"/>
      <c r="J944" s="196"/>
      <c r="K944" s="196"/>
      <c r="L944" s="139"/>
      <c r="M944" s="196"/>
      <c r="N944" s="196"/>
      <c r="O944" s="196"/>
      <c r="P944" s="196"/>
      <c r="Q944" s="196"/>
      <c r="R944" s="196"/>
      <c r="S944" s="196"/>
      <c r="T944" s="196"/>
      <c r="U944" s="196"/>
      <c r="V944" s="196"/>
      <c r="W944" s="196"/>
      <c r="X944" s="196"/>
      <c r="Y944" s="196"/>
      <c r="Z944" s="196"/>
      <c r="AA944" s="196"/>
      <c r="AB944" s="196"/>
      <c r="AC944" s="196"/>
      <c r="AD944" s="196"/>
      <c r="AE944" s="196"/>
      <c r="AF944" s="196"/>
      <c r="AG944" s="196"/>
      <c r="AH944" s="196"/>
    </row>
    <row r="945">
      <c r="A945" s="196"/>
      <c r="B945" s="196"/>
      <c r="C945" s="196"/>
      <c r="D945" s="196"/>
      <c r="E945" s="196"/>
      <c r="F945" s="196"/>
      <c r="G945" s="196"/>
      <c r="H945" s="196"/>
      <c r="I945" s="139"/>
      <c r="J945" s="196"/>
      <c r="K945" s="196"/>
      <c r="L945" s="139"/>
      <c r="M945" s="196"/>
      <c r="N945" s="196"/>
      <c r="O945" s="196"/>
      <c r="P945" s="196"/>
      <c r="Q945" s="196"/>
      <c r="R945" s="196"/>
      <c r="S945" s="196"/>
      <c r="T945" s="196"/>
      <c r="U945" s="196"/>
      <c r="V945" s="196"/>
      <c r="W945" s="196"/>
      <c r="X945" s="196"/>
      <c r="Y945" s="196"/>
      <c r="Z945" s="196"/>
      <c r="AA945" s="196"/>
      <c r="AB945" s="196"/>
      <c r="AC945" s="196"/>
      <c r="AD945" s="196"/>
      <c r="AE945" s="196"/>
      <c r="AF945" s="196"/>
      <c r="AG945" s="196"/>
      <c r="AH945" s="196"/>
    </row>
    <row r="946">
      <c r="A946" s="196"/>
      <c r="B946" s="196"/>
      <c r="C946" s="196"/>
      <c r="D946" s="196"/>
      <c r="E946" s="196"/>
      <c r="F946" s="196"/>
      <c r="G946" s="196"/>
      <c r="H946" s="196"/>
      <c r="I946" s="139"/>
      <c r="J946" s="196"/>
      <c r="K946" s="196"/>
      <c r="L946" s="139"/>
      <c r="M946" s="196"/>
      <c r="N946" s="196"/>
      <c r="O946" s="196"/>
      <c r="P946" s="196"/>
      <c r="Q946" s="196"/>
      <c r="R946" s="196"/>
      <c r="S946" s="196"/>
      <c r="T946" s="196"/>
      <c r="U946" s="196"/>
      <c r="V946" s="196"/>
      <c r="W946" s="196"/>
      <c r="X946" s="196"/>
      <c r="Y946" s="196"/>
      <c r="Z946" s="196"/>
      <c r="AA946" s="196"/>
      <c r="AB946" s="196"/>
      <c r="AC946" s="196"/>
      <c r="AD946" s="196"/>
      <c r="AE946" s="196"/>
      <c r="AF946" s="196"/>
      <c r="AG946" s="196"/>
      <c r="AH946" s="196"/>
    </row>
    <row r="947">
      <c r="A947" s="196"/>
      <c r="B947" s="196"/>
      <c r="C947" s="196"/>
      <c r="D947" s="196"/>
      <c r="E947" s="196"/>
      <c r="F947" s="196"/>
      <c r="G947" s="196"/>
      <c r="H947" s="196"/>
      <c r="I947" s="139"/>
      <c r="J947" s="196"/>
      <c r="K947" s="196"/>
      <c r="L947" s="139"/>
      <c r="M947" s="196"/>
      <c r="N947" s="196"/>
      <c r="O947" s="196"/>
      <c r="P947" s="196"/>
      <c r="Q947" s="196"/>
      <c r="R947" s="196"/>
      <c r="S947" s="196"/>
      <c r="T947" s="196"/>
      <c r="U947" s="196"/>
      <c r="V947" s="196"/>
      <c r="W947" s="196"/>
      <c r="X947" s="196"/>
      <c r="Y947" s="196"/>
      <c r="Z947" s="196"/>
      <c r="AA947" s="196"/>
      <c r="AB947" s="196"/>
      <c r="AC947" s="196"/>
      <c r="AD947" s="196"/>
      <c r="AE947" s="196"/>
      <c r="AF947" s="196"/>
      <c r="AG947" s="196"/>
      <c r="AH947" s="196"/>
    </row>
    <row r="948">
      <c r="A948" s="196"/>
      <c r="B948" s="196"/>
      <c r="C948" s="196"/>
      <c r="D948" s="196"/>
      <c r="E948" s="196"/>
      <c r="F948" s="196"/>
      <c r="G948" s="196"/>
      <c r="H948" s="196"/>
      <c r="I948" s="139"/>
      <c r="J948" s="196"/>
      <c r="K948" s="196"/>
      <c r="L948" s="139"/>
      <c r="M948" s="196"/>
      <c r="N948" s="196"/>
      <c r="O948" s="196"/>
      <c r="P948" s="196"/>
      <c r="Q948" s="196"/>
      <c r="R948" s="196"/>
      <c r="S948" s="196"/>
      <c r="T948" s="196"/>
      <c r="U948" s="196"/>
      <c r="V948" s="196"/>
      <c r="W948" s="196"/>
      <c r="X948" s="196"/>
      <c r="Y948" s="196"/>
      <c r="Z948" s="196"/>
      <c r="AA948" s="196"/>
      <c r="AB948" s="196"/>
      <c r="AC948" s="196"/>
      <c r="AD948" s="196"/>
      <c r="AE948" s="196"/>
      <c r="AF948" s="196"/>
      <c r="AG948" s="196"/>
      <c r="AH948" s="196"/>
    </row>
    <row r="949">
      <c r="A949" s="196"/>
      <c r="B949" s="196"/>
      <c r="C949" s="196"/>
      <c r="D949" s="196"/>
      <c r="E949" s="196"/>
      <c r="F949" s="196"/>
      <c r="G949" s="196"/>
      <c r="H949" s="196"/>
      <c r="I949" s="139"/>
      <c r="J949" s="196"/>
      <c r="K949" s="196"/>
      <c r="L949" s="139"/>
      <c r="M949" s="196"/>
      <c r="N949" s="196"/>
      <c r="O949" s="196"/>
      <c r="P949" s="196"/>
      <c r="Q949" s="196"/>
      <c r="R949" s="196"/>
      <c r="S949" s="196"/>
      <c r="T949" s="196"/>
      <c r="U949" s="196"/>
      <c r="V949" s="196"/>
      <c r="W949" s="196"/>
      <c r="X949" s="196"/>
      <c r="Y949" s="196"/>
      <c r="Z949" s="196"/>
      <c r="AA949" s="196"/>
      <c r="AB949" s="196"/>
      <c r="AC949" s="196"/>
      <c r="AD949" s="196"/>
      <c r="AE949" s="196"/>
      <c r="AF949" s="196"/>
      <c r="AG949" s="196"/>
      <c r="AH949" s="196"/>
    </row>
    <row r="950">
      <c r="A950" s="196"/>
      <c r="B950" s="196"/>
      <c r="C950" s="196"/>
      <c r="D950" s="196"/>
      <c r="E950" s="196"/>
      <c r="F950" s="196"/>
      <c r="G950" s="196"/>
      <c r="H950" s="196"/>
      <c r="I950" s="139"/>
      <c r="J950" s="196"/>
      <c r="K950" s="196"/>
      <c r="L950" s="139"/>
      <c r="M950" s="196"/>
      <c r="N950" s="196"/>
      <c r="O950" s="196"/>
      <c r="P950" s="196"/>
      <c r="Q950" s="196"/>
      <c r="R950" s="196"/>
      <c r="S950" s="196"/>
      <c r="T950" s="196"/>
      <c r="U950" s="196"/>
      <c r="V950" s="196"/>
      <c r="W950" s="196"/>
      <c r="X950" s="196"/>
      <c r="Y950" s="196"/>
      <c r="Z950" s="196"/>
      <c r="AA950" s="196"/>
      <c r="AB950" s="196"/>
      <c r="AC950" s="196"/>
      <c r="AD950" s="196"/>
      <c r="AE950" s="196"/>
      <c r="AF950" s="196"/>
      <c r="AG950" s="196"/>
      <c r="AH950" s="196"/>
    </row>
    <row r="951">
      <c r="A951" s="196"/>
      <c r="B951" s="196"/>
      <c r="C951" s="196"/>
      <c r="D951" s="196"/>
      <c r="E951" s="196"/>
      <c r="F951" s="196"/>
      <c r="G951" s="196"/>
      <c r="H951" s="196"/>
      <c r="I951" s="139"/>
      <c r="J951" s="196"/>
      <c r="K951" s="196"/>
      <c r="L951" s="139"/>
      <c r="M951" s="196"/>
      <c r="N951" s="196"/>
      <c r="O951" s="196"/>
      <c r="P951" s="196"/>
      <c r="Q951" s="196"/>
      <c r="R951" s="196"/>
      <c r="S951" s="196"/>
      <c r="T951" s="196"/>
      <c r="U951" s="196"/>
      <c r="V951" s="196"/>
      <c r="W951" s="196"/>
      <c r="X951" s="196"/>
      <c r="Y951" s="196"/>
      <c r="Z951" s="196"/>
      <c r="AA951" s="196"/>
      <c r="AB951" s="196"/>
      <c r="AC951" s="196"/>
      <c r="AD951" s="196"/>
      <c r="AE951" s="196"/>
      <c r="AF951" s="196"/>
      <c r="AG951" s="196"/>
      <c r="AH951" s="196"/>
    </row>
    <row r="952">
      <c r="A952" s="196"/>
      <c r="B952" s="196"/>
      <c r="C952" s="196"/>
      <c r="D952" s="196"/>
      <c r="E952" s="196"/>
      <c r="F952" s="196"/>
      <c r="G952" s="196"/>
      <c r="H952" s="196"/>
      <c r="I952" s="139"/>
      <c r="J952" s="196"/>
      <c r="K952" s="196"/>
      <c r="L952" s="139"/>
      <c r="M952" s="196"/>
      <c r="N952" s="196"/>
      <c r="O952" s="196"/>
      <c r="P952" s="196"/>
      <c r="Q952" s="196"/>
      <c r="R952" s="196"/>
      <c r="S952" s="196"/>
      <c r="T952" s="196"/>
      <c r="U952" s="196"/>
      <c r="V952" s="196"/>
      <c r="W952" s="196"/>
      <c r="X952" s="196"/>
      <c r="Y952" s="196"/>
      <c r="Z952" s="196"/>
      <c r="AA952" s="196"/>
      <c r="AB952" s="196"/>
      <c r="AC952" s="196"/>
      <c r="AD952" s="196"/>
      <c r="AE952" s="196"/>
      <c r="AF952" s="196"/>
      <c r="AG952" s="196"/>
      <c r="AH952" s="196"/>
    </row>
    <row r="953">
      <c r="A953" s="196"/>
      <c r="B953" s="196"/>
      <c r="C953" s="196"/>
      <c r="D953" s="196"/>
      <c r="E953" s="196"/>
      <c r="F953" s="196"/>
      <c r="G953" s="196"/>
      <c r="H953" s="196"/>
      <c r="I953" s="139"/>
      <c r="J953" s="196"/>
      <c r="K953" s="196"/>
      <c r="L953" s="139"/>
      <c r="M953" s="196"/>
      <c r="N953" s="196"/>
      <c r="O953" s="196"/>
      <c r="P953" s="196"/>
      <c r="Q953" s="196"/>
      <c r="R953" s="196"/>
      <c r="S953" s="196"/>
      <c r="T953" s="196"/>
      <c r="U953" s="196"/>
      <c r="V953" s="196"/>
      <c r="W953" s="196"/>
      <c r="X953" s="196"/>
      <c r="Y953" s="196"/>
      <c r="Z953" s="196"/>
      <c r="AA953" s="196"/>
      <c r="AB953" s="196"/>
      <c r="AC953" s="196"/>
      <c r="AD953" s="196"/>
      <c r="AE953" s="196"/>
      <c r="AF953" s="196"/>
      <c r="AG953" s="196"/>
      <c r="AH953" s="196"/>
    </row>
    <row r="954">
      <c r="A954" s="196"/>
      <c r="B954" s="196"/>
      <c r="C954" s="196"/>
      <c r="D954" s="196"/>
      <c r="E954" s="196"/>
      <c r="F954" s="196"/>
      <c r="G954" s="196"/>
      <c r="H954" s="196"/>
      <c r="I954" s="139"/>
      <c r="J954" s="196"/>
      <c r="K954" s="196"/>
      <c r="L954" s="139"/>
      <c r="M954" s="196"/>
      <c r="N954" s="196"/>
      <c r="O954" s="196"/>
      <c r="P954" s="196"/>
      <c r="Q954" s="196"/>
      <c r="R954" s="196"/>
      <c r="S954" s="196"/>
      <c r="T954" s="196"/>
      <c r="U954" s="196"/>
      <c r="V954" s="196"/>
      <c r="W954" s="196"/>
      <c r="X954" s="196"/>
      <c r="Y954" s="196"/>
      <c r="Z954" s="196"/>
      <c r="AA954" s="196"/>
      <c r="AB954" s="196"/>
      <c r="AC954" s="196"/>
      <c r="AD954" s="196"/>
      <c r="AE954" s="196"/>
      <c r="AF954" s="196"/>
      <c r="AG954" s="196"/>
      <c r="AH954" s="196"/>
    </row>
    <row r="955">
      <c r="A955" s="196"/>
      <c r="B955" s="196"/>
      <c r="C955" s="196"/>
      <c r="D955" s="196"/>
      <c r="E955" s="196"/>
      <c r="F955" s="196"/>
      <c r="G955" s="196"/>
      <c r="H955" s="196"/>
      <c r="I955" s="139"/>
      <c r="J955" s="196"/>
      <c r="K955" s="196"/>
      <c r="L955" s="139"/>
      <c r="M955" s="196"/>
      <c r="N955" s="196"/>
      <c r="O955" s="196"/>
      <c r="P955" s="196"/>
      <c r="Q955" s="196"/>
      <c r="R955" s="196"/>
      <c r="S955" s="196"/>
      <c r="T955" s="196"/>
      <c r="U955" s="196"/>
      <c r="V955" s="196"/>
      <c r="W955" s="196"/>
      <c r="X955" s="196"/>
      <c r="Y955" s="196"/>
      <c r="Z955" s="196"/>
      <c r="AA955" s="196"/>
      <c r="AB955" s="196"/>
      <c r="AC955" s="196"/>
      <c r="AD955" s="196"/>
      <c r="AE955" s="196"/>
      <c r="AF955" s="196"/>
      <c r="AG955" s="196"/>
      <c r="AH955" s="196"/>
    </row>
    <row r="956">
      <c r="A956" s="196"/>
      <c r="B956" s="196"/>
      <c r="C956" s="196"/>
      <c r="D956" s="196"/>
      <c r="E956" s="196"/>
      <c r="F956" s="196"/>
      <c r="G956" s="196"/>
      <c r="H956" s="196"/>
      <c r="I956" s="139"/>
      <c r="J956" s="196"/>
      <c r="K956" s="196"/>
      <c r="L956" s="139"/>
      <c r="M956" s="196"/>
      <c r="N956" s="196"/>
      <c r="O956" s="196"/>
      <c r="P956" s="196"/>
      <c r="Q956" s="196"/>
      <c r="R956" s="196"/>
      <c r="S956" s="196"/>
      <c r="T956" s="196"/>
      <c r="U956" s="196"/>
      <c r="V956" s="196"/>
      <c r="W956" s="196"/>
      <c r="X956" s="196"/>
      <c r="Y956" s="196"/>
      <c r="Z956" s="196"/>
      <c r="AA956" s="196"/>
      <c r="AB956" s="196"/>
      <c r="AC956" s="196"/>
      <c r="AD956" s="196"/>
      <c r="AE956" s="196"/>
      <c r="AF956" s="196"/>
      <c r="AG956" s="196"/>
      <c r="AH956" s="196"/>
    </row>
    <row r="957">
      <c r="A957" s="196"/>
      <c r="B957" s="196"/>
      <c r="C957" s="196"/>
      <c r="D957" s="196"/>
      <c r="E957" s="196"/>
      <c r="F957" s="196"/>
      <c r="G957" s="196"/>
      <c r="H957" s="196"/>
      <c r="I957" s="139"/>
      <c r="J957" s="196"/>
      <c r="K957" s="196"/>
      <c r="L957" s="139"/>
      <c r="M957" s="196"/>
      <c r="N957" s="196"/>
      <c r="O957" s="196"/>
      <c r="P957" s="196"/>
      <c r="Q957" s="196"/>
      <c r="R957" s="196"/>
      <c r="S957" s="196"/>
      <c r="T957" s="196"/>
      <c r="U957" s="196"/>
      <c r="V957" s="196"/>
      <c r="W957" s="196"/>
      <c r="X957" s="196"/>
      <c r="Y957" s="196"/>
      <c r="Z957" s="196"/>
      <c r="AA957" s="196"/>
      <c r="AB957" s="196"/>
      <c r="AC957" s="196"/>
      <c r="AD957" s="196"/>
      <c r="AE957" s="196"/>
      <c r="AF957" s="196"/>
      <c r="AG957" s="196"/>
      <c r="AH957" s="196"/>
    </row>
    <row r="958">
      <c r="A958" s="196"/>
      <c r="B958" s="196"/>
      <c r="C958" s="196"/>
      <c r="D958" s="196"/>
      <c r="E958" s="196"/>
      <c r="F958" s="196"/>
      <c r="G958" s="196"/>
      <c r="H958" s="196"/>
      <c r="I958" s="139"/>
      <c r="J958" s="196"/>
      <c r="K958" s="196"/>
      <c r="L958" s="139"/>
      <c r="M958" s="196"/>
      <c r="N958" s="196"/>
      <c r="O958" s="196"/>
      <c r="P958" s="196"/>
      <c r="Q958" s="196"/>
      <c r="R958" s="196"/>
      <c r="S958" s="196"/>
      <c r="T958" s="196"/>
      <c r="U958" s="196"/>
      <c r="V958" s="196"/>
      <c r="W958" s="196"/>
      <c r="X958" s="196"/>
      <c r="Y958" s="196"/>
      <c r="Z958" s="196"/>
      <c r="AA958" s="196"/>
      <c r="AB958" s="196"/>
      <c r="AC958" s="196"/>
      <c r="AD958" s="196"/>
      <c r="AE958" s="196"/>
      <c r="AF958" s="196"/>
      <c r="AG958" s="196"/>
      <c r="AH958" s="196"/>
    </row>
    <row r="959">
      <c r="A959" s="196"/>
      <c r="B959" s="196"/>
      <c r="C959" s="196"/>
      <c r="D959" s="196"/>
      <c r="E959" s="196"/>
      <c r="F959" s="196"/>
      <c r="G959" s="196"/>
      <c r="H959" s="196"/>
      <c r="I959" s="139"/>
      <c r="J959" s="196"/>
      <c r="K959" s="196"/>
      <c r="L959" s="139"/>
      <c r="M959" s="196"/>
      <c r="N959" s="196"/>
      <c r="O959" s="196"/>
      <c r="P959" s="196"/>
      <c r="Q959" s="196"/>
      <c r="R959" s="196"/>
      <c r="S959" s="196"/>
      <c r="T959" s="196"/>
      <c r="U959" s="196"/>
      <c r="V959" s="196"/>
      <c r="W959" s="196"/>
      <c r="X959" s="196"/>
      <c r="Y959" s="196"/>
      <c r="Z959" s="196"/>
      <c r="AA959" s="196"/>
      <c r="AB959" s="196"/>
      <c r="AC959" s="196"/>
      <c r="AD959" s="196"/>
      <c r="AE959" s="196"/>
      <c r="AF959" s="196"/>
      <c r="AG959" s="196"/>
      <c r="AH959" s="196"/>
    </row>
    <row r="960">
      <c r="A960" s="196"/>
      <c r="B960" s="196"/>
      <c r="C960" s="196"/>
      <c r="D960" s="196"/>
      <c r="E960" s="196"/>
      <c r="F960" s="196"/>
      <c r="G960" s="196"/>
      <c r="H960" s="196"/>
      <c r="I960" s="139"/>
      <c r="J960" s="196"/>
      <c r="K960" s="196"/>
      <c r="L960" s="139"/>
      <c r="M960" s="196"/>
      <c r="N960" s="196"/>
      <c r="O960" s="196"/>
      <c r="P960" s="196"/>
      <c r="Q960" s="196"/>
      <c r="R960" s="196"/>
      <c r="S960" s="196"/>
      <c r="T960" s="196"/>
      <c r="U960" s="196"/>
      <c r="V960" s="196"/>
      <c r="W960" s="196"/>
      <c r="X960" s="196"/>
      <c r="Y960" s="196"/>
      <c r="Z960" s="196"/>
      <c r="AA960" s="196"/>
      <c r="AB960" s="196"/>
      <c r="AC960" s="196"/>
      <c r="AD960" s="196"/>
      <c r="AE960" s="196"/>
      <c r="AF960" s="196"/>
      <c r="AG960" s="196"/>
      <c r="AH960" s="196"/>
    </row>
    <row r="961">
      <c r="A961" s="196"/>
      <c r="B961" s="196"/>
      <c r="C961" s="196"/>
      <c r="D961" s="196"/>
      <c r="E961" s="196"/>
      <c r="F961" s="196"/>
      <c r="G961" s="196"/>
      <c r="H961" s="196"/>
      <c r="I961" s="139"/>
      <c r="J961" s="196"/>
      <c r="K961" s="196"/>
      <c r="L961" s="139"/>
      <c r="M961" s="196"/>
      <c r="N961" s="196"/>
      <c r="O961" s="196"/>
      <c r="P961" s="196"/>
      <c r="Q961" s="317"/>
      <c r="R961" s="317"/>
      <c r="S961" s="317"/>
      <c r="T961" s="317"/>
      <c r="U961" s="317"/>
      <c r="V961" s="196"/>
      <c r="W961" s="196"/>
      <c r="X961" s="196"/>
      <c r="Y961" s="196"/>
      <c r="Z961" s="196"/>
      <c r="AA961" s="196"/>
      <c r="AB961" s="196"/>
      <c r="AC961" s="196"/>
      <c r="AD961" s="196"/>
      <c r="AE961" s="196"/>
      <c r="AF961" s="196"/>
      <c r="AG961" s="196"/>
      <c r="AH961" s="196"/>
    </row>
  </sheetData>
  <mergeCells count="42">
    <mergeCell ref="A1:A2"/>
    <mergeCell ref="B1:B2"/>
    <mergeCell ref="C1:C2"/>
    <mergeCell ref="D1:D2"/>
    <mergeCell ref="E1:E2"/>
    <mergeCell ref="F1:F2"/>
    <mergeCell ref="G1:G2"/>
    <mergeCell ref="H1:H2"/>
    <mergeCell ref="I1:V1"/>
    <mergeCell ref="S2:V2"/>
    <mergeCell ref="S5:V5"/>
    <mergeCell ref="S6:V6"/>
    <mergeCell ref="S7:V7"/>
    <mergeCell ref="S8:V8"/>
    <mergeCell ref="S10:V10"/>
    <mergeCell ref="S11:V11"/>
    <mergeCell ref="S12:V12"/>
    <mergeCell ref="S13:V13"/>
    <mergeCell ref="S16:V16"/>
    <mergeCell ref="S17:V17"/>
    <mergeCell ref="S18:V18"/>
    <mergeCell ref="S19:V19"/>
    <mergeCell ref="S20:V20"/>
    <mergeCell ref="S21:V21"/>
    <mergeCell ref="S23:V23"/>
    <mergeCell ref="S25:V25"/>
    <mergeCell ref="S26:V26"/>
    <mergeCell ref="S27:V27"/>
    <mergeCell ref="S35:V35"/>
    <mergeCell ref="S36:V36"/>
    <mergeCell ref="S37:V37"/>
    <mergeCell ref="S38:V38"/>
    <mergeCell ref="S41:V41"/>
    <mergeCell ref="S43:V43"/>
    <mergeCell ref="S44:V44"/>
    <mergeCell ref="S28:V28"/>
    <mergeCell ref="S29:V29"/>
    <mergeCell ref="S30:V30"/>
    <mergeCell ref="S31:V31"/>
    <mergeCell ref="S32:V32"/>
    <mergeCell ref="S33:V33"/>
    <mergeCell ref="S34:V34"/>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75"/>
    <col customWidth="1" min="3" max="3" width="19.63"/>
    <col customWidth="1" min="4" max="4" width="65.75"/>
    <col customWidth="1" min="5" max="5" width="44.5"/>
    <col customWidth="1" min="8" max="8" width="19.75"/>
    <col customWidth="1" min="11" max="11" width="96.88"/>
  </cols>
  <sheetData>
    <row r="1">
      <c r="A1" s="318">
        <v>3.0</v>
      </c>
    </row>
    <row r="2">
      <c r="B2" s="319" t="s">
        <v>449</v>
      </c>
      <c r="C2" s="34"/>
      <c r="D2" s="34"/>
      <c r="E2" s="14"/>
      <c r="G2" s="320" t="s">
        <v>450</v>
      </c>
      <c r="H2" s="34"/>
      <c r="I2" s="34"/>
      <c r="J2" s="34"/>
      <c r="K2" s="34"/>
      <c r="L2" s="14"/>
    </row>
    <row r="3">
      <c r="B3" s="321" t="s">
        <v>183</v>
      </c>
      <c r="C3" s="322" t="s">
        <v>451</v>
      </c>
      <c r="D3" s="322" t="s">
        <v>452</v>
      </c>
      <c r="E3" s="322" t="s">
        <v>172</v>
      </c>
      <c r="G3" s="323" t="s">
        <v>183</v>
      </c>
      <c r="H3" s="323" t="s">
        <v>170</v>
      </c>
      <c r="I3" s="323" t="s">
        <v>453</v>
      </c>
      <c r="J3" s="323" t="s">
        <v>172</v>
      </c>
      <c r="K3" s="323" t="s">
        <v>174</v>
      </c>
      <c r="L3" s="323" t="s">
        <v>454</v>
      </c>
    </row>
    <row r="4">
      <c r="B4" s="123" t="s">
        <v>455</v>
      </c>
      <c r="C4" s="123" t="s">
        <v>456</v>
      </c>
      <c r="D4" s="123" t="s">
        <v>457</v>
      </c>
      <c r="E4" s="123" t="s">
        <v>203</v>
      </c>
      <c r="G4" s="324" t="s">
        <v>458</v>
      </c>
      <c r="H4" s="324" t="s">
        <v>459</v>
      </c>
      <c r="I4" s="324" t="s">
        <v>460</v>
      </c>
      <c r="J4" s="324" t="s">
        <v>461</v>
      </c>
      <c r="K4" s="324" t="s">
        <v>462</v>
      </c>
      <c r="L4" s="325">
        <v>3.0</v>
      </c>
    </row>
    <row r="5">
      <c r="B5" s="117" t="s">
        <v>463</v>
      </c>
      <c r="C5" s="117" t="s">
        <v>464</v>
      </c>
      <c r="D5" s="117" t="s">
        <v>465</v>
      </c>
      <c r="E5" s="117" t="s">
        <v>203</v>
      </c>
      <c r="G5" s="324" t="s">
        <v>466</v>
      </c>
      <c r="H5" s="324" t="s">
        <v>467</v>
      </c>
      <c r="I5" s="324" t="s">
        <v>460</v>
      </c>
      <c r="J5" s="324" t="s">
        <v>199</v>
      </c>
      <c r="K5" s="324" t="s">
        <v>468</v>
      </c>
      <c r="L5" s="325">
        <v>2.0</v>
      </c>
    </row>
    <row r="6">
      <c r="B6" s="123" t="s">
        <v>469</v>
      </c>
      <c r="C6" s="123" t="s">
        <v>464</v>
      </c>
      <c r="D6" s="123" t="s">
        <v>470</v>
      </c>
      <c r="E6" s="123" t="s">
        <v>199</v>
      </c>
      <c r="G6" s="324" t="s">
        <v>471</v>
      </c>
      <c r="H6" s="324" t="s">
        <v>472</v>
      </c>
      <c r="I6" s="324" t="s">
        <v>460</v>
      </c>
      <c r="J6" s="324" t="s">
        <v>461</v>
      </c>
      <c r="K6" s="324" t="s">
        <v>473</v>
      </c>
      <c r="L6" s="325">
        <v>5.0</v>
      </c>
    </row>
    <row r="7">
      <c r="B7" s="117" t="s">
        <v>474</v>
      </c>
      <c r="C7" s="117" t="s">
        <v>475</v>
      </c>
      <c r="D7" s="117" t="s">
        <v>123</v>
      </c>
      <c r="E7" s="117" t="s">
        <v>207</v>
      </c>
      <c r="G7" s="324" t="s">
        <v>476</v>
      </c>
      <c r="H7" s="324" t="s">
        <v>477</v>
      </c>
      <c r="I7" s="324" t="s">
        <v>460</v>
      </c>
      <c r="J7" s="324" t="s">
        <v>461</v>
      </c>
      <c r="K7" s="324" t="s">
        <v>478</v>
      </c>
      <c r="L7" s="325">
        <v>1.0</v>
      </c>
    </row>
    <row r="8">
      <c r="B8" s="123" t="s">
        <v>479</v>
      </c>
      <c r="C8" s="123" t="s">
        <v>480</v>
      </c>
      <c r="D8" s="123" t="s">
        <v>481</v>
      </c>
      <c r="E8" s="123" t="s">
        <v>225</v>
      </c>
      <c r="G8" s="324" t="s">
        <v>482</v>
      </c>
      <c r="H8" s="324" t="s">
        <v>267</v>
      </c>
      <c r="I8" s="324" t="s">
        <v>483</v>
      </c>
      <c r="J8" s="324" t="s">
        <v>203</v>
      </c>
      <c r="K8" s="324" t="s">
        <v>484</v>
      </c>
      <c r="L8" s="324">
        <v>1.0</v>
      </c>
    </row>
    <row r="9">
      <c r="B9" s="117" t="s">
        <v>485</v>
      </c>
      <c r="C9" s="117" t="s">
        <v>486</v>
      </c>
      <c r="D9" s="117" t="s">
        <v>487</v>
      </c>
      <c r="E9" s="117" t="s">
        <v>488</v>
      </c>
    </row>
    <row r="10">
      <c r="B10" s="123" t="s">
        <v>489</v>
      </c>
      <c r="C10" s="123" t="s">
        <v>490</v>
      </c>
      <c r="D10" s="123" t="s">
        <v>491</v>
      </c>
      <c r="E10" s="123" t="s">
        <v>203</v>
      </c>
      <c r="R10" s="192"/>
      <c r="S10" s="192"/>
    </row>
    <row r="11">
      <c r="B11" s="117" t="s">
        <v>492</v>
      </c>
      <c r="C11" s="117" t="s">
        <v>456</v>
      </c>
      <c r="D11" s="117" t="s">
        <v>493</v>
      </c>
      <c r="E11" s="117" t="s">
        <v>207</v>
      </c>
      <c r="R11" s="192"/>
      <c r="S11" s="191"/>
    </row>
    <row r="12">
      <c r="B12" s="123" t="s">
        <v>494</v>
      </c>
      <c r="C12" s="123" t="s">
        <v>243</v>
      </c>
      <c r="D12" s="123" t="s">
        <v>495</v>
      </c>
      <c r="E12" s="123" t="s">
        <v>199</v>
      </c>
      <c r="R12" s="192"/>
      <c r="S12" s="191"/>
    </row>
    <row r="13">
      <c r="B13" s="117" t="s">
        <v>496</v>
      </c>
      <c r="C13" s="117" t="s">
        <v>497</v>
      </c>
      <c r="D13" s="117" t="s">
        <v>498</v>
      </c>
      <c r="E13" s="117" t="s">
        <v>499</v>
      </c>
      <c r="R13" s="192"/>
      <c r="S13" s="192"/>
    </row>
    <row r="14">
      <c r="B14" s="117" t="s">
        <v>500</v>
      </c>
      <c r="C14" s="117" t="s">
        <v>501</v>
      </c>
      <c r="D14" s="117" t="s">
        <v>502</v>
      </c>
      <c r="E14" s="117" t="s">
        <v>211</v>
      </c>
      <c r="R14" s="192"/>
      <c r="S14" s="191"/>
    </row>
    <row r="15">
      <c r="B15" s="133" t="s">
        <v>503</v>
      </c>
      <c r="C15" s="34"/>
      <c r="D15" s="34"/>
      <c r="E15" s="14"/>
      <c r="R15" s="192"/>
      <c r="S15" s="192"/>
    </row>
    <row r="16">
      <c r="R16" s="192"/>
      <c r="S16" s="191"/>
    </row>
    <row r="17">
      <c r="B17" s="326" t="s">
        <v>504</v>
      </c>
      <c r="R17" s="192"/>
      <c r="S17" s="192"/>
    </row>
    <row r="18">
      <c r="B18" s="327" t="s">
        <v>183</v>
      </c>
      <c r="C18" s="328" t="s">
        <v>451</v>
      </c>
      <c r="D18" s="328" t="s">
        <v>505</v>
      </c>
      <c r="E18" s="328" t="s">
        <v>172</v>
      </c>
      <c r="F18" s="318" t="s">
        <v>506</v>
      </c>
      <c r="R18" s="192"/>
      <c r="S18" s="191"/>
    </row>
    <row r="19">
      <c r="B19" s="284" t="s">
        <v>507</v>
      </c>
      <c r="C19" s="284" t="s">
        <v>241</v>
      </c>
      <c r="D19" s="284" t="s">
        <v>508</v>
      </c>
      <c r="E19" s="284" t="s">
        <v>333</v>
      </c>
      <c r="R19" s="192"/>
      <c r="S19" s="192"/>
    </row>
    <row r="20">
      <c r="B20" s="138" t="s">
        <v>509</v>
      </c>
      <c r="C20" s="138" t="s">
        <v>267</v>
      </c>
      <c r="D20" s="117" t="s">
        <v>510</v>
      </c>
      <c r="E20" s="138" t="s">
        <v>333</v>
      </c>
    </row>
    <row r="21">
      <c r="B21" s="284" t="s">
        <v>511</v>
      </c>
      <c r="C21" s="284" t="s">
        <v>295</v>
      </c>
      <c r="D21" s="123" t="s">
        <v>512</v>
      </c>
      <c r="E21" s="284" t="s">
        <v>513</v>
      </c>
    </row>
    <row r="22">
      <c r="B22" s="138" t="s">
        <v>514</v>
      </c>
      <c r="C22" s="138" t="s">
        <v>267</v>
      </c>
      <c r="D22" s="117" t="s">
        <v>515</v>
      </c>
      <c r="E22" s="138" t="s">
        <v>513</v>
      </c>
    </row>
    <row r="23">
      <c r="B23" s="284" t="s">
        <v>516</v>
      </c>
      <c r="C23" s="284" t="s">
        <v>293</v>
      </c>
      <c r="D23" s="123" t="s">
        <v>517</v>
      </c>
      <c r="E23" s="284" t="s">
        <v>518</v>
      </c>
    </row>
    <row r="24">
      <c r="B24" s="138" t="s">
        <v>519</v>
      </c>
      <c r="C24" s="138" t="s">
        <v>267</v>
      </c>
      <c r="D24" s="138" t="s">
        <v>520</v>
      </c>
      <c r="E24" s="138" t="s">
        <v>333</v>
      </c>
    </row>
    <row r="25">
      <c r="B25" s="284" t="s">
        <v>521</v>
      </c>
      <c r="C25" s="284" t="s">
        <v>241</v>
      </c>
      <c r="D25" s="284" t="s">
        <v>522</v>
      </c>
      <c r="E25" s="284" t="s">
        <v>333</v>
      </c>
    </row>
    <row r="26">
      <c r="B26" s="138" t="s">
        <v>523</v>
      </c>
      <c r="C26" s="138" t="s">
        <v>267</v>
      </c>
      <c r="D26" s="117" t="s">
        <v>524</v>
      </c>
      <c r="E26" s="138" t="s">
        <v>513</v>
      </c>
    </row>
    <row r="27">
      <c r="B27" s="123" t="s">
        <v>525</v>
      </c>
      <c r="C27" s="123" t="s">
        <v>526</v>
      </c>
      <c r="D27" s="123" t="s">
        <v>527</v>
      </c>
      <c r="E27" s="123" t="s">
        <v>333</v>
      </c>
    </row>
    <row r="28">
      <c r="E28" s="329"/>
    </row>
    <row r="29">
      <c r="E29" s="330"/>
    </row>
  </sheetData>
  <mergeCells count="4">
    <mergeCell ref="B2:E2"/>
    <mergeCell ref="G2:L2"/>
    <mergeCell ref="B15:E15"/>
    <mergeCell ref="B17:E1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5"/>
    <col customWidth="1" min="3" max="3" width="10.25"/>
    <col customWidth="1" min="4" max="4" width="7.5"/>
    <col customWidth="1" min="5" max="5" width="10.25"/>
    <col customWidth="1" min="6" max="6" width="15.63"/>
    <col customWidth="1" min="7" max="7" width="19.13"/>
    <col customWidth="1" min="8" max="8" width="2.0"/>
    <col customWidth="1" min="9" max="9" width="22.5"/>
    <col customWidth="1" min="10" max="10" width="52.5"/>
    <col customWidth="1" min="12" max="12" width="17.75"/>
    <col customWidth="1" min="13" max="13" width="30.75"/>
  </cols>
  <sheetData>
    <row r="1">
      <c r="B1" s="331"/>
      <c r="C1" s="331"/>
      <c r="D1" s="331"/>
      <c r="E1" s="331"/>
      <c r="F1" s="331"/>
      <c r="G1" s="331"/>
      <c r="H1" s="331"/>
      <c r="I1" s="331"/>
      <c r="J1" s="331"/>
    </row>
    <row r="2">
      <c r="B2" s="332" t="s">
        <v>528</v>
      </c>
      <c r="C2" s="34"/>
      <c r="D2" s="34"/>
      <c r="E2" s="34"/>
      <c r="F2" s="34"/>
      <c r="G2" s="14"/>
      <c r="H2" s="331"/>
      <c r="I2" s="333" t="s">
        <v>529</v>
      </c>
      <c r="J2" s="333" t="s">
        <v>530</v>
      </c>
    </row>
    <row r="3">
      <c r="B3" s="334" t="s">
        <v>2</v>
      </c>
      <c r="C3" s="335" t="s">
        <v>531</v>
      </c>
      <c r="D3" s="34"/>
      <c r="E3" s="34"/>
      <c r="F3" s="34"/>
      <c r="G3" s="14"/>
      <c r="H3" s="331"/>
      <c r="I3" s="117" t="s">
        <v>532</v>
      </c>
      <c r="J3" s="117" t="s">
        <v>533</v>
      </c>
    </row>
    <row r="4">
      <c r="B4" s="336" t="s">
        <v>308</v>
      </c>
      <c r="C4" s="337" t="s">
        <v>534</v>
      </c>
      <c r="D4" s="34"/>
      <c r="E4" s="34"/>
      <c r="F4" s="34"/>
      <c r="G4" s="14"/>
      <c r="H4" s="331"/>
      <c r="I4" s="123" t="s">
        <v>535</v>
      </c>
      <c r="J4" s="123" t="s">
        <v>536</v>
      </c>
    </row>
    <row r="5">
      <c r="B5" s="334" t="s">
        <v>424</v>
      </c>
      <c r="C5" s="335" t="s">
        <v>537</v>
      </c>
      <c r="D5" s="34"/>
      <c r="E5" s="34"/>
      <c r="F5" s="34"/>
      <c r="G5" s="14"/>
      <c r="H5" s="331"/>
      <c r="I5" s="117" t="s">
        <v>538</v>
      </c>
      <c r="J5" s="117" t="s">
        <v>539</v>
      </c>
    </row>
    <row r="6">
      <c r="B6" s="331"/>
      <c r="C6" s="331"/>
      <c r="D6" s="331"/>
      <c r="E6" s="331"/>
      <c r="F6" s="331"/>
      <c r="G6" s="331"/>
      <c r="H6" s="331"/>
      <c r="I6" s="331"/>
      <c r="J6" s="331"/>
    </row>
    <row r="7">
      <c r="B7" s="331" t="s">
        <v>540</v>
      </c>
      <c r="C7" s="331"/>
      <c r="D7" s="331"/>
      <c r="E7" s="331"/>
      <c r="F7" s="331"/>
      <c r="G7" s="331"/>
      <c r="H7" s="331"/>
      <c r="I7" s="331"/>
      <c r="J7" s="331"/>
    </row>
    <row r="8">
      <c r="B8" s="338" t="s">
        <v>167</v>
      </c>
      <c r="C8" s="338" t="s">
        <v>541</v>
      </c>
      <c r="D8" s="338" t="s">
        <v>171</v>
      </c>
      <c r="E8" s="338" t="s">
        <v>172</v>
      </c>
      <c r="F8" s="338" t="s">
        <v>542</v>
      </c>
      <c r="G8" s="319" t="s">
        <v>174</v>
      </c>
      <c r="H8" s="34"/>
      <c r="I8" s="34"/>
      <c r="J8" s="14"/>
    </row>
    <row r="9">
      <c r="B9" s="122"/>
      <c r="C9" s="123"/>
      <c r="D9" s="123"/>
      <c r="E9" s="123"/>
      <c r="F9" s="123"/>
      <c r="G9" s="126"/>
      <c r="H9" s="34"/>
      <c r="I9" s="34"/>
      <c r="J9" s="14"/>
    </row>
    <row r="10">
      <c r="B10" s="130" t="s">
        <v>543</v>
      </c>
      <c r="C10" s="220" t="s">
        <v>327</v>
      </c>
      <c r="D10" s="117">
        <v>3.0</v>
      </c>
      <c r="E10" s="117" t="s">
        <v>203</v>
      </c>
      <c r="F10" s="117" t="s">
        <v>544</v>
      </c>
      <c r="G10" s="133" t="s">
        <v>545</v>
      </c>
      <c r="H10" s="34"/>
      <c r="I10" s="34"/>
      <c r="J10" s="14"/>
      <c r="L10" s="139"/>
    </row>
    <row r="11">
      <c r="B11" s="122" t="s">
        <v>546</v>
      </c>
      <c r="C11" s="179" t="s">
        <v>547</v>
      </c>
      <c r="D11" s="123">
        <v>4.0</v>
      </c>
      <c r="E11" s="123" t="s">
        <v>199</v>
      </c>
      <c r="F11" s="123" t="s">
        <v>544</v>
      </c>
      <c r="G11" s="126" t="s">
        <v>548</v>
      </c>
      <c r="H11" s="34"/>
      <c r="I11" s="34"/>
      <c r="J11" s="14"/>
      <c r="L11" s="139"/>
    </row>
    <row r="12">
      <c r="B12" s="130" t="s">
        <v>549</v>
      </c>
      <c r="C12" s="220" t="s">
        <v>339</v>
      </c>
      <c r="D12" s="117">
        <v>3.0</v>
      </c>
      <c r="E12" s="117" t="s">
        <v>225</v>
      </c>
      <c r="F12" s="117" t="s">
        <v>550</v>
      </c>
      <c r="G12" s="133" t="s">
        <v>551</v>
      </c>
      <c r="H12" s="34"/>
      <c r="I12" s="34"/>
      <c r="J12" s="14"/>
      <c r="L12" s="139"/>
    </row>
    <row r="13">
      <c r="B13" s="122" t="s">
        <v>552</v>
      </c>
      <c r="C13" s="179" t="s">
        <v>293</v>
      </c>
      <c r="D13" s="123">
        <v>3.0</v>
      </c>
      <c r="E13" s="123" t="s">
        <v>203</v>
      </c>
      <c r="F13" s="123" t="s">
        <v>553</v>
      </c>
      <c r="G13" s="126" t="s">
        <v>554</v>
      </c>
      <c r="H13" s="34"/>
      <c r="I13" s="34"/>
      <c r="J13" s="14"/>
      <c r="L13" s="139"/>
    </row>
    <row r="14">
      <c r="B14" s="130" t="s">
        <v>555</v>
      </c>
      <c r="C14" s="220" t="s">
        <v>332</v>
      </c>
      <c r="D14" s="117">
        <v>3.0</v>
      </c>
      <c r="E14" s="117" t="s">
        <v>199</v>
      </c>
      <c r="F14" s="117" t="s">
        <v>553</v>
      </c>
      <c r="G14" s="133" t="s">
        <v>556</v>
      </c>
      <c r="H14" s="34"/>
      <c r="I14" s="34"/>
      <c r="J14" s="14"/>
      <c r="L14" s="139"/>
    </row>
    <row r="15">
      <c r="B15" s="122" t="s">
        <v>557</v>
      </c>
      <c r="C15" s="179" t="s">
        <v>267</v>
      </c>
      <c r="D15" s="123">
        <v>2.0</v>
      </c>
      <c r="E15" s="123" t="s">
        <v>199</v>
      </c>
      <c r="F15" s="123" t="s">
        <v>553</v>
      </c>
      <c r="G15" s="126" t="s">
        <v>558</v>
      </c>
      <c r="H15" s="34"/>
      <c r="I15" s="34"/>
      <c r="J15" s="14"/>
      <c r="L15" s="139"/>
      <c r="N15" s="339"/>
      <c r="O15" s="339"/>
    </row>
    <row r="16">
      <c r="B16" s="130" t="s">
        <v>559</v>
      </c>
      <c r="C16" s="220" t="s">
        <v>341</v>
      </c>
      <c r="D16" s="117">
        <v>4.0</v>
      </c>
      <c r="E16" s="117" t="s">
        <v>199</v>
      </c>
      <c r="F16" s="117" t="s">
        <v>553</v>
      </c>
      <c r="G16" s="133" t="s">
        <v>560</v>
      </c>
      <c r="H16" s="34"/>
      <c r="I16" s="34"/>
      <c r="J16" s="14"/>
      <c r="L16" s="139"/>
      <c r="N16" s="339"/>
      <c r="O16" s="339"/>
    </row>
    <row r="17">
      <c r="B17" s="122" t="s">
        <v>561</v>
      </c>
      <c r="C17" s="179" t="s">
        <v>327</v>
      </c>
      <c r="D17" s="123">
        <v>3.0</v>
      </c>
      <c r="E17" s="123" t="s">
        <v>203</v>
      </c>
      <c r="F17" s="123" t="s">
        <v>562</v>
      </c>
      <c r="G17" s="126" t="s">
        <v>563</v>
      </c>
      <c r="H17" s="34"/>
      <c r="I17" s="34"/>
      <c r="J17" s="14"/>
      <c r="L17" s="139"/>
    </row>
    <row r="18">
      <c r="B18" s="130" t="s">
        <v>564</v>
      </c>
      <c r="C18" s="220" t="s">
        <v>547</v>
      </c>
      <c r="D18" s="117">
        <v>4.0</v>
      </c>
      <c r="E18" s="117" t="s">
        <v>565</v>
      </c>
      <c r="F18" s="117" t="s">
        <v>566</v>
      </c>
      <c r="G18" s="133" t="s">
        <v>567</v>
      </c>
      <c r="H18" s="34"/>
      <c r="I18" s="34"/>
      <c r="J18" s="14"/>
      <c r="L18" s="139"/>
    </row>
    <row r="19">
      <c r="B19" s="122" t="s">
        <v>568</v>
      </c>
      <c r="C19" s="179" t="s">
        <v>569</v>
      </c>
      <c r="D19" s="123">
        <v>4.0</v>
      </c>
      <c r="E19" s="123" t="s">
        <v>565</v>
      </c>
      <c r="F19" s="123" t="s">
        <v>566</v>
      </c>
      <c r="G19" s="126" t="s">
        <v>570</v>
      </c>
      <c r="H19" s="34"/>
      <c r="I19" s="34"/>
      <c r="J19" s="14"/>
      <c r="L19" s="139"/>
    </row>
    <row r="20">
      <c r="B20" s="340" t="s">
        <v>571</v>
      </c>
      <c r="C20" s="287" t="s">
        <v>572</v>
      </c>
      <c r="D20" s="138">
        <v>6.0</v>
      </c>
      <c r="E20" s="138" t="s">
        <v>199</v>
      </c>
      <c r="F20" s="138" t="s">
        <v>566</v>
      </c>
      <c r="G20" s="133" t="s">
        <v>573</v>
      </c>
      <c r="H20" s="34"/>
      <c r="I20" s="34"/>
      <c r="J20" s="14"/>
      <c r="L20" s="139"/>
    </row>
    <row r="21">
      <c r="B21" s="293" t="s">
        <v>574</v>
      </c>
      <c r="C21" s="285" t="s">
        <v>575</v>
      </c>
      <c r="D21" s="284">
        <v>6.0</v>
      </c>
      <c r="E21" s="284" t="s">
        <v>207</v>
      </c>
      <c r="F21" s="284" t="s">
        <v>566</v>
      </c>
      <c r="G21" s="126" t="s">
        <v>576</v>
      </c>
      <c r="H21" s="34"/>
      <c r="I21" s="34"/>
      <c r="J21" s="14"/>
      <c r="L21" s="139"/>
    </row>
    <row r="22">
      <c r="B22" s="340" t="s">
        <v>577</v>
      </c>
      <c r="C22" s="287" t="s">
        <v>341</v>
      </c>
      <c r="D22" s="138">
        <v>4.0</v>
      </c>
      <c r="E22" s="138" t="s">
        <v>203</v>
      </c>
      <c r="F22" s="138" t="s">
        <v>578</v>
      </c>
      <c r="G22" s="133" t="s">
        <v>579</v>
      </c>
      <c r="H22" s="34"/>
      <c r="I22" s="34"/>
      <c r="J22" s="14"/>
      <c r="L22" s="139"/>
    </row>
    <row r="23">
      <c r="B23" s="341"/>
      <c r="C23" s="342"/>
      <c r="D23" s="342"/>
      <c r="E23" s="342"/>
      <c r="F23" s="342"/>
      <c r="G23" s="343"/>
      <c r="H23" s="34"/>
      <c r="I23" s="34"/>
      <c r="J23" s="14"/>
    </row>
    <row r="24">
      <c r="B24" s="344"/>
      <c r="C24" s="345"/>
      <c r="D24" s="345"/>
      <c r="E24" s="345"/>
      <c r="F24" s="345"/>
      <c r="G24" s="346"/>
      <c r="H24" s="34"/>
      <c r="I24" s="34"/>
      <c r="J24" s="14"/>
    </row>
    <row r="25">
      <c r="B25" s="347" t="s">
        <v>580</v>
      </c>
      <c r="C25" s="34"/>
      <c r="D25" s="34"/>
      <c r="E25" s="34"/>
      <c r="F25" s="34"/>
      <c r="G25" s="34"/>
      <c r="H25" s="34"/>
      <c r="I25" s="34"/>
      <c r="J25" s="14"/>
    </row>
    <row r="26">
      <c r="B26" s="338" t="s">
        <v>167</v>
      </c>
      <c r="C26" s="338" t="s">
        <v>541</v>
      </c>
      <c r="D26" s="338" t="s">
        <v>171</v>
      </c>
      <c r="E26" s="338" t="s">
        <v>172</v>
      </c>
      <c r="F26" s="319" t="s">
        <v>581</v>
      </c>
      <c r="G26" s="14"/>
      <c r="H26" s="319" t="s">
        <v>174</v>
      </c>
      <c r="I26" s="34"/>
      <c r="J26" s="14"/>
    </row>
    <row r="27">
      <c r="A27" s="318"/>
      <c r="B27" s="130" t="s">
        <v>582</v>
      </c>
      <c r="C27" s="220" t="s">
        <v>583</v>
      </c>
      <c r="D27" s="117">
        <v>5.0</v>
      </c>
      <c r="E27" s="117" t="s">
        <v>225</v>
      </c>
      <c r="F27" s="133" t="s">
        <v>584</v>
      </c>
      <c r="G27" s="14"/>
      <c r="H27" s="260" t="s">
        <v>585</v>
      </c>
      <c r="I27" s="34"/>
      <c r="J27" s="14"/>
      <c r="L27" s="139"/>
    </row>
    <row r="28">
      <c r="B28" s="122" t="s">
        <v>586</v>
      </c>
      <c r="C28" s="179" t="s">
        <v>365</v>
      </c>
      <c r="D28" s="123">
        <v>5.0</v>
      </c>
      <c r="E28" s="123" t="s">
        <v>26</v>
      </c>
      <c r="F28" s="126" t="s">
        <v>587</v>
      </c>
      <c r="G28" s="14"/>
      <c r="H28" s="238" t="s">
        <v>588</v>
      </c>
      <c r="I28" s="34"/>
      <c r="J28" s="14"/>
      <c r="L28" s="139"/>
    </row>
    <row r="29">
      <c r="B29" s="130" t="s">
        <v>589</v>
      </c>
      <c r="C29" s="220" t="s">
        <v>365</v>
      </c>
      <c r="D29" s="117">
        <v>5.0</v>
      </c>
      <c r="E29" s="117" t="s">
        <v>26</v>
      </c>
      <c r="F29" s="133" t="s">
        <v>590</v>
      </c>
      <c r="G29" s="14"/>
      <c r="H29" s="260" t="s">
        <v>591</v>
      </c>
      <c r="I29" s="34"/>
      <c r="J29" s="14"/>
      <c r="L29" s="139"/>
    </row>
    <row r="30">
      <c r="B30" s="122" t="s">
        <v>592</v>
      </c>
      <c r="C30" s="179" t="s">
        <v>593</v>
      </c>
      <c r="D30" s="123">
        <v>5.0</v>
      </c>
      <c r="E30" s="123" t="s">
        <v>594</v>
      </c>
      <c r="F30" s="126" t="s">
        <v>465</v>
      </c>
      <c r="G30" s="14"/>
      <c r="H30" s="238" t="s">
        <v>595</v>
      </c>
      <c r="I30" s="34"/>
      <c r="J30" s="14"/>
      <c r="L30" s="139"/>
    </row>
    <row r="31">
      <c r="B31" s="130" t="s">
        <v>596</v>
      </c>
      <c r="C31" s="220" t="s">
        <v>593</v>
      </c>
      <c r="D31" s="117">
        <v>5.0</v>
      </c>
      <c r="E31" s="117" t="s">
        <v>597</v>
      </c>
      <c r="F31" s="133" t="s">
        <v>465</v>
      </c>
      <c r="G31" s="14"/>
      <c r="H31" s="260" t="s">
        <v>598</v>
      </c>
      <c r="I31" s="34"/>
      <c r="J31" s="14"/>
      <c r="L31" s="139"/>
    </row>
    <row r="32">
      <c r="B32" s="122" t="s">
        <v>599</v>
      </c>
      <c r="C32" s="179" t="s">
        <v>593</v>
      </c>
      <c r="D32" s="123">
        <v>5.0</v>
      </c>
      <c r="E32" s="123" t="s">
        <v>26</v>
      </c>
      <c r="F32" s="126" t="s">
        <v>123</v>
      </c>
      <c r="G32" s="14"/>
      <c r="H32" s="238" t="s">
        <v>600</v>
      </c>
      <c r="I32" s="34"/>
      <c r="J32" s="14"/>
      <c r="L32" s="139"/>
    </row>
    <row r="33">
      <c r="B33" s="130" t="s">
        <v>601</v>
      </c>
      <c r="C33" s="220" t="s">
        <v>593</v>
      </c>
      <c r="D33" s="117">
        <v>5.0</v>
      </c>
      <c r="E33" s="117" t="s">
        <v>26</v>
      </c>
      <c r="F33" s="133" t="s">
        <v>123</v>
      </c>
      <c r="G33" s="14"/>
      <c r="H33" s="260" t="s">
        <v>602</v>
      </c>
      <c r="I33" s="34"/>
      <c r="J33" s="14"/>
      <c r="L33" s="139"/>
    </row>
    <row r="34">
      <c r="B34" s="122" t="s">
        <v>603</v>
      </c>
      <c r="C34" s="123" t="s">
        <v>26</v>
      </c>
      <c r="D34" s="123" t="s">
        <v>26</v>
      </c>
      <c r="E34" s="123" t="s">
        <v>604</v>
      </c>
      <c r="F34" s="126" t="s">
        <v>123</v>
      </c>
      <c r="G34" s="14"/>
      <c r="H34" s="238" t="s">
        <v>605</v>
      </c>
      <c r="I34" s="34"/>
      <c r="J34" s="14"/>
      <c r="L34" s="139"/>
    </row>
    <row r="35">
      <c r="B35" s="130" t="s">
        <v>606</v>
      </c>
      <c r="C35" s="220" t="s">
        <v>583</v>
      </c>
      <c r="D35" s="117">
        <v>5.0</v>
      </c>
      <c r="E35" s="117" t="s">
        <v>26</v>
      </c>
      <c r="F35" s="133" t="s">
        <v>607</v>
      </c>
      <c r="G35" s="14"/>
      <c r="H35" s="260" t="s">
        <v>608</v>
      </c>
      <c r="I35" s="34"/>
      <c r="J35" s="14"/>
      <c r="L35" s="139"/>
    </row>
    <row r="36">
      <c r="B36" s="122" t="s">
        <v>609</v>
      </c>
      <c r="C36" s="179" t="s">
        <v>610</v>
      </c>
      <c r="D36" s="123">
        <v>6.0</v>
      </c>
      <c r="E36" s="123" t="s">
        <v>26</v>
      </c>
      <c r="F36" s="126" t="s">
        <v>611</v>
      </c>
      <c r="G36" s="14"/>
      <c r="H36" s="238" t="s">
        <v>612</v>
      </c>
      <c r="I36" s="34"/>
      <c r="J36" s="14"/>
      <c r="L36" s="139"/>
    </row>
    <row r="37">
      <c r="B37" s="138" t="s">
        <v>613</v>
      </c>
      <c r="C37" s="287" t="s">
        <v>341</v>
      </c>
      <c r="D37" s="138">
        <v>4.0</v>
      </c>
      <c r="E37" s="138" t="s">
        <v>203</v>
      </c>
      <c r="F37" s="133" t="s">
        <v>614</v>
      </c>
      <c r="G37" s="14"/>
      <c r="H37" s="133" t="s">
        <v>615</v>
      </c>
      <c r="I37" s="34"/>
      <c r="J37" s="14"/>
      <c r="L37" s="139"/>
    </row>
    <row r="38">
      <c r="B38" s="284" t="s">
        <v>616</v>
      </c>
      <c r="C38" s="285" t="s">
        <v>583</v>
      </c>
      <c r="D38" s="284">
        <v>5.0</v>
      </c>
      <c r="E38" s="284" t="s">
        <v>191</v>
      </c>
      <c r="F38" s="126" t="s">
        <v>614</v>
      </c>
      <c r="G38" s="14"/>
      <c r="H38" s="126" t="s">
        <v>617</v>
      </c>
      <c r="I38" s="34"/>
      <c r="J38" s="14"/>
      <c r="L38" s="139"/>
    </row>
  </sheetData>
  <mergeCells count="48">
    <mergeCell ref="B2:G2"/>
    <mergeCell ref="C3:G3"/>
    <mergeCell ref="C4:G4"/>
    <mergeCell ref="C5:G5"/>
    <mergeCell ref="G8:J8"/>
    <mergeCell ref="G9:J9"/>
    <mergeCell ref="G10:J10"/>
    <mergeCell ref="G11:J11"/>
    <mergeCell ref="G12:J12"/>
    <mergeCell ref="G13:J13"/>
    <mergeCell ref="G14:J14"/>
    <mergeCell ref="G15:J15"/>
    <mergeCell ref="G16:J16"/>
    <mergeCell ref="G17:J17"/>
    <mergeCell ref="G18:J18"/>
    <mergeCell ref="G19:J19"/>
    <mergeCell ref="G20:J20"/>
    <mergeCell ref="G21:J21"/>
    <mergeCell ref="G22:J22"/>
    <mergeCell ref="G23:J23"/>
    <mergeCell ref="G24:J24"/>
    <mergeCell ref="B25:J25"/>
    <mergeCell ref="F26:G26"/>
    <mergeCell ref="H26:J26"/>
    <mergeCell ref="F27:G27"/>
    <mergeCell ref="H27:J27"/>
    <mergeCell ref="F28:G28"/>
    <mergeCell ref="H28:J28"/>
    <mergeCell ref="F32:G32"/>
    <mergeCell ref="F33:G33"/>
    <mergeCell ref="F34:G34"/>
    <mergeCell ref="F35:G35"/>
    <mergeCell ref="F36:G36"/>
    <mergeCell ref="F37:G37"/>
    <mergeCell ref="F38:G38"/>
    <mergeCell ref="H33:J33"/>
    <mergeCell ref="H34:J34"/>
    <mergeCell ref="H35:J35"/>
    <mergeCell ref="H36:J36"/>
    <mergeCell ref="H37:J37"/>
    <mergeCell ref="H38:J38"/>
    <mergeCell ref="F29:G29"/>
    <mergeCell ref="H29:J29"/>
    <mergeCell ref="F30:G30"/>
    <mergeCell ref="H30:J30"/>
    <mergeCell ref="F31:G31"/>
    <mergeCell ref="H31:J31"/>
    <mergeCell ref="H32:J3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8.75"/>
    <col customWidth="1" min="3" max="3" width="5.5"/>
    <col customWidth="1" min="4" max="4" width="7.38"/>
    <col customWidth="1" min="5" max="5" width="32.63"/>
    <col customWidth="1" min="6" max="6" width="5.88"/>
    <col customWidth="1" min="7" max="7" width="12.63"/>
    <col customWidth="1" min="9" max="9" width="17.75"/>
    <col customWidth="1" min="10" max="10" width="18.88"/>
    <col customWidth="1" min="11" max="11" width="19.75"/>
    <col customWidth="1" min="12" max="12" width="24.5"/>
  </cols>
  <sheetData>
    <row r="1">
      <c r="A1" s="348" t="s">
        <v>167</v>
      </c>
      <c r="B1" s="349" t="s">
        <v>541</v>
      </c>
      <c r="C1" s="349" t="s">
        <v>171</v>
      </c>
      <c r="D1" s="349" t="s">
        <v>618</v>
      </c>
      <c r="E1" s="349" t="s">
        <v>619</v>
      </c>
      <c r="F1" s="349" t="s">
        <v>620</v>
      </c>
      <c r="G1" s="349" t="s">
        <v>621</v>
      </c>
      <c r="H1" s="350" t="s">
        <v>186</v>
      </c>
      <c r="I1" s="351"/>
      <c r="J1" s="351"/>
      <c r="K1" s="351"/>
      <c r="L1" s="352"/>
    </row>
    <row r="2">
      <c r="A2" s="353"/>
      <c r="B2" s="354"/>
      <c r="C2" s="354"/>
      <c r="D2" s="354"/>
      <c r="E2" s="354"/>
      <c r="F2" s="354"/>
      <c r="G2" s="354"/>
      <c r="H2" s="355"/>
      <c r="I2" s="356"/>
      <c r="J2" s="356"/>
      <c r="K2" s="356"/>
      <c r="L2" s="357"/>
    </row>
    <row r="3">
      <c r="A3" s="358" t="s">
        <v>622</v>
      </c>
      <c r="B3" s="272"/>
      <c r="C3" s="272"/>
      <c r="D3" s="272"/>
      <c r="E3" s="272"/>
      <c r="F3" s="272"/>
      <c r="G3" s="272"/>
      <c r="H3" s="273"/>
      <c r="I3" s="273"/>
      <c r="J3" s="273"/>
      <c r="K3" s="273"/>
      <c r="L3" s="273"/>
    </row>
    <row r="4">
      <c r="A4" s="359" t="s">
        <v>623</v>
      </c>
      <c r="B4" s="360">
        <v>5.0</v>
      </c>
      <c r="C4" s="360">
        <v>1.0</v>
      </c>
      <c r="D4" s="360">
        <v>8.0</v>
      </c>
      <c r="E4" s="361" t="s">
        <v>624</v>
      </c>
      <c r="F4" s="360" t="s">
        <v>26</v>
      </c>
      <c r="G4" s="362" t="s">
        <v>625</v>
      </c>
      <c r="H4" s="363"/>
      <c r="I4" s="168"/>
      <c r="J4" s="168"/>
      <c r="K4" s="168"/>
      <c r="L4" s="364"/>
    </row>
    <row r="5">
      <c r="A5" s="365" t="s">
        <v>626</v>
      </c>
      <c r="B5" s="138">
        <v>10.0</v>
      </c>
      <c r="C5" s="138">
        <v>1.0</v>
      </c>
      <c r="D5" s="138">
        <v>10.0</v>
      </c>
      <c r="E5" s="366" t="s">
        <v>624</v>
      </c>
      <c r="F5" s="138" t="s">
        <v>26</v>
      </c>
      <c r="G5" s="367" t="s">
        <v>26</v>
      </c>
      <c r="H5" s="368"/>
      <c r="I5" s="120"/>
      <c r="J5" s="120"/>
      <c r="K5" s="120"/>
      <c r="L5" s="369"/>
    </row>
    <row r="6">
      <c r="A6" s="370" t="s">
        <v>627</v>
      </c>
      <c r="B6" s="284">
        <v>45.0</v>
      </c>
      <c r="C6" s="284">
        <v>2.0</v>
      </c>
      <c r="D6" s="284">
        <v>13.0</v>
      </c>
      <c r="E6" s="361" t="s">
        <v>628</v>
      </c>
      <c r="F6" s="284" t="s">
        <v>26</v>
      </c>
      <c r="G6" s="371" t="s">
        <v>26</v>
      </c>
      <c r="H6" s="363"/>
      <c r="I6" s="168"/>
      <c r="J6" s="168"/>
      <c r="K6" s="168"/>
      <c r="L6" s="364"/>
    </row>
    <row r="7">
      <c r="A7" s="372" t="s">
        <v>629</v>
      </c>
      <c r="B7" s="373">
        <v>15.0</v>
      </c>
      <c r="C7" s="373">
        <v>2.0</v>
      </c>
      <c r="D7" s="373">
        <v>5.0</v>
      </c>
      <c r="E7" s="366" t="s">
        <v>624</v>
      </c>
      <c r="F7" s="373" t="s">
        <v>26</v>
      </c>
      <c r="G7" s="374" t="s">
        <v>26</v>
      </c>
      <c r="H7" s="375" t="s">
        <v>630</v>
      </c>
      <c r="L7" s="376"/>
    </row>
    <row r="8">
      <c r="A8" s="377" t="s">
        <v>631</v>
      </c>
      <c r="B8" s="378"/>
      <c r="C8" s="378"/>
      <c r="D8" s="378"/>
      <c r="E8" s="378"/>
      <c r="F8" s="378"/>
      <c r="G8" s="378"/>
      <c r="H8" s="379"/>
      <c r="I8" s="379"/>
      <c r="J8" s="379"/>
      <c r="K8" s="379"/>
      <c r="L8" s="380"/>
    </row>
    <row r="9">
      <c r="A9" s="381" t="s">
        <v>632</v>
      </c>
      <c r="B9" s="382">
        <v>10.0</v>
      </c>
      <c r="C9" s="382">
        <v>1.0</v>
      </c>
      <c r="D9" s="382">
        <v>12.0</v>
      </c>
      <c r="E9" s="366" t="s">
        <v>633</v>
      </c>
      <c r="F9" s="382" t="s">
        <v>26</v>
      </c>
      <c r="G9" s="383" t="s">
        <v>26</v>
      </c>
      <c r="H9" s="368"/>
      <c r="I9" s="120"/>
      <c r="J9" s="120"/>
      <c r="K9" s="120"/>
      <c r="L9" s="369"/>
    </row>
    <row r="10">
      <c r="A10" s="370" t="s">
        <v>634</v>
      </c>
      <c r="B10" s="284">
        <v>50.0</v>
      </c>
      <c r="C10" s="284">
        <v>2.0</v>
      </c>
      <c r="D10" s="284">
        <v>20.0</v>
      </c>
      <c r="E10" s="361" t="s">
        <v>635</v>
      </c>
      <c r="F10" s="284" t="s">
        <v>26</v>
      </c>
      <c r="G10" s="371" t="s">
        <v>26</v>
      </c>
      <c r="H10" s="363"/>
      <c r="I10" s="168"/>
      <c r="J10" s="168"/>
      <c r="K10" s="168"/>
      <c r="L10" s="364"/>
    </row>
    <row r="11">
      <c r="A11" s="365" t="s">
        <v>636</v>
      </c>
      <c r="B11" s="138">
        <v>50.0</v>
      </c>
      <c r="C11" s="138">
        <v>2.0</v>
      </c>
      <c r="D11" s="138">
        <v>45.0</v>
      </c>
      <c r="E11" s="366" t="s">
        <v>637</v>
      </c>
      <c r="F11" s="138" t="s">
        <v>26</v>
      </c>
      <c r="G11" s="383" t="s">
        <v>625</v>
      </c>
      <c r="H11" s="368"/>
      <c r="I11" s="120"/>
      <c r="J11" s="120"/>
      <c r="K11" s="120"/>
      <c r="L11" s="369"/>
    </row>
    <row r="12">
      <c r="A12" s="370" t="s">
        <v>638</v>
      </c>
      <c r="B12" s="284">
        <v>400.0</v>
      </c>
      <c r="C12" s="284">
        <v>3.0</v>
      </c>
      <c r="D12" s="284">
        <v>20.0</v>
      </c>
      <c r="E12" s="361" t="s">
        <v>637</v>
      </c>
      <c r="F12" s="284" t="s">
        <v>26</v>
      </c>
      <c r="G12" s="371" t="s">
        <v>26</v>
      </c>
      <c r="H12" s="363"/>
      <c r="I12" s="168"/>
      <c r="J12" s="168"/>
      <c r="K12" s="168"/>
      <c r="L12" s="364"/>
    </row>
    <row r="13">
      <c r="A13" s="365" t="s">
        <v>639</v>
      </c>
      <c r="B13" s="138">
        <v>750.0</v>
      </c>
      <c r="C13" s="138">
        <v>3.0</v>
      </c>
      <c r="D13" s="138">
        <v>40.0</v>
      </c>
      <c r="E13" s="366" t="s">
        <v>640</v>
      </c>
      <c r="F13" s="138" t="s">
        <v>26</v>
      </c>
      <c r="G13" s="383" t="s">
        <v>625</v>
      </c>
      <c r="H13" s="368"/>
      <c r="I13" s="120"/>
      <c r="J13" s="120"/>
      <c r="K13" s="120"/>
      <c r="L13" s="369"/>
    </row>
    <row r="14">
      <c r="A14" s="384" t="s">
        <v>641</v>
      </c>
      <c r="B14" s="267" t="s">
        <v>26</v>
      </c>
      <c r="C14" s="267">
        <v>0.0</v>
      </c>
      <c r="D14" s="267">
        <v>10.0</v>
      </c>
      <c r="E14" s="361" t="s">
        <v>642</v>
      </c>
      <c r="F14" s="267" t="s">
        <v>26</v>
      </c>
      <c r="G14" s="385" t="s">
        <v>625</v>
      </c>
      <c r="H14" s="386"/>
      <c r="L14" s="387"/>
    </row>
    <row r="15">
      <c r="A15" s="388" t="s">
        <v>643</v>
      </c>
      <c r="B15" s="272"/>
      <c r="C15" s="272"/>
      <c r="D15" s="272"/>
      <c r="E15" s="272"/>
      <c r="F15" s="272"/>
      <c r="G15" s="272"/>
      <c r="H15" s="273"/>
      <c r="I15" s="273"/>
      <c r="J15" s="273"/>
      <c r="K15" s="273"/>
      <c r="L15" s="389"/>
    </row>
    <row r="16">
      <c r="A16" s="390" t="s">
        <v>644</v>
      </c>
      <c r="B16" s="360">
        <v>30.0</v>
      </c>
      <c r="C16" s="360">
        <v>1.0</v>
      </c>
      <c r="D16" s="360">
        <v>40.0</v>
      </c>
      <c r="E16" s="360">
        <v>14.0</v>
      </c>
      <c r="F16" s="360" t="s">
        <v>26</v>
      </c>
      <c r="G16" s="362" t="s">
        <v>625</v>
      </c>
      <c r="H16" s="363"/>
      <c r="I16" s="168"/>
      <c r="J16" s="168"/>
      <c r="K16" s="168"/>
      <c r="L16" s="364"/>
    </row>
    <row r="17">
      <c r="A17" s="391" t="s">
        <v>645</v>
      </c>
      <c r="B17" s="138">
        <v>75.0</v>
      </c>
      <c r="C17" s="138">
        <v>2.0</v>
      </c>
      <c r="D17" s="138">
        <v>55.0</v>
      </c>
      <c r="E17" s="138">
        <v>16.0</v>
      </c>
      <c r="F17" s="138" t="s">
        <v>26</v>
      </c>
      <c r="G17" s="383" t="s">
        <v>625</v>
      </c>
      <c r="H17" s="368"/>
      <c r="I17" s="120"/>
      <c r="J17" s="120"/>
      <c r="K17" s="120"/>
      <c r="L17" s="369"/>
    </row>
    <row r="18">
      <c r="A18" s="392" t="s">
        <v>646</v>
      </c>
      <c r="B18" s="284">
        <v>200.0</v>
      </c>
      <c r="C18" s="284">
        <v>3.0</v>
      </c>
      <c r="D18" s="284">
        <v>60.0</v>
      </c>
      <c r="E18" s="284">
        <v>17.0</v>
      </c>
      <c r="F18" s="284">
        <v>13.0</v>
      </c>
      <c r="G18" s="362" t="s">
        <v>625</v>
      </c>
      <c r="H18" s="363"/>
      <c r="I18" s="168"/>
      <c r="J18" s="168"/>
      <c r="K18" s="168"/>
      <c r="L18" s="364"/>
    </row>
    <row r="19">
      <c r="A19" s="391" t="s">
        <v>647</v>
      </c>
      <c r="B19" s="138">
        <v>1500.0</v>
      </c>
      <c r="C19" s="138">
        <v>4.0</v>
      </c>
      <c r="D19" s="138">
        <v>65.0</v>
      </c>
      <c r="E19" s="138">
        <v>18.0</v>
      </c>
      <c r="F19" s="138">
        <v>15.0</v>
      </c>
      <c r="G19" s="383" t="s">
        <v>625</v>
      </c>
      <c r="H19" s="368"/>
      <c r="I19" s="120"/>
      <c r="J19" s="120"/>
      <c r="K19" s="120"/>
      <c r="L19" s="369"/>
    </row>
    <row r="20">
      <c r="A20" s="384" t="s">
        <v>648</v>
      </c>
      <c r="B20" s="267">
        <v>1000.0</v>
      </c>
      <c r="C20" s="267">
        <v>3.0</v>
      </c>
      <c r="D20" s="267">
        <v>150.0</v>
      </c>
      <c r="E20" s="267">
        <v>17.0</v>
      </c>
      <c r="F20" s="267">
        <v>18.0</v>
      </c>
      <c r="G20" s="385" t="s">
        <v>625</v>
      </c>
      <c r="H20" s="386"/>
      <c r="L20" s="387"/>
    </row>
    <row r="21">
      <c r="A21" s="393" t="s">
        <v>649</v>
      </c>
      <c r="B21" s="272"/>
      <c r="C21" s="272"/>
      <c r="D21" s="272"/>
      <c r="E21" s="272"/>
      <c r="F21" s="272"/>
      <c r="G21" s="272"/>
      <c r="H21" s="273"/>
      <c r="I21" s="273"/>
      <c r="J21" s="273"/>
      <c r="K21" s="273"/>
      <c r="L21" s="389"/>
    </row>
    <row r="22">
      <c r="A22" s="394" t="s">
        <v>650</v>
      </c>
      <c r="B22" s="360">
        <v>10.0</v>
      </c>
      <c r="C22" s="360">
        <v>1.0</v>
      </c>
      <c r="D22" s="360">
        <v>6.0</v>
      </c>
      <c r="E22" s="360" t="str">
        <f>"+2"</f>
        <v>+2</v>
      </c>
      <c r="F22" s="360" t="s">
        <v>26</v>
      </c>
      <c r="G22" s="362" t="s">
        <v>26</v>
      </c>
      <c r="H22" s="363"/>
      <c r="I22" s="168"/>
      <c r="J22" s="168"/>
      <c r="K22" s="168"/>
      <c r="L22" s="364"/>
    </row>
    <row r="23">
      <c r="A23" s="391" t="s">
        <v>651</v>
      </c>
      <c r="B23" s="138">
        <v>8.0</v>
      </c>
      <c r="C23" s="138">
        <v>1.0</v>
      </c>
      <c r="D23" s="138">
        <v>3.0</v>
      </c>
      <c r="E23" s="382" t="str">
        <f>"+1"</f>
        <v>+1</v>
      </c>
      <c r="F23" s="138" t="s">
        <v>26</v>
      </c>
      <c r="G23" s="367" t="s">
        <v>26</v>
      </c>
      <c r="H23" s="395" t="s">
        <v>652</v>
      </c>
      <c r="I23" s="120"/>
      <c r="J23" s="120"/>
      <c r="K23" s="120"/>
      <c r="L23" s="369"/>
    </row>
    <row r="24">
      <c r="A24" s="384" t="s">
        <v>653</v>
      </c>
      <c r="B24" s="267">
        <v>300.0</v>
      </c>
      <c r="C24" s="267">
        <v>3.0</v>
      </c>
      <c r="D24" s="267">
        <v>20.0</v>
      </c>
      <c r="E24" s="396" t="str">
        <f>"+2"</f>
        <v>+2</v>
      </c>
      <c r="F24" s="267">
        <v>16.0</v>
      </c>
      <c r="G24" s="385" t="s">
        <v>625</v>
      </c>
      <c r="H24" s="397" t="s">
        <v>654</v>
      </c>
      <c r="I24" s="168"/>
      <c r="J24" s="168"/>
      <c r="K24" s="168"/>
      <c r="L24" s="364"/>
    </row>
    <row r="25">
      <c r="A25" s="398" t="s">
        <v>655</v>
      </c>
      <c r="B25" s="399"/>
      <c r="C25" s="399"/>
      <c r="D25" s="399"/>
      <c r="E25" s="399"/>
      <c r="F25" s="399"/>
      <c r="G25" s="271"/>
      <c r="H25" s="400"/>
      <c r="I25" s="401"/>
      <c r="J25" s="401"/>
      <c r="K25" s="401"/>
      <c r="L25" s="402"/>
    </row>
    <row r="26">
      <c r="A26" s="403" t="s">
        <v>656</v>
      </c>
      <c r="B26" s="360">
        <v>10.0</v>
      </c>
      <c r="C26" s="360">
        <v>1.0</v>
      </c>
      <c r="D26" s="360">
        <v>6.0</v>
      </c>
      <c r="E26" s="360" t="s">
        <v>624</v>
      </c>
      <c r="F26" s="360" t="s">
        <v>26</v>
      </c>
      <c r="G26" s="360" t="s">
        <v>625</v>
      </c>
      <c r="H26" s="363"/>
      <c r="I26" s="168"/>
      <c r="J26" s="168"/>
      <c r="K26" s="168"/>
      <c r="L26" s="364"/>
    </row>
    <row r="27">
      <c r="A27" s="404" t="s">
        <v>657</v>
      </c>
      <c r="B27" s="138">
        <v>20.0</v>
      </c>
      <c r="C27" s="138">
        <v>2.0</v>
      </c>
      <c r="D27" s="138">
        <v>4.0</v>
      </c>
      <c r="E27" s="138" t="s">
        <v>624</v>
      </c>
      <c r="F27" s="138" t="s">
        <v>26</v>
      </c>
      <c r="G27" s="138" t="s">
        <v>26</v>
      </c>
      <c r="H27" s="368"/>
      <c r="I27" s="120"/>
      <c r="J27" s="120"/>
      <c r="K27" s="120"/>
      <c r="L27" s="369"/>
    </row>
    <row r="28">
      <c r="A28" s="405" t="s">
        <v>658</v>
      </c>
      <c r="B28" s="284">
        <v>30.0</v>
      </c>
      <c r="C28" s="284">
        <v>3.0</v>
      </c>
      <c r="D28" s="284">
        <v>2.0</v>
      </c>
      <c r="E28" s="284" t="s">
        <v>659</v>
      </c>
      <c r="F28" s="284" t="s">
        <v>26</v>
      </c>
      <c r="G28" s="284" t="s">
        <v>26</v>
      </c>
      <c r="H28" s="363"/>
      <c r="I28" s="168"/>
      <c r="J28" s="168"/>
      <c r="K28" s="168"/>
      <c r="L28" s="364"/>
    </row>
    <row r="29">
      <c r="A29" s="404" t="s">
        <v>660</v>
      </c>
      <c r="B29" s="138">
        <v>50.0</v>
      </c>
      <c r="C29" s="138">
        <v>4.0</v>
      </c>
      <c r="D29" s="138">
        <v>8.0</v>
      </c>
      <c r="E29" s="138" t="s">
        <v>661</v>
      </c>
      <c r="F29" s="138" t="s">
        <v>26</v>
      </c>
      <c r="G29" s="138" t="s">
        <v>625</v>
      </c>
      <c r="H29" s="368"/>
      <c r="I29" s="120"/>
      <c r="J29" s="120"/>
      <c r="K29" s="120"/>
      <c r="L29" s="369"/>
    </row>
    <row r="30">
      <c r="A30" s="406" t="s">
        <v>662</v>
      </c>
      <c r="B30" s="223">
        <v>70.0</v>
      </c>
      <c r="C30" s="223">
        <v>5.0</v>
      </c>
      <c r="D30" s="223">
        <v>3.0</v>
      </c>
      <c r="E30" s="223" t="s">
        <v>661</v>
      </c>
      <c r="F30" s="204"/>
      <c r="G30" s="204"/>
      <c r="H30" s="363"/>
      <c r="I30" s="168"/>
      <c r="J30" s="168"/>
      <c r="K30" s="168"/>
      <c r="L30" s="364"/>
    </row>
    <row r="31">
      <c r="A31" s="398" t="s">
        <v>663</v>
      </c>
      <c r="B31" s="407"/>
      <c r="C31" s="407"/>
      <c r="D31" s="407"/>
      <c r="E31" s="407"/>
      <c r="F31" s="407"/>
      <c r="G31" s="272"/>
      <c r="H31" s="408"/>
      <c r="I31" s="273"/>
      <c r="J31" s="273"/>
      <c r="K31" s="273"/>
      <c r="L31" s="409"/>
    </row>
    <row r="32">
      <c r="A32" s="403" t="s">
        <v>664</v>
      </c>
      <c r="B32" s="360">
        <v>30.0</v>
      </c>
      <c r="C32" s="360">
        <v>2.0</v>
      </c>
      <c r="D32" s="360">
        <v>4.0</v>
      </c>
      <c r="E32" s="360" t="s">
        <v>665</v>
      </c>
      <c r="F32" s="360" t="s">
        <v>26</v>
      </c>
      <c r="G32" s="360" t="s">
        <v>26</v>
      </c>
      <c r="H32" s="363"/>
      <c r="I32" s="168"/>
      <c r="J32" s="168"/>
      <c r="K32" s="168"/>
      <c r="L32" s="364"/>
    </row>
    <row r="33">
      <c r="A33" s="404" t="s">
        <v>666</v>
      </c>
      <c r="B33" s="138">
        <v>100.0</v>
      </c>
      <c r="C33" s="138">
        <v>3.0</v>
      </c>
      <c r="D33" s="138">
        <v>8.0</v>
      </c>
      <c r="E33" s="138" t="s">
        <v>667</v>
      </c>
      <c r="F33" s="138" t="s">
        <v>26</v>
      </c>
      <c r="G33" s="138" t="s">
        <v>26</v>
      </c>
      <c r="H33" s="368"/>
      <c r="I33" s="120"/>
      <c r="J33" s="120"/>
      <c r="K33" s="120"/>
      <c r="L33" s="369"/>
    </row>
    <row r="34">
      <c r="A34" s="410" t="s">
        <v>668</v>
      </c>
      <c r="B34" s="267">
        <v>400.0</v>
      </c>
      <c r="C34" s="267">
        <v>4.0</v>
      </c>
      <c r="D34" s="267">
        <v>10.0</v>
      </c>
      <c r="E34" s="267" t="s">
        <v>669</v>
      </c>
      <c r="F34" s="267">
        <v>10.0</v>
      </c>
      <c r="G34" s="267" t="s">
        <v>625</v>
      </c>
      <c r="H34" s="363"/>
      <c r="I34" s="168"/>
      <c r="J34" s="168"/>
      <c r="K34" s="168"/>
      <c r="L34" s="364"/>
    </row>
    <row r="35">
      <c r="A35" s="398" t="s">
        <v>670</v>
      </c>
      <c r="B35" s="407"/>
      <c r="C35" s="407"/>
      <c r="D35" s="407"/>
      <c r="E35" s="407"/>
      <c r="F35" s="407"/>
      <c r="G35" s="272"/>
      <c r="H35" s="408"/>
      <c r="I35" s="273"/>
      <c r="J35" s="273"/>
      <c r="K35" s="273"/>
      <c r="L35" s="409"/>
    </row>
    <row r="36">
      <c r="A36" s="403" t="s">
        <v>671</v>
      </c>
      <c r="B36" s="360">
        <v>800.0</v>
      </c>
      <c r="C36" s="360">
        <v>3.0</v>
      </c>
      <c r="D36" s="360">
        <v>15.0</v>
      </c>
      <c r="E36" s="360" t="s">
        <v>672</v>
      </c>
      <c r="F36" s="360">
        <v>10.0</v>
      </c>
      <c r="G36" s="360" t="s">
        <v>625</v>
      </c>
      <c r="H36" s="363"/>
      <c r="I36" s="168"/>
      <c r="J36" s="168"/>
      <c r="K36" s="168"/>
      <c r="L36" s="364"/>
    </row>
    <row r="37">
      <c r="A37" s="404" t="s">
        <v>673</v>
      </c>
      <c r="B37" s="138">
        <v>1500.0</v>
      </c>
      <c r="C37" s="138">
        <v>4.0</v>
      </c>
      <c r="D37" s="138">
        <v>10.0</v>
      </c>
      <c r="E37" s="138" t="s">
        <v>674</v>
      </c>
      <c r="F37" s="138">
        <v>13.0</v>
      </c>
      <c r="G37" s="138" t="s">
        <v>625</v>
      </c>
      <c r="H37" s="368"/>
      <c r="I37" s="120"/>
      <c r="J37" s="120"/>
      <c r="K37" s="120"/>
      <c r="L37" s="369"/>
    </row>
    <row r="38">
      <c r="A38" s="410" t="s">
        <v>675</v>
      </c>
      <c r="B38" s="267">
        <v>3000.0</v>
      </c>
      <c r="C38" s="267">
        <v>5.0</v>
      </c>
      <c r="D38" s="267">
        <v>20.0</v>
      </c>
      <c r="E38" s="267" t="s">
        <v>676</v>
      </c>
      <c r="F38" s="267">
        <v>15.0</v>
      </c>
      <c r="G38" s="267" t="s">
        <v>625</v>
      </c>
      <c r="H38" s="363"/>
      <c r="I38" s="168"/>
      <c r="J38" s="168"/>
      <c r="K38" s="168"/>
      <c r="L38" s="364"/>
    </row>
    <row r="39">
      <c r="A39" s="398" t="s">
        <v>677</v>
      </c>
      <c r="B39" s="407"/>
      <c r="C39" s="407"/>
      <c r="D39" s="407"/>
      <c r="E39" s="407"/>
      <c r="F39" s="407"/>
      <c r="G39" s="272"/>
      <c r="H39" s="408"/>
      <c r="I39" s="273"/>
      <c r="J39" s="273"/>
      <c r="K39" s="273"/>
      <c r="L39" s="409"/>
    </row>
    <row r="40">
      <c r="A40" s="403" t="s">
        <v>678</v>
      </c>
      <c r="B40" s="360">
        <v>50.0</v>
      </c>
      <c r="C40" s="360">
        <v>2.0</v>
      </c>
      <c r="D40" s="360">
        <v>8.0</v>
      </c>
      <c r="E40" s="411" t="str">
        <f>"+2 (БУ 2)"</f>
        <v>+2 (БУ 2)</v>
      </c>
      <c r="F40" s="360">
        <v>13.0</v>
      </c>
      <c r="G40" s="360" t="s">
        <v>26</v>
      </c>
      <c r="H40" s="363"/>
      <c r="I40" s="168"/>
      <c r="J40" s="168"/>
      <c r="K40" s="168"/>
      <c r="L40" s="364"/>
    </row>
    <row r="41">
      <c r="A41" s="404" t="s">
        <v>679</v>
      </c>
      <c r="B41" s="138">
        <v>300.0</v>
      </c>
      <c r="C41" s="138">
        <v>3.0</v>
      </c>
      <c r="D41" s="138">
        <v>12.0</v>
      </c>
      <c r="E41" s="287" t="str">
        <f>"+3 (БС 3)"</f>
        <v>+3 (БС 3)</v>
      </c>
      <c r="F41" s="138">
        <v>15.0</v>
      </c>
      <c r="G41" s="138" t="s">
        <v>625</v>
      </c>
      <c r="H41" s="368"/>
      <c r="I41" s="120"/>
      <c r="J41" s="120"/>
      <c r="K41" s="120"/>
      <c r="L41" s="369"/>
    </row>
    <row r="42">
      <c r="A42" s="203"/>
      <c r="B42" s="203"/>
      <c r="C42" s="203"/>
      <c r="D42" s="203"/>
      <c r="E42" s="203"/>
      <c r="F42" s="203"/>
      <c r="G42" s="203"/>
      <c r="H42" s="412"/>
      <c r="I42" s="413"/>
      <c r="J42" s="413"/>
      <c r="K42" s="413"/>
      <c r="L42" s="414"/>
    </row>
    <row r="43">
      <c r="A43" s="207"/>
      <c r="B43" s="207"/>
      <c r="C43" s="207"/>
      <c r="D43" s="207"/>
      <c r="E43" s="207"/>
      <c r="F43" s="207"/>
      <c r="G43" s="207"/>
      <c r="H43" s="415"/>
      <c r="I43" s="416"/>
      <c r="J43" s="416"/>
      <c r="K43" s="416"/>
      <c r="L43" s="417"/>
    </row>
    <row r="44">
      <c r="A44" s="203"/>
      <c r="B44" s="203"/>
      <c r="C44" s="203"/>
      <c r="D44" s="203"/>
      <c r="E44" s="203"/>
      <c r="F44" s="203"/>
      <c r="G44" s="203"/>
      <c r="H44" s="412"/>
      <c r="I44" s="413"/>
      <c r="J44" s="413"/>
      <c r="K44" s="413"/>
      <c r="L44" s="414"/>
    </row>
    <row r="45">
      <c r="A45" s="207"/>
      <c r="B45" s="207"/>
      <c r="C45" s="207"/>
      <c r="D45" s="207"/>
      <c r="E45" s="207"/>
      <c r="F45" s="207"/>
      <c r="G45" s="207"/>
      <c r="H45" s="415"/>
      <c r="I45" s="416"/>
      <c r="J45" s="416"/>
      <c r="K45" s="416"/>
      <c r="L45" s="417"/>
    </row>
    <row r="46">
      <c r="A46" s="203"/>
      <c r="B46" s="203"/>
      <c r="C46" s="203"/>
      <c r="D46" s="203"/>
      <c r="E46" s="203"/>
      <c r="F46" s="203"/>
      <c r="G46" s="203"/>
      <c r="H46" s="412"/>
      <c r="I46" s="413"/>
      <c r="J46" s="413"/>
      <c r="K46" s="413"/>
      <c r="L46" s="414"/>
    </row>
    <row r="47">
      <c r="A47" s="207"/>
      <c r="B47" s="207"/>
      <c r="C47" s="207"/>
      <c r="D47" s="207"/>
      <c r="E47" s="207"/>
      <c r="F47" s="207"/>
      <c r="G47" s="207"/>
      <c r="H47" s="415"/>
      <c r="I47" s="416"/>
      <c r="J47" s="416"/>
      <c r="K47" s="416"/>
      <c r="L47" s="417"/>
    </row>
    <row r="48">
      <c r="A48" s="203"/>
      <c r="B48" s="203"/>
      <c r="C48" s="203"/>
      <c r="D48" s="203"/>
      <c r="E48" s="203"/>
      <c r="F48" s="203"/>
      <c r="G48" s="203"/>
      <c r="H48" s="412"/>
      <c r="I48" s="413"/>
      <c r="J48" s="413"/>
      <c r="K48" s="413"/>
      <c r="L48" s="414"/>
    </row>
    <row r="49">
      <c r="A49" s="207"/>
      <c r="B49" s="207"/>
      <c r="C49" s="207"/>
      <c r="D49" s="207"/>
      <c r="E49" s="207"/>
      <c r="F49" s="207"/>
      <c r="G49" s="207"/>
      <c r="H49" s="415"/>
      <c r="I49" s="416"/>
      <c r="J49" s="416"/>
      <c r="K49" s="416"/>
      <c r="L49" s="417"/>
    </row>
    <row r="50">
      <c r="A50" s="203"/>
      <c r="B50" s="203"/>
      <c r="C50" s="203"/>
      <c r="D50" s="203"/>
      <c r="E50" s="203"/>
      <c r="F50" s="203"/>
      <c r="G50" s="203"/>
      <c r="H50" s="412"/>
      <c r="I50" s="413"/>
      <c r="J50" s="413"/>
      <c r="K50" s="413"/>
      <c r="L50" s="414"/>
    </row>
    <row r="51">
      <c r="A51" s="207"/>
      <c r="B51" s="207"/>
      <c r="C51" s="207"/>
      <c r="D51" s="207"/>
      <c r="E51" s="207"/>
      <c r="F51" s="207"/>
      <c r="G51" s="207"/>
      <c r="H51" s="415"/>
      <c r="I51" s="416"/>
      <c r="J51" s="416"/>
      <c r="K51" s="416"/>
      <c r="L51" s="417"/>
    </row>
    <row r="52">
      <c r="A52" s="203"/>
      <c r="B52" s="203"/>
      <c r="C52" s="203"/>
      <c r="D52" s="203"/>
      <c r="E52" s="203"/>
      <c r="F52" s="203"/>
      <c r="G52" s="203"/>
      <c r="H52" s="412"/>
      <c r="I52" s="413"/>
      <c r="J52" s="413"/>
      <c r="K52" s="413"/>
      <c r="L52" s="414"/>
    </row>
    <row r="53">
      <c r="A53" s="207"/>
      <c r="B53" s="207"/>
      <c r="C53" s="207"/>
      <c r="D53" s="207"/>
      <c r="E53" s="207"/>
      <c r="F53" s="207"/>
      <c r="G53" s="207"/>
      <c r="H53" s="415"/>
      <c r="I53" s="416"/>
      <c r="J53" s="416"/>
      <c r="K53" s="416"/>
      <c r="L53" s="417"/>
    </row>
    <row r="54">
      <c r="A54" s="203"/>
      <c r="B54" s="203"/>
      <c r="C54" s="203"/>
      <c r="D54" s="203"/>
      <c r="E54" s="203"/>
      <c r="F54" s="203"/>
      <c r="G54" s="203"/>
      <c r="H54" s="412"/>
      <c r="I54" s="413"/>
      <c r="J54" s="413"/>
      <c r="K54" s="413"/>
      <c r="L54" s="414"/>
    </row>
    <row r="55">
      <c r="A55" s="207"/>
      <c r="B55" s="207"/>
      <c r="C55" s="207"/>
      <c r="D55" s="207"/>
      <c r="E55" s="207"/>
      <c r="F55" s="207"/>
      <c r="G55" s="207"/>
      <c r="H55" s="415"/>
      <c r="I55" s="416"/>
      <c r="J55" s="416"/>
      <c r="K55" s="416"/>
      <c r="L55" s="417"/>
    </row>
    <row r="56">
      <c r="A56" s="203"/>
      <c r="B56" s="203"/>
      <c r="C56" s="203"/>
      <c r="D56" s="203"/>
      <c r="E56" s="203"/>
      <c r="F56" s="203"/>
      <c r="G56" s="203"/>
      <c r="H56" s="412"/>
      <c r="I56" s="413"/>
      <c r="J56" s="413"/>
      <c r="K56" s="413"/>
      <c r="L56" s="414"/>
    </row>
    <row r="57">
      <c r="A57" s="207"/>
      <c r="B57" s="207"/>
      <c r="C57" s="207"/>
      <c r="D57" s="207"/>
      <c r="E57" s="207"/>
      <c r="F57" s="207"/>
      <c r="G57" s="207"/>
      <c r="H57" s="415"/>
      <c r="I57" s="416"/>
      <c r="J57" s="416"/>
      <c r="K57" s="416"/>
      <c r="L57" s="417"/>
    </row>
    <row r="58">
      <c r="A58" s="203"/>
      <c r="B58" s="203"/>
      <c r="C58" s="203"/>
      <c r="D58" s="203"/>
      <c r="E58" s="203"/>
      <c r="F58" s="203"/>
      <c r="G58" s="203"/>
      <c r="H58" s="412"/>
      <c r="I58" s="413"/>
      <c r="J58" s="413"/>
      <c r="K58" s="413"/>
      <c r="L58" s="414"/>
    </row>
    <row r="59">
      <c r="A59" s="207"/>
      <c r="B59" s="207"/>
      <c r="C59" s="207"/>
      <c r="D59" s="207"/>
      <c r="E59" s="207"/>
      <c r="F59" s="207"/>
      <c r="G59" s="207"/>
      <c r="H59" s="415"/>
      <c r="I59" s="416"/>
      <c r="J59" s="416"/>
      <c r="K59" s="416"/>
      <c r="L59" s="417"/>
    </row>
    <row r="60">
      <c r="A60" s="203"/>
      <c r="B60" s="203"/>
      <c r="C60" s="203"/>
      <c r="D60" s="203"/>
      <c r="E60" s="203"/>
      <c r="F60" s="203"/>
      <c r="G60" s="203"/>
      <c r="H60" s="412"/>
      <c r="I60" s="413"/>
      <c r="J60" s="413"/>
      <c r="K60" s="413"/>
      <c r="L60" s="414"/>
    </row>
    <row r="61">
      <c r="A61" s="207"/>
      <c r="B61" s="207"/>
      <c r="C61" s="207"/>
      <c r="D61" s="207"/>
      <c r="E61" s="207"/>
      <c r="F61" s="207"/>
      <c r="G61" s="207"/>
      <c r="H61" s="415"/>
      <c r="I61" s="416"/>
      <c r="J61" s="416"/>
      <c r="K61" s="416"/>
      <c r="L61" s="417"/>
    </row>
    <row r="62">
      <c r="A62" s="203"/>
      <c r="B62" s="203"/>
      <c r="C62" s="203"/>
      <c r="D62" s="203"/>
      <c r="E62" s="203"/>
      <c r="F62" s="203"/>
      <c r="G62" s="203"/>
      <c r="H62" s="412"/>
      <c r="I62" s="413"/>
      <c r="J62" s="413"/>
      <c r="K62" s="413"/>
      <c r="L62" s="414"/>
    </row>
    <row r="63">
      <c r="A63" s="207"/>
      <c r="B63" s="207"/>
      <c r="C63" s="207"/>
      <c r="D63" s="207"/>
      <c r="E63" s="207"/>
      <c r="F63" s="207"/>
      <c r="G63" s="207"/>
      <c r="H63" s="415"/>
      <c r="I63" s="416"/>
      <c r="J63" s="416"/>
      <c r="K63" s="416"/>
      <c r="L63" s="417"/>
    </row>
    <row r="64">
      <c r="A64" s="203"/>
      <c r="B64" s="203"/>
      <c r="C64" s="203"/>
      <c r="D64" s="203"/>
      <c r="E64" s="203"/>
      <c r="F64" s="203"/>
      <c r="G64" s="203"/>
      <c r="H64" s="412"/>
      <c r="I64" s="413"/>
      <c r="J64" s="413"/>
      <c r="K64" s="413"/>
      <c r="L64" s="414"/>
    </row>
    <row r="65">
      <c r="A65" s="207"/>
      <c r="B65" s="207"/>
      <c r="C65" s="207"/>
      <c r="D65" s="207"/>
      <c r="E65" s="207"/>
      <c r="F65" s="207"/>
      <c r="G65" s="207"/>
      <c r="H65" s="415"/>
      <c r="I65" s="416"/>
      <c r="J65" s="416"/>
      <c r="K65" s="416"/>
      <c r="L65" s="417"/>
    </row>
    <row r="66">
      <c r="A66" s="203"/>
      <c r="B66" s="203"/>
      <c r="C66" s="203"/>
      <c r="D66" s="203"/>
      <c r="E66" s="203"/>
      <c r="F66" s="203"/>
      <c r="G66" s="203"/>
      <c r="H66" s="412"/>
      <c r="I66" s="413"/>
      <c r="J66" s="413"/>
      <c r="K66" s="413"/>
      <c r="L66" s="414"/>
    </row>
    <row r="67">
      <c r="A67" s="207"/>
      <c r="B67" s="207"/>
      <c r="C67" s="207"/>
      <c r="D67" s="207"/>
      <c r="E67" s="207"/>
      <c r="F67" s="207"/>
      <c r="G67" s="207"/>
      <c r="H67" s="415"/>
      <c r="I67" s="416"/>
      <c r="J67" s="416"/>
      <c r="K67" s="416"/>
      <c r="L67" s="417"/>
    </row>
    <row r="68">
      <c r="A68" s="203"/>
      <c r="B68" s="203"/>
      <c r="C68" s="203"/>
      <c r="D68" s="203"/>
      <c r="E68" s="203"/>
      <c r="F68" s="203"/>
      <c r="G68" s="203"/>
      <c r="H68" s="412"/>
      <c r="I68" s="413"/>
      <c r="J68" s="413"/>
      <c r="K68" s="413"/>
      <c r="L68" s="414"/>
    </row>
    <row r="69">
      <c r="A69" s="207"/>
      <c r="B69" s="207"/>
      <c r="C69" s="207"/>
      <c r="D69" s="207"/>
      <c r="E69" s="207"/>
      <c r="F69" s="207"/>
      <c r="G69" s="207"/>
      <c r="H69" s="415"/>
      <c r="I69" s="416"/>
      <c r="J69" s="416"/>
      <c r="K69" s="416"/>
      <c r="L69" s="417"/>
    </row>
    <row r="70">
      <c r="A70" s="203"/>
      <c r="B70" s="203"/>
      <c r="C70" s="203"/>
      <c r="D70" s="203"/>
      <c r="E70" s="203"/>
      <c r="F70" s="203"/>
      <c r="G70" s="203"/>
      <c r="H70" s="412"/>
      <c r="I70" s="413"/>
      <c r="J70" s="413"/>
      <c r="K70" s="413"/>
      <c r="L70" s="414"/>
    </row>
    <row r="71">
      <c r="A71" s="207"/>
      <c r="B71" s="207"/>
      <c r="C71" s="207"/>
      <c r="D71" s="207"/>
      <c r="E71" s="207"/>
      <c r="F71" s="207"/>
      <c r="G71" s="207"/>
      <c r="H71" s="415"/>
      <c r="I71" s="416"/>
      <c r="J71" s="416"/>
      <c r="K71" s="416"/>
      <c r="L71" s="417"/>
    </row>
    <row r="72">
      <c r="A72" s="203"/>
      <c r="B72" s="203"/>
      <c r="C72" s="203"/>
      <c r="D72" s="203"/>
      <c r="E72" s="203"/>
      <c r="F72" s="203"/>
      <c r="G72" s="203"/>
      <c r="H72" s="412"/>
      <c r="I72" s="413"/>
      <c r="J72" s="413"/>
      <c r="K72" s="413"/>
      <c r="L72" s="414"/>
    </row>
    <row r="73">
      <c r="A73" s="207"/>
      <c r="B73" s="207"/>
      <c r="C73" s="207"/>
      <c r="D73" s="207"/>
      <c r="E73" s="207"/>
      <c r="F73" s="207"/>
      <c r="G73" s="207"/>
      <c r="H73" s="415"/>
      <c r="I73" s="416"/>
      <c r="J73" s="416"/>
      <c r="K73" s="416"/>
      <c r="L73" s="417"/>
    </row>
    <row r="74">
      <c r="A74" s="203"/>
      <c r="B74" s="203"/>
      <c r="C74" s="203"/>
      <c r="D74" s="203"/>
      <c r="E74" s="203"/>
      <c r="F74" s="203"/>
      <c r="G74" s="203"/>
      <c r="H74" s="412"/>
      <c r="I74" s="413"/>
      <c r="J74" s="413"/>
      <c r="K74" s="413"/>
      <c r="L74" s="414"/>
    </row>
    <row r="75">
      <c r="A75" s="207"/>
      <c r="B75" s="207"/>
      <c r="C75" s="207"/>
      <c r="D75" s="207"/>
      <c r="E75" s="207"/>
      <c r="F75" s="207"/>
      <c r="G75" s="207"/>
      <c r="H75" s="415"/>
      <c r="I75" s="416"/>
      <c r="J75" s="416"/>
      <c r="K75" s="416"/>
      <c r="L75" s="417"/>
    </row>
    <row r="76">
      <c r="A76" s="203"/>
      <c r="B76" s="203"/>
      <c r="C76" s="203"/>
      <c r="D76" s="203"/>
      <c r="E76" s="203"/>
      <c r="F76" s="203"/>
      <c r="G76" s="203"/>
      <c r="H76" s="412"/>
      <c r="I76" s="413"/>
      <c r="J76" s="413"/>
      <c r="K76" s="413"/>
      <c r="L76" s="414"/>
    </row>
    <row r="77">
      <c r="A77" s="207"/>
      <c r="B77" s="207"/>
      <c r="C77" s="207"/>
      <c r="D77" s="207"/>
      <c r="E77" s="207"/>
      <c r="F77" s="207"/>
      <c r="G77" s="207"/>
      <c r="H77" s="415"/>
      <c r="I77" s="416"/>
      <c r="J77" s="416"/>
      <c r="K77" s="416"/>
      <c r="L77" s="417"/>
    </row>
    <row r="78">
      <c r="A78" s="203"/>
      <c r="B78" s="203"/>
      <c r="C78" s="203"/>
      <c r="D78" s="203"/>
      <c r="E78" s="203"/>
      <c r="F78" s="203"/>
      <c r="G78" s="203"/>
      <c r="H78" s="412"/>
      <c r="I78" s="413"/>
      <c r="J78" s="413"/>
      <c r="K78" s="413"/>
      <c r="L78" s="414"/>
    </row>
    <row r="79">
      <c r="A79" s="207"/>
      <c r="B79" s="207"/>
      <c r="C79" s="207"/>
      <c r="D79" s="207"/>
      <c r="E79" s="207"/>
      <c r="F79" s="207"/>
      <c r="G79" s="207"/>
      <c r="H79" s="415"/>
      <c r="I79" s="416"/>
      <c r="J79" s="416"/>
      <c r="K79" s="416"/>
      <c r="L79" s="417"/>
    </row>
    <row r="80">
      <c r="A80" s="203"/>
      <c r="B80" s="203"/>
      <c r="C80" s="203"/>
      <c r="D80" s="203"/>
      <c r="E80" s="203"/>
      <c r="F80" s="203"/>
      <c r="G80" s="203"/>
      <c r="H80" s="412"/>
      <c r="I80" s="413"/>
      <c r="J80" s="413"/>
      <c r="K80" s="413"/>
      <c r="L80" s="414"/>
    </row>
    <row r="81">
      <c r="A81" s="207"/>
      <c r="B81" s="207"/>
      <c r="C81" s="207"/>
      <c r="D81" s="207"/>
      <c r="E81" s="207"/>
      <c r="F81" s="207"/>
      <c r="G81" s="207"/>
      <c r="H81" s="415"/>
      <c r="I81" s="416"/>
      <c r="J81" s="416"/>
      <c r="K81" s="416"/>
      <c r="L81" s="417"/>
    </row>
    <row r="82">
      <c r="A82" s="203"/>
      <c r="B82" s="203"/>
      <c r="C82" s="203"/>
      <c r="D82" s="203"/>
      <c r="E82" s="203"/>
      <c r="F82" s="203"/>
      <c r="G82" s="203"/>
      <c r="H82" s="412"/>
      <c r="I82" s="413"/>
      <c r="J82" s="413"/>
      <c r="K82" s="413"/>
      <c r="L82" s="414"/>
    </row>
    <row r="83">
      <c r="A83" s="207"/>
      <c r="B83" s="207"/>
      <c r="C83" s="207"/>
      <c r="D83" s="207"/>
      <c r="E83" s="207"/>
      <c r="F83" s="207"/>
      <c r="G83" s="207"/>
      <c r="H83" s="415"/>
      <c r="I83" s="416"/>
      <c r="J83" s="416"/>
      <c r="K83" s="416"/>
      <c r="L83" s="417"/>
    </row>
    <row r="84">
      <c r="A84" s="203"/>
      <c r="B84" s="203"/>
      <c r="C84" s="203"/>
      <c r="D84" s="203"/>
      <c r="E84" s="203"/>
      <c r="F84" s="203"/>
      <c r="G84" s="203"/>
      <c r="H84" s="412"/>
      <c r="I84" s="413"/>
      <c r="J84" s="413"/>
      <c r="K84" s="413"/>
      <c r="L84" s="414"/>
    </row>
    <row r="85">
      <c r="A85" s="207"/>
      <c r="B85" s="207"/>
      <c r="C85" s="207"/>
      <c r="D85" s="207"/>
      <c r="E85" s="207"/>
      <c r="F85" s="207"/>
      <c r="G85" s="207"/>
      <c r="H85" s="415"/>
      <c r="I85" s="416"/>
      <c r="J85" s="416"/>
      <c r="K85" s="416"/>
      <c r="L85" s="417"/>
    </row>
    <row r="86">
      <c r="A86" s="203"/>
      <c r="B86" s="203"/>
      <c r="C86" s="203"/>
      <c r="D86" s="203"/>
      <c r="E86" s="203"/>
      <c r="F86" s="203"/>
      <c r="G86" s="203"/>
      <c r="H86" s="412"/>
      <c r="I86" s="413"/>
      <c r="J86" s="413"/>
      <c r="K86" s="413"/>
      <c r="L86" s="414"/>
    </row>
    <row r="87">
      <c r="A87" s="207"/>
      <c r="B87" s="207"/>
      <c r="C87" s="207"/>
      <c r="D87" s="207"/>
      <c r="E87" s="207"/>
      <c r="F87" s="207"/>
      <c r="G87" s="207"/>
      <c r="H87" s="415"/>
      <c r="I87" s="416"/>
      <c r="J87" s="416"/>
      <c r="K87" s="416"/>
      <c r="L87" s="417"/>
    </row>
    <row r="88">
      <c r="A88" s="203"/>
      <c r="B88" s="203"/>
      <c r="C88" s="203"/>
      <c r="D88" s="203"/>
      <c r="E88" s="203"/>
      <c r="F88" s="203"/>
      <c r="G88" s="203"/>
      <c r="H88" s="412"/>
      <c r="I88" s="413"/>
      <c r="J88" s="413"/>
      <c r="K88" s="413"/>
      <c r="L88" s="414"/>
    </row>
    <row r="89">
      <c r="A89" s="207"/>
      <c r="B89" s="207"/>
      <c r="C89" s="207"/>
      <c r="D89" s="207"/>
      <c r="E89" s="207"/>
      <c r="F89" s="207"/>
      <c r="G89" s="207"/>
      <c r="H89" s="415"/>
      <c r="I89" s="416"/>
      <c r="J89" s="416"/>
      <c r="K89" s="416"/>
      <c r="L89" s="417"/>
    </row>
    <row r="90">
      <c r="A90" s="203"/>
      <c r="B90" s="203"/>
      <c r="C90" s="203"/>
      <c r="D90" s="203"/>
      <c r="E90" s="203"/>
      <c r="F90" s="203"/>
      <c r="G90" s="203"/>
      <c r="H90" s="412"/>
      <c r="I90" s="413"/>
      <c r="J90" s="413"/>
      <c r="K90" s="413"/>
      <c r="L90" s="414"/>
    </row>
    <row r="91">
      <c r="A91" s="207"/>
      <c r="B91" s="207"/>
      <c r="C91" s="207"/>
      <c r="D91" s="207"/>
      <c r="E91" s="207"/>
      <c r="F91" s="207"/>
      <c r="G91" s="207"/>
      <c r="H91" s="415"/>
      <c r="I91" s="416"/>
      <c r="J91" s="416"/>
      <c r="K91" s="416"/>
      <c r="L91" s="417"/>
    </row>
    <row r="92">
      <c r="A92" s="203"/>
      <c r="B92" s="203"/>
      <c r="C92" s="203"/>
      <c r="D92" s="203"/>
      <c r="E92" s="203"/>
      <c r="F92" s="203"/>
      <c r="G92" s="203"/>
      <c r="H92" s="412"/>
      <c r="I92" s="413"/>
      <c r="J92" s="413"/>
      <c r="K92" s="413"/>
      <c r="L92" s="414"/>
    </row>
    <row r="93">
      <c r="A93" s="207"/>
      <c r="B93" s="418"/>
      <c r="C93" s="418"/>
      <c r="D93" s="207"/>
      <c r="E93" s="207"/>
      <c r="F93" s="207"/>
      <c r="G93" s="207"/>
      <c r="H93" s="415"/>
      <c r="I93" s="416"/>
      <c r="J93" s="416"/>
      <c r="K93" s="416"/>
      <c r="L93" s="417"/>
    </row>
    <row r="94">
      <c r="A94" s="203"/>
      <c r="B94" s="419"/>
      <c r="C94" s="203"/>
      <c r="D94" s="203"/>
      <c r="E94" s="203"/>
      <c r="F94" s="203"/>
      <c r="G94" s="203"/>
      <c r="H94" s="412"/>
      <c r="I94" s="413"/>
      <c r="J94" s="413"/>
      <c r="K94" s="413"/>
      <c r="L94" s="414"/>
    </row>
    <row r="95">
      <c r="A95" s="207"/>
      <c r="B95" s="207"/>
      <c r="C95" s="207"/>
      <c r="D95" s="207"/>
      <c r="E95" s="207"/>
      <c r="F95" s="207"/>
      <c r="G95" s="207"/>
      <c r="H95" s="415"/>
      <c r="I95" s="416"/>
      <c r="J95" s="416"/>
      <c r="K95" s="416"/>
      <c r="L95" s="417"/>
    </row>
    <row r="96">
      <c r="A96" s="203"/>
      <c r="B96" s="203"/>
      <c r="C96" s="203"/>
      <c r="D96" s="203"/>
      <c r="E96" s="203"/>
      <c r="F96" s="203"/>
      <c r="G96" s="203"/>
      <c r="H96" s="412"/>
      <c r="I96" s="413"/>
      <c r="J96" s="413"/>
      <c r="K96" s="413"/>
      <c r="L96" s="414"/>
    </row>
    <row r="97">
      <c r="A97" s="207"/>
      <c r="B97" s="207"/>
      <c r="C97" s="207"/>
      <c r="D97" s="207"/>
      <c r="E97" s="207"/>
      <c r="F97" s="207"/>
      <c r="G97" s="207"/>
      <c r="H97" s="415"/>
      <c r="I97" s="416"/>
      <c r="J97" s="416"/>
      <c r="K97" s="416"/>
      <c r="L97" s="417"/>
    </row>
    <row r="98">
      <c r="A98" s="203"/>
      <c r="B98" s="203"/>
      <c r="C98" s="203"/>
      <c r="D98" s="203"/>
      <c r="E98" s="203"/>
      <c r="F98" s="203"/>
      <c r="G98" s="203"/>
      <c r="H98" s="412"/>
      <c r="I98" s="413"/>
      <c r="J98" s="413"/>
      <c r="K98" s="413"/>
      <c r="L98" s="414"/>
    </row>
    <row r="99">
      <c r="A99" s="207"/>
      <c r="B99" s="207"/>
      <c r="C99" s="207"/>
      <c r="D99" s="207"/>
      <c r="E99" s="207"/>
      <c r="F99" s="207"/>
      <c r="G99" s="207"/>
      <c r="H99" s="415"/>
      <c r="I99" s="416"/>
      <c r="J99" s="416"/>
      <c r="K99" s="416"/>
      <c r="L99" s="417"/>
    </row>
    <row r="100">
      <c r="A100" s="203"/>
      <c r="B100" s="203"/>
      <c r="C100" s="203"/>
      <c r="D100" s="203"/>
      <c r="E100" s="203"/>
      <c r="F100" s="203"/>
      <c r="G100" s="203"/>
      <c r="H100" s="412"/>
      <c r="I100" s="413"/>
      <c r="J100" s="413"/>
      <c r="K100" s="413"/>
      <c r="L100" s="414"/>
    </row>
    <row r="101">
      <c r="A101" s="207"/>
      <c r="B101" s="207"/>
      <c r="C101" s="207"/>
      <c r="D101" s="207"/>
      <c r="E101" s="207"/>
      <c r="F101" s="207"/>
      <c r="G101" s="207"/>
      <c r="H101" s="415"/>
      <c r="I101" s="416"/>
      <c r="J101" s="416"/>
      <c r="K101" s="416"/>
      <c r="L101" s="417"/>
    </row>
    <row r="102">
      <c r="A102" s="203"/>
      <c r="B102" s="203"/>
      <c r="C102" s="203"/>
      <c r="D102" s="203"/>
      <c r="E102" s="203"/>
      <c r="F102" s="203"/>
      <c r="G102" s="203"/>
      <c r="H102" s="412"/>
      <c r="I102" s="413"/>
      <c r="J102" s="413"/>
      <c r="K102" s="413"/>
      <c r="L102" s="414"/>
    </row>
    <row r="103">
      <c r="A103" s="207"/>
      <c r="B103" s="207"/>
      <c r="C103" s="207"/>
      <c r="D103" s="207"/>
      <c r="E103" s="207"/>
      <c r="F103" s="207"/>
      <c r="G103" s="207"/>
      <c r="H103" s="415"/>
      <c r="I103" s="416"/>
      <c r="J103" s="416"/>
      <c r="K103" s="416"/>
      <c r="L103" s="417"/>
    </row>
    <row r="104">
      <c r="A104" s="203"/>
      <c r="B104" s="203"/>
      <c r="C104" s="203"/>
      <c r="D104" s="203"/>
      <c r="E104" s="203"/>
      <c r="F104" s="203"/>
      <c r="G104" s="203"/>
      <c r="H104" s="412"/>
      <c r="I104" s="413"/>
      <c r="J104" s="413"/>
      <c r="K104" s="413"/>
      <c r="L104" s="414"/>
    </row>
    <row r="105">
      <c r="A105" s="207"/>
      <c r="B105" s="207"/>
      <c r="C105" s="207"/>
      <c r="D105" s="207"/>
      <c r="E105" s="207"/>
      <c r="F105" s="207"/>
      <c r="G105" s="207"/>
      <c r="H105" s="415"/>
      <c r="I105" s="416"/>
      <c r="J105" s="416"/>
      <c r="K105" s="416"/>
      <c r="L105" s="417"/>
    </row>
    <row r="106">
      <c r="A106" s="203"/>
      <c r="B106" s="203"/>
      <c r="C106" s="203"/>
      <c r="D106" s="203"/>
      <c r="E106" s="203"/>
      <c r="F106" s="203"/>
      <c r="G106" s="203"/>
      <c r="H106" s="412"/>
      <c r="I106" s="413"/>
      <c r="J106" s="413"/>
      <c r="K106" s="413"/>
      <c r="L106" s="414"/>
    </row>
    <row r="107">
      <c r="A107" s="207"/>
      <c r="B107" s="207"/>
      <c r="C107" s="207"/>
      <c r="D107" s="207"/>
      <c r="E107" s="207"/>
      <c r="F107" s="207"/>
      <c r="G107" s="207"/>
      <c r="H107" s="415"/>
      <c r="I107" s="416"/>
      <c r="J107" s="416"/>
      <c r="K107" s="416"/>
      <c r="L107" s="417"/>
    </row>
    <row r="108">
      <c r="A108" s="203"/>
      <c r="B108" s="203"/>
      <c r="C108" s="203"/>
      <c r="D108" s="203"/>
      <c r="E108" s="203"/>
      <c r="F108" s="203"/>
      <c r="G108" s="203"/>
      <c r="H108" s="412"/>
      <c r="I108" s="413"/>
      <c r="J108" s="413"/>
      <c r="K108" s="413"/>
      <c r="L108" s="414"/>
    </row>
    <row r="109">
      <c r="A109" s="207"/>
      <c r="B109" s="207"/>
      <c r="C109" s="207"/>
      <c r="D109" s="207"/>
      <c r="E109" s="207"/>
      <c r="F109" s="207"/>
      <c r="G109" s="207"/>
      <c r="H109" s="415"/>
      <c r="I109" s="416"/>
      <c r="J109" s="416"/>
      <c r="K109" s="416"/>
      <c r="L109" s="417"/>
    </row>
    <row r="110">
      <c r="A110" s="203"/>
      <c r="B110" s="203"/>
      <c r="C110" s="203"/>
      <c r="D110" s="203"/>
      <c r="E110" s="203"/>
      <c r="F110" s="203"/>
      <c r="G110" s="203"/>
      <c r="H110" s="412"/>
      <c r="I110" s="413"/>
      <c r="J110" s="413"/>
      <c r="K110" s="413"/>
      <c r="L110" s="414"/>
    </row>
    <row r="111">
      <c r="A111" s="207"/>
      <c r="B111" s="207"/>
      <c r="C111" s="207"/>
      <c r="D111" s="207"/>
      <c r="E111" s="207"/>
      <c r="F111" s="207"/>
      <c r="G111" s="207"/>
      <c r="H111" s="415"/>
      <c r="I111" s="416"/>
      <c r="J111" s="416"/>
      <c r="K111" s="416"/>
      <c r="L111" s="417"/>
    </row>
    <row r="112">
      <c r="A112" s="203"/>
      <c r="B112" s="203"/>
      <c r="C112" s="203"/>
      <c r="D112" s="203"/>
      <c r="E112" s="203"/>
      <c r="F112" s="203"/>
      <c r="G112" s="203"/>
      <c r="H112" s="412"/>
      <c r="I112" s="413"/>
      <c r="J112" s="413"/>
      <c r="K112" s="413"/>
      <c r="L112" s="414"/>
    </row>
    <row r="113">
      <c r="A113" s="207"/>
      <c r="B113" s="207"/>
      <c r="C113" s="207"/>
      <c r="D113" s="207"/>
      <c r="E113" s="207"/>
      <c r="F113" s="207"/>
      <c r="G113" s="207"/>
      <c r="H113" s="415"/>
      <c r="I113" s="416"/>
      <c r="J113" s="416"/>
      <c r="K113" s="416"/>
      <c r="L113" s="417"/>
    </row>
    <row r="114">
      <c r="A114" s="203"/>
      <c r="B114" s="203"/>
      <c r="C114" s="203"/>
      <c r="D114" s="203"/>
      <c r="E114" s="203"/>
      <c r="F114" s="203"/>
      <c r="G114" s="203"/>
      <c r="H114" s="412"/>
      <c r="I114" s="413"/>
      <c r="J114" s="413"/>
      <c r="K114" s="413"/>
      <c r="L114" s="414"/>
    </row>
    <row r="115">
      <c r="A115" s="207"/>
      <c r="B115" s="207"/>
      <c r="C115" s="207"/>
      <c r="D115" s="207"/>
      <c r="E115" s="207"/>
      <c r="F115" s="207"/>
      <c r="G115" s="207"/>
      <c r="H115" s="415"/>
      <c r="I115" s="416"/>
      <c r="J115" s="416"/>
      <c r="K115" s="416"/>
      <c r="L115" s="417"/>
    </row>
    <row r="116">
      <c r="A116" s="203"/>
      <c r="B116" s="203"/>
      <c r="C116" s="203"/>
      <c r="D116" s="203"/>
      <c r="E116" s="203"/>
      <c r="F116" s="203"/>
      <c r="G116" s="203"/>
      <c r="H116" s="412"/>
      <c r="I116" s="413"/>
      <c r="J116" s="413"/>
      <c r="K116" s="413"/>
      <c r="L116" s="414"/>
    </row>
    <row r="117">
      <c r="A117" s="207"/>
      <c r="B117" s="207"/>
      <c r="C117" s="207"/>
      <c r="D117" s="207"/>
      <c r="E117" s="207"/>
      <c r="F117" s="207"/>
      <c r="G117" s="207"/>
      <c r="H117" s="415"/>
      <c r="I117" s="416"/>
      <c r="J117" s="416"/>
      <c r="K117" s="416"/>
      <c r="L117" s="417"/>
    </row>
    <row r="118">
      <c r="A118" s="203"/>
      <c r="B118" s="203"/>
      <c r="C118" s="203"/>
      <c r="D118" s="203"/>
      <c r="E118" s="203"/>
      <c r="F118" s="203"/>
      <c r="G118" s="203"/>
      <c r="H118" s="412"/>
      <c r="I118" s="413"/>
      <c r="J118" s="413"/>
      <c r="K118" s="413"/>
      <c r="L118" s="414"/>
    </row>
    <row r="119">
      <c r="A119" s="207"/>
      <c r="B119" s="207"/>
      <c r="C119" s="207"/>
      <c r="D119" s="207"/>
      <c r="E119" s="207"/>
      <c r="F119" s="207"/>
      <c r="G119" s="207"/>
      <c r="H119" s="415"/>
      <c r="I119" s="416"/>
      <c r="J119" s="416"/>
      <c r="K119" s="416"/>
      <c r="L119" s="417"/>
    </row>
    <row r="120">
      <c r="A120" s="203"/>
      <c r="B120" s="203"/>
      <c r="C120" s="203"/>
      <c r="D120" s="203"/>
      <c r="E120" s="203"/>
      <c r="F120" s="203"/>
      <c r="G120" s="203"/>
      <c r="H120" s="412"/>
      <c r="I120" s="413"/>
      <c r="J120" s="413"/>
      <c r="K120" s="413"/>
      <c r="L120" s="414"/>
    </row>
    <row r="121">
      <c r="A121" s="207"/>
      <c r="B121" s="207"/>
      <c r="C121" s="207"/>
      <c r="D121" s="207"/>
      <c r="E121" s="207"/>
      <c r="F121" s="207"/>
      <c r="G121" s="207"/>
      <c r="H121" s="415"/>
      <c r="I121" s="416"/>
      <c r="J121" s="416"/>
      <c r="K121" s="416"/>
      <c r="L121" s="417"/>
    </row>
    <row r="122">
      <c r="A122" s="203"/>
      <c r="B122" s="203"/>
      <c r="C122" s="203"/>
      <c r="D122" s="203"/>
      <c r="E122" s="203"/>
      <c r="F122" s="203"/>
      <c r="G122" s="203"/>
      <c r="H122" s="412"/>
      <c r="I122" s="413"/>
      <c r="J122" s="413"/>
      <c r="K122" s="413"/>
      <c r="L122" s="414"/>
    </row>
    <row r="123">
      <c r="A123" s="207"/>
      <c r="B123" s="207"/>
      <c r="C123" s="207"/>
      <c r="D123" s="207"/>
      <c r="E123" s="207"/>
      <c r="F123" s="207"/>
      <c r="G123" s="207"/>
      <c r="H123" s="415"/>
      <c r="I123" s="416"/>
      <c r="J123" s="416"/>
      <c r="K123" s="416"/>
      <c r="L123" s="417"/>
    </row>
    <row r="124">
      <c r="A124" s="203"/>
      <c r="B124" s="203"/>
      <c r="C124" s="203"/>
      <c r="D124" s="203"/>
      <c r="E124" s="203"/>
      <c r="F124" s="203"/>
      <c r="G124" s="203"/>
      <c r="H124" s="412"/>
      <c r="I124" s="413"/>
      <c r="J124" s="413"/>
      <c r="K124" s="413"/>
      <c r="L124" s="414"/>
    </row>
    <row r="125">
      <c r="A125" s="207"/>
      <c r="B125" s="207"/>
      <c r="C125" s="207"/>
      <c r="D125" s="207"/>
      <c r="E125" s="207"/>
      <c r="F125" s="207"/>
      <c r="G125" s="207"/>
      <c r="H125" s="415"/>
      <c r="I125" s="416"/>
      <c r="J125" s="416"/>
      <c r="K125" s="416"/>
      <c r="L125" s="417"/>
    </row>
    <row r="126">
      <c r="A126" s="203"/>
      <c r="B126" s="203"/>
      <c r="C126" s="203"/>
      <c r="D126" s="203"/>
      <c r="E126" s="203"/>
      <c r="F126" s="203"/>
      <c r="G126" s="203"/>
      <c r="H126" s="412"/>
      <c r="I126" s="413"/>
      <c r="J126" s="413"/>
      <c r="K126" s="413"/>
      <c r="L126" s="414"/>
    </row>
    <row r="127">
      <c r="A127" s="207"/>
      <c r="B127" s="207"/>
      <c r="C127" s="207"/>
      <c r="D127" s="207"/>
      <c r="E127" s="207"/>
      <c r="F127" s="207"/>
      <c r="G127" s="207"/>
      <c r="H127" s="415"/>
      <c r="I127" s="416"/>
      <c r="J127" s="416"/>
      <c r="K127" s="416"/>
      <c r="L127" s="417"/>
    </row>
    <row r="128">
      <c r="A128" s="203"/>
      <c r="B128" s="203"/>
      <c r="C128" s="203"/>
      <c r="D128" s="203"/>
      <c r="E128" s="203"/>
      <c r="F128" s="203"/>
      <c r="G128" s="203"/>
      <c r="H128" s="412"/>
      <c r="I128" s="413"/>
      <c r="J128" s="413"/>
      <c r="K128" s="413"/>
      <c r="L128" s="414"/>
    </row>
    <row r="129">
      <c r="A129" s="207"/>
      <c r="B129" s="207"/>
      <c r="C129" s="207"/>
      <c r="D129" s="207"/>
      <c r="E129" s="207"/>
      <c r="F129" s="207"/>
      <c r="G129" s="207"/>
      <c r="H129" s="415"/>
      <c r="I129" s="416"/>
      <c r="J129" s="416"/>
      <c r="K129" s="416"/>
      <c r="L129" s="417"/>
    </row>
    <row r="130">
      <c r="A130" s="203"/>
      <c r="B130" s="203"/>
      <c r="C130" s="203"/>
      <c r="D130" s="203"/>
      <c r="E130" s="203"/>
      <c r="F130" s="203"/>
      <c r="G130" s="203"/>
      <c r="H130" s="412"/>
      <c r="I130" s="413"/>
      <c r="J130" s="413"/>
      <c r="K130" s="413"/>
      <c r="L130" s="414"/>
    </row>
    <row r="131">
      <c r="A131" s="207"/>
      <c r="B131" s="207"/>
      <c r="C131" s="207"/>
      <c r="D131" s="207"/>
      <c r="E131" s="207"/>
      <c r="F131" s="207"/>
      <c r="G131" s="207"/>
      <c r="H131" s="415"/>
      <c r="I131" s="416"/>
      <c r="J131" s="416"/>
      <c r="K131" s="416"/>
      <c r="L131" s="417"/>
    </row>
    <row r="132">
      <c r="A132" s="203"/>
      <c r="B132" s="203"/>
      <c r="C132" s="203"/>
      <c r="D132" s="203"/>
      <c r="E132" s="203"/>
      <c r="F132" s="203"/>
      <c r="G132" s="203"/>
      <c r="H132" s="412"/>
      <c r="I132" s="413"/>
      <c r="J132" s="413"/>
      <c r="K132" s="413"/>
      <c r="L132" s="414"/>
    </row>
    <row r="133">
      <c r="A133" s="207"/>
      <c r="B133" s="207"/>
      <c r="C133" s="207"/>
      <c r="D133" s="207"/>
      <c r="E133" s="207"/>
      <c r="F133" s="207"/>
      <c r="G133" s="207"/>
      <c r="H133" s="415"/>
      <c r="I133" s="416"/>
      <c r="J133" s="416"/>
      <c r="K133" s="416"/>
      <c r="L133" s="417"/>
    </row>
    <row r="134">
      <c r="A134" s="203"/>
      <c r="B134" s="203"/>
      <c r="C134" s="203"/>
      <c r="D134" s="203"/>
      <c r="E134" s="203"/>
      <c r="F134" s="203"/>
      <c r="G134" s="203"/>
      <c r="H134" s="412"/>
      <c r="I134" s="413"/>
      <c r="J134" s="413"/>
      <c r="K134" s="413"/>
      <c r="L134" s="414"/>
    </row>
    <row r="135">
      <c r="A135" s="207"/>
      <c r="B135" s="207"/>
      <c r="C135" s="207"/>
      <c r="D135" s="207"/>
      <c r="E135" s="207"/>
      <c r="F135" s="207"/>
      <c r="G135" s="207"/>
      <c r="H135" s="415"/>
      <c r="I135" s="416"/>
      <c r="J135" s="416"/>
      <c r="K135" s="416"/>
      <c r="L135" s="417"/>
    </row>
    <row r="136">
      <c r="A136" s="203"/>
      <c r="B136" s="203"/>
      <c r="C136" s="203"/>
      <c r="D136" s="203"/>
      <c r="E136" s="203"/>
      <c r="F136" s="203"/>
      <c r="G136" s="203"/>
      <c r="H136" s="412"/>
      <c r="I136" s="413"/>
      <c r="J136" s="413"/>
      <c r="K136" s="413"/>
      <c r="L136" s="414"/>
    </row>
    <row r="137">
      <c r="A137" s="207"/>
      <c r="B137" s="207"/>
      <c r="C137" s="207"/>
      <c r="D137" s="207"/>
      <c r="E137" s="207"/>
      <c r="F137" s="207"/>
      <c r="G137" s="207"/>
      <c r="H137" s="415"/>
      <c r="I137" s="416"/>
      <c r="J137" s="416"/>
      <c r="K137" s="416"/>
      <c r="L137" s="417"/>
    </row>
    <row r="138">
      <c r="A138" s="203"/>
      <c r="B138" s="203"/>
      <c r="C138" s="203"/>
      <c r="D138" s="203"/>
      <c r="E138" s="203"/>
      <c r="F138" s="203"/>
      <c r="G138" s="203"/>
      <c r="H138" s="412"/>
      <c r="I138" s="413"/>
      <c r="J138" s="413"/>
      <c r="K138" s="413"/>
      <c r="L138" s="414"/>
    </row>
    <row r="139">
      <c r="A139" s="207"/>
      <c r="B139" s="207"/>
      <c r="C139" s="207"/>
      <c r="D139" s="207"/>
      <c r="E139" s="207"/>
      <c r="F139" s="207"/>
      <c r="G139" s="207"/>
      <c r="H139" s="415"/>
      <c r="I139" s="416"/>
      <c r="J139" s="416"/>
      <c r="K139" s="416"/>
      <c r="L139" s="417"/>
    </row>
    <row r="140">
      <c r="A140" s="203"/>
      <c r="B140" s="203"/>
      <c r="C140" s="203"/>
      <c r="D140" s="203"/>
      <c r="E140" s="203"/>
      <c r="F140" s="203"/>
      <c r="G140" s="203"/>
      <c r="H140" s="412"/>
      <c r="I140" s="413"/>
      <c r="J140" s="413"/>
      <c r="K140" s="413"/>
      <c r="L140" s="414"/>
    </row>
    <row r="141">
      <c r="A141" s="207"/>
      <c r="B141" s="207"/>
      <c r="C141" s="207"/>
      <c r="D141" s="207"/>
      <c r="E141" s="207"/>
      <c r="F141" s="207"/>
      <c r="G141" s="207"/>
      <c r="H141" s="415"/>
      <c r="I141" s="416"/>
      <c r="J141" s="416"/>
      <c r="K141" s="416"/>
      <c r="L141" s="417"/>
    </row>
    <row r="142">
      <c r="A142" s="203"/>
      <c r="B142" s="203"/>
      <c r="C142" s="203"/>
      <c r="D142" s="203"/>
      <c r="E142" s="203"/>
      <c r="F142" s="203"/>
      <c r="G142" s="203"/>
      <c r="H142" s="412"/>
      <c r="I142" s="413"/>
      <c r="J142" s="413"/>
      <c r="K142" s="413"/>
      <c r="L142" s="414"/>
    </row>
    <row r="143">
      <c r="A143" s="207"/>
      <c r="B143" s="207"/>
      <c r="C143" s="207"/>
      <c r="D143" s="207"/>
      <c r="E143" s="207"/>
      <c r="F143" s="207"/>
      <c r="G143" s="207"/>
      <c r="H143" s="415"/>
      <c r="I143" s="416"/>
      <c r="J143" s="416"/>
      <c r="K143" s="416"/>
      <c r="L143" s="417"/>
    </row>
    <row r="144">
      <c r="A144" s="203"/>
      <c r="B144" s="203"/>
      <c r="C144" s="203"/>
      <c r="D144" s="203"/>
      <c r="E144" s="203"/>
      <c r="F144" s="203"/>
      <c r="G144" s="203"/>
      <c r="H144" s="412"/>
      <c r="I144" s="413"/>
      <c r="J144" s="413"/>
      <c r="K144" s="413"/>
      <c r="L144" s="414"/>
    </row>
    <row r="145">
      <c r="A145" s="207"/>
      <c r="B145" s="207"/>
      <c r="C145" s="207"/>
      <c r="D145" s="207"/>
      <c r="E145" s="207"/>
      <c r="F145" s="207"/>
      <c r="G145" s="207"/>
      <c r="H145" s="415"/>
      <c r="I145" s="416"/>
      <c r="J145" s="416"/>
      <c r="K145" s="416"/>
      <c r="L145" s="417"/>
    </row>
    <row r="146">
      <c r="A146" s="203"/>
      <c r="B146" s="203"/>
      <c r="C146" s="203"/>
      <c r="D146" s="203"/>
      <c r="E146" s="203"/>
      <c r="F146" s="203"/>
      <c r="G146" s="203"/>
      <c r="H146" s="412"/>
      <c r="I146" s="413"/>
      <c r="J146" s="413"/>
      <c r="K146" s="413"/>
      <c r="L146" s="414"/>
    </row>
    <row r="147">
      <c r="A147" s="207"/>
      <c r="B147" s="207"/>
      <c r="C147" s="207"/>
      <c r="D147" s="207"/>
      <c r="E147" s="207"/>
      <c r="F147" s="207"/>
      <c r="G147" s="207"/>
      <c r="H147" s="415"/>
      <c r="I147" s="416"/>
      <c r="J147" s="416"/>
      <c r="K147" s="416"/>
      <c r="L147" s="417"/>
    </row>
    <row r="148">
      <c r="A148" s="203"/>
      <c r="B148" s="203"/>
      <c r="C148" s="203"/>
      <c r="D148" s="203"/>
      <c r="E148" s="203"/>
      <c r="F148" s="203"/>
      <c r="G148" s="203"/>
      <c r="H148" s="412"/>
      <c r="I148" s="413"/>
      <c r="J148" s="413"/>
      <c r="K148" s="413"/>
      <c r="L148" s="414"/>
    </row>
    <row r="149">
      <c r="A149" s="207"/>
      <c r="B149" s="207"/>
      <c r="C149" s="207"/>
      <c r="D149" s="207"/>
      <c r="E149" s="207"/>
      <c r="F149" s="207"/>
      <c r="G149" s="207"/>
      <c r="H149" s="415"/>
      <c r="I149" s="416"/>
      <c r="J149" s="416"/>
      <c r="K149" s="416"/>
      <c r="L149" s="417"/>
    </row>
    <row r="150">
      <c r="A150" s="203"/>
      <c r="B150" s="203"/>
      <c r="C150" s="203"/>
      <c r="D150" s="203"/>
      <c r="E150" s="203"/>
      <c r="F150" s="203"/>
      <c r="G150" s="203"/>
      <c r="H150" s="412"/>
      <c r="I150" s="413"/>
      <c r="J150" s="413"/>
      <c r="K150" s="413"/>
      <c r="L150" s="414"/>
    </row>
    <row r="151">
      <c r="A151" s="207"/>
      <c r="B151" s="207"/>
      <c r="C151" s="207"/>
      <c r="D151" s="207"/>
      <c r="E151" s="207"/>
      <c r="F151" s="207"/>
      <c r="G151" s="207"/>
      <c r="H151" s="415"/>
      <c r="I151" s="416"/>
      <c r="J151" s="416"/>
      <c r="K151" s="416"/>
      <c r="L151" s="417"/>
    </row>
    <row r="152">
      <c r="A152" s="203"/>
      <c r="B152" s="203"/>
      <c r="C152" s="203"/>
      <c r="D152" s="203"/>
      <c r="E152" s="203"/>
      <c r="F152" s="203"/>
      <c r="G152" s="203"/>
      <c r="H152" s="412"/>
      <c r="I152" s="413"/>
      <c r="J152" s="413"/>
      <c r="K152" s="413"/>
      <c r="L152" s="414"/>
    </row>
    <row r="153">
      <c r="A153" s="207"/>
      <c r="B153" s="207"/>
      <c r="C153" s="207"/>
      <c r="D153" s="207"/>
      <c r="E153" s="207"/>
      <c r="F153" s="207"/>
      <c r="G153" s="207"/>
      <c r="H153" s="415"/>
      <c r="I153" s="416"/>
      <c r="J153" s="416"/>
      <c r="K153" s="416"/>
      <c r="L153" s="417"/>
    </row>
    <row r="154">
      <c r="A154" s="203"/>
      <c r="B154" s="203"/>
      <c r="C154" s="203"/>
      <c r="D154" s="203"/>
      <c r="E154" s="203"/>
      <c r="F154" s="203"/>
      <c r="G154" s="203"/>
      <c r="H154" s="412"/>
      <c r="I154" s="413"/>
      <c r="J154" s="413"/>
      <c r="K154" s="413"/>
      <c r="L154" s="414"/>
    </row>
    <row r="155">
      <c r="A155" s="207"/>
      <c r="B155" s="207"/>
      <c r="C155" s="207"/>
      <c r="D155" s="207"/>
      <c r="E155" s="207"/>
      <c r="F155" s="207"/>
      <c r="G155" s="207"/>
      <c r="H155" s="415"/>
      <c r="I155" s="416"/>
      <c r="J155" s="416"/>
      <c r="K155" s="416"/>
      <c r="L155" s="417"/>
    </row>
    <row r="156">
      <c r="A156" s="203"/>
      <c r="B156" s="203"/>
      <c r="C156" s="203"/>
      <c r="D156" s="203"/>
      <c r="E156" s="203"/>
      <c r="F156" s="203"/>
      <c r="G156" s="203"/>
      <c r="H156" s="412"/>
      <c r="I156" s="413"/>
      <c r="J156" s="413"/>
      <c r="K156" s="413"/>
      <c r="L156" s="414"/>
    </row>
    <row r="157">
      <c r="A157" s="207"/>
      <c r="B157" s="207"/>
      <c r="C157" s="207"/>
      <c r="D157" s="207"/>
      <c r="E157" s="207"/>
      <c r="F157" s="207"/>
      <c r="G157" s="207"/>
      <c r="H157" s="415"/>
      <c r="I157" s="416"/>
      <c r="J157" s="416"/>
      <c r="K157" s="416"/>
      <c r="L157" s="417"/>
    </row>
    <row r="158">
      <c r="A158" s="203"/>
      <c r="B158" s="203"/>
      <c r="C158" s="203"/>
      <c r="D158" s="203"/>
      <c r="E158" s="203"/>
      <c r="F158" s="203"/>
      <c r="G158" s="203"/>
      <c r="H158" s="412"/>
      <c r="I158" s="413"/>
      <c r="J158" s="413"/>
      <c r="K158" s="413"/>
      <c r="L158" s="414"/>
    </row>
    <row r="159">
      <c r="A159" s="207"/>
      <c r="B159" s="207"/>
      <c r="C159" s="207"/>
      <c r="D159" s="207"/>
      <c r="E159" s="207"/>
      <c r="F159" s="207"/>
      <c r="G159" s="207"/>
      <c r="H159" s="415"/>
      <c r="I159" s="416"/>
      <c r="J159" s="416"/>
      <c r="K159" s="416"/>
      <c r="L159" s="417"/>
    </row>
    <row r="160">
      <c r="A160" s="203"/>
      <c r="B160" s="203"/>
      <c r="C160" s="203"/>
      <c r="D160" s="203"/>
      <c r="E160" s="203"/>
      <c r="F160" s="203"/>
      <c r="G160" s="203"/>
      <c r="H160" s="412"/>
      <c r="I160" s="413"/>
      <c r="J160" s="413"/>
      <c r="K160" s="413"/>
      <c r="L160" s="414"/>
    </row>
    <row r="161">
      <c r="A161" s="207"/>
      <c r="B161" s="207"/>
      <c r="C161" s="207"/>
      <c r="D161" s="207"/>
      <c r="E161" s="207"/>
      <c r="F161" s="207"/>
      <c r="G161" s="207"/>
      <c r="H161" s="415"/>
      <c r="I161" s="416"/>
      <c r="J161" s="416"/>
      <c r="K161" s="416"/>
      <c r="L161" s="417"/>
    </row>
    <row r="162">
      <c r="A162" s="203"/>
      <c r="B162" s="203"/>
      <c r="C162" s="203"/>
      <c r="D162" s="203"/>
      <c r="E162" s="203"/>
      <c r="F162" s="203"/>
      <c r="G162" s="203"/>
      <c r="H162" s="412"/>
      <c r="I162" s="413"/>
      <c r="J162" s="413"/>
      <c r="K162" s="413"/>
      <c r="L162" s="414"/>
    </row>
    <row r="163">
      <c r="A163" s="207"/>
      <c r="B163" s="207"/>
      <c r="C163" s="207"/>
      <c r="D163" s="207"/>
      <c r="E163" s="207"/>
      <c r="F163" s="207"/>
      <c r="G163" s="207"/>
      <c r="H163" s="415"/>
      <c r="I163" s="416"/>
      <c r="J163" s="416"/>
      <c r="K163" s="416"/>
      <c r="L163" s="417"/>
    </row>
    <row r="164">
      <c r="A164" s="203"/>
      <c r="B164" s="203"/>
      <c r="C164" s="203"/>
      <c r="D164" s="203"/>
      <c r="E164" s="203"/>
      <c r="F164" s="203"/>
      <c r="G164" s="203"/>
      <c r="H164" s="412"/>
      <c r="I164" s="413"/>
      <c r="J164" s="413"/>
      <c r="K164" s="413"/>
      <c r="L164" s="414"/>
    </row>
    <row r="165">
      <c r="A165" s="207"/>
      <c r="B165" s="207"/>
      <c r="C165" s="207"/>
      <c r="D165" s="207"/>
      <c r="E165" s="207"/>
      <c r="F165" s="207"/>
      <c r="G165" s="207"/>
      <c r="H165" s="415"/>
      <c r="I165" s="416"/>
      <c r="J165" s="416"/>
      <c r="K165" s="416"/>
      <c r="L165" s="417"/>
    </row>
    <row r="166">
      <c r="A166" s="203"/>
      <c r="B166" s="203"/>
      <c r="C166" s="203"/>
      <c r="D166" s="203"/>
      <c r="E166" s="203"/>
      <c r="F166" s="203"/>
      <c r="G166" s="203"/>
      <c r="H166" s="412"/>
      <c r="I166" s="413"/>
      <c r="J166" s="413"/>
      <c r="K166" s="413"/>
      <c r="L166" s="414"/>
    </row>
    <row r="167">
      <c r="A167" s="207"/>
      <c r="B167" s="207"/>
      <c r="C167" s="207"/>
      <c r="D167" s="207"/>
      <c r="E167" s="207"/>
      <c r="F167" s="207"/>
      <c r="G167" s="207"/>
      <c r="H167" s="415"/>
      <c r="I167" s="416"/>
      <c r="J167" s="416"/>
      <c r="K167" s="416"/>
      <c r="L167" s="417"/>
    </row>
    <row r="168">
      <c r="A168" s="203"/>
      <c r="B168" s="203"/>
      <c r="C168" s="203"/>
      <c r="D168" s="203"/>
      <c r="E168" s="203"/>
      <c r="F168" s="203"/>
      <c r="G168" s="203"/>
      <c r="H168" s="412"/>
      <c r="I168" s="413"/>
      <c r="J168" s="413"/>
      <c r="K168" s="413"/>
      <c r="L168" s="414"/>
    </row>
    <row r="169">
      <c r="A169" s="207"/>
      <c r="B169" s="207"/>
      <c r="C169" s="207"/>
      <c r="D169" s="207"/>
      <c r="E169" s="207"/>
      <c r="F169" s="207"/>
      <c r="G169" s="207"/>
      <c r="H169" s="415"/>
      <c r="I169" s="416"/>
      <c r="J169" s="416"/>
      <c r="K169" s="416"/>
      <c r="L169" s="417"/>
    </row>
    <row r="170">
      <c r="A170" s="203"/>
      <c r="B170" s="203"/>
      <c r="C170" s="203"/>
      <c r="D170" s="203"/>
      <c r="E170" s="203"/>
      <c r="F170" s="203"/>
      <c r="G170" s="203"/>
      <c r="H170" s="412"/>
      <c r="I170" s="413"/>
      <c r="J170" s="413"/>
      <c r="K170" s="413"/>
      <c r="L170" s="414"/>
    </row>
    <row r="171">
      <c r="A171" s="207"/>
      <c r="B171" s="207"/>
      <c r="C171" s="207"/>
      <c r="D171" s="207"/>
      <c r="E171" s="207"/>
      <c r="F171" s="207"/>
      <c r="G171" s="207"/>
      <c r="H171" s="415"/>
      <c r="I171" s="416"/>
      <c r="J171" s="416"/>
      <c r="K171" s="416"/>
      <c r="L171" s="417"/>
    </row>
    <row r="172">
      <c r="A172" s="203"/>
      <c r="B172" s="203"/>
      <c r="C172" s="203"/>
      <c r="D172" s="203"/>
      <c r="E172" s="203"/>
      <c r="F172" s="203"/>
      <c r="G172" s="203"/>
      <c r="H172" s="412"/>
      <c r="I172" s="413"/>
      <c r="J172" s="413"/>
      <c r="K172" s="413"/>
      <c r="L172" s="414"/>
    </row>
    <row r="173">
      <c r="A173" s="207"/>
      <c r="B173" s="207"/>
      <c r="C173" s="207"/>
      <c r="D173" s="207"/>
      <c r="E173" s="207"/>
      <c r="F173" s="207"/>
      <c r="G173" s="207"/>
      <c r="H173" s="415"/>
      <c r="I173" s="416"/>
      <c r="J173" s="416"/>
      <c r="K173" s="416"/>
      <c r="L173" s="417"/>
    </row>
    <row r="174">
      <c r="A174" s="203"/>
      <c r="B174" s="203"/>
      <c r="C174" s="203"/>
      <c r="D174" s="203"/>
      <c r="E174" s="203"/>
      <c r="F174" s="203"/>
      <c r="G174" s="203"/>
      <c r="H174" s="412"/>
      <c r="I174" s="413"/>
      <c r="J174" s="413"/>
      <c r="K174" s="413"/>
      <c r="L174" s="414"/>
    </row>
    <row r="175">
      <c r="A175" s="207"/>
      <c r="B175" s="207"/>
      <c r="C175" s="207"/>
      <c r="D175" s="207"/>
      <c r="E175" s="207"/>
      <c r="F175" s="207"/>
      <c r="G175" s="207"/>
      <c r="H175" s="415"/>
      <c r="I175" s="416"/>
      <c r="J175" s="416"/>
      <c r="K175" s="416"/>
      <c r="L175" s="417"/>
    </row>
    <row r="176">
      <c r="A176" s="203"/>
      <c r="B176" s="203"/>
      <c r="C176" s="203"/>
      <c r="D176" s="203"/>
      <c r="E176" s="203"/>
      <c r="F176" s="203"/>
      <c r="G176" s="203"/>
      <c r="H176" s="412"/>
      <c r="I176" s="413"/>
      <c r="J176" s="413"/>
      <c r="K176" s="413"/>
      <c r="L176" s="414"/>
    </row>
    <row r="177">
      <c r="A177" s="207"/>
      <c r="B177" s="207"/>
      <c r="C177" s="207"/>
      <c r="D177" s="207"/>
      <c r="E177" s="207"/>
      <c r="F177" s="207"/>
      <c r="G177" s="207"/>
      <c r="H177" s="415"/>
      <c r="I177" s="416"/>
      <c r="J177" s="416"/>
      <c r="K177" s="416"/>
      <c r="L177" s="417"/>
    </row>
    <row r="178">
      <c r="A178" s="203"/>
      <c r="B178" s="203"/>
      <c r="C178" s="203"/>
      <c r="D178" s="203"/>
      <c r="E178" s="203"/>
      <c r="F178" s="203"/>
      <c r="G178" s="203"/>
      <c r="H178" s="412"/>
      <c r="I178" s="413"/>
      <c r="J178" s="413"/>
      <c r="K178" s="413"/>
      <c r="L178" s="414"/>
    </row>
    <row r="179">
      <c r="A179" s="207"/>
      <c r="B179" s="207"/>
      <c r="C179" s="207"/>
      <c r="D179" s="207"/>
      <c r="E179" s="207"/>
      <c r="F179" s="207"/>
      <c r="G179" s="207"/>
      <c r="H179" s="415"/>
      <c r="I179" s="416"/>
      <c r="J179" s="416"/>
      <c r="K179" s="416"/>
      <c r="L179" s="417"/>
    </row>
    <row r="180">
      <c r="A180" s="203"/>
      <c r="B180" s="203"/>
      <c r="C180" s="203"/>
      <c r="D180" s="203"/>
      <c r="E180" s="203"/>
      <c r="F180" s="203"/>
      <c r="G180" s="203"/>
      <c r="H180" s="412"/>
      <c r="I180" s="413"/>
      <c r="J180" s="413"/>
      <c r="K180" s="413"/>
      <c r="L180" s="414"/>
    </row>
    <row r="181">
      <c r="A181" s="207"/>
      <c r="B181" s="207"/>
      <c r="C181" s="207"/>
      <c r="D181" s="207"/>
      <c r="E181" s="207"/>
      <c r="F181" s="207"/>
      <c r="G181" s="207"/>
      <c r="H181" s="415"/>
      <c r="I181" s="416"/>
      <c r="J181" s="416"/>
      <c r="K181" s="416"/>
      <c r="L181" s="417"/>
    </row>
    <row r="182">
      <c r="A182" s="203"/>
      <c r="B182" s="203"/>
      <c r="C182" s="203"/>
      <c r="D182" s="203"/>
      <c r="E182" s="203"/>
      <c r="F182" s="203"/>
      <c r="G182" s="203"/>
      <c r="H182" s="412"/>
      <c r="I182" s="413"/>
      <c r="J182" s="413"/>
      <c r="K182" s="413"/>
      <c r="L182" s="414"/>
    </row>
    <row r="183">
      <c r="A183" s="207"/>
      <c r="B183" s="207"/>
      <c r="C183" s="207"/>
      <c r="D183" s="207"/>
      <c r="E183" s="207"/>
      <c r="F183" s="207"/>
      <c r="G183" s="207"/>
      <c r="H183" s="415"/>
      <c r="I183" s="416"/>
      <c r="J183" s="416"/>
      <c r="K183" s="416"/>
      <c r="L183" s="417"/>
    </row>
    <row r="184">
      <c r="A184" s="203"/>
      <c r="B184" s="203"/>
      <c r="C184" s="203"/>
      <c r="D184" s="203"/>
      <c r="E184" s="203"/>
      <c r="F184" s="203"/>
      <c r="G184" s="203"/>
      <c r="H184" s="412"/>
      <c r="I184" s="413"/>
      <c r="J184" s="413"/>
      <c r="K184" s="413"/>
      <c r="L184" s="414"/>
    </row>
    <row r="185">
      <c r="A185" s="207"/>
      <c r="B185" s="207"/>
      <c r="C185" s="207"/>
      <c r="D185" s="207"/>
      <c r="E185" s="207"/>
      <c r="F185" s="207"/>
      <c r="G185" s="207"/>
      <c r="H185" s="415"/>
      <c r="I185" s="416"/>
      <c r="J185" s="416"/>
      <c r="K185" s="416"/>
      <c r="L185" s="417"/>
    </row>
    <row r="186">
      <c r="A186" s="203"/>
      <c r="B186" s="203"/>
      <c r="C186" s="203"/>
      <c r="D186" s="203"/>
      <c r="E186" s="203"/>
      <c r="F186" s="203"/>
      <c r="G186" s="203"/>
      <c r="H186" s="412"/>
      <c r="I186" s="413"/>
      <c r="J186" s="413"/>
      <c r="K186" s="413"/>
      <c r="L186" s="414"/>
    </row>
    <row r="187">
      <c r="A187" s="207"/>
      <c r="B187" s="207"/>
      <c r="C187" s="207"/>
      <c r="D187" s="207"/>
      <c r="E187" s="207"/>
      <c r="F187" s="207"/>
      <c r="G187" s="207"/>
      <c r="H187" s="415"/>
      <c r="I187" s="416"/>
      <c r="J187" s="416"/>
      <c r="K187" s="416"/>
      <c r="L187" s="417"/>
    </row>
    <row r="188">
      <c r="A188" s="203"/>
      <c r="B188" s="203"/>
      <c r="C188" s="203"/>
      <c r="D188" s="203"/>
      <c r="E188" s="203"/>
      <c r="F188" s="203"/>
      <c r="G188" s="203"/>
      <c r="H188" s="412"/>
      <c r="I188" s="413"/>
      <c r="J188" s="413"/>
      <c r="K188" s="413"/>
      <c r="L188" s="414"/>
    </row>
    <row r="189">
      <c r="A189" s="207"/>
      <c r="B189" s="207"/>
      <c r="C189" s="207"/>
      <c r="D189" s="207"/>
      <c r="E189" s="207"/>
      <c r="F189" s="207"/>
      <c r="G189" s="207"/>
      <c r="H189" s="415"/>
      <c r="I189" s="416"/>
      <c r="J189" s="416"/>
      <c r="K189" s="416"/>
      <c r="L189" s="417"/>
    </row>
    <row r="190">
      <c r="A190" s="203"/>
      <c r="B190" s="203"/>
      <c r="C190" s="203"/>
      <c r="D190" s="203"/>
      <c r="E190" s="203"/>
      <c r="F190" s="203"/>
      <c r="G190" s="203"/>
      <c r="H190" s="412"/>
      <c r="I190" s="413"/>
      <c r="J190" s="413"/>
      <c r="K190" s="413"/>
      <c r="L190" s="414"/>
    </row>
    <row r="191">
      <c r="A191" s="207"/>
      <c r="B191" s="207"/>
      <c r="C191" s="207"/>
      <c r="D191" s="207"/>
      <c r="E191" s="207"/>
      <c r="F191" s="207"/>
      <c r="G191" s="207"/>
      <c r="H191" s="415"/>
      <c r="I191" s="416"/>
      <c r="J191" s="416"/>
      <c r="K191" s="416"/>
      <c r="L191" s="417"/>
    </row>
    <row r="192">
      <c r="A192" s="203"/>
      <c r="B192" s="203"/>
      <c r="C192" s="203"/>
      <c r="D192" s="203"/>
      <c r="E192" s="203"/>
      <c r="F192" s="203"/>
      <c r="G192" s="203"/>
      <c r="H192" s="412"/>
      <c r="I192" s="413"/>
      <c r="J192" s="413"/>
      <c r="K192" s="413"/>
      <c r="L192" s="414"/>
    </row>
    <row r="193">
      <c r="A193" s="207"/>
      <c r="B193" s="207"/>
      <c r="C193" s="207"/>
      <c r="D193" s="207"/>
      <c r="E193" s="207"/>
      <c r="F193" s="207"/>
      <c r="G193" s="207"/>
      <c r="H193" s="415"/>
      <c r="I193" s="416"/>
      <c r="J193" s="416"/>
      <c r="K193" s="416"/>
      <c r="L193" s="417"/>
    </row>
    <row r="194">
      <c r="A194" s="203"/>
      <c r="B194" s="203"/>
      <c r="C194" s="203"/>
      <c r="D194" s="203"/>
      <c r="E194" s="203"/>
      <c r="F194" s="203"/>
      <c r="G194" s="203"/>
      <c r="H194" s="412"/>
      <c r="I194" s="413"/>
      <c r="J194" s="413"/>
      <c r="K194" s="413"/>
      <c r="L194" s="414"/>
    </row>
    <row r="195">
      <c r="A195" s="207"/>
      <c r="B195" s="207"/>
      <c r="C195" s="207"/>
      <c r="D195" s="207"/>
      <c r="E195" s="207"/>
      <c r="F195" s="207"/>
      <c r="G195" s="207"/>
      <c r="H195" s="415"/>
      <c r="I195" s="416"/>
      <c r="J195" s="416"/>
      <c r="K195" s="416"/>
      <c r="L195" s="417"/>
    </row>
    <row r="196">
      <c r="A196" s="203"/>
      <c r="B196" s="203"/>
      <c r="C196" s="203"/>
      <c r="D196" s="203"/>
      <c r="E196" s="203"/>
      <c r="F196" s="203"/>
      <c r="G196" s="203"/>
      <c r="H196" s="412"/>
      <c r="I196" s="413"/>
      <c r="J196" s="413"/>
      <c r="K196" s="413"/>
      <c r="L196" s="414"/>
    </row>
    <row r="197">
      <c r="A197" s="207"/>
      <c r="B197" s="207"/>
      <c r="C197" s="207"/>
      <c r="D197" s="207"/>
      <c r="E197" s="207"/>
      <c r="F197" s="207"/>
      <c r="G197" s="207"/>
      <c r="H197" s="415"/>
      <c r="I197" s="416"/>
      <c r="J197" s="416"/>
      <c r="K197" s="416"/>
      <c r="L197" s="417"/>
    </row>
    <row r="198">
      <c r="A198" s="203"/>
      <c r="B198" s="203"/>
      <c r="C198" s="203"/>
      <c r="D198" s="203"/>
      <c r="E198" s="203"/>
      <c r="F198" s="203"/>
      <c r="G198" s="203"/>
      <c r="H198" s="412"/>
      <c r="I198" s="413"/>
      <c r="J198" s="413"/>
      <c r="K198" s="413"/>
      <c r="L198" s="414"/>
    </row>
    <row r="199">
      <c r="A199" s="207"/>
      <c r="B199" s="207"/>
      <c r="C199" s="207"/>
      <c r="D199" s="207"/>
      <c r="E199" s="207"/>
      <c r="F199" s="207"/>
      <c r="G199" s="207"/>
      <c r="H199" s="415"/>
      <c r="I199" s="416"/>
      <c r="J199" s="416"/>
      <c r="K199" s="416"/>
      <c r="L199" s="417"/>
    </row>
    <row r="200">
      <c r="A200" s="203"/>
      <c r="B200" s="203"/>
      <c r="C200" s="203"/>
      <c r="D200" s="203"/>
      <c r="E200" s="203"/>
      <c r="F200" s="203"/>
      <c r="G200" s="203"/>
      <c r="H200" s="412"/>
      <c r="I200" s="413"/>
      <c r="J200" s="413"/>
      <c r="K200" s="413"/>
      <c r="L200" s="414"/>
    </row>
    <row r="201">
      <c r="A201" s="207"/>
      <c r="B201" s="207"/>
      <c r="C201" s="207"/>
      <c r="D201" s="207"/>
      <c r="E201" s="207"/>
      <c r="F201" s="207"/>
      <c r="G201" s="207"/>
      <c r="H201" s="415"/>
      <c r="I201" s="416"/>
      <c r="J201" s="416"/>
      <c r="K201" s="416"/>
      <c r="L201" s="417"/>
    </row>
    <row r="202">
      <c r="A202" s="203"/>
      <c r="B202" s="203"/>
      <c r="C202" s="203"/>
      <c r="D202" s="203"/>
      <c r="E202" s="203"/>
      <c r="F202" s="203"/>
      <c r="G202" s="203"/>
      <c r="H202" s="412"/>
      <c r="I202" s="413"/>
      <c r="J202" s="413"/>
      <c r="K202" s="413"/>
      <c r="L202" s="414"/>
    </row>
    <row r="203">
      <c r="A203" s="207"/>
      <c r="B203" s="207"/>
      <c r="C203" s="207"/>
      <c r="D203" s="207"/>
      <c r="E203" s="207"/>
      <c r="F203" s="207"/>
      <c r="G203" s="207"/>
      <c r="H203" s="415"/>
      <c r="I203" s="416"/>
      <c r="J203" s="416"/>
      <c r="K203" s="416"/>
      <c r="L203" s="417"/>
    </row>
    <row r="204">
      <c r="A204" s="203"/>
      <c r="B204" s="203"/>
      <c r="C204" s="203"/>
      <c r="D204" s="203"/>
      <c r="E204" s="203"/>
      <c r="F204" s="203"/>
      <c r="G204" s="203"/>
      <c r="H204" s="412"/>
      <c r="I204" s="413"/>
      <c r="J204" s="413"/>
      <c r="K204" s="413"/>
      <c r="L204" s="414"/>
    </row>
    <row r="205">
      <c r="A205" s="207"/>
      <c r="B205" s="207"/>
      <c r="C205" s="207"/>
      <c r="D205" s="207"/>
      <c r="E205" s="207"/>
      <c r="F205" s="207"/>
      <c r="G205" s="207"/>
      <c r="H205" s="415"/>
      <c r="I205" s="416"/>
      <c r="J205" s="416"/>
      <c r="K205" s="416"/>
      <c r="L205" s="417"/>
    </row>
    <row r="206">
      <c r="A206" s="203"/>
      <c r="B206" s="203"/>
      <c r="C206" s="203"/>
      <c r="D206" s="203"/>
      <c r="E206" s="203"/>
      <c r="F206" s="203"/>
      <c r="G206" s="203"/>
      <c r="H206" s="412"/>
      <c r="I206" s="413"/>
      <c r="J206" s="413"/>
      <c r="K206" s="413"/>
      <c r="L206" s="414"/>
    </row>
    <row r="207">
      <c r="A207" s="207"/>
      <c r="B207" s="207"/>
      <c r="C207" s="207"/>
      <c r="D207" s="207"/>
      <c r="E207" s="207"/>
      <c r="F207" s="207"/>
      <c r="G207" s="207"/>
      <c r="H207" s="415"/>
      <c r="I207" s="416"/>
      <c r="J207" s="416"/>
      <c r="K207" s="416"/>
      <c r="L207" s="417"/>
    </row>
    <row r="208">
      <c r="A208" s="203"/>
      <c r="B208" s="203"/>
      <c r="C208" s="203"/>
      <c r="D208" s="203"/>
      <c r="E208" s="203"/>
      <c r="F208" s="203"/>
      <c r="G208" s="203"/>
      <c r="H208" s="412"/>
      <c r="I208" s="413"/>
      <c r="J208" s="413"/>
      <c r="K208" s="413"/>
      <c r="L208" s="414"/>
    </row>
    <row r="209">
      <c r="A209" s="207"/>
      <c r="B209" s="207"/>
      <c r="C209" s="207"/>
      <c r="D209" s="207"/>
      <c r="E209" s="207"/>
      <c r="F209" s="207"/>
      <c r="G209" s="207"/>
      <c r="H209" s="415"/>
      <c r="I209" s="416"/>
      <c r="J209" s="416"/>
      <c r="K209" s="416"/>
      <c r="L209" s="417"/>
    </row>
    <row r="210">
      <c r="A210" s="203"/>
      <c r="B210" s="203"/>
      <c r="C210" s="203"/>
      <c r="D210" s="203"/>
      <c r="E210" s="203"/>
      <c r="F210" s="203"/>
      <c r="G210" s="203"/>
      <c r="H210" s="412"/>
      <c r="I210" s="413"/>
      <c r="J210" s="413"/>
      <c r="K210" s="413"/>
      <c r="L210" s="414"/>
    </row>
    <row r="211">
      <c r="A211" s="207"/>
      <c r="B211" s="207"/>
      <c r="C211" s="207"/>
      <c r="D211" s="207"/>
      <c r="E211" s="207"/>
      <c r="F211" s="207"/>
      <c r="G211" s="207"/>
      <c r="H211" s="415"/>
      <c r="I211" s="416"/>
      <c r="J211" s="416"/>
      <c r="K211" s="416"/>
      <c r="L211" s="417"/>
    </row>
    <row r="212">
      <c r="A212" s="203"/>
      <c r="B212" s="203"/>
      <c r="C212" s="203"/>
      <c r="D212" s="203"/>
      <c r="E212" s="203"/>
      <c r="F212" s="203"/>
      <c r="G212" s="203"/>
      <c r="H212" s="412"/>
      <c r="I212" s="413"/>
      <c r="J212" s="413"/>
      <c r="K212" s="413"/>
      <c r="L212" s="414"/>
    </row>
    <row r="213">
      <c r="A213" s="207"/>
      <c r="B213" s="207"/>
      <c r="C213" s="207"/>
      <c r="D213" s="207"/>
      <c r="E213" s="207"/>
      <c r="F213" s="207"/>
      <c r="G213" s="207"/>
      <c r="H213" s="415"/>
      <c r="I213" s="416"/>
      <c r="J213" s="416"/>
      <c r="K213" s="416"/>
      <c r="L213" s="417"/>
    </row>
    <row r="214">
      <c r="A214" s="203"/>
      <c r="B214" s="203"/>
      <c r="C214" s="203"/>
      <c r="D214" s="203"/>
      <c r="E214" s="203"/>
      <c r="F214" s="203"/>
      <c r="G214" s="203"/>
      <c r="H214" s="412"/>
      <c r="I214" s="413"/>
      <c r="J214" s="413"/>
      <c r="K214" s="413"/>
      <c r="L214" s="414"/>
    </row>
    <row r="215">
      <c r="A215" s="207"/>
      <c r="B215" s="207"/>
      <c r="C215" s="207"/>
      <c r="D215" s="207"/>
      <c r="E215" s="207"/>
      <c r="F215" s="207"/>
      <c r="G215" s="207"/>
      <c r="H215" s="415"/>
      <c r="I215" s="416"/>
      <c r="J215" s="416"/>
      <c r="K215" s="416"/>
      <c r="L215" s="417"/>
    </row>
    <row r="216">
      <c r="A216" s="203"/>
      <c r="B216" s="203"/>
      <c r="C216" s="203"/>
      <c r="D216" s="203"/>
      <c r="E216" s="203"/>
      <c r="F216" s="203"/>
      <c r="G216" s="203"/>
      <c r="H216" s="412"/>
      <c r="I216" s="413"/>
      <c r="J216" s="413"/>
      <c r="K216" s="413"/>
      <c r="L216" s="414"/>
    </row>
    <row r="217">
      <c r="A217" s="207"/>
      <c r="B217" s="207"/>
      <c r="C217" s="207"/>
      <c r="D217" s="207"/>
      <c r="E217" s="207"/>
      <c r="F217" s="207"/>
      <c r="G217" s="207"/>
      <c r="H217" s="415"/>
      <c r="I217" s="416"/>
      <c r="J217" s="416"/>
      <c r="K217" s="416"/>
      <c r="L217" s="417"/>
    </row>
    <row r="218">
      <c r="A218" s="203"/>
      <c r="B218" s="203"/>
      <c r="C218" s="203"/>
      <c r="D218" s="203"/>
      <c r="E218" s="203"/>
      <c r="F218" s="203"/>
      <c r="G218" s="203"/>
      <c r="H218" s="412"/>
      <c r="I218" s="413"/>
      <c r="J218" s="413"/>
      <c r="K218" s="413"/>
      <c r="L218" s="414"/>
    </row>
    <row r="219">
      <c r="A219" s="207"/>
      <c r="B219" s="207"/>
      <c r="C219" s="207"/>
      <c r="D219" s="207"/>
      <c r="E219" s="207"/>
      <c r="F219" s="207"/>
      <c r="G219" s="207"/>
      <c r="H219" s="415"/>
      <c r="I219" s="416"/>
      <c r="J219" s="416"/>
      <c r="K219" s="416"/>
      <c r="L219" s="417"/>
    </row>
    <row r="220">
      <c r="A220" s="203"/>
      <c r="B220" s="203"/>
      <c r="C220" s="203"/>
      <c r="D220" s="203"/>
      <c r="E220" s="203"/>
      <c r="F220" s="203"/>
      <c r="G220" s="203"/>
      <c r="H220" s="412"/>
      <c r="I220" s="413"/>
      <c r="J220" s="413"/>
      <c r="K220" s="413"/>
      <c r="L220" s="414"/>
    </row>
    <row r="221">
      <c r="A221" s="207"/>
      <c r="B221" s="207"/>
      <c r="C221" s="207"/>
      <c r="D221" s="207"/>
      <c r="E221" s="207"/>
      <c r="F221" s="207"/>
      <c r="G221" s="207"/>
      <c r="H221" s="415"/>
      <c r="I221" s="416"/>
      <c r="J221" s="416"/>
      <c r="K221" s="416"/>
      <c r="L221" s="417"/>
    </row>
    <row r="222">
      <c r="A222" s="203"/>
      <c r="B222" s="203"/>
      <c r="C222" s="203"/>
      <c r="D222" s="203"/>
      <c r="E222" s="203"/>
      <c r="F222" s="203"/>
      <c r="G222" s="203"/>
      <c r="H222" s="412"/>
      <c r="I222" s="413"/>
      <c r="J222" s="413"/>
      <c r="K222" s="413"/>
      <c r="L222" s="414"/>
    </row>
    <row r="223">
      <c r="A223" s="207"/>
      <c r="B223" s="207"/>
      <c r="C223" s="207"/>
      <c r="D223" s="207"/>
      <c r="E223" s="207"/>
      <c r="F223" s="207"/>
      <c r="G223" s="207"/>
      <c r="H223" s="415"/>
      <c r="I223" s="416"/>
      <c r="J223" s="416"/>
      <c r="K223" s="416"/>
      <c r="L223" s="417"/>
    </row>
    <row r="224">
      <c r="A224" s="203"/>
      <c r="B224" s="203"/>
      <c r="C224" s="203"/>
      <c r="D224" s="203"/>
      <c r="E224" s="203"/>
      <c r="F224" s="203"/>
      <c r="G224" s="203"/>
      <c r="H224" s="412"/>
      <c r="I224" s="413"/>
      <c r="J224" s="413"/>
      <c r="K224" s="413"/>
      <c r="L224" s="414"/>
    </row>
    <row r="225">
      <c r="A225" s="207"/>
      <c r="B225" s="207"/>
      <c r="C225" s="207"/>
      <c r="D225" s="207"/>
      <c r="E225" s="207"/>
      <c r="F225" s="207"/>
      <c r="G225" s="207"/>
      <c r="H225" s="415"/>
      <c r="I225" s="416"/>
      <c r="J225" s="416"/>
      <c r="K225" s="416"/>
      <c r="L225" s="417"/>
    </row>
    <row r="226">
      <c r="A226" s="203"/>
      <c r="B226" s="203"/>
      <c r="C226" s="203"/>
      <c r="D226" s="203"/>
      <c r="E226" s="203"/>
      <c r="F226" s="203"/>
      <c r="G226" s="203"/>
      <c r="H226" s="412"/>
      <c r="I226" s="413"/>
      <c r="J226" s="413"/>
      <c r="K226" s="413"/>
      <c r="L226" s="414"/>
    </row>
    <row r="227">
      <c r="A227" s="207"/>
      <c r="B227" s="207"/>
      <c r="C227" s="207"/>
      <c r="D227" s="207"/>
      <c r="E227" s="207"/>
      <c r="F227" s="207"/>
      <c r="G227" s="207"/>
      <c r="H227" s="415"/>
      <c r="I227" s="416"/>
      <c r="J227" s="416"/>
      <c r="K227" s="416"/>
      <c r="L227" s="417"/>
    </row>
    <row r="228">
      <c r="A228" s="203"/>
      <c r="B228" s="203"/>
      <c r="C228" s="203"/>
      <c r="D228" s="203"/>
      <c r="E228" s="203"/>
      <c r="F228" s="203"/>
      <c r="G228" s="203"/>
      <c r="H228" s="412"/>
      <c r="I228" s="413"/>
      <c r="J228" s="413"/>
      <c r="K228" s="413"/>
      <c r="L228" s="414"/>
    </row>
    <row r="229">
      <c r="A229" s="207"/>
      <c r="B229" s="207"/>
      <c r="C229" s="207"/>
      <c r="D229" s="207"/>
      <c r="E229" s="207"/>
      <c r="F229" s="207"/>
      <c r="G229" s="207"/>
      <c r="H229" s="415"/>
      <c r="I229" s="416"/>
      <c r="J229" s="416"/>
      <c r="K229" s="416"/>
      <c r="L229" s="417"/>
    </row>
    <row r="230">
      <c r="A230" s="203"/>
      <c r="B230" s="203"/>
      <c r="C230" s="203"/>
      <c r="D230" s="203"/>
      <c r="E230" s="203"/>
      <c r="F230" s="203"/>
      <c r="G230" s="203"/>
      <c r="H230" s="412"/>
      <c r="I230" s="413"/>
      <c r="J230" s="413"/>
      <c r="K230" s="413"/>
      <c r="L230" s="414"/>
    </row>
    <row r="231">
      <c r="A231" s="207"/>
      <c r="B231" s="207"/>
      <c r="C231" s="207"/>
      <c r="D231" s="207"/>
      <c r="E231" s="207"/>
      <c r="F231" s="207"/>
      <c r="G231" s="207"/>
      <c r="H231" s="415"/>
      <c r="I231" s="416"/>
      <c r="J231" s="416"/>
      <c r="K231" s="416"/>
      <c r="L231" s="417"/>
    </row>
    <row r="232">
      <c r="A232" s="203"/>
      <c r="B232" s="203"/>
      <c r="C232" s="203"/>
      <c r="D232" s="203"/>
      <c r="E232" s="203"/>
      <c r="F232" s="203"/>
      <c r="G232" s="203"/>
      <c r="H232" s="412"/>
      <c r="I232" s="413"/>
      <c r="J232" s="413"/>
      <c r="K232" s="413"/>
      <c r="L232" s="414"/>
    </row>
    <row r="233">
      <c r="A233" s="207"/>
      <c r="B233" s="207"/>
      <c r="C233" s="207"/>
      <c r="D233" s="207"/>
      <c r="E233" s="207"/>
      <c r="F233" s="207"/>
      <c r="G233" s="207"/>
      <c r="H233" s="415"/>
      <c r="I233" s="416"/>
      <c r="J233" s="416"/>
      <c r="K233" s="416"/>
      <c r="L233" s="417"/>
    </row>
    <row r="234">
      <c r="A234" s="203"/>
      <c r="B234" s="203"/>
      <c r="C234" s="203"/>
      <c r="D234" s="203"/>
      <c r="E234" s="203"/>
      <c r="F234" s="203"/>
      <c r="G234" s="203"/>
      <c r="H234" s="412"/>
      <c r="I234" s="413"/>
      <c r="J234" s="413"/>
      <c r="K234" s="413"/>
      <c r="L234" s="414"/>
    </row>
    <row r="235">
      <c r="A235" s="207"/>
      <c r="B235" s="207"/>
      <c r="C235" s="207"/>
      <c r="D235" s="207"/>
      <c r="E235" s="207"/>
      <c r="F235" s="207"/>
      <c r="G235" s="207"/>
      <c r="H235" s="415"/>
      <c r="I235" s="416"/>
      <c r="J235" s="416"/>
      <c r="K235" s="416"/>
      <c r="L235" s="417"/>
    </row>
    <row r="236">
      <c r="A236" s="203"/>
      <c r="B236" s="203"/>
      <c r="C236" s="203"/>
      <c r="D236" s="203"/>
      <c r="E236" s="203"/>
      <c r="F236" s="203"/>
      <c r="G236" s="203"/>
      <c r="H236" s="412"/>
      <c r="I236" s="413"/>
      <c r="J236" s="413"/>
      <c r="K236" s="413"/>
      <c r="L236" s="414"/>
    </row>
    <row r="237">
      <c r="A237" s="207"/>
      <c r="B237" s="207"/>
      <c r="C237" s="207"/>
      <c r="D237" s="207"/>
      <c r="E237" s="207"/>
      <c r="F237" s="207"/>
      <c r="G237" s="207"/>
      <c r="H237" s="415"/>
      <c r="I237" s="416"/>
      <c r="J237" s="416"/>
      <c r="K237" s="416"/>
      <c r="L237" s="417"/>
    </row>
    <row r="238">
      <c r="A238" s="203"/>
      <c r="B238" s="203"/>
      <c r="C238" s="203"/>
      <c r="D238" s="203"/>
      <c r="E238" s="203"/>
      <c r="F238" s="203"/>
      <c r="G238" s="203"/>
      <c r="H238" s="412"/>
      <c r="I238" s="413"/>
      <c r="J238" s="413"/>
      <c r="K238" s="413"/>
      <c r="L238" s="414"/>
    </row>
    <row r="239">
      <c r="A239" s="207"/>
      <c r="B239" s="207"/>
      <c r="C239" s="207"/>
      <c r="D239" s="207"/>
      <c r="E239" s="207"/>
      <c r="F239" s="207"/>
      <c r="G239" s="207"/>
      <c r="H239" s="415"/>
      <c r="I239" s="416"/>
      <c r="J239" s="416"/>
      <c r="K239" s="416"/>
      <c r="L239" s="417"/>
    </row>
    <row r="240">
      <c r="A240" s="203"/>
      <c r="B240" s="203"/>
      <c r="C240" s="203"/>
      <c r="D240" s="203"/>
      <c r="E240" s="203"/>
      <c r="F240" s="203"/>
      <c r="G240" s="203"/>
      <c r="H240" s="412"/>
      <c r="I240" s="413"/>
      <c r="J240" s="413"/>
      <c r="K240" s="413"/>
      <c r="L240" s="414"/>
    </row>
    <row r="241">
      <c r="A241" s="207"/>
      <c r="B241" s="207"/>
      <c r="C241" s="207"/>
      <c r="D241" s="207"/>
      <c r="E241" s="207"/>
      <c r="F241" s="207"/>
      <c r="G241" s="207"/>
      <c r="H241" s="415"/>
      <c r="I241" s="416"/>
      <c r="J241" s="416"/>
      <c r="K241" s="416"/>
      <c r="L241" s="417"/>
    </row>
    <row r="242">
      <c r="A242" s="203"/>
      <c r="B242" s="203"/>
      <c r="C242" s="203"/>
      <c r="D242" s="203"/>
      <c r="E242" s="203"/>
      <c r="F242" s="203"/>
      <c r="G242" s="203"/>
      <c r="H242" s="412"/>
      <c r="I242" s="413"/>
      <c r="J242" s="413"/>
      <c r="K242" s="413"/>
      <c r="L242" s="414"/>
    </row>
    <row r="243">
      <c r="A243" s="207"/>
      <c r="B243" s="207"/>
      <c r="C243" s="207"/>
      <c r="D243" s="207"/>
      <c r="E243" s="207"/>
      <c r="F243" s="207"/>
      <c r="G243" s="207"/>
      <c r="H243" s="415"/>
      <c r="I243" s="416"/>
      <c r="J243" s="416"/>
      <c r="K243" s="416"/>
      <c r="L243" s="417"/>
    </row>
    <row r="244">
      <c r="A244" s="203"/>
      <c r="B244" s="203"/>
      <c r="C244" s="203"/>
      <c r="D244" s="203"/>
      <c r="E244" s="203"/>
      <c r="F244" s="203"/>
      <c r="G244" s="203"/>
      <c r="H244" s="412"/>
      <c r="I244" s="413"/>
      <c r="J244" s="413"/>
      <c r="K244" s="413"/>
      <c r="L244" s="414"/>
    </row>
    <row r="245">
      <c r="A245" s="207"/>
      <c r="B245" s="207"/>
      <c r="C245" s="207"/>
      <c r="D245" s="207"/>
      <c r="E245" s="207"/>
      <c r="F245" s="207"/>
      <c r="G245" s="207"/>
      <c r="H245" s="415"/>
      <c r="I245" s="416"/>
      <c r="J245" s="416"/>
      <c r="K245" s="416"/>
      <c r="L245" s="417"/>
    </row>
    <row r="246">
      <c r="A246" s="203"/>
      <c r="B246" s="203"/>
      <c r="C246" s="203"/>
      <c r="D246" s="203"/>
      <c r="E246" s="203"/>
      <c r="F246" s="203"/>
      <c r="G246" s="203"/>
      <c r="H246" s="412"/>
      <c r="I246" s="413"/>
      <c r="J246" s="413"/>
      <c r="K246" s="413"/>
      <c r="L246" s="414"/>
    </row>
    <row r="247">
      <c r="A247" s="207"/>
      <c r="B247" s="207"/>
      <c r="C247" s="207"/>
      <c r="D247" s="207"/>
      <c r="E247" s="207"/>
      <c r="F247" s="207"/>
      <c r="G247" s="207"/>
      <c r="H247" s="415"/>
      <c r="I247" s="416"/>
      <c r="J247" s="416"/>
      <c r="K247" s="416"/>
      <c r="L247" s="417"/>
    </row>
    <row r="248">
      <c r="A248" s="203"/>
      <c r="B248" s="203"/>
      <c r="C248" s="203"/>
      <c r="D248" s="203"/>
      <c r="E248" s="203"/>
      <c r="F248" s="203"/>
      <c r="G248" s="203"/>
      <c r="H248" s="412"/>
      <c r="I248" s="413"/>
      <c r="J248" s="413"/>
      <c r="K248" s="413"/>
      <c r="L248" s="414"/>
    </row>
    <row r="249">
      <c r="A249" s="207"/>
      <c r="B249" s="207"/>
      <c r="C249" s="207"/>
      <c r="D249" s="207"/>
      <c r="E249" s="207"/>
      <c r="F249" s="207"/>
      <c r="G249" s="207"/>
      <c r="H249" s="415"/>
      <c r="I249" s="416"/>
      <c r="J249" s="416"/>
      <c r="K249" s="416"/>
      <c r="L249" s="417"/>
    </row>
    <row r="250">
      <c r="A250" s="203"/>
      <c r="B250" s="203"/>
      <c r="C250" s="203"/>
      <c r="D250" s="203"/>
      <c r="E250" s="203"/>
      <c r="F250" s="203"/>
      <c r="G250" s="203"/>
      <c r="H250" s="412"/>
      <c r="I250" s="413"/>
      <c r="J250" s="413"/>
      <c r="K250" s="413"/>
      <c r="L250" s="414"/>
    </row>
    <row r="251">
      <c r="A251" s="207"/>
      <c r="B251" s="207"/>
      <c r="C251" s="207"/>
      <c r="D251" s="207"/>
      <c r="E251" s="207"/>
      <c r="F251" s="207"/>
      <c r="G251" s="207"/>
      <c r="H251" s="415"/>
      <c r="I251" s="416"/>
      <c r="J251" s="416"/>
      <c r="K251" s="416"/>
      <c r="L251" s="417"/>
    </row>
    <row r="252">
      <c r="A252" s="203"/>
      <c r="B252" s="203"/>
      <c r="C252" s="203"/>
      <c r="D252" s="203"/>
      <c r="E252" s="203"/>
      <c r="F252" s="203"/>
      <c r="G252" s="203"/>
      <c r="H252" s="412"/>
      <c r="I252" s="413"/>
      <c r="J252" s="413"/>
      <c r="K252" s="413"/>
      <c r="L252" s="414"/>
    </row>
    <row r="253">
      <c r="A253" s="207"/>
      <c r="B253" s="207"/>
      <c r="C253" s="207"/>
      <c r="D253" s="207"/>
      <c r="E253" s="207"/>
      <c r="F253" s="207"/>
      <c r="G253" s="207"/>
      <c r="H253" s="415"/>
      <c r="I253" s="416"/>
      <c r="J253" s="416"/>
      <c r="K253" s="416"/>
      <c r="L253" s="417"/>
    </row>
    <row r="254">
      <c r="A254" s="203"/>
      <c r="B254" s="203"/>
      <c r="C254" s="203"/>
      <c r="D254" s="203"/>
      <c r="E254" s="203"/>
      <c r="F254" s="203"/>
      <c r="G254" s="203"/>
      <c r="H254" s="412"/>
      <c r="I254" s="413"/>
      <c r="J254" s="413"/>
      <c r="K254" s="413"/>
      <c r="L254" s="414"/>
    </row>
    <row r="255">
      <c r="A255" s="207"/>
      <c r="B255" s="207"/>
      <c r="C255" s="207"/>
      <c r="D255" s="207"/>
      <c r="E255" s="207"/>
      <c r="F255" s="207"/>
      <c r="G255" s="207"/>
      <c r="H255" s="415"/>
      <c r="I255" s="416"/>
      <c r="J255" s="416"/>
      <c r="K255" s="416"/>
      <c r="L255" s="417"/>
    </row>
    <row r="256">
      <c r="A256" s="203"/>
      <c r="B256" s="203"/>
      <c r="C256" s="203"/>
      <c r="D256" s="203"/>
      <c r="E256" s="203"/>
      <c r="F256" s="203"/>
      <c r="G256" s="203"/>
      <c r="H256" s="412"/>
      <c r="I256" s="413"/>
      <c r="J256" s="413"/>
      <c r="K256" s="413"/>
      <c r="L256" s="414"/>
    </row>
    <row r="257">
      <c r="A257" s="207"/>
      <c r="B257" s="207"/>
      <c r="C257" s="207"/>
      <c r="D257" s="207"/>
      <c r="E257" s="207"/>
      <c r="F257" s="207"/>
      <c r="G257" s="207"/>
      <c r="H257" s="415"/>
      <c r="I257" s="416"/>
      <c r="J257" s="416"/>
      <c r="K257" s="416"/>
      <c r="L257" s="417"/>
    </row>
    <row r="258">
      <c r="A258" s="203"/>
      <c r="B258" s="203"/>
      <c r="C258" s="203"/>
      <c r="D258" s="203"/>
      <c r="E258" s="203"/>
      <c r="F258" s="203"/>
      <c r="G258" s="203"/>
      <c r="H258" s="412"/>
      <c r="I258" s="413"/>
      <c r="J258" s="413"/>
      <c r="K258" s="413"/>
      <c r="L258" s="414"/>
    </row>
    <row r="259">
      <c r="A259" s="207"/>
      <c r="B259" s="207"/>
      <c r="C259" s="207"/>
      <c r="D259" s="207"/>
      <c r="E259" s="207"/>
      <c r="F259" s="207"/>
      <c r="G259" s="207"/>
      <c r="H259" s="415"/>
      <c r="I259" s="416"/>
      <c r="J259" s="416"/>
      <c r="K259" s="416"/>
      <c r="L259" s="417"/>
    </row>
    <row r="260">
      <c r="A260" s="203"/>
      <c r="B260" s="203"/>
      <c r="C260" s="203"/>
      <c r="D260" s="203"/>
      <c r="E260" s="203"/>
      <c r="F260" s="203"/>
      <c r="G260" s="203"/>
      <c r="H260" s="412"/>
      <c r="I260" s="413"/>
      <c r="J260" s="413"/>
      <c r="K260" s="413"/>
      <c r="L260" s="414"/>
    </row>
    <row r="261">
      <c r="A261" s="207"/>
      <c r="B261" s="207"/>
      <c r="C261" s="207"/>
      <c r="D261" s="207"/>
      <c r="E261" s="207"/>
      <c r="F261" s="207"/>
      <c r="G261" s="207"/>
      <c r="H261" s="415"/>
      <c r="I261" s="416"/>
      <c r="J261" s="416"/>
      <c r="K261" s="416"/>
      <c r="L261" s="417"/>
    </row>
    <row r="262">
      <c r="A262" s="203"/>
      <c r="B262" s="203"/>
      <c r="C262" s="203"/>
      <c r="D262" s="203"/>
      <c r="E262" s="203"/>
      <c r="F262" s="203"/>
      <c r="G262" s="203"/>
      <c r="H262" s="412"/>
      <c r="I262" s="413"/>
      <c r="J262" s="413"/>
      <c r="K262" s="413"/>
      <c r="L262" s="414"/>
    </row>
    <row r="263">
      <c r="A263" s="207"/>
      <c r="B263" s="207"/>
      <c r="C263" s="207"/>
      <c r="D263" s="207"/>
      <c r="E263" s="207"/>
      <c r="F263" s="207"/>
      <c r="G263" s="207"/>
      <c r="H263" s="415"/>
      <c r="I263" s="416"/>
      <c r="J263" s="416"/>
      <c r="K263" s="416"/>
      <c r="L263" s="417"/>
    </row>
    <row r="264">
      <c r="A264" s="203"/>
      <c r="B264" s="203"/>
      <c r="C264" s="203"/>
      <c r="D264" s="203"/>
      <c r="E264" s="203"/>
      <c r="F264" s="203"/>
      <c r="G264" s="203"/>
      <c r="H264" s="412"/>
      <c r="I264" s="413"/>
      <c r="J264" s="413"/>
      <c r="K264" s="413"/>
      <c r="L264" s="414"/>
    </row>
    <row r="265">
      <c r="A265" s="207"/>
      <c r="B265" s="207"/>
      <c r="C265" s="207"/>
      <c r="D265" s="207"/>
      <c r="E265" s="207"/>
      <c r="F265" s="207"/>
      <c r="G265" s="207"/>
      <c r="H265" s="415"/>
      <c r="I265" s="416"/>
      <c r="J265" s="416"/>
      <c r="K265" s="416"/>
      <c r="L265" s="417"/>
    </row>
    <row r="266">
      <c r="A266" s="203"/>
      <c r="B266" s="203"/>
      <c r="C266" s="203"/>
      <c r="D266" s="203"/>
      <c r="E266" s="203"/>
      <c r="F266" s="203"/>
      <c r="G266" s="203"/>
      <c r="H266" s="412"/>
      <c r="I266" s="413"/>
      <c r="J266" s="413"/>
      <c r="K266" s="413"/>
      <c r="L266" s="414"/>
    </row>
    <row r="267">
      <c r="A267" s="207"/>
      <c r="B267" s="207"/>
      <c r="C267" s="207"/>
      <c r="D267" s="207"/>
      <c r="E267" s="207"/>
      <c r="F267" s="207"/>
      <c r="G267" s="207"/>
      <c r="H267" s="415"/>
      <c r="I267" s="416"/>
      <c r="J267" s="416"/>
      <c r="K267" s="416"/>
      <c r="L267" s="417"/>
    </row>
    <row r="268">
      <c r="A268" s="203"/>
      <c r="B268" s="203"/>
      <c r="C268" s="203"/>
      <c r="D268" s="203"/>
      <c r="E268" s="203"/>
      <c r="F268" s="203"/>
      <c r="G268" s="203"/>
      <c r="H268" s="412"/>
      <c r="I268" s="413"/>
      <c r="J268" s="413"/>
      <c r="K268" s="413"/>
      <c r="L268" s="414"/>
    </row>
    <row r="269">
      <c r="A269" s="207"/>
      <c r="B269" s="207"/>
      <c r="C269" s="207"/>
      <c r="D269" s="207"/>
      <c r="E269" s="207"/>
      <c r="F269" s="207"/>
      <c r="G269" s="207"/>
      <c r="H269" s="415"/>
      <c r="I269" s="416"/>
      <c r="J269" s="416"/>
      <c r="K269" s="416"/>
      <c r="L269" s="417"/>
    </row>
    <row r="270">
      <c r="A270" s="203"/>
      <c r="B270" s="203"/>
      <c r="C270" s="203"/>
      <c r="D270" s="203"/>
      <c r="E270" s="203"/>
      <c r="F270" s="203"/>
      <c r="G270" s="203"/>
      <c r="H270" s="412"/>
      <c r="I270" s="413"/>
      <c r="J270" s="413"/>
      <c r="K270" s="413"/>
      <c r="L270" s="414"/>
    </row>
    <row r="271">
      <c r="A271" s="207"/>
      <c r="B271" s="207"/>
      <c r="C271" s="207"/>
      <c r="D271" s="207"/>
      <c r="E271" s="207"/>
      <c r="F271" s="207"/>
      <c r="G271" s="207"/>
      <c r="H271" s="415"/>
      <c r="I271" s="416"/>
      <c r="J271" s="416"/>
      <c r="K271" s="416"/>
      <c r="L271" s="417"/>
    </row>
    <row r="272">
      <c r="A272" s="203"/>
      <c r="B272" s="203"/>
      <c r="C272" s="203"/>
      <c r="D272" s="203"/>
      <c r="E272" s="203"/>
      <c r="F272" s="203"/>
      <c r="G272" s="203"/>
      <c r="H272" s="412"/>
      <c r="I272" s="413"/>
      <c r="J272" s="413"/>
      <c r="K272" s="413"/>
      <c r="L272" s="414"/>
    </row>
    <row r="273">
      <c r="A273" s="207"/>
      <c r="B273" s="207"/>
      <c r="C273" s="207"/>
      <c r="D273" s="207"/>
      <c r="E273" s="207"/>
      <c r="F273" s="207"/>
      <c r="G273" s="207"/>
      <c r="H273" s="415"/>
      <c r="I273" s="416"/>
      <c r="J273" s="416"/>
      <c r="K273" s="416"/>
      <c r="L273" s="417"/>
    </row>
    <row r="274">
      <c r="A274" s="203"/>
      <c r="B274" s="203"/>
      <c r="C274" s="203"/>
      <c r="D274" s="203"/>
      <c r="E274" s="203"/>
      <c r="F274" s="203"/>
      <c r="G274" s="203"/>
      <c r="H274" s="412"/>
      <c r="I274" s="413"/>
      <c r="J274" s="413"/>
      <c r="K274" s="413"/>
      <c r="L274" s="414"/>
    </row>
    <row r="275">
      <c r="A275" s="207"/>
      <c r="B275" s="207"/>
      <c r="C275" s="207"/>
      <c r="D275" s="207"/>
      <c r="E275" s="207"/>
      <c r="F275" s="207"/>
      <c r="G275" s="207"/>
      <c r="H275" s="415"/>
      <c r="I275" s="416"/>
      <c r="J275" s="416"/>
      <c r="K275" s="416"/>
      <c r="L275" s="417"/>
    </row>
    <row r="276">
      <c r="A276" s="203"/>
      <c r="B276" s="203"/>
      <c r="C276" s="203"/>
      <c r="D276" s="203"/>
      <c r="E276" s="203"/>
      <c r="F276" s="203"/>
      <c r="G276" s="203"/>
      <c r="H276" s="412"/>
      <c r="I276" s="413"/>
      <c r="J276" s="413"/>
      <c r="K276" s="413"/>
      <c r="L276" s="414"/>
    </row>
    <row r="277">
      <c r="A277" s="207"/>
      <c r="B277" s="207"/>
      <c r="C277" s="207"/>
      <c r="D277" s="207"/>
      <c r="E277" s="207"/>
      <c r="F277" s="207"/>
      <c r="G277" s="207"/>
      <c r="H277" s="415"/>
      <c r="I277" s="416"/>
      <c r="J277" s="416"/>
      <c r="K277" s="416"/>
      <c r="L277" s="417"/>
    </row>
    <row r="278">
      <c r="A278" s="203"/>
      <c r="B278" s="203"/>
      <c r="C278" s="203"/>
      <c r="D278" s="203"/>
      <c r="E278" s="203"/>
      <c r="F278" s="203"/>
      <c r="G278" s="203"/>
      <c r="H278" s="412"/>
      <c r="I278" s="413"/>
      <c r="J278" s="413"/>
      <c r="K278" s="413"/>
      <c r="L278" s="414"/>
    </row>
    <row r="279">
      <c r="A279" s="207"/>
      <c r="B279" s="207"/>
      <c r="C279" s="207"/>
      <c r="D279" s="207"/>
      <c r="E279" s="207"/>
      <c r="F279" s="207"/>
      <c r="G279" s="207"/>
      <c r="H279" s="415"/>
      <c r="I279" s="416"/>
      <c r="J279" s="416"/>
      <c r="K279" s="416"/>
      <c r="L279" s="417"/>
    </row>
    <row r="280">
      <c r="A280" s="203"/>
      <c r="B280" s="203"/>
      <c r="C280" s="203"/>
      <c r="D280" s="203"/>
      <c r="E280" s="203"/>
      <c r="F280" s="203"/>
      <c r="G280" s="203"/>
      <c r="H280" s="412"/>
      <c r="I280" s="413"/>
      <c r="J280" s="413"/>
      <c r="K280" s="413"/>
      <c r="L280" s="414"/>
    </row>
    <row r="281">
      <c r="A281" s="207"/>
      <c r="B281" s="207"/>
      <c r="C281" s="207"/>
      <c r="D281" s="207"/>
      <c r="E281" s="207"/>
      <c r="F281" s="207"/>
      <c r="G281" s="207"/>
      <c r="H281" s="415"/>
      <c r="I281" s="416"/>
      <c r="J281" s="416"/>
      <c r="K281" s="416"/>
      <c r="L281" s="417"/>
    </row>
    <row r="282">
      <c r="A282" s="203"/>
      <c r="B282" s="203"/>
      <c r="C282" s="203"/>
      <c r="D282" s="203"/>
      <c r="E282" s="203"/>
      <c r="F282" s="203"/>
      <c r="G282" s="203"/>
      <c r="H282" s="412"/>
      <c r="I282" s="413"/>
      <c r="J282" s="413"/>
      <c r="K282" s="413"/>
      <c r="L282" s="414"/>
    </row>
    <row r="283">
      <c r="A283" s="207"/>
      <c r="B283" s="207"/>
      <c r="C283" s="207"/>
      <c r="D283" s="207"/>
      <c r="E283" s="207"/>
      <c r="F283" s="207"/>
      <c r="G283" s="207"/>
      <c r="H283" s="415"/>
      <c r="I283" s="416"/>
      <c r="J283" s="416"/>
      <c r="K283" s="416"/>
      <c r="L283" s="417"/>
    </row>
    <row r="284">
      <c r="A284" s="203"/>
      <c r="B284" s="203"/>
      <c r="C284" s="203"/>
      <c r="D284" s="203"/>
      <c r="E284" s="203"/>
      <c r="F284" s="203"/>
      <c r="G284" s="203"/>
      <c r="H284" s="412"/>
      <c r="I284" s="413"/>
      <c r="J284" s="413"/>
      <c r="K284" s="413"/>
      <c r="L284" s="414"/>
    </row>
    <row r="285">
      <c r="A285" s="207"/>
      <c r="B285" s="207"/>
      <c r="C285" s="207"/>
      <c r="D285" s="207"/>
      <c r="E285" s="207"/>
      <c r="F285" s="207"/>
      <c r="G285" s="207"/>
      <c r="H285" s="415"/>
      <c r="I285" s="416"/>
      <c r="J285" s="416"/>
      <c r="K285" s="416"/>
      <c r="L285" s="417"/>
    </row>
    <row r="286">
      <c r="A286" s="203"/>
      <c r="B286" s="203"/>
      <c r="C286" s="203"/>
      <c r="D286" s="203"/>
      <c r="E286" s="203"/>
      <c r="F286" s="203"/>
      <c r="G286" s="203"/>
      <c r="H286" s="412"/>
      <c r="I286" s="413"/>
      <c r="J286" s="413"/>
      <c r="K286" s="413"/>
      <c r="L286" s="414"/>
    </row>
    <row r="287">
      <c r="A287" s="207"/>
      <c r="B287" s="207"/>
      <c r="C287" s="207"/>
      <c r="D287" s="207"/>
      <c r="E287" s="207"/>
      <c r="F287" s="207"/>
      <c r="G287" s="207"/>
      <c r="H287" s="415"/>
      <c r="I287" s="416"/>
      <c r="J287" s="416"/>
      <c r="K287" s="416"/>
      <c r="L287" s="417"/>
    </row>
    <row r="288">
      <c r="A288" s="203"/>
      <c r="B288" s="203"/>
      <c r="C288" s="203"/>
      <c r="D288" s="203"/>
      <c r="E288" s="203"/>
      <c r="F288" s="203"/>
      <c r="G288" s="203"/>
      <c r="H288" s="412"/>
      <c r="I288" s="413"/>
      <c r="J288" s="413"/>
      <c r="K288" s="413"/>
      <c r="L288" s="414"/>
    </row>
    <row r="289">
      <c r="A289" s="207"/>
      <c r="B289" s="207"/>
      <c r="C289" s="207"/>
      <c r="D289" s="207"/>
      <c r="E289" s="207"/>
      <c r="F289" s="207"/>
      <c r="G289" s="207"/>
      <c r="H289" s="415"/>
      <c r="I289" s="416"/>
      <c r="J289" s="416"/>
      <c r="K289" s="416"/>
      <c r="L289" s="417"/>
    </row>
    <row r="290">
      <c r="A290" s="203"/>
      <c r="B290" s="203"/>
      <c r="C290" s="203"/>
      <c r="D290" s="203"/>
      <c r="E290" s="203"/>
      <c r="F290" s="203"/>
      <c r="G290" s="203"/>
      <c r="H290" s="412"/>
      <c r="I290" s="413"/>
      <c r="J290" s="413"/>
      <c r="K290" s="413"/>
      <c r="L290" s="414"/>
    </row>
    <row r="291">
      <c r="A291" s="207"/>
      <c r="B291" s="207"/>
      <c r="C291" s="207"/>
      <c r="D291" s="207"/>
      <c r="E291" s="207"/>
      <c r="F291" s="207"/>
      <c r="G291" s="207"/>
      <c r="H291" s="415"/>
      <c r="I291" s="416"/>
      <c r="J291" s="416"/>
      <c r="K291" s="416"/>
      <c r="L291" s="417"/>
    </row>
    <row r="292">
      <c r="A292" s="203"/>
      <c r="B292" s="203"/>
      <c r="C292" s="203"/>
      <c r="D292" s="203"/>
      <c r="E292" s="203"/>
      <c r="F292" s="203"/>
      <c r="G292" s="203"/>
      <c r="H292" s="412"/>
      <c r="I292" s="413"/>
      <c r="J292" s="413"/>
      <c r="K292" s="413"/>
      <c r="L292" s="414"/>
    </row>
    <row r="293">
      <c r="A293" s="207"/>
      <c r="B293" s="207"/>
      <c r="C293" s="207"/>
      <c r="D293" s="207"/>
      <c r="E293" s="207"/>
      <c r="F293" s="207"/>
      <c r="G293" s="207"/>
      <c r="H293" s="415"/>
      <c r="I293" s="416"/>
      <c r="J293" s="416"/>
      <c r="K293" s="416"/>
      <c r="L293" s="417"/>
    </row>
    <row r="294">
      <c r="A294" s="203"/>
      <c r="B294" s="203"/>
      <c r="C294" s="203"/>
      <c r="D294" s="203"/>
      <c r="E294" s="203"/>
      <c r="F294" s="203"/>
      <c r="G294" s="203"/>
      <c r="H294" s="412"/>
      <c r="I294" s="413"/>
      <c r="J294" s="413"/>
      <c r="K294" s="413"/>
      <c r="L294" s="414"/>
    </row>
    <row r="295">
      <c r="A295" s="207"/>
      <c r="B295" s="207"/>
      <c r="C295" s="207"/>
      <c r="D295" s="207"/>
      <c r="E295" s="207"/>
      <c r="F295" s="207"/>
      <c r="G295" s="207"/>
      <c r="H295" s="415"/>
      <c r="I295" s="416"/>
      <c r="J295" s="416"/>
      <c r="K295" s="416"/>
      <c r="L295" s="417"/>
    </row>
    <row r="296">
      <c r="A296" s="203"/>
      <c r="B296" s="203"/>
      <c r="C296" s="203"/>
      <c r="D296" s="203"/>
      <c r="E296" s="203"/>
      <c r="F296" s="203"/>
      <c r="G296" s="203"/>
      <c r="H296" s="412"/>
      <c r="I296" s="413"/>
      <c r="J296" s="413"/>
      <c r="K296" s="413"/>
      <c r="L296" s="414"/>
    </row>
    <row r="297">
      <c r="A297" s="207"/>
      <c r="B297" s="207"/>
      <c r="C297" s="207"/>
      <c r="D297" s="207"/>
      <c r="E297" s="207"/>
      <c r="F297" s="207"/>
      <c r="G297" s="207"/>
      <c r="H297" s="415"/>
      <c r="I297" s="416"/>
      <c r="J297" s="416"/>
      <c r="K297" s="416"/>
      <c r="L297" s="417"/>
    </row>
    <row r="298">
      <c r="A298" s="203"/>
      <c r="B298" s="203"/>
      <c r="C298" s="203"/>
      <c r="D298" s="203"/>
      <c r="E298" s="203"/>
      <c r="F298" s="203"/>
      <c r="G298" s="203"/>
      <c r="H298" s="412"/>
      <c r="I298" s="413"/>
      <c r="J298" s="413"/>
      <c r="K298" s="413"/>
      <c r="L298" s="414"/>
    </row>
    <row r="299">
      <c r="A299" s="207"/>
      <c r="B299" s="207"/>
      <c r="C299" s="207"/>
      <c r="D299" s="207"/>
      <c r="E299" s="207"/>
      <c r="F299" s="207"/>
      <c r="G299" s="207"/>
      <c r="H299" s="415"/>
      <c r="I299" s="416"/>
      <c r="J299" s="416"/>
      <c r="K299" s="416"/>
      <c r="L299" s="417"/>
    </row>
    <row r="300">
      <c r="A300" s="203"/>
      <c r="B300" s="203"/>
      <c r="C300" s="203"/>
      <c r="D300" s="203"/>
      <c r="E300" s="203"/>
      <c r="F300" s="203"/>
      <c r="G300" s="203"/>
      <c r="H300" s="412"/>
      <c r="I300" s="413"/>
      <c r="J300" s="413"/>
      <c r="K300" s="413"/>
      <c r="L300" s="414"/>
    </row>
    <row r="301">
      <c r="A301" s="207"/>
      <c r="B301" s="207"/>
      <c r="C301" s="207"/>
      <c r="D301" s="207"/>
      <c r="E301" s="207"/>
      <c r="F301" s="207"/>
      <c r="G301" s="207"/>
      <c r="H301" s="415"/>
      <c r="I301" s="416"/>
      <c r="J301" s="416"/>
      <c r="K301" s="416"/>
      <c r="L301" s="417"/>
    </row>
    <row r="302">
      <c r="A302" s="203"/>
      <c r="B302" s="203"/>
      <c r="C302" s="203"/>
      <c r="D302" s="203"/>
      <c r="E302" s="203"/>
      <c r="F302" s="203"/>
      <c r="G302" s="203"/>
      <c r="H302" s="412"/>
      <c r="I302" s="413"/>
      <c r="J302" s="413"/>
      <c r="K302" s="413"/>
      <c r="L302" s="414"/>
    </row>
    <row r="303">
      <c r="A303" s="207"/>
      <c r="B303" s="207"/>
      <c r="C303" s="207"/>
      <c r="D303" s="207"/>
      <c r="E303" s="207"/>
      <c r="F303" s="207"/>
      <c r="G303" s="207"/>
      <c r="H303" s="415"/>
      <c r="I303" s="416"/>
      <c r="J303" s="416"/>
      <c r="K303" s="416"/>
      <c r="L303" s="417"/>
    </row>
    <row r="304">
      <c r="A304" s="203"/>
      <c r="B304" s="203"/>
      <c r="C304" s="203"/>
      <c r="D304" s="203"/>
      <c r="E304" s="203"/>
      <c r="F304" s="203"/>
      <c r="G304" s="203"/>
      <c r="H304" s="412"/>
      <c r="I304" s="413"/>
      <c r="J304" s="413"/>
      <c r="K304" s="413"/>
      <c r="L304" s="414"/>
    </row>
    <row r="305">
      <c r="A305" s="207"/>
      <c r="B305" s="207"/>
      <c r="C305" s="207"/>
      <c r="D305" s="207"/>
      <c r="E305" s="207"/>
      <c r="F305" s="207"/>
      <c r="G305" s="207"/>
      <c r="H305" s="415"/>
      <c r="I305" s="416"/>
      <c r="J305" s="416"/>
      <c r="K305" s="416"/>
      <c r="L305" s="417"/>
    </row>
    <row r="306">
      <c r="A306" s="203"/>
      <c r="B306" s="203"/>
      <c r="C306" s="203"/>
      <c r="D306" s="203"/>
      <c r="E306" s="203"/>
      <c r="F306" s="203"/>
      <c r="G306" s="203"/>
      <c r="H306" s="412"/>
      <c r="I306" s="413"/>
      <c r="J306" s="413"/>
      <c r="K306" s="413"/>
      <c r="L306" s="414"/>
    </row>
    <row r="307">
      <c r="A307" s="207"/>
      <c r="B307" s="207"/>
      <c r="C307" s="207"/>
      <c r="D307" s="207"/>
      <c r="E307" s="207"/>
      <c r="F307" s="207"/>
      <c r="G307" s="207"/>
      <c r="H307" s="415"/>
      <c r="I307" s="416"/>
      <c r="J307" s="416"/>
      <c r="K307" s="416"/>
      <c r="L307" s="417"/>
    </row>
    <row r="308">
      <c r="A308" s="203"/>
      <c r="B308" s="203"/>
      <c r="C308" s="203"/>
      <c r="D308" s="203"/>
      <c r="E308" s="203"/>
      <c r="F308" s="203"/>
      <c r="G308" s="203"/>
      <c r="H308" s="412"/>
      <c r="I308" s="413"/>
      <c r="J308" s="413"/>
      <c r="K308" s="413"/>
      <c r="L308" s="414"/>
    </row>
    <row r="309">
      <c r="A309" s="207"/>
      <c r="B309" s="207"/>
      <c r="C309" s="207"/>
      <c r="D309" s="207"/>
      <c r="E309" s="207"/>
      <c r="F309" s="207"/>
      <c r="G309" s="207"/>
      <c r="H309" s="415"/>
      <c r="I309" s="416"/>
      <c r="J309" s="416"/>
      <c r="K309" s="416"/>
      <c r="L309" s="417"/>
    </row>
    <row r="310">
      <c r="A310" s="203"/>
      <c r="B310" s="203"/>
      <c r="C310" s="203"/>
      <c r="D310" s="203"/>
      <c r="E310" s="203"/>
      <c r="F310" s="203"/>
      <c r="G310" s="203"/>
      <c r="H310" s="412"/>
      <c r="I310" s="413"/>
      <c r="J310" s="413"/>
      <c r="K310" s="413"/>
      <c r="L310" s="414"/>
    </row>
    <row r="311">
      <c r="A311" s="207"/>
      <c r="B311" s="207"/>
      <c r="C311" s="207"/>
      <c r="D311" s="207"/>
      <c r="E311" s="207"/>
      <c r="F311" s="207"/>
      <c r="G311" s="207"/>
      <c r="H311" s="415"/>
      <c r="I311" s="416"/>
      <c r="J311" s="416"/>
      <c r="K311" s="416"/>
      <c r="L311" s="417"/>
    </row>
    <row r="312">
      <c r="A312" s="203"/>
      <c r="B312" s="203"/>
      <c r="C312" s="203"/>
      <c r="D312" s="203"/>
      <c r="E312" s="203"/>
      <c r="F312" s="203"/>
      <c r="G312" s="203"/>
      <c r="H312" s="412"/>
      <c r="I312" s="413"/>
      <c r="J312" s="413"/>
      <c r="K312" s="413"/>
      <c r="L312" s="414"/>
    </row>
    <row r="313">
      <c r="A313" s="207"/>
      <c r="B313" s="207"/>
      <c r="C313" s="207"/>
      <c r="D313" s="207"/>
      <c r="E313" s="207"/>
      <c r="F313" s="207"/>
      <c r="G313" s="207"/>
      <c r="H313" s="415"/>
      <c r="I313" s="416"/>
      <c r="J313" s="416"/>
      <c r="K313" s="416"/>
      <c r="L313" s="417"/>
    </row>
    <row r="314">
      <c r="A314" s="203"/>
      <c r="B314" s="203"/>
      <c r="C314" s="203"/>
      <c r="D314" s="203"/>
      <c r="E314" s="203"/>
      <c r="F314" s="203"/>
      <c r="G314" s="203"/>
      <c r="H314" s="412"/>
      <c r="I314" s="413"/>
      <c r="J314" s="413"/>
      <c r="K314" s="413"/>
      <c r="L314" s="414"/>
    </row>
    <row r="315">
      <c r="A315" s="207"/>
      <c r="B315" s="207"/>
      <c r="C315" s="207"/>
      <c r="D315" s="207"/>
      <c r="E315" s="207"/>
      <c r="F315" s="207"/>
      <c r="G315" s="207"/>
      <c r="H315" s="415"/>
      <c r="I315" s="416"/>
      <c r="J315" s="416"/>
      <c r="K315" s="416"/>
      <c r="L315" s="417"/>
    </row>
    <row r="316">
      <c r="A316" s="203"/>
      <c r="B316" s="203"/>
      <c r="C316" s="203"/>
      <c r="D316" s="203"/>
      <c r="E316" s="203"/>
      <c r="F316" s="203"/>
      <c r="G316" s="203"/>
      <c r="H316" s="412"/>
      <c r="I316" s="413"/>
      <c r="J316" s="413"/>
      <c r="K316" s="413"/>
      <c r="L316" s="414"/>
    </row>
    <row r="317">
      <c r="A317" s="207"/>
      <c r="B317" s="207"/>
      <c r="C317" s="207"/>
      <c r="D317" s="207"/>
      <c r="E317" s="207"/>
      <c r="F317" s="207"/>
      <c r="G317" s="207"/>
      <c r="H317" s="415"/>
      <c r="I317" s="416"/>
      <c r="J317" s="416"/>
      <c r="K317" s="416"/>
      <c r="L317" s="417"/>
    </row>
    <row r="318">
      <c r="A318" s="203"/>
      <c r="B318" s="203"/>
      <c r="C318" s="203"/>
      <c r="D318" s="203"/>
      <c r="E318" s="203"/>
      <c r="F318" s="203"/>
      <c r="G318" s="203"/>
      <c r="H318" s="412"/>
      <c r="I318" s="413"/>
      <c r="J318" s="413"/>
      <c r="K318" s="413"/>
      <c r="L318" s="414"/>
    </row>
    <row r="319">
      <c r="A319" s="207"/>
      <c r="B319" s="207"/>
      <c r="C319" s="207"/>
      <c r="D319" s="207"/>
      <c r="E319" s="207"/>
      <c r="F319" s="207"/>
      <c r="G319" s="207"/>
      <c r="H319" s="415"/>
      <c r="I319" s="416"/>
      <c r="J319" s="416"/>
      <c r="K319" s="416"/>
      <c r="L319" s="417"/>
    </row>
    <row r="320">
      <c r="A320" s="203"/>
      <c r="B320" s="203"/>
      <c r="C320" s="203"/>
      <c r="D320" s="203"/>
      <c r="E320" s="203"/>
      <c r="F320" s="203"/>
      <c r="G320" s="203"/>
      <c r="H320" s="412"/>
      <c r="I320" s="413"/>
      <c r="J320" s="413"/>
      <c r="K320" s="413"/>
      <c r="L320" s="414"/>
    </row>
    <row r="321">
      <c r="A321" s="207"/>
      <c r="B321" s="207"/>
      <c r="C321" s="207"/>
      <c r="D321" s="207"/>
      <c r="E321" s="207"/>
      <c r="F321" s="207"/>
      <c r="G321" s="207"/>
      <c r="H321" s="415"/>
      <c r="I321" s="416"/>
      <c r="J321" s="416"/>
      <c r="K321" s="416"/>
      <c r="L321" s="417"/>
    </row>
    <row r="322">
      <c r="A322" s="203"/>
      <c r="B322" s="203"/>
      <c r="C322" s="203"/>
      <c r="D322" s="203"/>
      <c r="E322" s="203"/>
      <c r="F322" s="203"/>
      <c r="G322" s="203"/>
      <c r="H322" s="412"/>
      <c r="I322" s="413"/>
      <c r="J322" s="413"/>
      <c r="K322" s="413"/>
      <c r="L322" s="414"/>
    </row>
    <row r="323">
      <c r="A323" s="207"/>
      <c r="B323" s="207"/>
      <c r="C323" s="207"/>
      <c r="D323" s="207"/>
      <c r="E323" s="207"/>
      <c r="F323" s="207"/>
      <c r="G323" s="207"/>
      <c r="H323" s="415"/>
      <c r="I323" s="416"/>
      <c r="J323" s="416"/>
      <c r="K323" s="416"/>
      <c r="L323" s="417"/>
    </row>
    <row r="324">
      <c r="A324" s="203"/>
      <c r="B324" s="203"/>
      <c r="C324" s="203"/>
      <c r="D324" s="203"/>
      <c r="E324" s="203"/>
      <c r="F324" s="203"/>
      <c r="G324" s="203"/>
      <c r="H324" s="412"/>
      <c r="I324" s="413"/>
      <c r="J324" s="413"/>
      <c r="K324" s="413"/>
      <c r="L324" s="414"/>
    </row>
    <row r="325">
      <c r="A325" s="207"/>
      <c r="B325" s="207"/>
      <c r="C325" s="207"/>
      <c r="D325" s="207"/>
      <c r="E325" s="207"/>
      <c r="F325" s="207"/>
      <c r="G325" s="207"/>
      <c r="H325" s="415"/>
      <c r="I325" s="416"/>
      <c r="J325" s="416"/>
      <c r="K325" s="416"/>
      <c r="L325" s="417"/>
    </row>
    <row r="326">
      <c r="A326" s="203"/>
      <c r="B326" s="203"/>
      <c r="C326" s="203"/>
      <c r="D326" s="203"/>
      <c r="E326" s="203"/>
      <c r="F326" s="203"/>
      <c r="G326" s="203"/>
      <c r="H326" s="412"/>
      <c r="I326" s="413"/>
      <c r="J326" s="413"/>
      <c r="K326" s="413"/>
      <c r="L326" s="414"/>
    </row>
    <row r="327">
      <c r="A327" s="207"/>
      <c r="B327" s="207"/>
      <c r="C327" s="207"/>
      <c r="D327" s="207"/>
      <c r="E327" s="207"/>
      <c r="F327" s="207"/>
      <c r="G327" s="207"/>
      <c r="H327" s="415"/>
      <c r="I327" s="416"/>
      <c r="J327" s="416"/>
      <c r="K327" s="416"/>
      <c r="L327" s="417"/>
    </row>
    <row r="328">
      <c r="A328" s="203"/>
      <c r="B328" s="203"/>
      <c r="C328" s="203"/>
      <c r="D328" s="203"/>
      <c r="E328" s="203"/>
      <c r="F328" s="203"/>
      <c r="G328" s="203"/>
      <c r="H328" s="412"/>
      <c r="I328" s="413"/>
      <c r="J328" s="413"/>
      <c r="K328" s="413"/>
      <c r="L328" s="414"/>
    </row>
    <row r="329">
      <c r="A329" s="207"/>
      <c r="B329" s="207"/>
      <c r="C329" s="207"/>
      <c r="D329" s="207"/>
      <c r="E329" s="207"/>
      <c r="F329" s="207"/>
      <c r="G329" s="207"/>
      <c r="H329" s="415"/>
      <c r="I329" s="416"/>
      <c r="J329" s="416"/>
      <c r="K329" s="416"/>
      <c r="L329" s="417"/>
    </row>
    <row r="330">
      <c r="A330" s="203"/>
      <c r="B330" s="203"/>
      <c r="C330" s="203"/>
      <c r="D330" s="203"/>
      <c r="E330" s="203"/>
      <c r="F330" s="203"/>
      <c r="G330" s="203"/>
      <c r="H330" s="412"/>
      <c r="I330" s="413"/>
      <c r="J330" s="413"/>
      <c r="K330" s="413"/>
      <c r="L330" s="414"/>
    </row>
    <row r="331">
      <c r="A331" s="207"/>
      <c r="B331" s="207"/>
      <c r="C331" s="207"/>
      <c r="D331" s="207"/>
      <c r="E331" s="207"/>
      <c r="F331" s="207"/>
      <c r="G331" s="207"/>
      <c r="H331" s="415"/>
      <c r="I331" s="416"/>
      <c r="J331" s="416"/>
      <c r="K331" s="416"/>
      <c r="L331" s="417"/>
    </row>
    <row r="332">
      <c r="A332" s="203"/>
      <c r="B332" s="203"/>
      <c r="C332" s="203"/>
      <c r="D332" s="203"/>
      <c r="E332" s="203"/>
      <c r="F332" s="203"/>
      <c r="G332" s="203"/>
      <c r="H332" s="412"/>
      <c r="I332" s="413"/>
      <c r="J332" s="413"/>
      <c r="K332" s="413"/>
      <c r="L332" s="414"/>
    </row>
    <row r="333">
      <c r="A333" s="207"/>
      <c r="B333" s="207"/>
      <c r="C333" s="207"/>
      <c r="D333" s="207"/>
      <c r="E333" s="207"/>
      <c r="F333" s="207"/>
      <c r="G333" s="207"/>
      <c r="H333" s="415"/>
      <c r="I333" s="416"/>
      <c r="J333" s="416"/>
      <c r="K333" s="416"/>
      <c r="L333" s="417"/>
    </row>
    <row r="334">
      <c r="A334" s="203"/>
      <c r="B334" s="203"/>
      <c r="C334" s="203"/>
      <c r="D334" s="203"/>
      <c r="E334" s="203"/>
      <c r="F334" s="203"/>
      <c r="G334" s="203"/>
      <c r="H334" s="412"/>
      <c r="I334" s="413"/>
      <c r="J334" s="413"/>
      <c r="K334" s="413"/>
      <c r="L334" s="414"/>
    </row>
    <row r="335">
      <c r="A335" s="207"/>
      <c r="B335" s="207"/>
      <c r="C335" s="207"/>
      <c r="D335" s="207"/>
      <c r="E335" s="207"/>
      <c r="F335" s="207"/>
      <c r="G335" s="207"/>
      <c r="H335" s="415"/>
      <c r="I335" s="416"/>
      <c r="J335" s="416"/>
      <c r="K335" s="416"/>
      <c r="L335" s="417"/>
    </row>
    <row r="336">
      <c r="A336" s="203"/>
      <c r="B336" s="203"/>
      <c r="C336" s="203"/>
      <c r="D336" s="203"/>
      <c r="E336" s="203"/>
      <c r="F336" s="203"/>
      <c r="G336" s="203"/>
      <c r="H336" s="412"/>
      <c r="I336" s="413"/>
      <c r="J336" s="413"/>
      <c r="K336" s="413"/>
      <c r="L336" s="414"/>
    </row>
    <row r="337">
      <c r="A337" s="207"/>
      <c r="B337" s="207"/>
      <c r="C337" s="207"/>
      <c r="D337" s="207"/>
      <c r="E337" s="207"/>
      <c r="F337" s="207"/>
      <c r="G337" s="207"/>
      <c r="H337" s="415"/>
      <c r="I337" s="416"/>
      <c r="J337" s="416"/>
      <c r="K337" s="416"/>
      <c r="L337" s="417"/>
    </row>
    <row r="338">
      <c r="A338" s="203"/>
      <c r="B338" s="203"/>
      <c r="C338" s="203"/>
      <c r="D338" s="203"/>
      <c r="E338" s="203"/>
      <c r="F338" s="203"/>
      <c r="G338" s="203"/>
      <c r="H338" s="412"/>
      <c r="I338" s="413"/>
      <c r="J338" s="413"/>
      <c r="K338" s="413"/>
      <c r="L338" s="414"/>
    </row>
    <row r="339">
      <c r="A339" s="207"/>
      <c r="B339" s="207"/>
      <c r="C339" s="207"/>
      <c r="D339" s="207"/>
      <c r="E339" s="207"/>
      <c r="F339" s="207"/>
      <c r="G339" s="207"/>
      <c r="H339" s="415"/>
      <c r="I339" s="416"/>
      <c r="J339" s="416"/>
      <c r="K339" s="416"/>
      <c r="L339" s="417"/>
    </row>
    <row r="340">
      <c r="A340" s="203"/>
      <c r="B340" s="203"/>
      <c r="C340" s="203"/>
      <c r="D340" s="203"/>
      <c r="E340" s="203"/>
      <c r="F340" s="203"/>
      <c r="G340" s="203"/>
      <c r="H340" s="412"/>
      <c r="I340" s="413"/>
      <c r="J340" s="413"/>
      <c r="K340" s="413"/>
      <c r="L340" s="414"/>
    </row>
    <row r="341">
      <c r="A341" s="207"/>
      <c r="B341" s="207"/>
      <c r="C341" s="207"/>
      <c r="D341" s="207"/>
      <c r="E341" s="207"/>
      <c r="F341" s="207"/>
      <c r="G341" s="207"/>
      <c r="H341" s="415"/>
      <c r="I341" s="416"/>
      <c r="J341" s="416"/>
      <c r="K341" s="416"/>
      <c r="L341" s="417"/>
    </row>
    <row r="342">
      <c r="A342" s="203"/>
      <c r="B342" s="203"/>
      <c r="C342" s="203"/>
      <c r="D342" s="203"/>
      <c r="E342" s="203"/>
      <c r="F342" s="203"/>
      <c r="G342" s="203"/>
      <c r="H342" s="412"/>
      <c r="I342" s="413"/>
      <c r="J342" s="413"/>
      <c r="K342" s="413"/>
      <c r="L342" s="414"/>
    </row>
    <row r="343">
      <c r="A343" s="207"/>
      <c r="B343" s="207"/>
      <c r="C343" s="207"/>
      <c r="D343" s="207"/>
      <c r="E343" s="207"/>
      <c r="F343" s="207"/>
      <c r="G343" s="207"/>
      <c r="H343" s="415"/>
      <c r="I343" s="416"/>
      <c r="J343" s="416"/>
      <c r="K343" s="416"/>
      <c r="L343" s="417"/>
    </row>
    <row r="344">
      <c r="A344" s="203"/>
      <c r="B344" s="203"/>
      <c r="C344" s="203"/>
      <c r="D344" s="203"/>
      <c r="E344" s="203"/>
      <c r="F344" s="203"/>
      <c r="G344" s="203"/>
      <c r="H344" s="412"/>
      <c r="I344" s="413"/>
      <c r="J344" s="413"/>
      <c r="K344" s="413"/>
      <c r="L344" s="414"/>
    </row>
    <row r="345">
      <c r="A345" s="207"/>
      <c r="B345" s="207"/>
      <c r="C345" s="207"/>
      <c r="D345" s="207"/>
      <c r="E345" s="207"/>
      <c r="F345" s="207"/>
      <c r="G345" s="207"/>
      <c r="H345" s="415"/>
      <c r="I345" s="416"/>
      <c r="J345" s="416"/>
      <c r="K345" s="416"/>
      <c r="L345" s="417"/>
    </row>
    <row r="346">
      <c r="A346" s="203"/>
      <c r="B346" s="203"/>
      <c r="C346" s="203"/>
      <c r="D346" s="203"/>
      <c r="E346" s="203"/>
      <c r="F346" s="203"/>
      <c r="G346" s="203"/>
      <c r="H346" s="412"/>
      <c r="I346" s="413"/>
      <c r="J346" s="413"/>
      <c r="K346" s="413"/>
      <c r="L346" s="414"/>
    </row>
    <row r="347">
      <c r="A347" s="207"/>
      <c r="B347" s="207"/>
      <c r="C347" s="207"/>
      <c r="D347" s="207"/>
      <c r="E347" s="207"/>
      <c r="F347" s="207"/>
      <c r="G347" s="207"/>
      <c r="H347" s="415"/>
      <c r="I347" s="416"/>
      <c r="J347" s="416"/>
      <c r="K347" s="416"/>
      <c r="L347" s="417"/>
    </row>
    <row r="348">
      <c r="A348" s="203"/>
      <c r="B348" s="203"/>
      <c r="C348" s="203"/>
      <c r="D348" s="203"/>
      <c r="E348" s="203"/>
      <c r="F348" s="203"/>
      <c r="G348" s="203"/>
      <c r="H348" s="412"/>
      <c r="I348" s="413"/>
      <c r="J348" s="413"/>
      <c r="K348" s="413"/>
      <c r="L348" s="414"/>
    </row>
    <row r="349">
      <c r="A349" s="207"/>
      <c r="B349" s="207"/>
      <c r="C349" s="207"/>
      <c r="D349" s="207"/>
      <c r="E349" s="207"/>
      <c r="F349" s="207"/>
      <c r="G349" s="207"/>
      <c r="H349" s="415"/>
      <c r="I349" s="416"/>
      <c r="J349" s="416"/>
      <c r="K349" s="416"/>
      <c r="L349" s="417"/>
    </row>
    <row r="350">
      <c r="A350" s="203"/>
      <c r="B350" s="203"/>
      <c r="C350" s="203"/>
      <c r="D350" s="203"/>
      <c r="E350" s="203"/>
      <c r="F350" s="203"/>
      <c r="G350" s="203"/>
      <c r="H350" s="412"/>
      <c r="I350" s="413"/>
      <c r="J350" s="413"/>
      <c r="K350" s="413"/>
      <c r="L350" s="414"/>
    </row>
    <row r="351">
      <c r="A351" s="207"/>
      <c r="B351" s="207"/>
      <c r="C351" s="207"/>
      <c r="D351" s="207"/>
      <c r="E351" s="207"/>
      <c r="F351" s="207"/>
      <c r="G351" s="207"/>
      <c r="H351" s="415"/>
      <c r="I351" s="416"/>
      <c r="J351" s="416"/>
      <c r="K351" s="416"/>
      <c r="L351" s="417"/>
    </row>
    <row r="352">
      <c r="A352" s="203"/>
      <c r="B352" s="203"/>
      <c r="C352" s="203"/>
      <c r="D352" s="203"/>
      <c r="E352" s="203"/>
      <c r="F352" s="203"/>
      <c r="G352" s="203"/>
      <c r="H352" s="412"/>
      <c r="I352" s="413"/>
      <c r="J352" s="413"/>
      <c r="K352" s="413"/>
      <c r="L352" s="414"/>
    </row>
    <row r="353">
      <c r="A353" s="207"/>
      <c r="B353" s="207"/>
      <c r="C353" s="207"/>
      <c r="D353" s="207"/>
      <c r="E353" s="207"/>
      <c r="F353" s="207"/>
      <c r="G353" s="207"/>
      <c r="H353" s="415"/>
      <c r="I353" s="416"/>
      <c r="J353" s="416"/>
      <c r="K353" s="416"/>
      <c r="L353" s="417"/>
    </row>
    <row r="354">
      <c r="A354" s="203"/>
      <c r="B354" s="203"/>
      <c r="C354" s="203"/>
      <c r="D354" s="203"/>
      <c r="E354" s="203"/>
      <c r="F354" s="203"/>
      <c r="G354" s="203"/>
      <c r="H354" s="412"/>
      <c r="I354" s="413"/>
      <c r="J354" s="413"/>
      <c r="K354" s="413"/>
      <c r="L354" s="414"/>
    </row>
    <row r="355">
      <c r="A355" s="207"/>
      <c r="B355" s="207"/>
      <c r="C355" s="207"/>
      <c r="D355" s="207"/>
      <c r="E355" s="207"/>
      <c r="F355" s="207"/>
      <c r="G355" s="207"/>
      <c r="H355" s="415"/>
      <c r="I355" s="416"/>
      <c r="J355" s="416"/>
      <c r="K355" s="416"/>
      <c r="L355" s="417"/>
    </row>
    <row r="356">
      <c r="A356" s="203"/>
      <c r="B356" s="203"/>
      <c r="C356" s="203"/>
      <c r="D356" s="203"/>
      <c r="E356" s="203"/>
      <c r="F356" s="203"/>
      <c r="G356" s="203"/>
      <c r="H356" s="412"/>
      <c r="I356" s="413"/>
      <c r="J356" s="413"/>
      <c r="K356" s="413"/>
      <c r="L356" s="414"/>
    </row>
    <row r="357">
      <c r="A357" s="207"/>
      <c r="B357" s="207"/>
      <c r="C357" s="207"/>
      <c r="D357" s="207"/>
      <c r="E357" s="207"/>
      <c r="F357" s="207"/>
      <c r="G357" s="207"/>
      <c r="H357" s="415"/>
      <c r="I357" s="416"/>
      <c r="J357" s="416"/>
      <c r="K357" s="416"/>
      <c r="L357" s="417"/>
    </row>
    <row r="358">
      <c r="A358" s="203"/>
      <c r="B358" s="203"/>
      <c r="C358" s="203"/>
      <c r="D358" s="203"/>
      <c r="E358" s="203"/>
      <c r="F358" s="203"/>
      <c r="G358" s="203"/>
      <c r="H358" s="412"/>
      <c r="I358" s="413"/>
      <c r="J358" s="413"/>
      <c r="K358" s="413"/>
      <c r="L358" s="414"/>
    </row>
    <row r="359">
      <c r="A359" s="207"/>
      <c r="B359" s="207"/>
      <c r="C359" s="207"/>
      <c r="D359" s="207"/>
      <c r="E359" s="207"/>
      <c r="F359" s="207"/>
      <c r="G359" s="207"/>
      <c r="H359" s="415"/>
      <c r="I359" s="416"/>
      <c r="J359" s="416"/>
      <c r="K359" s="416"/>
      <c r="L359" s="417"/>
    </row>
    <row r="360">
      <c r="A360" s="203"/>
      <c r="B360" s="203"/>
      <c r="C360" s="203"/>
      <c r="D360" s="203"/>
      <c r="E360" s="203"/>
      <c r="F360" s="203"/>
      <c r="G360" s="203"/>
      <c r="H360" s="412"/>
      <c r="I360" s="413"/>
      <c r="J360" s="413"/>
      <c r="K360" s="413"/>
      <c r="L360" s="414"/>
    </row>
    <row r="361">
      <c r="A361" s="207"/>
      <c r="B361" s="207"/>
      <c r="C361" s="207"/>
      <c r="D361" s="207"/>
      <c r="E361" s="207"/>
      <c r="F361" s="207"/>
      <c r="G361" s="207"/>
      <c r="H361" s="415"/>
      <c r="I361" s="416"/>
      <c r="J361" s="416"/>
      <c r="K361" s="416"/>
      <c r="L361" s="417"/>
    </row>
    <row r="362">
      <c r="A362" s="203"/>
      <c r="B362" s="203"/>
      <c r="C362" s="203"/>
      <c r="D362" s="203"/>
      <c r="E362" s="203"/>
      <c r="F362" s="203"/>
      <c r="G362" s="203"/>
      <c r="H362" s="412"/>
      <c r="I362" s="413"/>
      <c r="J362" s="413"/>
      <c r="K362" s="413"/>
      <c r="L362" s="414"/>
    </row>
    <row r="363">
      <c r="A363" s="207"/>
      <c r="B363" s="207"/>
      <c r="C363" s="207"/>
      <c r="D363" s="207"/>
      <c r="E363" s="207"/>
      <c r="F363" s="207"/>
      <c r="G363" s="207"/>
      <c r="H363" s="415"/>
      <c r="I363" s="416"/>
      <c r="J363" s="416"/>
      <c r="K363" s="416"/>
      <c r="L363" s="417"/>
    </row>
    <row r="364">
      <c r="A364" s="203"/>
      <c r="B364" s="203"/>
      <c r="C364" s="203"/>
      <c r="D364" s="203"/>
      <c r="E364" s="203"/>
      <c r="F364" s="203"/>
      <c r="G364" s="203"/>
      <c r="H364" s="412"/>
      <c r="I364" s="413"/>
      <c r="J364" s="413"/>
      <c r="K364" s="413"/>
      <c r="L364" s="414"/>
    </row>
    <row r="365">
      <c r="A365" s="207"/>
      <c r="B365" s="207"/>
      <c r="C365" s="207"/>
      <c r="D365" s="207"/>
      <c r="E365" s="207"/>
      <c r="F365" s="207"/>
      <c r="G365" s="207"/>
      <c r="H365" s="415"/>
      <c r="I365" s="416"/>
      <c r="J365" s="416"/>
      <c r="K365" s="416"/>
      <c r="L365" s="417"/>
    </row>
    <row r="366">
      <c r="A366" s="203"/>
      <c r="B366" s="203"/>
      <c r="C366" s="203"/>
      <c r="D366" s="203"/>
      <c r="E366" s="203"/>
      <c r="F366" s="203"/>
      <c r="G366" s="203"/>
      <c r="H366" s="412"/>
      <c r="I366" s="413"/>
      <c r="J366" s="413"/>
      <c r="K366" s="413"/>
      <c r="L366" s="414"/>
    </row>
    <row r="367">
      <c r="A367" s="207"/>
      <c r="B367" s="207"/>
      <c r="C367" s="207"/>
      <c r="D367" s="207"/>
      <c r="E367" s="207"/>
      <c r="F367" s="207"/>
      <c r="G367" s="207"/>
      <c r="H367" s="415"/>
      <c r="I367" s="416"/>
      <c r="J367" s="416"/>
      <c r="K367" s="416"/>
      <c r="L367" s="417"/>
    </row>
    <row r="368">
      <c r="A368" s="203"/>
      <c r="B368" s="203"/>
      <c r="C368" s="203"/>
      <c r="D368" s="203"/>
      <c r="E368" s="203"/>
      <c r="F368" s="203"/>
      <c r="G368" s="203"/>
      <c r="H368" s="412"/>
      <c r="I368" s="413"/>
      <c r="J368" s="413"/>
      <c r="K368" s="413"/>
      <c r="L368" s="414"/>
    </row>
    <row r="369">
      <c r="A369" s="207"/>
      <c r="B369" s="207"/>
      <c r="C369" s="207"/>
      <c r="D369" s="207"/>
      <c r="E369" s="207"/>
      <c r="F369" s="207"/>
      <c r="G369" s="207"/>
      <c r="H369" s="415"/>
      <c r="I369" s="416"/>
      <c r="J369" s="416"/>
      <c r="K369" s="416"/>
      <c r="L369" s="417"/>
    </row>
    <row r="370">
      <c r="A370" s="203"/>
      <c r="B370" s="203"/>
      <c r="C370" s="203"/>
      <c r="D370" s="203"/>
      <c r="E370" s="203"/>
      <c r="F370" s="203"/>
      <c r="G370" s="203"/>
      <c r="H370" s="412"/>
      <c r="I370" s="413"/>
      <c r="J370" s="413"/>
      <c r="K370" s="413"/>
      <c r="L370" s="414"/>
    </row>
    <row r="371">
      <c r="A371" s="207"/>
      <c r="B371" s="207"/>
      <c r="C371" s="207"/>
      <c r="D371" s="207"/>
      <c r="E371" s="207"/>
      <c r="F371" s="207"/>
      <c r="G371" s="207"/>
      <c r="H371" s="415"/>
      <c r="I371" s="416"/>
      <c r="J371" s="416"/>
      <c r="K371" s="416"/>
      <c r="L371" s="417"/>
    </row>
    <row r="372">
      <c r="A372" s="203"/>
      <c r="B372" s="203"/>
      <c r="C372" s="203"/>
      <c r="D372" s="203"/>
      <c r="E372" s="203"/>
      <c r="F372" s="203"/>
      <c r="G372" s="203"/>
      <c r="H372" s="412"/>
      <c r="I372" s="413"/>
      <c r="J372" s="413"/>
      <c r="K372" s="413"/>
      <c r="L372" s="414"/>
    </row>
    <row r="373">
      <c r="A373" s="207"/>
      <c r="B373" s="207"/>
      <c r="C373" s="207"/>
      <c r="D373" s="207"/>
      <c r="E373" s="207"/>
      <c r="F373" s="207"/>
      <c r="G373" s="207"/>
      <c r="H373" s="415"/>
      <c r="I373" s="416"/>
      <c r="J373" s="416"/>
      <c r="K373" s="416"/>
      <c r="L373" s="417"/>
    </row>
    <row r="374">
      <c r="A374" s="203"/>
      <c r="B374" s="203"/>
      <c r="C374" s="203"/>
      <c r="D374" s="203"/>
      <c r="E374" s="203"/>
      <c r="F374" s="203"/>
      <c r="G374" s="203"/>
      <c r="H374" s="412"/>
      <c r="I374" s="413"/>
      <c r="J374" s="413"/>
      <c r="K374" s="413"/>
      <c r="L374" s="414"/>
    </row>
    <row r="375">
      <c r="A375" s="207"/>
      <c r="B375" s="207"/>
      <c r="C375" s="207"/>
      <c r="D375" s="207"/>
      <c r="E375" s="207"/>
      <c r="F375" s="207"/>
      <c r="G375" s="207"/>
      <c r="H375" s="415"/>
      <c r="I375" s="416"/>
      <c r="J375" s="416"/>
      <c r="K375" s="416"/>
      <c r="L375" s="417"/>
    </row>
    <row r="376">
      <c r="A376" s="203"/>
      <c r="B376" s="203"/>
      <c r="C376" s="203"/>
      <c r="D376" s="203"/>
      <c r="E376" s="203"/>
      <c r="F376" s="203"/>
      <c r="G376" s="203"/>
      <c r="H376" s="412"/>
      <c r="I376" s="413"/>
      <c r="J376" s="413"/>
      <c r="K376" s="413"/>
      <c r="L376" s="414"/>
    </row>
    <row r="377">
      <c r="A377" s="207"/>
      <c r="B377" s="207"/>
      <c r="C377" s="207"/>
      <c r="D377" s="207"/>
      <c r="E377" s="207"/>
      <c r="F377" s="207"/>
      <c r="G377" s="207"/>
      <c r="H377" s="415"/>
      <c r="I377" s="416"/>
      <c r="J377" s="416"/>
      <c r="K377" s="416"/>
      <c r="L377" s="417"/>
    </row>
    <row r="378">
      <c r="A378" s="203"/>
      <c r="B378" s="203"/>
      <c r="C378" s="203"/>
      <c r="D378" s="203"/>
      <c r="E378" s="203"/>
      <c r="F378" s="203"/>
      <c r="G378" s="203"/>
      <c r="H378" s="412"/>
      <c r="I378" s="413"/>
      <c r="J378" s="413"/>
      <c r="K378" s="413"/>
      <c r="L378" s="414"/>
    </row>
    <row r="379">
      <c r="A379" s="207"/>
      <c r="B379" s="207"/>
      <c r="C379" s="207"/>
      <c r="D379" s="207"/>
      <c r="E379" s="207"/>
      <c r="F379" s="207"/>
      <c r="G379" s="207"/>
      <c r="H379" s="415"/>
      <c r="I379" s="416"/>
      <c r="J379" s="416"/>
      <c r="K379" s="416"/>
      <c r="L379" s="417"/>
    </row>
    <row r="380">
      <c r="A380" s="203"/>
      <c r="B380" s="203"/>
      <c r="C380" s="203"/>
      <c r="D380" s="203"/>
      <c r="E380" s="203"/>
      <c r="F380" s="203"/>
      <c r="G380" s="203"/>
      <c r="H380" s="412"/>
      <c r="I380" s="413"/>
      <c r="J380" s="413"/>
      <c r="K380" s="413"/>
      <c r="L380" s="414"/>
    </row>
    <row r="381">
      <c r="A381" s="207"/>
      <c r="B381" s="207"/>
      <c r="C381" s="207"/>
      <c r="D381" s="207"/>
      <c r="E381" s="207"/>
      <c r="F381" s="207"/>
      <c r="G381" s="207"/>
      <c r="H381" s="415"/>
      <c r="I381" s="416"/>
      <c r="J381" s="416"/>
      <c r="K381" s="416"/>
      <c r="L381" s="417"/>
    </row>
    <row r="382">
      <c r="A382" s="203"/>
      <c r="B382" s="203"/>
      <c r="C382" s="203"/>
      <c r="D382" s="203"/>
      <c r="E382" s="203"/>
      <c r="F382" s="203"/>
      <c r="G382" s="203"/>
      <c r="H382" s="412"/>
      <c r="I382" s="413"/>
      <c r="J382" s="413"/>
      <c r="K382" s="413"/>
      <c r="L382" s="414"/>
    </row>
    <row r="383">
      <c r="A383" s="207"/>
      <c r="B383" s="207"/>
      <c r="C383" s="207"/>
      <c r="D383" s="207"/>
      <c r="E383" s="207"/>
      <c r="F383" s="207"/>
      <c r="G383" s="207"/>
      <c r="H383" s="415"/>
      <c r="I383" s="416"/>
      <c r="J383" s="416"/>
      <c r="K383" s="416"/>
      <c r="L383" s="417"/>
    </row>
    <row r="384">
      <c r="A384" s="203"/>
      <c r="B384" s="203"/>
      <c r="C384" s="203"/>
      <c r="D384" s="203"/>
      <c r="E384" s="203"/>
      <c r="F384" s="203"/>
      <c r="G384" s="203"/>
      <c r="H384" s="412"/>
      <c r="I384" s="413"/>
      <c r="J384" s="413"/>
      <c r="K384" s="413"/>
      <c r="L384" s="414"/>
    </row>
    <row r="385">
      <c r="A385" s="207"/>
      <c r="B385" s="207"/>
      <c r="C385" s="207"/>
      <c r="D385" s="207"/>
      <c r="E385" s="207"/>
      <c r="F385" s="207"/>
      <c r="G385" s="207"/>
      <c r="H385" s="415"/>
      <c r="I385" s="416"/>
      <c r="J385" s="416"/>
      <c r="K385" s="416"/>
      <c r="L385" s="417"/>
    </row>
    <row r="386">
      <c r="A386" s="203"/>
      <c r="B386" s="203"/>
      <c r="C386" s="203"/>
      <c r="D386" s="203"/>
      <c r="E386" s="203"/>
      <c r="F386" s="203"/>
      <c r="G386" s="203"/>
      <c r="H386" s="412"/>
      <c r="I386" s="413"/>
      <c r="J386" s="413"/>
      <c r="K386" s="413"/>
      <c r="L386" s="414"/>
    </row>
    <row r="387">
      <c r="A387" s="207"/>
      <c r="B387" s="207"/>
      <c r="C387" s="207"/>
      <c r="D387" s="207"/>
      <c r="E387" s="207"/>
      <c r="F387" s="207"/>
      <c r="G387" s="207"/>
      <c r="H387" s="415"/>
      <c r="I387" s="416"/>
      <c r="J387" s="416"/>
      <c r="K387" s="416"/>
      <c r="L387" s="417"/>
    </row>
    <row r="388">
      <c r="A388" s="203"/>
      <c r="B388" s="203"/>
      <c r="C388" s="203"/>
      <c r="D388" s="203"/>
      <c r="E388" s="203"/>
      <c r="F388" s="203"/>
      <c r="G388" s="203"/>
      <c r="H388" s="412"/>
      <c r="I388" s="413"/>
      <c r="J388" s="413"/>
      <c r="K388" s="413"/>
      <c r="L388" s="414"/>
    </row>
    <row r="389">
      <c r="A389" s="207"/>
      <c r="B389" s="207"/>
      <c r="C389" s="207"/>
      <c r="D389" s="207"/>
      <c r="E389" s="207"/>
      <c r="F389" s="207"/>
      <c r="G389" s="207"/>
      <c r="H389" s="415"/>
      <c r="I389" s="416"/>
      <c r="J389" s="416"/>
      <c r="K389" s="416"/>
      <c r="L389" s="417"/>
    </row>
    <row r="390">
      <c r="A390" s="203"/>
      <c r="B390" s="203"/>
      <c r="C390" s="203"/>
      <c r="D390" s="203"/>
      <c r="E390" s="203"/>
      <c r="F390" s="203"/>
      <c r="G390" s="203"/>
      <c r="H390" s="412"/>
      <c r="I390" s="413"/>
      <c r="J390" s="413"/>
      <c r="K390" s="413"/>
      <c r="L390" s="414"/>
    </row>
    <row r="391">
      <c r="A391" s="207"/>
      <c r="B391" s="207"/>
      <c r="C391" s="207"/>
      <c r="D391" s="207"/>
      <c r="E391" s="207"/>
      <c r="F391" s="207"/>
      <c r="G391" s="207"/>
      <c r="H391" s="415"/>
      <c r="I391" s="416"/>
      <c r="J391" s="416"/>
      <c r="K391" s="416"/>
      <c r="L391" s="417"/>
    </row>
    <row r="392">
      <c r="A392" s="203"/>
      <c r="B392" s="203"/>
      <c r="C392" s="203"/>
      <c r="D392" s="203"/>
      <c r="E392" s="203"/>
      <c r="F392" s="203"/>
      <c r="G392" s="203"/>
      <c r="H392" s="412"/>
      <c r="I392" s="413"/>
      <c r="J392" s="413"/>
      <c r="K392" s="413"/>
      <c r="L392" s="414"/>
    </row>
    <row r="393">
      <c r="A393" s="207"/>
      <c r="B393" s="207"/>
      <c r="C393" s="207"/>
      <c r="D393" s="207"/>
      <c r="E393" s="207"/>
      <c r="F393" s="207"/>
      <c r="G393" s="207"/>
      <c r="H393" s="415"/>
      <c r="I393" s="416"/>
      <c r="J393" s="416"/>
      <c r="K393" s="416"/>
      <c r="L393" s="417"/>
    </row>
    <row r="394">
      <c r="A394" s="203"/>
      <c r="B394" s="203"/>
      <c r="C394" s="203"/>
      <c r="D394" s="203"/>
      <c r="E394" s="203"/>
      <c r="F394" s="203"/>
      <c r="G394" s="203"/>
      <c r="H394" s="412"/>
      <c r="I394" s="413"/>
      <c r="J394" s="413"/>
      <c r="K394" s="413"/>
      <c r="L394" s="414"/>
    </row>
    <row r="395">
      <c r="A395" s="207"/>
      <c r="B395" s="207"/>
      <c r="C395" s="207"/>
      <c r="D395" s="207"/>
      <c r="E395" s="207"/>
      <c r="F395" s="207"/>
      <c r="G395" s="207"/>
      <c r="H395" s="415"/>
      <c r="I395" s="416"/>
      <c r="J395" s="416"/>
      <c r="K395" s="416"/>
      <c r="L395" s="417"/>
    </row>
    <row r="396">
      <c r="A396" s="203"/>
      <c r="B396" s="203"/>
      <c r="C396" s="203"/>
      <c r="D396" s="203"/>
      <c r="E396" s="203"/>
      <c r="F396" s="203"/>
      <c r="G396" s="203"/>
      <c r="H396" s="412"/>
      <c r="I396" s="413"/>
      <c r="J396" s="413"/>
      <c r="K396" s="413"/>
      <c r="L396" s="414"/>
    </row>
    <row r="397">
      <c r="A397" s="207"/>
      <c r="B397" s="207"/>
      <c r="C397" s="207"/>
      <c r="D397" s="207"/>
      <c r="E397" s="207"/>
      <c r="F397" s="207"/>
      <c r="G397" s="207"/>
      <c r="H397" s="415"/>
      <c r="I397" s="416"/>
      <c r="J397" s="416"/>
      <c r="K397" s="416"/>
      <c r="L397" s="417"/>
    </row>
    <row r="398">
      <c r="A398" s="203"/>
      <c r="B398" s="203"/>
      <c r="C398" s="203"/>
      <c r="D398" s="203"/>
      <c r="E398" s="203"/>
      <c r="F398" s="203"/>
      <c r="G398" s="203"/>
      <c r="H398" s="412"/>
      <c r="I398" s="413"/>
      <c r="J398" s="413"/>
      <c r="K398" s="413"/>
      <c r="L398" s="414"/>
    </row>
    <row r="399">
      <c r="A399" s="207"/>
      <c r="B399" s="207"/>
      <c r="C399" s="207"/>
      <c r="D399" s="207"/>
      <c r="E399" s="207"/>
      <c r="F399" s="207"/>
      <c r="G399" s="207"/>
      <c r="H399" s="415"/>
      <c r="I399" s="416"/>
      <c r="J399" s="416"/>
      <c r="K399" s="416"/>
      <c r="L399" s="417"/>
    </row>
    <row r="400">
      <c r="A400" s="203"/>
      <c r="B400" s="203"/>
      <c r="C400" s="203"/>
      <c r="D400" s="203"/>
      <c r="E400" s="203"/>
      <c r="F400" s="203"/>
      <c r="G400" s="203"/>
      <c r="H400" s="412"/>
      <c r="I400" s="413"/>
      <c r="J400" s="413"/>
      <c r="K400" s="413"/>
      <c r="L400" s="414"/>
    </row>
    <row r="401">
      <c r="A401" s="207"/>
      <c r="B401" s="207"/>
      <c r="C401" s="207"/>
      <c r="D401" s="207"/>
      <c r="E401" s="207"/>
      <c r="F401" s="207"/>
      <c r="G401" s="207"/>
      <c r="H401" s="415"/>
      <c r="I401" s="416"/>
      <c r="J401" s="416"/>
      <c r="K401" s="416"/>
      <c r="L401" s="417"/>
    </row>
    <row r="402">
      <c r="A402" s="203"/>
      <c r="B402" s="203"/>
      <c r="C402" s="203"/>
      <c r="D402" s="203"/>
      <c r="E402" s="203"/>
      <c r="F402" s="203"/>
      <c r="G402" s="203"/>
      <c r="H402" s="412"/>
      <c r="I402" s="413"/>
      <c r="J402" s="413"/>
      <c r="K402" s="413"/>
      <c r="L402" s="414"/>
    </row>
    <row r="403">
      <c r="A403" s="207"/>
      <c r="B403" s="207"/>
      <c r="C403" s="207"/>
      <c r="D403" s="207"/>
      <c r="E403" s="207"/>
      <c r="F403" s="207"/>
      <c r="G403" s="207"/>
      <c r="H403" s="415"/>
      <c r="I403" s="416"/>
      <c r="J403" s="416"/>
      <c r="K403" s="416"/>
      <c r="L403" s="417"/>
    </row>
    <row r="404">
      <c r="A404" s="203"/>
      <c r="B404" s="203"/>
      <c r="C404" s="203"/>
      <c r="D404" s="203"/>
      <c r="E404" s="203"/>
      <c r="F404" s="203"/>
      <c r="G404" s="203"/>
      <c r="H404" s="412"/>
      <c r="I404" s="413"/>
      <c r="J404" s="413"/>
      <c r="K404" s="413"/>
      <c r="L404" s="414"/>
    </row>
    <row r="405">
      <c r="A405" s="207"/>
      <c r="B405" s="207"/>
      <c r="C405" s="207"/>
      <c r="D405" s="207"/>
      <c r="E405" s="207"/>
      <c r="F405" s="207"/>
      <c r="G405" s="207"/>
      <c r="H405" s="415"/>
      <c r="I405" s="416"/>
      <c r="J405" s="416"/>
      <c r="K405" s="416"/>
      <c r="L405" s="417"/>
    </row>
    <row r="406">
      <c r="A406" s="203"/>
      <c r="B406" s="203"/>
      <c r="C406" s="203"/>
      <c r="D406" s="203"/>
      <c r="E406" s="203"/>
      <c r="F406" s="203"/>
      <c r="G406" s="203"/>
      <c r="H406" s="412"/>
      <c r="I406" s="413"/>
      <c r="J406" s="413"/>
      <c r="K406" s="413"/>
      <c r="L406" s="414"/>
    </row>
    <row r="407">
      <c r="A407" s="207"/>
      <c r="B407" s="207"/>
      <c r="C407" s="207"/>
      <c r="D407" s="207"/>
      <c r="E407" s="207"/>
      <c r="F407" s="207"/>
      <c r="G407" s="207"/>
      <c r="H407" s="415"/>
      <c r="I407" s="416"/>
      <c r="J407" s="416"/>
      <c r="K407" s="416"/>
      <c r="L407" s="417"/>
    </row>
    <row r="408">
      <c r="A408" s="203"/>
      <c r="B408" s="203"/>
      <c r="C408" s="203"/>
      <c r="D408" s="203"/>
      <c r="E408" s="203"/>
      <c r="F408" s="203"/>
      <c r="G408" s="203"/>
      <c r="H408" s="412"/>
      <c r="I408" s="413"/>
      <c r="J408" s="413"/>
      <c r="K408" s="413"/>
      <c r="L408" s="414"/>
    </row>
    <row r="409">
      <c r="A409" s="207"/>
      <c r="B409" s="207"/>
      <c r="C409" s="207"/>
      <c r="D409" s="207"/>
      <c r="E409" s="207"/>
      <c r="F409" s="207"/>
      <c r="G409" s="207"/>
      <c r="H409" s="415"/>
      <c r="I409" s="416"/>
      <c r="J409" s="416"/>
      <c r="K409" s="416"/>
      <c r="L409" s="417"/>
    </row>
    <row r="410">
      <c r="A410" s="203"/>
      <c r="B410" s="203"/>
      <c r="C410" s="203"/>
      <c r="D410" s="203"/>
      <c r="E410" s="203"/>
      <c r="F410" s="203"/>
      <c r="G410" s="203"/>
      <c r="H410" s="412"/>
      <c r="I410" s="413"/>
      <c r="J410" s="413"/>
      <c r="K410" s="413"/>
      <c r="L410" s="414"/>
    </row>
    <row r="411">
      <c r="A411" s="207"/>
      <c r="B411" s="207"/>
      <c r="C411" s="207"/>
      <c r="D411" s="207"/>
      <c r="E411" s="207"/>
      <c r="F411" s="207"/>
      <c r="G411" s="207"/>
      <c r="H411" s="415"/>
      <c r="I411" s="416"/>
      <c r="J411" s="416"/>
      <c r="K411" s="416"/>
      <c r="L411" s="417"/>
    </row>
    <row r="412">
      <c r="A412" s="203"/>
      <c r="B412" s="203"/>
      <c r="C412" s="203"/>
      <c r="D412" s="203"/>
      <c r="E412" s="203"/>
      <c r="F412" s="203"/>
      <c r="G412" s="203"/>
      <c r="H412" s="412"/>
      <c r="I412" s="413"/>
      <c r="J412" s="413"/>
      <c r="K412" s="413"/>
      <c r="L412" s="414"/>
    </row>
    <row r="413">
      <c r="A413" s="207"/>
      <c r="B413" s="207"/>
      <c r="C413" s="207"/>
      <c r="D413" s="207"/>
      <c r="E413" s="207"/>
      <c r="F413" s="207"/>
      <c r="G413" s="207"/>
      <c r="H413" s="415"/>
      <c r="I413" s="416"/>
      <c r="J413" s="416"/>
      <c r="K413" s="416"/>
      <c r="L413" s="417"/>
    </row>
    <row r="414">
      <c r="A414" s="203"/>
      <c r="B414" s="203"/>
      <c r="C414" s="203"/>
      <c r="D414" s="203"/>
      <c r="E414" s="203"/>
      <c r="F414" s="203"/>
      <c r="G414" s="203"/>
      <c r="H414" s="412"/>
      <c r="I414" s="413"/>
      <c r="J414" s="413"/>
      <c r="K414" s="413"/>
      <c r="L414" s="414"/>
    </row>
    <row r="415">
      <c r="A415" s="207"/>
      <c r="B415" s="207"/>
      <c r="C415" s="207"/>
      <c r="D415" s="207"/>
      <c r="E415" s="207"/>
      <c r="F415" s="207"/>
      <c r="G415" s="207"/>
      <c r="H415" s="415"/>
      <c r="I415" s="416"/>
      <c r="J415" s="416"/>
      <c r="K415" s="416"/>
      <c r="L415" s="417"/>
    </row>
    <row r="416">
      <c r="A416" s="203"/>
      <c r="B416" s="203"/>
      <c r="C416" s="203"/>
      <c r="D416" s="203"/>
      <c r="E416" s="203"/>
      <c r="F416" s="203"/>
      <c r="G416" s="203"/>
      <c r="H416" s="412"/>
      <c r="I416" s="413"/>
      <c r="J416" s="413"/>
      <c r="K416" s="413"/>
      <c r="L416" s="414"/>
    </row>
    <row r="417">
      <c r="A417" s="207"/>
      <c r="B417" s="207"/>
      <c r="C417" s="207"/>
      <c r="D417" s="207"/>
      <c r="E417" s="207"/>
      <c r="F417" s="207"/>
      <c r="G417" s="207"/>
      <c r="H417" s="415"/>
      <c r="I417" s="416"/>
      <c r="J417" s="416"/>
      <c r="K417" s="416"/>
      <c r="L417" s="417"/>
    </row>
    <row r="418">
      <c r="A418" s="203"/>
      <c r="B418" s="203"/>
      <c r="C418" s="203"/>
      <c r="D418" s="203"/>
      <c r="E418" s="203"/>
      <c r="F418" s="203"/>
      <c r="G418" s="203"/>
      <c r="H418" s="412"/>
      <c r="I418" s="413"/>
      <c r="J418" s="413"/>
      <c r="K418" s="413"/>
      <c r="L418" s="414"/>
    </row>
    <row r="419">
      <c r="A419" s="207"/>
      <c r="B419" s="207"/>
      <c r="C419" s="207"/>
      <c r="D419" s="207"/>
      <c r="E419" s="207"/>
      <c r="F419" s="207"/>
      <c r="G419" s="207"/>
      <c r="H419" s="415"/>
      <c r="I419" s="416"/>
      <c r="J419" s="416"/>
      <c r="K419" s="416"/>
      <c r="L419" s="417"/>
    </row>
    <row r="420">
      <c r="A420" s="203"/>
      <c r="B420" s="203"/>
      <c r="C420" s="203"/>
      <c r="D420" s="203"/>
      <c r="E420" s="203"/>
      <c r="F420" s="203"/>
      <c r="G420" s="203"/>
      <c r="H420" s="412"/>
      <c r="I420" s="413"/>
      <c r="J420" s="413"/>
      <c r="K420" s="413"/>
      <c r="L420" s="414"/>
    </row>
    <row r="421">
      <c r="A421" s="207"/>
      <c r="B421" s="207"/>
      <c r="C421" s="207"/>
      <c r="D421" s="207"/>
      <c r="E421" s="207"/>
      <c r="F421" s="207"/>
      <c r="G421" s="207"/>
      <c r="H421" s="415"/>
      <c r="I421" s="416"/>
      <c r="J421" s="416"/>
      <c r="K421" s="416"/>
      <c r="L421" s="417"/>
    </row>
    <row r="422">
      <c r="A422" s="203"/>
      <c r="B422" s="203"/>
      <c r="C422" s="203"/>
      <c r="D422" s="203"/>
      <c r="E422" s="203"/>
      <c r="F422" s="203"/>
      <c r="G422" s="203"/>
      <c r="H422" s="412"/>
      <c r="I422" s="413"/>
      <c r="J422" s="413"/>
      <c r="K422" s="413"/>
      <c r="L422" s="414"/>
    </row>
    <row r="423">
      <c r="A423" s="207"/>
      <c r="B423" s="207"/>
      <c r="C423" s="207"/>
      <c r="D423" s="207"/>
      <c r="E423" s="207"/>
      <c r="F423" s="207"/>
      <c r="G423" s="207"/>
      <c r="H423" s="415"/>
      <c r="I423" s="416"/>
      <c r="J423" s="416"/>
      <c r="K423" s="416"/>
      <c r="L423" s="417"/>
    </row>
    <row r="424">
      <c r="A424" s="203"/>
      <c r="B424" s="203"/>
      <c r="C424" s="203"/>
      <c r="D424" s="203"/>
      <c r="E424" s="203"/>
      <c r="F424" s="203"/>
      <c r="G424" s="203"/>
      <c r="H424" s="412"/>
      <c r="I424" s="413"/>
      <c r="J424" s="413"/>
      <c r="K424" s="413"/>
      <c r="L424" s="414"/>
    </row>
    <row r="425">
      <c r="A425" s="207"/>
      <c r="B425" s="207"/>
      <c r="C425" s="207"/>
      <c r="D425" s="207"/>
      <c r="E425" s="207"/>
      <c r="F425" s="207"/>
      <c r="G425" s="207"/>
      <c r="H425" s="415"/>
      <c r="I425" s="416"/>
      <c r="J425" s="416"/>
      <c r="K425" s="416"/>
      <c r="L425" s="417"/>
    </row>
    <row r="426">
      <c r="A426" s="203"/>
      <c r="B426" s="203"/>
      <c r="C426" s="203"/>
      <c r="D426" s="203"/>
      <c r="E426" s="203"/>
      <c r="F426" s="203"/>
      <c r="G426" s="203"/>
      <c r="H426" s="412"/>
      <c r="I426" s="413"/>
      <c r="J426" s="413"/>
      <c r="K426" s="413"/>
      <c r="L426" s="414"/>
    </row>
    <row r="427">
      <c r="A427" s="207"/>
      <c r="B427" s="207"/>
      <c r="C427" s="207"/>
      <c r="D427" s="207"/>
      <c r="E427" s="207"/>
      <c r="F427" s="207"/>
      <c r="G427" s="207"/>
      <c r="H427" s="415"/>
      <c r="I427" s="416"/>
      <c r="J427" s="416"/>
      <c r="K427" s="416"/>
      <c r="L427" s="417"/>
    </row>
    <row r="428">
      <c r="A428" s="203"/>
      <c r="B428" s="203"/>
      <c r="C428" s="203"/>
      <c r="D428" s="203"/>
      <c r="E428" s="203"/>
      <c r="F428" s="203"/>
      <c r="G428" s="203"/>
      <c r="H428" s="412"/>
      <c r="I428" s="413"/>
      <c r="J428" s="413"/>
      <c r="K428" s="413"/>
      <c r="L428" s="414"/>
    </row>
    <row r="429">
      <c r="A429" s="207"/>
      <c r="B429" s="207"/>
      <c r="C429" s="207"/>
      <c r="D429" s="207"/>
      <c r="E429" s="207"/>
      <c r="F429" s="207"/>
      <c r="G429" s="207"/>
      <c r="H429" s="415"/>
      <c r="I429" s="416"/>
      <c r="J429" s="416"/>
      <c r="K429" s="416"/>
      <c r="L429" s="417"/>
    </row>
    <row r="430">
      <c r="A430" s="203"/>
      <c r="B430" s="203"/>
      <c r="C430" s="203"/>
      <c r="D430" s="203"/>
      <c r="E430" s="203"/>
      <c r="F430" s="203"/>
      <c r="G430" s="203"/>
      <c r="H430" s="412"/>
      <c r="I430" s="413"/>
      <c r="J430" s="413"/>
      <c r="K430" s="413"/>
      <c r="L430" s="414"/>
    </row>
    <row r="431">
      <c r="A431" s="207"/>
      <c r="B431" s="207"/>
      <c r="C431" s="207"/>
      <c r="D431" s="207"/>
      <c r="E431" s="207"/>
      <c r="F431" s="207"/>
      <c r="G431" s="207"/>
      <c r="H431" s="415"/>
      <c r="I431" s="416"/>
      <c r="J431" s="416"/>
      <c r="K431" s="416"/>
      <c r="L431" s="417"/>
    </row>
    <row r="432">
      <c r="A432" s="203"/>
      <c r="B432" s="203"/>
      <c r="C432" s="203"/>
      <c r="D432" s="203"/>
      <c r="E432" s="203"/>
      <c r="F432" s="203"/>
      <c r="G432" s="203"/>
      <c r="H432" s="412"/>
      <c r="I432" s="413"/>
      <c r="J432" s="413"/>
      <c r="K432" s="413"/>
      <c r="L432" s="414"/>
    </row>
    <row r="433">
      <c r="A433" s="207"/>
      <c r="B433" s="207"/>
      <c r="C433" s="207"/>
      <c r="D433" s="207"/>
      <c r="E433" s="207"/>
      <c r="F433" s="207"/>
      <c r="G433" s="207"/>
      <c r="H433" s="415"/>
      <c r="I433" s="416"/>
      <c r="J433" s="416"/>
      <c r="K433" s="416"/>
      <c r="L433" s="417"/>
    </row>
    <row r="434">
      <c r="A434" s="203"/>
      <c r="B434" s="203"/>
      <c r="C434" s="203"/>
      <c r="D434" s="203"/>
      <c r="E434" s="203"/>
      <c r="F434" s="203"/>
      <c r="G434" s="203"/>
      <c r="H434" s="412"/>
      <c r="I434" s="413"/>
      <c r="J434" s="413"/>
      <c r="K434" s="413"/>
      <c r="L434" s="414"/>
    </row>
    <row r="435">
      <c r="A435" s="207"/>
      <c r="B435" s="207"/>
      <c r="C435" s="207"/>
      <c r="D435" s="207"/>
      <c r="E435" s="207"/>
      <c r="F435" s="207"/>
      <c r="G435" s="207"/>
      <c r="H435" s="415"/>
      <c r="I435" s="416"/>
      <c r="J435" s="416"/>
      <c r="K435" s="416"/>
      <c r="L435" s="417"/>
    </row>
    <row r="436">
      <c r="A436" s="203"/>
      <c r="B436" s="203"/>
      <c r="C436" s="203"/>
      <c r="D436" s="203"/>
      <c r="E436" s="203"/>
      <c r="F436" s="203"/>
      <c r="G436" s="203"/>
      <c r="H436" s="412"/>
      <c r="I436" s="413"/>
      <c r="J436" s="413"/>
      <c r="K436" s="413"/>
      <c r="L436" s="414"/>
    </row>
    <row r="437">
      <c r="A437" s="207"/>
      <c r="B437" s="207"/>
      <c r="C437" s="207"/>
      <c r="D437" s="207"/>
      <c r="E437" s="207"/>
      <c r="F437" s="207"/>
      <c r="G437" s="207"/>
      <c r="H437" s="415"/>
      <c r="I437" s="416"/>
      <c r="J437" s="416"/>
      <c r="K437" s="416"/>
      <c r="L437" s="417"/>
    </row>
    <row r="438">
      <c r="A438" s="203"/>
      <c r="B438" s="203"/>
      <c r="C438" s="203"/>
      <c r="D438" s="203"/>
      <c r="E438" s="203"/>
      <c r="F438" s="203"/>
      <c r="G438" s="203"/>
      <c r="H438" s="412"/>
      <c r="I438" s="413"/>
      <c r="J438" s="413"/>
      <c r="K438" s="413"/>
      <c r="L438" s="414"/>
    </row>
    <row r="439">
      <c r="A439" s="207"/>
      <c r="B439" s="207"/>
      <c r="C439" s="207"/>
      <c r="D439" s="207"/>
      <c r="E439" s="207"/>
      <c r="F439" s="207"/>
      <c r="G439" s="207"/>
      <c r="H439" s="415"/>
      <c r="I439" s="416"/>
      <c r="J439" s="416"/>
      <c r="K439" s="416"/>
      <c r="L439" s="417"/>
    </row>
    <row r="440">
      <c r="A440" s="203"/>
      <c r="B440" s="203"/>
      <c r="C440" s="203"/>
      <c r="D440" s="203"/>
      <c r="E440" s="203"/>
      <c r="F440" s="203"/>
      <c r="G440" s="203"/>
      <c r="H440" s="412"/>
      <c r="I440" s="413"/>
      <c r="J440" s="413"/>
      <c r="K440" s="413"/>
      <c r="L440" s="414"/>
    </row>
    <row r="441">
      <c r="A441" s="207"/>
      <c r="B441" s="207"/>
      <c r="C441" s="207"/>
      <c r="D441" s="207"/>
      <c r="E441" s="207"/>
      <c r="F441" s="207"/>
      <c r="G441" s="207"/>
      <c r="H441" s="415"/>
      <c r="I441" s="416"/>
      <c r="J441" s="416"/>
      <c r="K441" s="416"/>
      <c r="L441" s="417"/>
    </row>
    <row r="442">
      <c r="A442" s="203"/>
      <c r="B442" s="203"/>
      <c r="C442" s="203"/>
      <c r="D442" s="203"/>
      <c r="E442" s="203"/>
      <c r="F442" s="203"/>
      <c r="G442" s="203"/>
      <c r="H442" s="412"/>
      <c r="I442" s="413"/>
      <c r="J442" s="413"/>
      <c r="K442" s="413"/>
      <c r="L442" s="414"/>
    </row>
    <row r="443">
      <c r="A443" s="207"/>
      <c r="B443" s="207"/>
      <c r="C443" s="207"/>
      <c r="D443" s="207"/>
      <c r="E443" s="207"/>
      <c r="F443" s="207"/>
      <c r="G443" s="207"/>
      <c r="H443" s="415"/>
      <c r="I443" s="416"/>
      <c r="J443" s="416"/>
      <c r="K443" s="416"/>
      <c r="L443" s="417"/>
    </row>
    <row r="444">
      <c r="A444" s="203"/>
      <c r="B444" s="203"/>
      <c r="C444" s="203"/>
      <c r="D444" s="203"/>
      <c r="E444" s="203"/>
      <c r="F444" s="203"/>
      <c r="G444" s="203"/>
      <c r="H444" s="412"/>
      <c r="I444" s="413"/>
      <c r="J444" s="413"/>
      <c r="K444" s="413"/>
      <c r="L444" s="414"/>
    </row>
    <row r="445">
      <c r="A445" s="207"/>
      <c r="B445" s="207"/>
      <c r="C445" s="207"/>
      <c r="D445" s="207"/>
      <c r="E445" s="207"/>
      <c r="F445" s="207"/>
      <c r="G445" s="207"/>
      <c r="H445" s="415"/>
      <c r="I445" s="416"/>
      <c r="J445" s="416"/>
      <c r="K445" s="416"/>
      <c r="L445" s="417"/>
    </row>
    <row r="446">
      <c r="A446" s="203"/>
      <c r="B446" s="203"/>
      <c r="C446" s="203"/>
      <c r="D446" s="203"/>
      <c r="E446" s="203"/>
      <c r="F446" s="203"/>
      <c r="G446" s="203"/>
      <c r="H446" s="412"/>
      <c r="I446" s="413"/>
      <c r="J446" s="413"/>
      <c r="K446" s="413"/>
      <c r="L446" s="414"/>
    </row>
    <row r="447">
      <c r="A447" s="207"/>
      <c r="B447" s="207"/>
      <c r="C447" s="207"/>
      <c r="D447" s="207"/>
      <c r="E447" s="207"/>
      <c r="F447" s="207"/>
      <c r="G447" s="207"/>
      <c r="H447" s="415"/>
      <c r="I447" s="416"/>
      <c r="J447" s="416"/>
      <c r="K447" s="416"/>
      <c r="L447" s="417"/>
    </row>
    <row r="448">
      <c r="A448" s="203"/>
      <c r="B448" s="203"/>
      <c r="C448" s="203"/>
      <c r="D448" s="203"/>
      <c r="E448" s="203"/>
      <c r="F448" s="203"/>
      <c r="G448" s="203"/>
      <c r="H448" s="412"/>
      <c r="I448" s="413"/>
      <c r="J448" s="413"/>
      <c r="K448" s="413"/>
      <c r="L448" s="414"/>
    </row>
    <row r="449">
      <c r="A449" s="207"/>
      <c r="B449" s="207"/>
      <c r="C449" s="207"/>
      <c r="D449" s="207"/>
      <c r="E449" s="207"/>
      <c r="F449" s="207"/>
      <c r="G449" s="207"/>
      <c r="H449" s="415"/>
      <c r="I449" s="416"/>
      <c r="J449" s="416"/>
      <c r="K449" s="416"/>
      <c r="L449" s="417"/>
    </row>
    <row r="450">
      <c r="A450" s="203"/>
      <c r="B450" s="203"/>
      <c r="C450" s="203"/>
      <c r="D450" s="203"/>
      <c r="E450" s="203"/>
      <c r="F450" s="203"/>
      <c r="G450" s="203"/>
      <c r="H450" s="412"/>
      <c r="I450" s="413"/>
      <c r="J450" s="413"/>
      <c r="K450" s="413"/>
      <c r="L450" s="414"/>
    </row>
    <row r="451">
      <c r="A451" s="207"/>
      <c r="B451" s="207"/>
      <c r="C451" s="207"/>
      <c r="D451" s="207"/>
      <c r="E451" s="207"/>
      <c r="F451" s="207"/>
      <c r="G451" s="207"/>
      <c r="H451" s="415"/>
      <c r="I451" s="416"/>
      <c r="J451" s="416"/>
      <c r="K451" s="416"/>
      <c r="L451" s="417"/>
    </row>
    <row r="452">
      <c r="A452" s="203"/>
      <c r="B452" s="203"/>
      <c r="C452" s="203"/>
      <c r="D452" s="203"/>
      <c r="E452" s="203"/>
      <c r="F452" s="203"/>
      <c r="G452" s="203"/>
      <c r="H452" s="412"/>
      <c r="I452" s="413"/>
      <c r="J452" s="413"/>
      <c r="K452" s="413"/>
      <c r="L452" s="414"/>
    </row>
    <row r="453">
      <c r="A453" s="207"/>
      <c r="B453" s="207"/>
      <c r="C453" s="207"/>
      <c r="D453" s="207"/>
      <c r="E453" s="207"/>
      <c r="F453" s="207"/>
      <c r="G453" s="207"/>
      <c r="H453" s="415"/>
      <c r="I453" s="416"/>
      <c r="J453" s="416"/>
      <c r="K453" s="416"/>
      <c r="L453" s="417"/>
    </row>
    <row r="454">
      <c r="A454" s="203"/>
      <c r="B454" s="203"/>
      <c r="C454" s="203"/>
      <c r="D454" s="203"/>
      <c r="E454" s="203"/>
      <c r="F454" s="203"/>
      <c r="G454" s="203"/>
      <c r="H454" s="412"/>
      <c r="I454" s="413"/>
      <c r="J454" s="413"/>
      <c r="K454" s="413"/>
      <c r="L454" s="414"/>
    </row>
    <row r="455">
      <c r="A455" s="207"/>
      <c r="B455" s="207"/>
      <c r="C455" s="207"/>
      <c r="D455" s="207"/>
      <c r="E455" s="207"/>
      <c r="F455" s="207"/>
      <c r="G455" s="207"/>
      <c r="H455" s="415"/>
      <c r="I455" s="416"/>
      <c r="J455" s="416"/>
      <c r="K455" s="416"/>
      <c r="L455" s="417"/>
    </row>
    <row r="456">
      <c r="A456" s="203"/>
      <c r="B456" s="203"/>
      <c r="C456" s="203"/>
      <c r="D456" s="203"/>
      <c r="E456" s="203"/>
      <c r="F456" s="203"/>
      <c r="G456" s="203"/>
      <c r="H456" s="412"/>
      <c r="I456" s="413"/>
      <c r="J456" s="413"/>
      <c r="K456" s="413"/>
      <c r="L456" s="414"/>
    </row>
    <row r="457">
      <c r="A457" s="207"/>
      <c r="B457" s="207"/>
      <c r="C457" s="207"/>
      <c r="D457" s="207"/>
      <c r="E457" s="207"/>
      <c r="F457" s="207"/>
      <c r="G457" s="207"/>
      <c r="H457" s="415"/>
      <c r="I457" s="416"/>
      <c r="J457" s="416"/>
      <c r="K457" s="416"/>
      <c r="L457" s="417"/>
    </row>
    <row r="458">
      <c r="A458" s="203"/>
      <c r="B458" s="203"/>
      <c r="C458" s="203"/>
      <c r="D458" s="203"/>
      <c r="E458" s="203"/>
      <c r="F458" s="203"/>
      <c r="G458" s="203"/>
      <c r="H458" s="412"/>
      <c r="I458" s="413"/>
      <c r="J458" s="413"/>
      <c r="K458" s="413"/>
      <c r="L458" s="414"/>
    </row>
    <row r="459">
      <c r="A459" s="207"/>
      <c r="B459" s="207"/>
      <c r="C459" s="207"/>
      <c r="D459" s="207"/>
      <c r="E459" s="207"/>
      <c r="F459" s="207"/>
      <c r="G459" s="207"/>
      <c r="H459" s="415"/>
      <c r="I459" s="416"/>
      <c r="J459" s="416"/>
      <c r="K459" s="416"/>
      <c r="L459" s="417"/>
    </row>
    <row r="460">
      <c r="A460" s="203"/>
      <c r="B460" s="203"/>
      <c r="C460" s="203"/>
      <c r="D460" s="203"/>
      <c r="E460" s="203"/>
      <c r="F460" s="203"/>
      <c r="G460" s="203"/>
      <c r="H460" s="412"/>
      <c r="I460" s="413"/>
      <c r="J460" s="413"/>
      <c r="K460" s="413"/>
      <c r="L460" s="414"/>
    </row>
    <row r="461">
      <c r="A461" s="207"/>
      <c r="B461" s="207"/>
      <c r="C461" s="207"/>
      <c r="D461" s="207"/>
      <c r="E461" s="207"/>
      <c r="F461" s="207"/>
      <c r="G461" s="207"/>
      <c r="H461" s="415"/>
      <c r="I461" s="416"/>
      <c r="J461" s="416"/>
      <c r="K461" s="416"/>
      <c r="L461" s="417"/>
    </row>
    <row r="462">
      <c r="A462" s="203"/>
      <c r="B462" s="203"/>
      <c r="C462" s="203"/>
      <c r="D462" s="203"/>
      <c r="E462" s="203"/>
      <c r="F462" s="203"/>
      <c r="G462" s="203"/>
      <c r="H462" s="412"/>
      <c r="I462" s="413"/>
      <c r="J462" s="413"/>
      <c r="K462" s="413"/>
      <c r="L462" s="414"/>
    </row>
    <row r="463">
      <c r="A463" s="207"/>
      <c r="B463" s="207"/>
      <c r="C463" s="207"/>
      <c r="D463" s="207"/>
      <c r="E463" s="207"/>
      <c r="F463" s="207"/>
      <c r="G463" s="207"/>
      <c r="H463" s="415"/>
      <c r="I463" s="416"/>
      <c r="J463" s="416"/>
      <c r="K463" s="416"/>
      <c r="L463" s="417"/>
    </row>
    <row r="464">
      <c r="A464" s="203"/>
      <c r="B464" s="203"/>
      <c r="C464" s="203"/>
      <c r="D464" s="203"/>
      <c r="E464" s="203"/>
      <c r="F464" s="203"/>
      <c r="G464" s="203"/>
      <c r="H464" s="412"/>
      <c r="I464" s="413"/>
      <c r="J464" s="413"/>
      <c r="K464" s="413"/>
      <c r="L464" s="414"/>
    </row>
    <row r="465">
      <c r="A465" s="207"/>
      <c r="B465" s="207"/>
      <c r="C465" s="207"/>
      <c r="D465" s="207"/>
      <c r="E465" s="207"/>
      <c r="F465" s="207"/>
      <c r="G465" s="207"/>
      <c r="H465" s="415"/>
      <c r="I465" s="416"/>
      <c r="J465" s="416"/>
      <c r="K465" s="416"/>
      <c r="L465" s="417"/>
    </row>
    <row r="466">
      <c r="A466" s="203"/>
      <c r="B466" s="203"/>
      <c r="C466" s="203"/>
      <c r="D466" s="203"/>
      <c r="E466" s="203"/>
      <c r="F466" s="203"/>
      <c r="G466" s="203"/>
      <c r="H466" s="412"/>
      <c r="I466" s="413"/>
      <c r="J466" s="413"/>
      <c r="K466" s="413"/>
      <c r="L466" s="414"/>
    </row>
    <row r="467">
      <c r="A467" s="207"/>
      <c r="B467" s="207"/>
      <c r="C467" s="207"/>
      <c r="D467" s="207"/>
      <c r="E467" s="207"/>
      <c r="F467" s="207"/>
      <c r="G467" s="207"/>
      <c r="H467" s="415"/>
      <c r="I467" s="416"/>
      <c r="J467" s="416"/>
      <c r="K467" s="416"/>
      <c r="L467" s="417"/>
    </row>
    <row r="468">
      <c r="A468" s="203"/>
      <c r="B468" s="203"/>
      <c r="C468" s="203"/>
      <c r="D468" s="203"/>
      <c r="E468" s="203"/>
      <c r="F468" s="203"/>
      <c r="G468" s="203"/>
      <c r="H468" s="412"/>
      <c r="I468" s="413"/>
      <c r="J468" s="413"/>
      <c r="K468" s="413"/>
      <c r="L468" s="414"/>
    </row>
    <row r="469">
      <c r="A469" s="207"/>
      <c r="B469" s="207"/>
      <c r="C469" s="207"/>
      <c r="D469" s="207"/>
      <c r="E469" s="207"/>
      <c r="F469" s="207"/>
      <c r="G469" s="207"/>
      <c r="H469" s="415"/>
      <c r="I469" s="416"/>
      <c r="J469" s="416"/>
      <c r="K469" s="416"/>
      <c r="L469" s="417"/>
    </row>
    <row r="470">
      <c r="A470" s="203"/>
      <c r="B470" s="203"/>
      <c r="C470" s="203"/>
      <c r="D470" s="203"/>
      <c r="E470" s="203"/>
      <c r="F470" s="203"/>
      <c r="G470" s="203"/>
      <c r="H470" s="412"/>
      <c r="I470" s="413"/>
      <c r="J470" s="413"/>
      <c r="K470" s="413"/>
      <c r="L470" s="414"/>
    </row>
    <row r="471">
      <c r="A471" s="207"/>
      <c r="B471" s="207"/>
      <c r="C471" s="207"/>
      <c r="D471" s="207"/>
      <c r="E471" s="207"/>
      <c r="F471" s="207"/>
      <c r="G471" s="207"/>
      <c r="H471" s="415"/>
      <c r="I471" s="416"/>
      <c r="J471" s="416"/>
      <c r="K471" s="416"/>
      <c r="L471" s="417"/>
    </row>
    <row r="472">
      <c r="A472" s="203"/>
      <c r="B472" s="203"/>
      <c r="C472" s="203"/>
      <c r="D472" s="203"/>
      <c r="E472" s="203"/>
      <c r="F472" s="203"/>
      <c r="G472" s="203"/>
      <c r="H472" s="412"/>
      <c r="I472" s="413"/>
      <c r="J472" s="413"/>
      <c r="K472" s="413"/>
      <c r="L472" s="414"/>
    </row>
    <row r="473">
      <c r="A473" s="207"/>
      <c r="B473" s="207"/>
      <c r="C473" s="207"/>
      <c r="D473" s="207"/>
      <c r="E473" s="207"/>
      <c r="F473" s="207"/>
      <c r="G473" s="207"/>
      <c r="H473" s="415"/>
      <c r="I473" s="416"/>
      <c r="J473" s="416"/>
      <c r="K473" s="416"/>
      <c r="L473" s="417"/>
    </row>
    <row r="474">
      <c r="A474" s="203"/>
      <c r="B474" s="203"/>
      <c r="C474" s="203"/>
      <c r="D474" s="203"/>
      <c r="E474" s="203"/>
      <c r="F474" s="203"/>
      <c r="G474" s="203"/>
      <c r="H474" s="412"/>
      <c r="I474" s="413"/>
      <c r="J474" s="413"/>
      <c r="K474" s="413"/>
      <c r="L474" s="414"/>
    </row>
    <row r="475">
      <c r="A475" s="207"/>
      <c r="B475" s="207"/>
      <c r="C475" s="207"/>
      <c r="D475" s="207"/>
      <c r="E475" s="207"/>
      <c r="F475" s="207"/>
      <c r="G475" s="207"/>
      <c r="H475" s="415"/>
      <c r="I475" s="416"/>
      <c r="J475" s="416"/>
      <c r="K475" s="416"/>
      <c r="L475" s="417"/>
    </row>
    <row r="476">
      <c r="A476" s="203"/>
      <c r="B476" s="203"/>
      <c r="C476" s="203"/>
      <c r="D476" s="203"/>
      <c r="E476" s="203"/>
      <c r="F476" s="203"/>
      <c r="G476" s="203"/>
      <c r="H476" s="412"/>
      <c r="I476" s="413"/>
      <c r="J476" s="413"/>
      <c r="K476" s="413"/>
      <c r="L476" s="414"/>
    </row>
    <row r="477">
      <c r="A477" s="207"/>
      <c r="B477" s="207"/>
      <c r="C477" s="207"/>
      <c r="D477" s="207"/>
      <c r="E477" s="207"/>
      <c r="F477" s="207"/>
      <c r="G477" s="207"/>
      <c r="H477" s="415"/>
      <c r="I477" s="416"/>
      <c r="J477" s="416"/>
      <c r="K477" s="416"/>
      <c r="L477" s="417"/>
    </row>
    <row r="478">
      <c r="A478" s="203"/>
      <c r="B478" s="203"/>
      <c r="C478" s="203"/>
      <c r="D478" s="203"/>
      <c r="E478" s="203"/>
      <c r="F478" s="203"/>
      <c r="G478" s="203"/>
      <c r="H478" s="412"/>
      <c r="I478" s="413"/>
      <c r="J478" s="413"/>
      <c r="K478" s="413"/>
      <c r="L478" s="414"/>
    </row>
    <row r="479">
      <c r="A479" s="207"/>
      <c r="B479" s="207"/>
      <c r="C479" s="207"/>
      <c r="D479" s="207"/>
      <c r="E479" s="207"/>
      <c r="F479" s="207"/>
      <c r="G479" s="207"/>
      <c r="H479" s="415"/>
      <c r="I479" s="416"/>
      <c r="J479" s="416"/>
      <c r="K479" s="416"/>
      <c r="L479" s="417"/>
    </row>
    <row r="480">
      <c r="A480" s="203"/>
      <c r="B480" s="203"/>
      <c r="C480" s="203"/>
      <c r="D480" s="203"/>
      <c r="E480" s="203"/>
      <c r="F480" s="203"/>
      <c r="G480" s="203"/>
      <c r="H480" s="412"/>
      <c r="I480" s="413"/>
      <c r="J480" s="413"/>
      <c r="K480" s="413"/>
      <c r="L480" s="414"/>
    </row>
    <row r="481">
      <c r="A481" s="207"/>
      <c r="B481" s="207"/>
      <c r="C481" s="207"/>
      <c r="D481" s="207"/>
      <c r="E481" s="207"/>
      <c r="F481" s="207"/>
      <c r="G481" s="207"/>
      <c r="H481" s="415"/>
      <c r="I481" s="416"/>
      <c r="J481" s="416"/>
      <c r="K481" s="416"/>
      <c r="L481" s="417"/>
    </row>
    <row r="482">
      <c r="A482" s="203"/>
      <c r="B482" s="203"/>
      <c r="C482" s="203"/>
      <c r="D482" s="203"/>
      <c r="E482" s="203"/>
      <c r="F482" s="203"/>
      <c r="G482" s="203"/>
      <c r="H482" s="412"/>
      <c r="I482" s="413"/>
      <c r="J482" s="413"/>
      <c r="K482" s="413"/>
      <c r="L482" s="414"/>
    </row>
    <row r="483">
      <c r="A483" s="207"/>
      <c r="B483" s="207"/>
      <c r="C483" s="207"/>
      <c r="D483" s="207"/>
      <c r="E483" s="207"/>
      <c r="F483" s="207"/>
      <c r="G483" s="207"/>
      <c r="H483" s="415"/>
      <c r="I483" s="416"/>
      <c r="J483" s="416"/>
      <c r="K483" s="416"/>
      <c r="L483" s="417"/>
    </row>
    <row r="484">
      <c r="A484" s="203"/>
      <c r="B484" s="203"/>
      <c r="C484" s="203"/>
      <c r="D484" s="203"/>
      <c r="E484" s="203"/>
      <c r="F484" s="203"/>
      <c r="G484" s="203"/>
      <c r="H484" s="412"/>
      <c r="I484" s="413"/>
      <c r="J484" s="413"/>
      <c r="K484" s="413"/>
      <c r="L484" s="414"/>
    </row>
    <row r="485">
      <c r="A485" s="207"/>
      <c r="B485" s="207"/>
      <c r="C485" s="207"/>
      <c r="D485" s="207"/>
      <c r="E485" s="207"/>
      <c r="F485" s="207"/>
      <c r="G485" s="207"/>
      <c r="H485" s="415"/>
      <c r="I485" s="416"/>
      <c r="J485" s="416"/>
      <c r="K485" s="416"/>
      <c r="L485" s="417"/>
    </row>
    <row r="486">
      <c r="A486" s="203"/>
      <c r="B486" s="203"/>
      <c r="C486" s="203"/>
      <c r="D486" s="203"/>
      <c r="E486" s="203"/>
      <c r="F486" s="203"/>
      <c r="G486" s="203"/>
      <c r="H486" s="412"/>
      <c r="I486" s="413"/>
      <c r="J486" s="413"/>
      <c r="K486" s="413"/>
      <c r="L486" s="414"/>
    </row>
    <row r="487">
      <c r="A487" s="207"/>
      <c r="B487" s="207"/>
      <c r="C487" s="207"/>
      <c r="D487" s="207"/>
      <c r="E487" s="207"/>
      <c r="F487" s="207"/>
      <c r="G487" s="207"/>
      <c r="H487" s="415"/>
      <c r="I487" s="416"/>
      <c r="J487" s="416"/>
      <c r="K487" s="416"/>
      <c r="L487" s="417"/>
    </row>
    <row r="488">
      <c r="A488" s="203"/>
      <c r="B488" s="203"/>
      <c r="C488" s="203"/>
      <c r="D488" s="203"/>
      <c r="E488" s="203"/>
      <c r="F488" s="203"/>
      <c r="G488" s="203"/>
      <c r="H488" s="412"/>
      <c r="I488" s="413"/>
      <c r="J488" s="413"/>
      <c r="K488" s="413"/>
      <c r="L488" s="414"/>
    </row>
    <row r="489">
      <c r="A489" s="207"/>
      <c r="B489" s="207"/>
      <c r="C489" s="207"/>
      <c r="D489" s="207"/>
      <c r="E489" s="207"/>
      <c r="F489" s="207"/>
      <c r="G489" s="207"/>
      <c r="H489" s="415"/>
      <c r="I489" s="416"/>
      <c r="J489" s="416"/>
      <c r="K489" s="416"/>
      <c r="L489" s="417"/>
    </row>
    <row r="490">
      <c r="A490" s="203"/>
      <c r="B490" s="203"/>
      <c r="C490" s="203"/>
      <c r="D490" s="203"/>
      <c r="E490" s="203"/>
      <c r="F490" s="203"/>
      <c r="G490" s="203"/>
      <c r="H490" s="412"/>
      <c r="I490" s="413"/>
      <c r="J490" s="413"/>
      <c r="K490" s="413"/>
      <c r="L490" s="414"/>
    </row>
    <row r="491">
      <c r="A491" s="207"/>
      <c r="B491" s="207"/>
      <c r="C491" s="207"/>
      <c r="D491" s="207"/>
      <c r="E491" s="207"/>
      <c r="F491" s="207"/>
      <c r="G491" s="207"/>
      <c r="H491" s="415"/>
      <c r="I491" s="416"/>
      <c r="J491" s="416"/>
      <c r="K491" s="416"/>
      <c r="L491" s="417"/>
    </row>
    <row r="492">
      <c r="A492" s="203"/>
      <c r="B492" s="203"/>
      <c r="C492" s="203"/>
      <c r="D492" s="203"/>
      <c r="E492" s="203"/>
      <c r="F492" s="203"/>
      <c r="G492" s="203"/>
      <c r="H492" s="412"/>
      <c r="I492" s="413"/>
      <c r="J492" s="413"/>
      <c r="K492" s="413"/>
      <c r="L492" s="414"/>
    </row>
    <row r="493">
      <c r="A493" s="207"/>
      <c r="B493" s="207"/>
      <c r="C493" s="207"/>
      <c r="D493" s="207"/>
      <c r="E493" s="207"/>
      <c r="F493" s="207"/>
      <c r="G493" s="207"/>
      <c r="H493" s="415"/>
      <c r="I493" s="416"/>
      <c r="J493" s="416"/>
      <c r="K493" s="416"/>
      <c r="L493" s="417"/>
    </row>
    <row r="494">
      <c r="A494" s="203"/>
      <c r="B494" s="203"/>
      <c r="C494" s="203"/>
      <c r="D494" s="203"/>
      <c r="E494" s="203"/>
      <c r="F494" s="203"/>
      <c r="G494" s="203"/>
      <c r="H494" s="412"/>
      <c r="I494" s="413"/>
      <c r="J494" s="413"/>
      <c r="K494" s="413"/>
      <c r="L494" s="414"/>
    </row>
    <row r="495">
      <c r="A495" s="207"/>
      <c r="B495" s="207"/>
      <c r="C495" s="207"/>
      <c r="D495" s="207"/>
      <c r="E495" s="207"/>
      <c r="F495" s="207"/>
      <c r="G495" s="207"/>
      <c r="H495" s="415"/>
      <c r="I495" s="416"/>
      <c r="J495" s="416"/>
      <c r="K495" s="416"/>
      <c r="L495" s="417"/>
    </row>
    <row r="496">
      <c r="A496" s="203"/>
      <c r="B496" s="203"/>
      <c r="C496" s="203"/>
      <c r="D496" s="203"/>
      <c r="E496" s="203"/>
      <c r="F496" s="203"/>
      <c r="G496" s="203"/>
      <c r="H496" s="412"/>
      <c r="I496" s="413"/>
      <c r="J496" s="413"/>
      <c r="K496" s="413"/>
      <c r="L496" s="414"/>
    </row>
    <row r="497">
      <c r="A497" s="207"/>
      <c r="B497" s="207"/>
      <c r="C497" s="207"/>
      <c r="D497" s="207"/>
      <c r="E497" s="207"/>
      <c r="F497" s="207"/>
      <c r="G497" s="207"/>
      <c r="H497" s="415"/>
      <c r="I497" s="416"/>
      <c r="J497" s="416"/>
      <c r="K497" s="416"/>
      <c r="L497" s="417"/>
    </row>
    <row r="498">
      <c r="A498" s="203"/>
      <c r="B498" s="203"/>
      <c r="C498" s="203"/>
      <c r="D498" s="203"/>
      <c r="E498" s="203"/>
      <c r="F498" s="203"/>
      <c r="G498" s="203"/>
      <c r="H498" s="412"/>
      <c r="I498" s="413"/>
      <c r="J498" s="413"/>
      <c r="K498" s="413"/>
      <c r="L498" s="414"/>
    </row>
    <row r="499">
      <c r="A499" s="207"/>
      <c r="B499" s="207"/>
      <c r="C499" s="207"/>
      <c r="D499" s="207"/>
      <c r="E499" s="207"/>
      <c r="F499" s="207"/>
      <c r="G499" s="207"/>
      <c r="H499" s="415"/>
      <c r="I499" s="416"/>
      <c r="J499" s="416"/>
      <c r="K499" s="416"/>
      <c r="L499" s="417"/>
    </row>
    <row r="500">
      <c r="A500" s="203"/>
      <c r="B500" s="203"/>
      <c r="C500" s="203"/>
      <c r="D500" s="203"/>
      <c r="E500" s="203"/>
      <c r="F500" s="203"/>
      <c r="G500" s="203"/>
      <c r="H500" s="412"/>
      <c r="I500" s="413"/>
      <c r="J500" s="413"/>
      <c r="K500" s="413"/>
      <c r="L500" s="414"/>
    </row>
    <row r="501">
      <c r="A501" s="207"/>
      <c r="B501" s="207"/>
      <c r="C501" s="207"/>
      <c r="D501" s="207"/>
      <c r="E501" s="207"/>
      <c r="F501" s="207"/>
      <c r="G501" s="207"/>
      <c r="H501" s="415"/>
      <c r="I501" s="416"/>
      <c r="J501" s="416"/>
      <c r="K501" s="416"/>
      <c r="L501" s="417"/>
    </row>
    <row r="502">
      <c r="A502" s="203"/>
      <c r="B502" s="203"/>
      <c r="C502" s="203"/>
      <c r="D502" s="203"/>
      <c r="E502" s="203"/>
      <c r="F502" s="203"/>
      <c r="G502" s="203"/>
      <c r="H502" s="412"/>
      <c r="I502" s="413"/>
      <c r="J502" s="413"/>
      <c r="K502" s="413"/>
      <c r="L502" s="414"/>
    </row>
    <row r="503">
      <c r="A503" s="207"/>
      <c r="B503" s="207"/>
      <c r="C503" s="207"/>
      <c r="D503" s="207"/>
      <c r="E503" s="207"/>
      <c r="F503" s="207"/>
      <c r="G503" s="207"/>
      <c r="H503" s="415"/>
      <c r="I503" s="416"/>
      <c r="J503" s="416"/>
      <c r="K503" s="416"/>
      <c r="L503" s="417"/>
    </row>
    <row r="504">
      <c r="A504" s="203"/>
      <c r="B504" s="203"/>
      <c r="C504" s="203"/>
      <c r="D504" s="203"/>
      <c r="E504" s="203"/>
      <c r="F504" s="203"/>
      <c r="G504" s="203"/>
      <c r="H504" s="412"/>
      <c r="I504" s="413"/>
      <c r="J504" s="413"/>
      <c r="K504" s="413"/>
      <c r="L504" s="414"/>
    </row>
    <row r="505">
      <c r="A505" s="207"/>
      <c r="B505" s="207"/>
      <c r="C505" s="207"/>
      <c r="D505" s="207"/>
      <c r="E505" s="207"/>
      <c r="F505" s="207"/>
      <c r="G505" s="207"/>
      <c r="H505" s="415"/>
      <c r="I505" s="416"/>
      <c r="J505" s="416"/>
      <c r="K505" s="416"/>
      <c r="L505" s="417"/>
    </row>
    <row r="506">
      <c r="A506" s="203"/>
      <c r="B506" s="203"/>
      <c r="C506" s="203"/>
      <c r="D506" s="203"/>
      <c r="E506" s="203"/>
      <c r="F506" s="203"/>
      <c r="G506" s="203"/>
      <c r="H506" s="412"/>
      <c r="I506" s="413"/>
      <c r="J506" s="413"/>
      <c r="K506" s="413"/>
      <c r="L506" s="414"/>
    </row>
    <row r="507">
      <c r="A507" s="207"/>
      <c r="B507" s="207"/>
      <c r="C507" s="207"/>
      <c r="D507" s="207"/>
      <c r="E507" s="207"/>
      <c r="F507" s="207"/>
      <c r="G507" s="207"/>
      <c r="H507" s="415"/>
      <c r="I507" s="416"/>
      <c r="J507" s="416"/>
      <c r="K507" s="416"/>
      <c r="L507" s="417"/>
    </row>
    <row r="508">
      <c r="A508" s="203"/>
      <c r="B508" s="203"/>
      <c r="C508" s="203"/>
      <c r="D508" s="203"/>
      <c r="E508" s="203"/>
      <c r="F508" s="203"/>
      <c r="G508" s="203"/>
      <c r="H508" s="412"/>
      <c r="I508" s="413"/>
      <c r="J508" s="413"/>
      <c r="K508" s="413"/>
      <c r="L508" s="414"/>
    </row>
    <row r="509">
      <c r="A509" s="207"/>
      <c r="B509" s="207"/>
      <c r="C509" s="207"/>
      <c r="D509" s="207"/>
      <c r="E509" s="207"/>
      <c r="F509" s="207"/>
      <c r="G509" s="207"/>
      <c r="H509" s="415"/>
      <c r="I509" s="416"/>
      <c r="J509" s="416"/>
      <c r="K509" s="416"/>
      <c r="L509" s="417"/>
    </row>
    <row r="510">
      <c r="A510" s="203"/>
      <c r="B510" s="203"/>
      <c r="C510" s="203"/>
      <c r="D510" s="203"/>
      <c r="E510" s="203"/>
      <c r="F510" s="203"/>
      <c r="G510" s="203"/>
      <c r="H510" s="412"/>
      <c r="I510" s="413"/>
      <c r="J510" s="413"/>
      <c r="K510" s="413"/>
      <c r="L510" s="414"/>
    </row>
    <row r="511">
      <c r="A511" s="207"/>
      <c r="B511" s="207"/>
      <c r="C511" s="207"/>
      <c r="D511" s="207"/>
      <c r="E511" s="207"/>
      <c r="F511" s="207"/>
      <c r="G511" s="207"/>
      <c r="H511" s="415"/>
      <c r="I511" s="416"/>
      <c r="J511" s="416"/>
      <c r="K511" s="416"/>
      <c r="L511" s="417"/>
    </row>
    <row r="512">
      <c r="A512" s="203"/>
      <c r="B512" s="203"/>
      <c r="C512" s="203"/>
      <c r="D512" s="203"/>
      <c r="E512" s="203"/>
      <c r="F512" s="203"/>
      <c r="G512" s="203"/>
      <c r="H512" s="412"/>
      <c r="I512" s="413"/>
      <c r="J512" s="413"/>
      <c r="K512" s="413"/>
      <c r="L512" s="414"/>
    </row>
    <row r="513">
      <c r="A513" s="207"/>
      <c r="B513" s="207"/>
      <c r="C513" s="207"/>
      <c r="D513" s="207"/>
      <c r="E513" s="207"/>
      <c r="F513" s="207"/>
      <c r="G513" s="207"/>
      <c r="H513" s="415"/>
      <c r="I513" s="416"/>
      <c r="J513" s="416"/>
      <c r="K513" s="416"/>
      <c r="L513" s="417"/>
    </row>
    <row r="514">
      <c r="A514" s="203"/>
      <c r="B514" s="203"/>
      <c r="C514" s="203"/>
      <c r="D514" s="203"/>
      <c r="E514" s="203"/>
      <c r="F514" s="203"/>
      <c r="G514" s="203"/>
      <c r="H514" s="412"/>
      <c r="I514" s="413"/>
      <c r="J514" s="413"/>
      <c r="K514" s="413"/>
      <c r="L514" s="414"/>
    </row>
    <row r="515">
      <c r="A515" s="207"/>
      <c r="B515" s="207"/>
      <c r="C515" s="207"/>
      <c r="D515" s="207"/>
      <c r="E515" s="207"/>
      <c r="F515" s="207"/>
      <c r="G515" s="207"/>
      <c r="H515" s="415"/>
      <c r="I515" s="416"/>
      <c r="J515" s="416"/>
      <c r="K515" s="416"/>
      <c r="L515" s="417"/>
    </row>
    <row r="516">
      <c r="A516" s="203"/>
      <c r="B516" s="203"/>
      <c r="C516" s="203"/>
      <c r="D516" s="203"/>
      <c r="E516" s="203"/>
      <c r="F516" s="203"/>
      <c r="G516" s="203"/>
      <c r="H516" s="412"/>
      <c r="I516" s="413"/>
      <c r="J516" s="413"/>
      <c r="K516" s="413"/>
      <c r="L516" s="414"/>
    </row>
    <row r="517">
      <c r="A517" s="207"/>
      <c r="B517" s="207"/>
      <c r="C517" s="207"/>
      <c r="D517" s="207"/>
      <c r="E517" s="207"/>
      <c r="F517" s="207"/>
      <c r="G517" s="207"/>
      <c r="H517" s="415"/>
      <c r="I517" s="416"/>
      <c r="J517" s="416"/>
      <c r="K517" s="416"/>
      <c r="L517" s="417"/>
    </row>
    <row r="518">
      <c r="A518" s="203"/>
      <c r="B518" s="203"/>
      <c r="C518" s="203"/>
      <c r="D518" s="203"/>
      <c r="E518" s="203"/>
      <c r="F518" s="203"/>
      <c r="G518" s="203"/>
      <c r="H518" s="412"/>
      <c r="I518" s="413"/>
      <c r="J518" s="413"/>
      <c r="K518" s="413"/>
      <c r="L518" s="414"/>
    </row>
    <row r="519">
      <c r="A519" s="207"/>
      <c r="B519" s="207"/>
      <c r="C519" s="207"/>
      <c r="D519" s="207"/>
      <c r="E519" s="207"/>
      <c r="F519" s="207"/>
      <c r="G519" s="207"/>
      <c r="H519" s="415"/>
      <c r="I519" s="416"/>
      <c r="J519" s="416"/>
      <c r="K519" s="416"/>
      <c r="L519" s="417"/>
    </row>
    <row r="520">
      <c r="A520" s="203"/>
      <c r="B520" s="203"/>
      <c r="C520" s="203"/>
      <c r="D520" s="203"/>
      <c r="E520" s="203"/>
      <c r="F520" s="203"/>
      <c r="G520" s="203"/>
      <c r="H520" s="412"/>
      <c r="I520" s="413"/>
      <c r="J520" s="413"/>
      <c r="K520" s="413"/>
      <c r="L520" s="414"/>
    </row>
    <row r="521">
      <c r="A521" s="207"/>
      <c r="B521" s="207"/>
      <c r="C521" s="207"/>
      <c r="D521" s="207"/>
      <c r="E521" s="207"/>
      <c r="F521" s="207"/>
      <c r="G521" s="207"/>
      <c r="H521" s="415"/>
      <c r="I521" s="416"/>
      <c r="J521" s="416"/>
      <c r="K521" s="416"/>
      <c r="L521" s="417"/>
    </row>
    <row r="522">
      <c r="A522" s="203"/>
      <c r="B522" s="203"/>
      <c r="C522" s="203"/>
      <c r="D522" s="203"/>
      <c r="E522" s="203"/>
      <c r="F522" s="203"/>
      <c r="G522" s="203"/>
      <c r="H522" s="412"/>
      <c r="I522" s="413"/>
      <c r="J522" s="413"/>
      <c r="K522" s="413"/>
      <c r="L522" s="414"/>
    </row>
    <row r="523">
      <c r="A523" s="207"/>
      <c r="B523" s="207"/>
      <c r="C523" s="207"/>
      <c r="D523" s="207"/>
      <c r="E523" s="207"/>
      <c r="F523" s="207"/>
      <c r="G523" s="207"/>
      <c r="H523" s="415"/>
      <c r="I523" s="416"/>
      <c r="J523" s="416"/>
      <c r="K523" s="416"/>
      <c r="L523" s="417"/>
    </row>
    <row r="524">
      <c r="A524" s="203"/>
      <c r="B524" s="203"/>
      <c r="C524" s="203"/>
      <c r="D524" s="203"/>
      <c r="E524" s="203"/>
      <c r="F524" s="203"/>
      <c r="G524" s="203"/>
      <c r="H524" s="412"/>
      <c r="I524" s="413"/>
      <c r="J524" s="413"/>
      <c r="K524" s="413"/>
      <c r="L524" s="414"/>
    </row>
    <row r="525">
      <c r="A525" s="207"/>
      <c r="B525" s="207"/>
      <c r="C525" s="207"/>
      <c r="D525" s="207"/>
      <c r="E525" s="207"/>
      <c r="F525" s="207"/>
      <c r="G525" s="207"/>
      <c r="H525" s="415"/>
      <c r="I525" s="416"/>
      <c r="J525" s="416"/>
      <c r="K525" s="416"/>
      <c r="L525" s="417"/>
    </row>
    <row r="526">
      <c r="A526" s="203"/>
      <c r="B526" s="203"/>
      <c r="C526" s="203"/>
      <c r="D526" s="203"/>
      <c r="E526" s="203"/>
      <c r="F526" s="203"/>
      <c r="G526" s="203"/>
      <c r="H526" s="412"/>
      <c r="I526" s="413"/>
      <c r="J526" s="413"/>
      <c r="K526" s="413"/>
      <c r="L526" s="414"/>
    </row>
    <row r="527">
      <c r="A527" s="207"/>
      <c r="B527" s="207"/>
      <c r="C527" s="207"/>
      <c r="D527" s="207"/>
      <c r="E527" s="207"/>
      <c r="F527" s="207"/>
      <c r="G527" s="207"/>
      <c r="H527" s="415"/>
      <c r="I527" s="416"/>
      <c r="J527" s="416"/>
      <c r="K527" s="416"/>
      <c r="L527" s="417"/>
    </row>
    <row r="528">
      <c r="A528" s="203"/>
      <c r="B528" s="203"/>
      <c r="C528" s="203"/>
      <c r="D528" s="203"/>
      <c r="E528" s="203"/>
      <c r="F528" s="203"/>
      <c r="G528" s="203"/>
      <c r="H528" s="412"/>
      <c r="I528" s="413"/>
      <c r="J528" s="413"/>
      <c r="K528" s="413"/>
      <c r="L528" s="414"/>
    </row>
    <row r="529">
      <c r="A529" s="207"/>
      <c r="B529" s="207"/>
      <c r="C529" s="207"/>
      <c r="D529" s="207"/>
      <c r="E529" s="207"/>
      <c r="F529" s="207"/>
      <c r="G529" s="207"/>
      <c r="H529" s="415"/>
      <c r="I529" s="416"/>
      <c r="J529" s="416"/>
      <c r="K529" s="416"/>
      <c r="L529" s="417"/>
    </row>
    <row r="530">
      <c r="A530" s="203"/>
      <c r="B530" s="203"/>
      <c r="C530" s="203"/>
      <c r="D530" s="203"/>
      <c r="E530" s="203"/>
      <c r="F530" s="203"/>
      <c r="G530" s="203"/>
      <c r="H530" s="412"/>
      <c r="I530" s="413"/>
      <c r="J530" s="413"/>
      <c r="K530" s="413"/>
      <c r="L530" s="414"/>
    </row>
    <row r="531">
      <c r="A531" s="207"/>
      <c r="B531" s="207"/>
      <c r="C531" s="207"/>
      <c r="D531" s="207"/>
      <c r="E531" s="207"/>
      <c r="F531" s="207"/>
      <c r="G531" s="207"/>
      <c r="H531" s="415"/>
      <c r="I531" s="416"/>
      <c r="J531" s="416"/>
      <c r="K531" s="416"/>
      <c r="L531" s="417"/>
    </row>
    <row r="532">
      <c r="A532" s="203"/>
      <c r="B532" s="203"/>
      <c r="C532" s="203"/>
      <c r="D532" s="203"/>
      <c r="E532" s="203"/>
      <c r="F532" s="203"/>
      <c r="G532" s="203"/>
      <c r="H532" s="412"/>
      <c r="I532" s="413"/>
      <c r="J532" s="413"/>
      <c r="K532" s="413"/>
      <c r="L532" s="414"/>
    </row>
    <row r="533">
      <c r="A533" s="207"/>
      <c r="B533" s="207"/>
      <c r="C533" s="207"/>
      <c r="D533" s="207"/>
      <c r="E533" s="207"/>
      <c r="F533" s="207"/>
      <c r="G533" s="207"/>
      <c r="H533" s="415"/>
      <c r="I533" s="416"/>
      <c r="J533" s="416"/>
      <c r="K533" s="416"/>
      <c r="L533" s="417"/>
    </row>
    <row r="534">
      <c r="A534" s="203"/>
      <c r="B534" s="203"/>
      <c r="C534" s="203"/>
      <c r="D534" s="203"/>
      <c r="E534" s="203"/>
      <c r="F534" s="203"/>
      <c r="G534" s="203"/>
      <c r="H534" s="412"/>
      <c r="I534" s="413"/>
      <c r="J534" s="413"/>
      <c r="K534" s="413"/>
      <c r="L534" s="414"/>
    </row>
    <row r="535">
      <c r="A535" s="207"/>
      <c r="B535" s="207"/>
      <c r="C535" s="207"/>
      <c r="D535" s="207"/>
      <c r="E535" s="207"/>
      <c r="F535" s="207"/>
      <c r="G535" s="207"/>
      <c r="H535" s="415"/>
      <c r="I535" s="416"/>
      <c r="J535" s="416"/>
      <c r="K535" s="416"/>
      <c r="L535" s="417"/>
    </row>
    <row r="536">
      <c r="A536" s="203"/>
      <c r="B536" s="203"/>
      <c r="C536" s="203"/>
      <c r="D536" s="203"/>
      <c r="E536" s="203"/>
      <c r="F536" s="203"/>
      <c r="G536" s="203"/>
      <c r="H536" s="412"/>
      <c r="I536" s="413"/>
      <c r="J536" s="413"/>
      <c r="K536" s="413"/>
      <c r="L536" s="414"/>
    </row>
    <row r="537">
      <c r="A537" s="207"/>
      <c r="B537" s="207"/>
      <c r="C537" s="207"/>
      <c r="D537" s="207"/>
      <c r="E537" s="207"/>
      <c r="F537" s="207"/>
      <c r="G537" s="207"/>
      <c r="H537" s="415"/>
      <c r="I537" s="416"/>
      <c r="J537" s="416"/>
      <c r="K537" s="416"/>
      <c r="L537" s="417"/>
    </row>
    <row r="538">
      <c r="A538" s="203"/>
      <c r="B538" s="203"/>
      <c r="C538" s="203"/>
      <c r="D538" s="203"/>
      <c r="E538" s="203"/>
      <c r="F538" s="203"/>
      <c r="G538" s="203"/>
      <c r="H538" s="412"/>
      <c r="I538" s="413"/>
      <c r="J538" s="413"/>
      <c r="K538" s="413"/>
      <c r="L538" s="414"/>
    </row>
    <row r="539">
      <c r="A539" s="207"/>
      <c r="B539" s="207"/>
      <c r="C539" s="207"/>
      <c r="D539" s="207"/>
      <c r="E539" s="207"/>
      <c r="F539" s="207"/>
      <c r="G539" s="207"/>
      <c r="H539" s="415"/>
      <c r="I539" s="416"/>
      <c r="J539" s="416"/>
      <c r="K539" s="416"/>
      <c r="L539" s="417"/>
    </row>
    <row r="540">
      <c r="A540" s="203"/>
      <c r="B540" s="203"/>
      <c r="C540" s="203"/>
      <c r="D540" s="203"/>
      <c r="E540" s="203"/>
      <c r="F540" s="203"/>
      <c r="G540" s="203"/>
      <c r="H540" s="412"/>
      <c r="I540" s="413"/>
      <c r="J540" s="413"/>
      <c r="K540" s="413"/>
      <c r="L540" s="414"/>
    </row>
    <row r="541">
      <c r="A541" s="207"/>
      <c r="B541" s="207"/>
      <c r="C541" s="207"/>
      <c r="D541" s="207"/>
      <c r="E541" s="207"/>
      <c r="F541" s="207"/>
      <c r="G541" s="207"/>
      <c r="H541" s="415"/>
      <c r="I541" s="416"/>
      <c r="J541" s="416"/>
      <c r="K541" s="416"/>
      <c r="L541" s="417"/>
    </row>
    <row r="542">
      <c r="A542" s="203"/>
      <c r="B542" s="203"/>
      <c r="C542" s="203"/>
      <c r="D542" s="203"/>
      <c r="E542" s="203"/>
      <c r="F542" s="203"/>
      <c r="G542" s="203"/>
      <c r="H542" s="412"/>
      <c r="I542" s="413"/>
      <c r="J542" s="413"/>
      <c r="K542" s="413"/>
      <c r="L542" s="414"/>
    </row>
    <row r="543">
      <c r="A543" s="207"/>
      <c r="B543" s="207"/>
      <c r="C543" s="207"/>
      <c r="D543" s="207"/>
      <c r="E543" s="207"/>
      <c r="F543" s="207"/>
      <c r="G543" s="207"/>
      <c r="H543" s="415"/>
      <c r="I543" s="416"/>
      <c r="J543" s="416"/>
      <c r="K543" s="416"/>
      <c r="L543" s="417"/>
    </row>
    <row r="544">
      <c r="A544" s="203"/>
      <c r="B544" s="203"/>
      <c r="C544" s="203"/>
      <c r="D544" s="203"/>
      <c r="E544" s="203"/>
      <c r="F544" s="203"/>
      <c r="G544" s="203"/>
      <c r="H544" s="412"/>
      <c r="I544" s="413"/>
      <c r="J544" s="413"/>
      <c r="K544" s="413"/>
      <c r="L544" s="414"/>
    </row>
    <row r="545">
      <c r="A545" s="207"/>
      <c r="B545" s="207"/>
      <c r="C545" s="207"/>
      <c r="D545" s="207"/>
      <c r="E545" s="207"/>
      <c r="F545" s="207"/>
      <c r="G545" s="207"/>
      <c r="H545" s="415"/>
      <c r="I545" s="416"/>
      <c r="J545" s="416"/>
      <c r="K545" s="416"/>
      <c r="L545" s="417"/>
    </row>
    <row r="546">
      <c r="A546" s="203"/>
      <c r="B546" s="203"/>
      <c r="C546" s="203"/>
      <c r="D546" s="203"/>
      <c r="E546" s="203"/>
      <c r="F546" s="203"/>
      <c r="G546" s="203"/>
      <c r="H546" s="412"/>
      <c r="I546" s="413"/>
      <c r="J546" s="413"/>
      <c r="K546" s="413"/>
      <c r="L546" s="414"/>
    </row>
    <row r="547">
      <c r="A547" s="207"/>
      <c r="B547" s="207"/>
      <c r="C547" s="207"/>
      <c r="D547" s="207"/>
      <c r="E547" s="207"/>
      <c r="F547" s="207"/>
      <c r="G547" s="207"/>
      <c r="H547" s="415"/>
      <c r="I547" s="416"/>
      <c r="J547" s="416"/>
      <c r="K547" s="416"/>
      <c r="L547" s="417"/>
    </row>
    <row r="548">
      <c r="A548" s="203"/>
      <c r="B548" s="203"/>
      <c r="C548" s="203"/>
      <c r="D548" s="203"/>
      <c r="E548" s="203"/>
      <c r="F548" s="203"/>
      <c r="G548" s="203"/>
      <c r="H548" s="412"/>
      <c r="I548" s="413"/>
      <c r="J548" s="413"/>
      <c r="K548" s="413"/>
      <c r="L548" s="414"/>
    </row>
    <row r="549">
      <c r="A549" s="207"/>
      <c r="B549" s="207"/>
      <c r="C549" s="207"/>
      <c r="D549" s="207"/>
      <c r="E549" s="207"/>
      <c r="F549" s="207"/>
      <c r="G549" s="207"/>
      <c r="H549" s="415"/>
      <c r="I549" s="416"/>
      <c r="J549" s="416"/>
      <c r="K549" s="416"/>
      <c r="L549" s="417"/>
    </row>
    <row r="550">
      <c r="A550" s="203"/>
      <c r="B550" s="203"/>
      <c r="C550" s="203"/>
      <c r="D550" s="203"/>
      <c r="E550" s="203"/>
      <c r="F550" s="203"/>
      <c r="G550" s="203"/>
      <c r="H550" s="412"/>
      <c r="I550" s="413"/>
      <c r="J550" s="413"/>
      <c r="K550" s="413"/>
      <c r="L550" s="414"/>
    </row>
    <row r="551">
      <c r="A551" s="207"/>
      <c r="B551" s="207"/>
      <c r="C551" s="207"/>
      <c r="D551" s="207"/>
      <c r="E551" s="207"/>
      <c r="F551" s="207"/>
      <c r="G551" s="207"/>
      <c r="H551" s="415"/>
      <c r="I551" s="416"/>
      <c r="J551" s="416"/>
      <c r="K551" s="416"/>
      <c r="L551" s="417"/>
    </row>
    <row r="552">
      <c r="A552" s="203"/>
      <c r="B552" s="203"/>
      <c r="C552" s="203"/>
      <c r="D552" s="203"/>
      <c r="E552" s="203"/>
      <c r="F552" s="203"/>
      <c r="G552" s="203"/>
      <c r="H552" s="412"/>
      <c r="I552" s="413"/>
      <c r="J552" s="413"/>
      <c r="K552" s="413"/>
      <c r="L552" s="414"/>
    </row>
    <row r="553">
      <c r="A553" s="207"/>
      <c r="B553" s="207"/>
      <c r="C553" s="207"/>
      <c r="D553" s="207"/>
      <c r="E553" s="207"/>
      <c r="F553" s="207"/>
      <c r="G553" s="207"/>
      <c r="H553" s="415"/>
      <c r="I553" s="416"/>
      <c r="J553" s="416"/>
      <c r="K553" s="416"/>
      <c r="L553" s="417"/>
    </row>
    <row r="554">
      <c r="A554" s="203"/>
      <c r="B554" s="203"/>
      <c r="C554" s="203"/>
      <c r="D554" s="203"/>
      <c r="E554" s="203"/>
      <c r="F554" s="203"/>
      <c r="G554" s="203"/>
      <c r="H554" s="412"/>
      <c r="I554" s="413"/>
      <c r="J554" s="413"/>
      <c r="K554" s="413"/>
      <c r="L554" s="414"/>
    </row>
    <row r="555">
      <c r="A555" s="207"/>
      <c r="B555" s="207"/>
      <c r="C555" s="207"/>
      <c r="D555" s="207"/>
      <c r="E555" s="207"/>
      <c r="F555" s="207"/>
      <c r="G555" s="207"/>
      <c r="H555" s="415"/>
      <c r="I555" s="416"/>
      <c r="J555" s="416"/>
      <c r="K555" s="416"/>
      <c r="L555" s="417"/>
    </row>
    <row r="556">
      <c r="A556" s="203"/>
      <c r="B556" s="203"/>
      <c r="C556" s="203"/>
      <c r="D556" s="203"/>
      <c r="E556" s="203"/>
      <c r="F556" s="203"/>
      <c r="G556" s="203"/>
      <c r="H556" s="412"/>
      <c r="I556" s="413"/>
      <c r="J556" s="413"/>
      <c r="K556" s="413"/>
      <c r="L556" s="414"/>
    </row>
    <row r="557">
      <c r="A557" s="207"/>
      <c r="B557" s="207"/>
      <c r="C557" s="207"/>
      <c r="D557" s="207"/>
      <c r="E557" s="207"/>
      <c r="F557" s="207"/>
      <c r="G557" s="207"/>
      <c r="H557" s="415"/>
      <c r="I557" s="416"/>
      <c r="J557" s="416"/>
      <c r="K557" s="416"/>
      <c r="L557" s="417"/>
    </row>
    <row r="558">
      <c r="A558" s="203"/>
      <c r="B558" s="203"/>
      <c r="C558" s="203"/>
      <c r="D558" s="203"/>
      <c r="E558" s="203"/>
      <c r="F558" s="203"/>
      <c r="G558" s="203"/>
      <c r="H558" s="412"/>
      <c r="I558" s="413"/>
      <c r="J558" s="413"/>
      <c r="K558" s="413"/>
      <c r="L558" s="414"/>
    </row>
    <row r="559">
      <c r="A559" s="207"/>
      <c r="B559" s="207"/>
      <c r="C559" s="207"/>
      <c r="D559" s="207"/>
      <c r="E559" s="207"/>
      <c r="F559" s="207"/>
      <c r="G559" s="207"/>
      <c r="H559" s="415"/>
      <c r="I559" s="416"/>
      <c r="J559" s="416"/>
      <c r="K559" s="416"/>
      <c r="L559" s="417"/>
    </row>
    <row r="560">
      <c r="A560" s="203"/>
      <c r="B560" s="203"/>
      <c r="C560" s="203"/>
      <c r="D560" s="203"/>
      <c r="E560" s="203"/>
      <c r="F560" s="203"/>
      <c r="G560" s="203"/>
      <c r="H560" s="412"/>
      <c r="I560" s="413"/>
      <c r="J560" s="413"/>
      <c r="K560" s="413"/>
      <c r="L560" s="414"/>
    </row>
    <row r="561">
      <c r="A561" s="207"/>
      <c r="B561" s="207"/>
      <c r="C561" s="207"/>
      <c r="D561" s="207"/>
      <c r="E561" s="207"/>
      <c r="F561" s="207"/>
      <c r="G561" s="207"/>
      <c r="H561" s="415"/>
      <c r="I561" s="416"/>
      <c r="J561" s="416"/>
      <c r="K561" s="416"/>
      <c r="L561" s="417"/>
    </row>
    <row r="562">
      <c r="A562" s="203"/>
      <c r="B562" s="203"/>
      <c r="C562" s="203"/>
      <c r="D562" s="203"/>
      <c r="E562" s="203"/>
      <c r="F562" s="203"/>
      <c r="G562" s="203"/>
      <c r="H562" s="412"/>
      <c r="I562" s="413"/>
      <c r="J562" s="413"/>
      <c r="K562" s="413"/>
      <c r="L562" s="414"/>
    </row>
    <row r="563">
      <c r="A563" s="207"/>
      <c r="B563" s="207"/>
      <c r="C563" s="207"/>
      <c r="D563" s="207"/>
      <c r="E563" s="207"/>
      <c r="F563" s="207"/>
      <c r="G563" s="207"/>
      <c r="H563" s="415"/>
      <c r="I563" s="416"/>
      <c r="J563" s="416"/>
      <c r="K563" s="416"/>
      <c r="L563" s="417"/>
    </row>
    <row r="564">
      <c r="A564" s="203"/>
      <c r="B564" s="203"/>
      <c r="C564" s="203"/>
      <c r="D564" s="203"/>
      <c r="E564" s="203"/>
      <c r="F564" s="203"/>
      <c r="G564" s="203"/>
      <c r="H564" s="412"/>
      <c r="I564" s="413"/>
      <c r="J564" s="413"/>
      <c r="K564" s="413"/>
      <c r="L564" s="414"/>
    </row>
    <row r="565">
      <c r="A565" s="207"/>
      <c r="B565" s="207"/>
      <c r="C565" s="207"/>
      <c r="D565" s="207"/>
      <c r="E565" s="207"/>
      <c r="F565" s="207"/>
      <c r="G565" s="207"/>
      <c r="H565" s="415"/>
      <c r="I565" s="416"/>
      <c r="J565" s="416"/>
      <c r="K565" s="416"/>
      <c r="L565" s="417"/>
    </row>
    <row r="566">
      <c r="A566" s="203"/>
      <c r="B566" s="203"/>
      <c r="C566" s="203"/>
      <c r="D566" s="203"/>
      <c r="E566" s="203"/>
      <c r="F566" s="203"/>
      <c r="G566" s="203"/>
      <c r="H566" s="412"/>
      <c r="I566" s="413"/>
      <c r="J566" s="413"/>
      <c r="K566" s="413"/>
      <c r="L566" s="414"/>
    </row>
    <row r="567">
      <c r="A567" s="207"/>
      <c r="B567" s="207"/>
      <c r="C567" s="207"/>
      <c r="D567" s="207"/>
      <c r="E567" s="207"/>
      <c r="F567" s="207"/>
      <c r="G567" s="207"/>
      <c r="H567" s="415"/>
      <c r="I567" s="416"/>
      <c r="J567" s="416"/>
      <c r="K567" s="416"/>
      <c r="L567" s="417"/>
    </row>
    <row r="568">
      <c r="A568" s="203"/>
      <c r="B568" s="203"/>
      <c r="C568" s="203"/>
      <c r="D568" s="203"/>
      <c r="E568" s="203"/>
      <c r="F568" s="203"/>
      <c r="G568" s="203"/>
      <c r="H568" s="412"/>
      <c r="I568" s="413"/>
      <c r="J568" s="413"/>
      <c r="K568" s="413"/>
      <c r="L568" s="414"/>
    </row>
    <row r="569">
      <c r="A569" s="207"/>
      <c r="B569" s="207"/>
      <c r="C569" s="207"/>
      <c r="D569" s="207"/>
      <c r="E569" s="207"/>
      <c r="F569" s="207"/>
      <c r="G569" s="207"/>
      <c r="H569" s="415"/>
      <c r="I569" s="416"/>
      <c r="J569" s="416"/>
      <c r="K569" s="416"/>
      <c r="L569" s="417"/>
    </row>
    <row r="570">
      <c r="A570" s="203"/>
      <c r="B570" s="203"/>
      <c r="C570" s="203"/>
      <c r="D570" s="203"/>
      <c r="E570" s="203"/>
      <c r="F570" s="203"/>
      <c r="G570" s="203"/>
      <c r="H570" s="412"/>
      <c r="I570" s="413"/>
      <c r="J570" s="413"/>
      <c r="K570" s="413"/>
      <c r="L570" s="414"/>
    </row>
    <row r="571">
      <c r="A571" s="207"/>
      <c r="B571" s="207"/>
      <c r="C571" s="207"/>
      <c r="D571" s="207"/>
      <c r="E571" s="207"/>
      <c r="F571" s="207"/>
      <c r="G571" s="207"/>
      <c r="H571" s="415"/>
      <c r="I571" s="416"/>
      <c r="J571" s="416"/>
      <c r="K571" s="416"/>
      <c r="L571" s="417"/>
    </row>
    <row r="572">
      <c r="A572" s="203"/>
      <c r="B572" s="203"/>
      <c r="C572" s="203"/>
      <c r="D572" s="203"/>
      <c r="E572" s="203"/>
      <c r="F572" s="203"/>
      <c r="G572" s="203"/>
      <c r="H572" s="412"/>
      <c r="I572" s="413"/>
      <c r="J572" s="413"/>
      <c r="K572" s="413"/>
      <c r="L572" s="414"/>
    </row>
    <row r="573">
      <c r="A573" s="207"/>
      <c r="B573" s="207"/>
      <c r="C573" s="207"/>
      <c r="D573" s="207"/>
      <c r="E573" s="207"/>
      <c r="F573" s="207"/>
      <c r="G573" s="207"/>
      <c r="H573" s="415"/>
      <c r="I573" s="416"/>
      <c r="J573" s="416"/>
      <c r="K573" s="416"/>
      <c r="L573" s="417"/>
    </row>
    <row r="574">
      <c r="A574" s="203"/>
      <c r="B574" s="203"/>
      <c r="C574" s="203"/>
      <c r="D574" s="203"/>
      <c r="E574" s="203"/>
      <c r="F574" s="203"/>
      <c r="G574" s="203"/>
      <c r="H574" s="412"/>
      <c r="I574" s="413"/>
      <c r="J574" s="413"/>
      <c r="K574" s="413"/>
      <c r="L574" s="414"/>
    </row>
    <row r="575">
      <c r="A575" s="207"/>
      <c r="B575" s="207"/>
      <c r="C575" s="207"/>
      <c r="D575" s="207"/>
      <c r="E575" s="207"/>
      <c r="F575" s="207"/>
      <c r="G575" s="207"/>
      <c r="H575" s="415"/>
      <c r="I575" s="416"/>
      <c r="J575" s="416"/>
      <c r="K575" s="416"/>
      <c r="L575" s="417"/>
    </row>
    <row r="576">
      <c r="A576" s="203"/>
      <c r="B576" s="203"/>
      <c r="C576" s="203"/>
      <c r="D576" s="203"/>
      <c r="E576" s="203"/>
      <c r="F576" s="203"/>
      <c r="G576" s="203"/>
      <c r="H576" s="412"/>
      <c r="I576" s="413"/>
      <c r="J576" s="413"/>
      <c r="K576" s="413"/>
      <c r="L576" s="414"/>
    </row>
    <row r="577">
      <c r="A577" s="207"/>
      <c r="B577" s="207"/>
      <c r="C577" s="207"/>
      <c r="D577" s="207"/>
      <c r="E577" s="207"/>
      <c r="F577" s="207"/>
      <c r="G577" s="207"/>
      <c r="H577" s="415"/>
      <c r="I577" s="416"/>
      <c r="J577" s="416"/>
      <c r="K577" s="416"/>
      <c r="L577" s="417"/>
    </row>
    <row r="578">
      <c r="A578" s="203"/>
      <c r="B578" s="203"/>
      <c r="C578" s="203"/>
      <c r="D578" s="203"/>
      <c r="E578" s="203"/>
      <c r="F578" s="203"/>
      <c r="G578" s="203"/>
      <c r="H578" s="412"/>
      <c r="I578" s="413"/>
      <c r="J578" s="413"/>
      <c r="K578" s="413"/>
      <c r="L578" s="414"/>
    </row>
    <row r="579">
      <c r="A579" s="207"/>
      <c r="B579" s="207"/>
      <c r="C579" s="207"/>
      <c r="D579" s="207"/>
      <c r="E579" s="207"/>
      <c r="F579" s="207"/>
      <c r="G579" s="207"/>
      <c r="H579" s="415"/>
      <c r="I579" s="416"/>
      <c r="J579" s="416"/>
      <c r="K579" s="416"/>
      <c r="L579" s="417"/>
    </row>
    <row r="580">
      <c r="A580" s="203"/>
      <c r="B580" s="203"/>
      <c r="C580" s="203"/>
      <c r="D580" s="203"/>
      <c r="E580" s="203"/>
      <c r="F580" s="203"/>
      <c r="G580" s="203"/>
      <c r="H580" s="412"/>
      <c r="I580" s="413"/>
      <c r="J580" s="413"/>
      <c r="K580" s="413"/>
      <c r="L580" s="414"/>
    </row>
    <row r="581">
      <c r="A581" s="207"/>
      <c r="B581" s="207"/>
      <c r="C581" s="207"/>
      <c r="D581" s="207"/>
      <c r="E581" s="207"/>
      <c r="F581" s="207"/>
      <c r="G581" s="207"/>
      <c r="H581" s="415"/>
      <c r="I581" s="416"/>
      <c r="J581" s="416"/>
      <c r="K581" s="416"/>
      <c r="L581" s="417"/>
    </row>
    <row r="582">
      <c r="A582" s="203"/>
      <c r="B582" s="203"/>
      <c r="C582" s="203"/>
      <c r="D582" s="203"/>
      <c r="E582" s="203"/>
      <c r="F582" s="203"/>
      <c r="G582" s="203"/>
      <c r="H582" s="412"/>
      <c r="I582" s="413"/>
      <c r="J582" s="413"/>
      <c r="K582" s="413"/>
      <c r="L582" s="414"/>
    </row>
    <row r="583">
      <c r="A583" s="207"/>
      <c r="B583" s="207"/>
      <c r="C583" s="207"/>
      <c r="D583" s="207"/>
      <c r="E583" s="207"/>
      <c r="F583" s="207"/>
      <c r="G583" s="207"/>
      <c r="H583" s="415"/>
      <c r="I583" s="416"/>
      <c r="J583" s="416"/>
      <c r="K583" s="416"/>
      <c r="L583" s="417"/>
    </row>
    <row r="584">
      <c r="A584" s="203"/>
      <c r="B584" s="203"/>
      <c r="C584" s="203"/>
      <c r="D584" s="203"/>
      <c r="E584" s="203"/>
      <c r="F584" s="203"/>
      <c r="G584" s="203"/>
      <c r="H584" s="412"/>
      <c r="I584" s="413"/>
      <c r="J584" s="413"/>
      <c r="K584" s="413"/>
      <c r="L584" s="414"/>
    </row>
    <row r="585">
      <c r="A585" s="207"/>
      <c r="B585" s="207"/>
      <c r="C585" s="207"/>
      <c r="D585" s="207"/>
      <c r="E585" s="207"/>
      <c r="F585" s="207"/>
      <c r="G585" s="207"/>
      <c r="H585" s="415"/>
      <c r="I585" s="416"/>
      <c r="J585" s="416"/>
      <c r="K585" s="416"/>
      <c r="L585" s="417"/>
    </row>
    <row r="586">
      <c r="A586" s="203"/>
      <c r="B586" s="203"/>
      <c r="C586" s="203"/>
      <c r="D586" s="203"/>
      <c r="E586" s="203"/>
      <c r="F586" s="203"/>
      <c r="G586" s="203"/>
      <c r="H586" s="412"/>
      <c r="I586" s="413"/>
      <c r="J586" s="413"/>
      <c r="K586" s="413"/>
      <c r="L586" s="414"/>
    </row>
    <row r="587">
      <c r="A587" s="207"/>
      <c r="B587" s="207"/>
      <c r="C587" s="207"/>
      <c r="D587" s="207"/>
      <c r="E587" s="207"/>
      <c r="F587" s="207"/>
      <c r="G587" s="207"/>
      <c r="H587" s="415"/>
      <c r="I587" s="416"/>
      <c r="J587" s="416"/>
      <c r="K587" s="416"/>
      <c r="L587" s="417"/>
    </row>
    <row r="588">
      <c r="A588" s="203"/>
      <c r="B588" s="203"/>
      <c r="C588" s="203"/>
      <c r="D588" s="203"/>
      <c r="E588" s="203"/>
      <c r="F588" s="203"/>
      <c r="G588" s="203"/>
      <c r="H588" s="412"/>
      <c r="I588" s="413"/>
      <c r="J588" s="413"/>
      <c r="K588" s="413"/>
      <c r="L588" s="414"/>
    </row>
    <row r="589">
      <c r="A589" s="207"/>
      <c r="B589" s="207"/>
      <c r="C589" s="207"/>
      <c r="D589" s="207"/>
      <c r="E589" s="207"/>
      <c r="F589" s="207"/>
      <c r="G589" s="207"/>
      <c r="H589" s="415"/>
      <c r="I589" s="416"/>
      <c r="J589" s="416"/>
      <c r="K589" s="416"/>
      <c r="L589" s="417"/>
    </row>
    <row r="590">
      <c r="A590" s="203"/>
      <c r="B590" s="203"/>
      <c r="C590" s="203"/>
      <c r="D590" s="203"/>
      <c r="E590" s="203"/>
      <c r="F590" s="203"/>
      <c r="G590" s="203"/>
      <c r="H590" s="412"/>
      <c r="I590" s="413"/>
      <c r="J590" s="413"/>
      <c r="K590" s="413"/>
      <c r="L590" s="414"/>
    </row>
    <row r="591">
      <c r="A591" s="207"/>
      <c r="B591" s="207"/>
      <c r="C591" s="207"/>
      <c r="D591" s="207"/>
      <c r="E591" s="207"/>
      <c r="F591" s="207"/>
      <c r="G591" s="207"/>
      <c r="H591" s="415"/>
      <c r="I591" s="416"/>
      <c r="J591" s="416"/>
      <c r="K591" s="416"/>
      <c r="L591" s="417"/>
    </row>
    <row r="592">
      <c r="A592" s="203"/>
      <c r="B592" s="203"/>
      <c r="C592" s="203"/>
      <c r="D592" s="203"/>
      <c r="E592" s="203"/>
      <c r="F592" s="203"/>
      <c r="G592" s="203"/>
      <c r="H592" s="412"/>
      <c r="I592" s="413"/>
      <c r="J592" s="413"/>
      <c r="K592" s="413"/>
      <c r="L592" s="414"/>
    </row>
    <row r="593">
      <c r="A593" s="207"/>
      <c r="B593" s="207"/>
      <c r="C593" s="207"/>
      <c r="D593" s="207"/>
      <c r="E593" s="207"/>
      <c r="F593" s="207"/>
      <c r="G593" s="207"/>
      <c r="H593" s="415"/>
      <c r="I593" s="416"/>
      <c r="J593" s="416"/>
      <c r="K593" s="416"/>
      <c r="L593" s="417"/>
    </row>
    <row r="594">
      <c r="A594" s="203"/>
      <c r="B594" s="203"/>
      <c r="C594" s="203"/>
      <c r="D594" s="203"/>
      <c r="E594" s="203"/>
      <c r="F594" s="203"/>
      <c r="G594" s="203"/>
      <c r="H594" s="412"/>
      <c r="I594" s="413"/>
      <c r="J594" s="413"/>
      <c r="K594" s="413"/>
      <c r="L594" s="414"/>
    </row>
    <row r="595">
      <c r="A595" s="207"/>
      <c r="B595" s="207"/>
      <c r="C595" s="207"/>
      <c r="D595" s="207"/>
      <c r="E595" s="207"/>
      <c r="F595" s="207"/>
      <c r="G595" s="207"/>
      <c r="H595" s="415"/>
      <c r="I595" s="416"/>
      <c r="J595" s="416"/>
      <c r="K595" s="416"/>
      <c r="L595" s="417"/>
    </row>
    <row r="596">
      <c r="A596" s="203"/>
      <c r="B596" s="203"/>
      <c r="C596" s="203"/>
      <c r="D596" s="203"/>
      <c r="E596" s="203"/>
      <c r="F596" s="203"/>
      <c r="G596" s="203"/>
      <c r="H596" s="412"/>
      <c r="I596" s="413"/>
      <c r="J596" s="413"/>
      <c r="K596" s="413"/>
      <c r="L596" s="414"/>
    </row>
    <row r="597">
      <c r="A597" s="207"/>
      <c r="B597" s="207"/>
      <c r="C597" s="207"/>
      <c r="D597" s="207"/>
      <c r="E597" s="207"/>
      <c r="F597" s="207"/>
      <c r="G597" s="207"/>
      <c r="H597" s="415"/>
      <c r="I597" s="416"/>
      <c r="J597" s="416"/>
      <c r="K597" s="416"/>
      <c r="L597" s="417"/>
    </row>
    <row r="598">
      <c r="A598" s="203"/>
      <c r="B598" s="203"/>
      <c r="C598" s="203"/>
      <c r="D598" s="203"/>
      <c r="E598" s="203"/>
      <c r="F598" s="203"/>
      <c r="G598" s="203"/>
      <c r="H598" s="412"/>
      <c r="I598" s="413"/>
      <c r="J598" s="413"/>
      <c r="K598" s="413"/>
      <c r="L598" s="414"/>
    </row>
    <row r="599">
      <c r="A599" s="207"/>
      <c r="B599" s="207"/>
      <c r="C599" s="207"/>
      <c r="D599" s="207"/>
      <c r="E599" s="207"/>
      <c r="F599" s="207"/>
      <c r="G599" s="207"/>
      <c r="H599" s="415"/>
      <c r="I599" s="416"/>
      <c r="J599" s="416"/>
      <c r="K599" s="416"/>
      <c r="L599" s="417"/>
    </row>
    <row r="600">
      <c r="A600" s="203"/>
      <c r="B600" s="203"/>
      <c r="C600" s="203"/>
      <c r="D600" s="203"/>
      <c r="E600" s="203"/>
      <c r="F600" s="203"/>
      <c r="G600" s="203"/>
      <c r="H600" s="412"/>
      <c r="I600" s="413"/>
      <c r="J600" s="413"/>
      <c r="K600" s="413"/>
      <c r="L600" s="414"/>
    </row>
    <row r="601">
      <c r="A601" s="207"/>
      <c r="B601" s="207"/>
      <c r="C601" s="207"/>
      <c r="D601" s="207"/>
      <c r="E601" s="207"/>
      <c r="F601" s="207"/>
      <c r="G601" s="207"/>
      <c r="H601" s="415"/>
      <c r="I601" s="416"/>
      <c r="J601" s="416"/>
      <c r="K601" s="416"/>
      <c r="L601" s="417"/>
    </row>
    <row r="602">
      <c r="A602" s="203"/>
      <c r="B602" s="203"/>
      <c r="C602" s="203"/>
      <c r="D602" s="203"/>
      <c r="E602" s="203"/>
      <c r="F602" s="203"/>
      <c r="G602" s="203"/>
      <c r="H602" s="412"/>
      <c r="I602" s="413"/>
      <c r="J602" s="413"/>
      <c r="K602" s="413"/>
      <c r="L602" s="414"/>
    </row>
    <row r="603">
      <c r="A603" s="207"/>
      <c r="B603" s="207"/>
      <c r="C603" s="207"/>
      <c r="D603" s="207"/>
      <c r="E603" s="207"/>
      <c r="F603" s="207"/>
      <c r="G603" s="207"/>
      <c r="H603" s="415"/>
      <c r="I603" s="416"/>
      <c r="J603" s="416"/>
      <c r="K603" s="416"/>
      <c r="L603" s="417"/>
    </row>
    <row r="604">
      <c r="A604" s="203"/>
      <c r="B604" s="203"/>
      <c r="C604" s="203"/>
      <c r="D604" s="203"/>
      <c r="E604" s="203"/>
      <c r="F604" s="203"/>
      <c r="G604" s="203"/>
      <c r="H604" s="412"/>
      <c r="I604" s="413"/>
      <c r="J604" s="413"/>
      <c r="K604" s="413"/>
      <c r="L604" s="414"/>
    </row>
    <row r="605">
      <c r="A605" s="207"/>
      <c r="B605" s="207"/>
      <c r="C605" s="207"/>
      <c r="D605" s="207"/>
      <c r="E605" s="207"/>
      <c r="F605" s="207"/>
      <c r="G605" s="207"/>
      <c r="H605" s="415"/>
      <c r="I605" s="416"/>
      <c r="J605" s="416"/>
      <c r="K605" s="416"/>
      <c r="L605" s="417"/>
    </row>
    <row r="606">
      <c r="A606" s="203"/>
      <c r="B606" s="203"/>
      <c r="C606" s="203"/>
      <c r="D606" s="203"/>
      <c r="E606" s="203"/>
      <c r="F606" s="203"/>
      <c r="G606" s="203"/>
      <c r="H606" s="412"/>
      <c r="I606" s="413"/>
      <c r="J606" s="413"/>
      <c r="K606" s="413"/>
      <c r="L606" s="414"/>
    </row>
    <row r="607">
      <c r="A607" s="207"/>
      <c r="B607" s="207"/>
      <c r="C607" s="207"/>
      <c r="D607" s="207"/>
      <c r="E607" s="207"/>
      <c r="F607" s="207"/>
      <c r="G607" s="207"/>
      <c r="H607" s="415"/>
      <c r="I607" s="416"/>
      <c r="J607" s="416"/>
      <c r="K607" s="416"/>
      <c r="L607" s="417"/>
    </row>
    <row r="608">
      <c r="A608" s="203"/>
      <c r="B608" s="203"/>
      <c r="C608" s="203"/>
      <c r="D608" s="203"/>
      <c r="E608" s="203"/>
      <c r="F608" s="203"/>
      <c r="G608" s="203"/>
      <c r="H608" s="412"/>
      <c r="I608" s="413"/>
      <c r="J608" s="413"/>
      <c r="K608" s="413"/>
      <c r="L608" s="414"/>
    </row>
    <row r="609">
      <c r="A609" s="207"/>
      <c r="B609" s="207"/>
      <c r="C609" s="207"/>
      <c r="D609" s="207"/>
      <c r="E609" s="207"/>
      <c r="F609" s="207"/>
      <c r="G609" s="207"/>
      <c r="H609" s="415"/>
      <c r="I609" s="416"/>
      <c r="J609" s="416"/>
      <c r="K609" s="416"/>
      <c r="L609" s="417"/>
    </row>
    <row r="610">
      <c r="A610" s="203"/>
      <c r="B610" s="203"/>
      <c r="C610" s="203"/>
      <c r="D610" s="203"/>
      <c r="E610" s="203"/>
      <c r="F610" s="203"/>
      <c r="G610" s="203"/>
      <c r="H610" s="412"/>
      <c r="I610" s="413"/>
      <c r="J610" s="413"/>
      <c r="K610" s="413"/>
      <c r="L610" s="414"/>
    </row>
    <row r="611">
      <c r="A611" s="207"/>
      <c r="B611" s="207"/>
      <c r="C611" s="207"/>
      <c r="D611" s="207"/>
      <c r="E611" s="207"/>
      <c r="F611" s="207"/>
      <c r="G611" s="207"/>
      <c r="H611" s="415"/>
      <c r="I611" s="416"/>
      <c r="J611" s="416"/>
      <c r="K611" s="416"/>
      <c r="L611" s="417"/>
    </row>
    <row r="612">
      <c r="A612" s="203"/>
      <c r="B612" s="203"/>
      <c r="C612" s="203"/>
      <c r="D612" s="203"/>
      <c r="E612" s="203"/>
      <c r="F612" s="203"/>
      <c r="G612" s="203"/>
      <c r="H612" s="412"/>
      <c r="I612" s="413"/>
      <c r="J612" s="413"/>
      <c r="K612" s="413"/>
      <c r="L612" s="414"/>
    </row>
    <row r="613">
      <c r="A613" s="207"/>
      <c r="B613" s="207"/>
      <c r="C613" s="207"/>
      <c r="D613" s="207"/>
      <c r="E613" s="207"/>
      <c r="F613" s="207"/>
      <c r="G613" s="207"/>
      <c r="H613" s="415"/>
      <c r="I613" s="416"/>
      <c r="J613" s="416"/>
      <c r="K613" s="416"/>
      <c r="L613" s="417"/>
    </row>
    <row r="614">
      <c r="A614" s="203"/>
      <c r="B614" s="203"/>
      <c r="C614" s="203"/>
      <c r="D614" s="203"/>
      <c r="E614" s="203"/>
      <c r="F614" s="203"/>
      <c r="G614" s="203"/>
      <c r="H614" s="412"/>
      <c r="I614" s="413"/>
      <c r="J614" s="413"/>
      <c r="K614" s="413"/>
      <c r="L614" s="414"/>
    </row>
    <row r="615">
      <c r="A615" s="207"/>
      <c r="B615" s="207"/>
      <c r="C615" s="207"/>
      <c r="D615" s="207"/>
      <c r="E615" s="207"/>
      <c r="F615" s="207"/>
      <c r="G615" s="207"/>
      <c r="H615" s="415"/>
      <c r="I615" s="416"/>
      <c r="J615" s="416"/>
      <c r="K615" s="416"/>
      <c r="L615" s="417"/>
    </row>
    <row r="616">
      <c r="A616" s="203"/>
      <c r="B616" s="203"/>
      <c r="C616" s="203"/>
      <c r="D616" s="203"/>
      <c r="E616" s="203"/>
      <c r="F616" s="203"/>
      <c r="G616" s="203"/>
      <c r="H616" s="412"/>
      <c r="I616" s="413"/>
      <c r="J616" s="413"/>
      <c r="K616" s="413"/>
      <c r="L616" s="414"/>
    </row>
    <row r="617">
      <c r="A617" s="207"/>
      <c r="B617" s="207"/>
      <c r="C617" s="207"/>
      <c r="D617" s="207"/>
      <c r="E617" s="207"/>
      <c r="F617" s="207"/>
      <c r="G617" s="207"/>
      <c r="H617" s="415"/>
      <c r="I617" s="416"/>
      <c r="J617" s="416"/>
      <c r="K617" s="416"/>
      <c r="L617" s="417"/>
    </row>
    <row r="618">
      <c r="A618" s="203"/>
      <c r="B618" s="203"/>
      <c r="C618" s="203"/>
      <c r="D618" s="203"/>
      <c r="E618" s="203"/>
      <c r="F618" s="203"/>
      <c r="G618" s="203"/>
      <c r="H618" s="412"/>
      <c r="I618" s="413"/>
      <c r="J618" s="413"/>
      <c r="K618" s="413"/>
      <c r="L618" s="414"/>
    </row>
    <row r="619">
      <c r="A619" s="207"/>
      <c r="B619" s="207"/>
      <c r="C619" s="207"/>
      <c r="D619" s="207"/>
      <c r="E619" s="207"/>
      <c r="F619" s="207"/>
      <c r="G619" s="207"/>
      <c r="H619" s="415"/>
      <c r="I619" s="416"/>
      <c r="J619" s="416"/>
      <c r="K619" s="416"/>
      <c r="L619" s="417"/>
    </row>
    <row r="620">
      <c r="A620" s="203"/>
      <c r="B620" s="203"/>
      <c r="C620" s="203"/>
      <c r="D620" s="203"/>
      <c r="E620" s="203"/>
      <c r="F620" s="203"/>
      <c r="G620" s="203"/>
      <c r="H620" s="412"/>
      <c r="I620" s="413"/>
      <c r="J620" s="413"/>
      <c r="K620" s="413"/>
      <c r="L620" s="414"/>
    </row>
    <row r="621">
      <c r="A621" s="207"/>
      <c r="B621" s="207"/>
      <c r="C621" s="207"/>
      <c r="D621" s="207"/>
      <c r="E621" s="207"/>
      <c r="F621" s="207"/>
      <c r="G621" s="207"/>
      <c r="H621" s="415"/>
      <c r="I621" s="416"/>
      <c r="J621" s="416"/>
      <c r="K621" s="416"/>
      <c r="L621" s="417"/>
    </row>
    <row r="622">
      <c r="A622" s="203"/>
      <c r="B622" s="203"/>
      <c r="C622" s="203"/>
      <c r="D622" s="203"/>
      <c r="E622" s="203"/>
      <c r="F622" s="203"/>
      <c r="G622" s="203"/>
      <c r="H622" s="412"/>
      <c r="I622" s="413"/>
      <c r="J622" s="413"/>
      <c r="K622" s="413"/>
      <c r="L622" s="414"/>
    </row>
    <row r="623">
      <c r="A623" s="207"/>
      <c r="B623" s="207"/>
      <c r="C623" s="207"/>
      <c r="D623" s="207"/>
      <c r="E623" s="207"/>
      <c r="F623" s="207"/>
      <c r="G623" s="207"/>
      <c r="H623" s="415"/>
      <c r="I623" s="416"/>
      <c r="J623" s="416"/>
      <c r="K623" s="416"/>
      <c r="L623" s="417"/>
    </row>
    <row r="624">
      <c r="A624" s="203"/>
      <c r="B624" s="203"/>
      <c r="C624" s="203"/>
      <c r="D624" s="203"/>
      <c r="E624" s="203"/>
      <c r="F624" s="203"/>
      <c r="G624" s="203"/>
      <c r="H624" s="412"/>
      <c r="I624" s="413"/>
      <c r="J624" s="413"/>
      <c r="K624" s="413"/>
      <c r="L624" s="414"/>
    </row>
    <row r="625">
      <c r="A625" s="207"/>
      <c r="B625" s="207"/>
      <c r="C625" s="207"/>
      <c r="D625" s="207"/>
      <c r="E625" s="207"/>
      <c r="F625" s="207"/>
      <c r="G625" s="207"/>
      <c r="H625" s="415"/>
      <c r="I625" s="416"/>
      <c r="J625" s="416"/>
      <c r="K625" s="416"/>
      <c r="L625" s="417"/>
    </row>
    <row r="626">
      <c r="A626" s="203"/>
      <c r="B626" s="203"/>
      <c r="C626" s="203"/>
      <c r="D626" s="203"/>
      <c r="E626" s="203"/>
      <c r="F626" s="203"/>
      <c r="G626" s="203"/>
      <c r="H626" s="412"/>
      <c r="I626" s="413"/>
      <c r="J626" s="413"/>
      <c r="K626" s="413"/>
      <c r="L626" s="414"/>
    </row>
    <row r="627">
      <c r="A627" s="207"/>
      <c r="B627" s="207"/>
      <c r="C627" s="207"/>
      <c r="D627" s="207"/>
      <c r="E627" s="207"/>
      <c r="F627" s="207"/>
      <c r="G627" s="207"/>
      <c r="H627" s="415"/>
      <c r="I627" s="416"/>
      <c r="J627" s="416"/>
      <c r="K627" s="416"/>
      <c r="L627" s="417"/>
    </row>
    <row r="628">
      <c r="A628" s="203"/>
      <c r="B628" s="203"/>
      <c r="C628" s="203"/>
      <c r="D628" s="203"/>
      <c r="E628" s="203"/>
      <c r="F628" s="203"/>
      <c r="G628" s="203"/>
      <c r="H628" s="412"/>
      <c r="I628" s="413"/>
      <c r="J628" s="413"/>
      <c r="K628" s="413"/>
      <c r="L628" s="414"/>
    </row>
    <row r="629">
      <c r="A629" s="207"/>
      <c r="B629" s="207"/>
      <c r="C629" s="207"/>
      <c r="D629" s="207"/>
      <c r="E629" s="207"/>
      <c r="F629" s="207"/>
      <c r="G629" s="207"/>
      <c r="H629" s="415"/>
      <c r="I629" s="416"/>
      <c r="J629" s="416"/>
      <c r="K629" s="416"/>
      <c r="L629" s="417"/>
    </row>
    <row r="630">
      <c r="A630" s="203"/>
      <c r="B630" s="203"/>
      <c r="C630" s="203"/>
      <c r="D630" s="203"/>
      <c r="E630" s="203"/>
      <c r="F630" s="203"/>
      <c r="G630" s="203"/>
      <c r="H630" s="412"/>
      <c r="I630" s="413"/>
      <c r="J630" s="413"/>
      <c r="K630" s="413"/>
      <c r="L630" s="414"/>
    </row>
    <row r="631">
      <c r="A631" s="207"/>
      <c r="B631" s="207"/>
      <c r="C631" s="207"/>
      <c r="D631" s="207"/>
      <c r="E631" s="207"/>
      <c r="F631" s="207"/>
      <c r="G631" s="207"/>
      <c r="H631" s="415"/>
      <c r="I631" s="416"/>
      <c r="J631" s="416"/>
      <c r="K631" s="416"/>
      <c r="L631" s="417"/>
    </row>
    <row r="632">
      <c r="A632" s="203"/>
      <c r="B632" s="203"/>
      <c r="C632" s="203"/>
      <c r="D632" s="203"/>
      <c r="E632" s="203"/>
      <c r="F632" s="203"/>
      <c r="G632" s="203"/>
      <c r="H632" s="412"/>
      <c r="I632" s="413"/>
      <c r="J632" s="413"/>
      <c r="K632" s="413"/>
      <c r="L632" s="414"/>
    </row>
    <row r="633">
      <c r="A633" s="207"/>
      <c r="B633" s="207"/>
      <c r="C633" s="207"/>
      <c r="D633" s="207"/>
      <c r="E633" s="207"/>
      <c r="F633" s="207"/>
      <c r="G633" s="207"/>
      <c r="H633" s="415"/>
      <c r="I633" s="416"/>
      <c r="J633" s="416"/>
      <c r="K633" s="416"/>
      <c r="L633" s="417"/>
    </row>
    <row r="634">
      <c r="A634" s="203"/>
      <c r="B634" s="203"/>
      <c r="C634" s="203"/>
      <c r="D634" s="203"/>
      <c r="E634" s="203"/>
      <c r="F634" s="203"/>
      <c r="G634" s="203"/>
      <c r="H634" s="412"/>
      <c r="I634" s="413"/>
      <c r="J634" s="413"/>
      <c r="K634" s="413"/>
      <c r="L634" s="414"/>
    </row>
    <row r="635">
      <c r="A635" s="207"/>
      <c r="B635" s="207"/>
      <c r="C635" s="207"/>
      <c r="D635" s="207"/>
      <c r="E635" s="207"/>
      <c r="F635" s="207"/>
      <c r="G635" s="207"/>
      <c r="H635" s="415"/>
      <c r="I635" s="416"/>
      <c r="J635" s="416"/>
      <c r="K635" s="416"/>
      <c r="L635" s="417"/>
    </row>
    <row r="636">
      <c r="A636" s="203"/>
      <c r="B636" s="203"/>
      <c r="C636" s="203"/>
      <c r="D636" s="203"/>
      <c r="E636" s="203"/>
      <c r="F636" s="203"/>
      <c r="G636" s="203"/>
      <c r="H636" s="412"/>
      <c r="I636" s="413"/>
      <c r="J636" s="413"/>
      <c r="K636" s="413"/>
      <c r="L636" s="414"/>
    </row>
    <row r="637">
      <c r="A637" s="207"/>
      <c r="B637" s="207"/>
      <c r="C637" s="207"/>
      <c r="D637" s="207"/>
      <c r="E637" s="207"/>
      <c r="F637" s="207"/>
      <c r="G637" s="207"/>
      <c r="H637" s="415"/>
      <c r="I637" s="416"/>
      <c r="J637" s="416"/>
      <c r="K637" s="416"/>
      <c r="L637" s="417"/>
    </row>
    <row r="638">
      <c r="A638" s="203"/>
      <c r="B638" s="203"/>
      <c r="C638" s="203"/>
      <c r="D638" s="203"/>
      <c r="E638" s="203"/>
      <c r="F638" s="203"/>
      <c r="G638" s="203"/>
      <c r="H638" s="412"/>
      <c r="I638" s="413"/>
      <c r="J638" s="413"/>
      <c r="K638" s="413"/>
      <c r="L638" s="414"/>
    </row>
    <row r="639">
      <c r="A639" s="207"/>
      <c r="B639" s="207"/>
      <c r="C639" s="207"/>
      <c r="D639" s="207"/>
      <c r="E639" s="207"/>
      <c r="F639" s="207"/>
      <c r="G639" s="207"/>
      <c r="H639" s="415"/>
      <c r="I639" s="416"/>
      <c r="J639" s="416"/>
      <c r="K639" s="416"/>
      <c r="L639" s="417"/>
    </row>
    <row r="640">
      <c r="A640" s="203"/>
      <c r="B640" s="203"/>
      <c r="C640" s="203"/>
      <c r="D640" s="203"/>
      <c r="E640" s="203"/>
      <c r="F640" s="203"/>
      <c r="G640" s="203"/>
      <c r="H640" s="412"/>
      <c r="I640" s="413"/>
      <c r="J640" s="413"/>
      <c r="K640" s="413"/>
      <c r="L640" s="414"/>
    </row>
    <row r="641">
      <c r="A641" s="207"/>
      <c r="B641" s="207"/>
      <c r="C641" s="207"/>
      <c r="D641" s="207"/>
      <c r="E641" s="207"/>
      <c r="F641" s="207"/>
      <c r="G641" s="207"/>
      <c r="H641" s="415"/>
      <c r="I641" s="416"/>
      <c r="J641" s="416"/>
      <c r="K641" s="416"/>
      <c r="L641" s="417"/>
    </row>
    <row r="642">
      <c r="A642" s="203"/>
      <c r="B642" s="203"/>
      <c r="C642" s="203"/>
      <c r="D642" s="203"/>
      <c r="E642" s="203"/>
      <c r="F642" s="203"/>
      <c r="G642" s="203"/>
      <c r="H642" s="412"/>
      <c r="I642" s="413"/>
      <c r="J642" s="413"/>
      <c r="K642" s="413"/>
      <c r="L642" s="414"/>
    </row>
    <row r="643">
      <c r="A643" s="207"/>
      <c r="B643" s="207"/>
      <c r="C643" s="207"/>
      <c r="D643" s="207"/>
      <c r="E643" s="207"/>
      <c r="F643" s="207"/>
      <c r="G643" s="207"/>
      <c r="H643" s="415"/>
      <c r="I643" s="416"/>
      <c r="J643" s="416"/>
      <c r="K643" s="416"/>
      <c r="L643" s="417"/>
    </row>
    <row r="644">
      <c r="A644" s="203"/>
      <c r="B644" s="203"/>
      <c r="C644" s="203"/>
      <c r="D644" s="203"/>
      <c r="E644" s="203"/>
      <c r="F644" s="203"/>
      <c r="G644" s="203"/>
      <c r="H644" s="412"/>
      <c r="I644" s="413"/>
      <c r="J644" s="413"/>
      <c r="K644" s="413"/>
      <c r="L644" s="414"/>
    </row>
    <row r="645">
      <c r="A645" s="207"/>
      <c r="B645" s="207"/>
      <c r="C645" s="207"/>
      <c r="D645" s="207"/>
      <c r="E645" s="207"/>
      <c r="F645" s="207"/>
      <c r="G645" s="207"/>
      <c r="H645" s="415"/>
      <c r="I645" s="416"/>
      <c r="J645" s="416"/>
      <c r="K645" s="416"/>
      <c r="L645" s="417"/>
    </row>
    <row r="646">
      <c r="A646" s="203"/>
      <c r="B646" s="203"/>
      <c r="C646" s="203"/>
      <c r="D646" s="203"/>
      <c r="E646" s="203"/>
      <c r="F646" s="203"/>
      <c r="G646" s="203"/>
      <c r="H646" s="412"/>
      <c r="I646" s="413"/>
      <c r="J646" s="413"/>
      <c r="K646" s="413"/>
      <c r="L646" s="414"/>
    </row>
    <row r="647">
      <c r="A647" s="207"/>
      <c r="B647" s="207"/>
      <c r="C647" s="207"/>
      <c r="D647" s="207"/>
      <c r="E647" s="207"/>
      <c r="F647" s="207"/>
      <c r="G647" s="207"/>
      <c r="H647" s="415"/>
      <c r="I647" s="416"/>
      <c r="J647" s="416"/>
      <c r="K647" s="416"/>
      <c r="L647" s="417"/>
    </row>
    <row r="648">
      <c r="A648" s="203"/>
      <c r="B648" s="203"/>
      <c r="C648" s="203"/>
      <c r="D648" s="203"/>
      <c r="E648" s="203"/>
      <c r="F648" s="203"/>
      <c r="G648" s="203"/>
      <c r="H648" s="412"/>
      <c r="I648" s="413"/>
      <c r="J648" s="413"/>
      <c r="K648" s="413"/>
      <c r="L648" s="414"/>
    </row>
    <row r="649">
      <c r="A649" s="207"/>
      <c r="B649" s="207"/>
      <c r="C649" s="207"/>
      <c r="D649" s="207"/>
      <c r="E649" s="207"/>
      <c r="F649" s="207"/>
      <c r="G649" s="207"/>
      <c r="H649" s="415"/>
      <c r="I649" s="416"/>
      <c r="J649" s="416"/>
      <c r="K649" s="416"/>
      <c r="L649" s="417"/>
    </row>
    <row r="650">
      <c r="A650" s="203"/>
      <c r="B650" s="203"/>
      <c r="C650" s="203"/>
      <c r="D650" s="203"/>
      <c r="E650" s="203"/>
      <c r="F650" s="203"/>
      <c r="G650" s="203"/>
      <c r="H650" s="412"/>
      <c r="I650" s="413"/>
      <c r="J650" s="413"/>
      <c r="K650" s="413"/>
      <c r="L650" s="414"/>
    </row>
    <row r="651">
      <c r="A651" s="207"/>
      <c r="B651" s="207"/>
      <c r="C651" s="207"/>
      <c r="D651" s="207"/>
      <c r="E651" s="207"/>
      <c r="F651" s="207"/>
      <c r="G651" s="207"/>
      <c r="H651" s="415"/>
      <c r="I651" s="416"/>
      <c r="J651" s="416"/>
      <c r="K651" s="416"/>
      <c r="L651" s="417"/>
    </row>
    <row r="652">
      <c r="A652" s="203"/>
      <c r="B652" s="203"/>
      <c r="C652" s="203"/>
      <c r="D652" s="203"/>
      <c r="E652" s="203"/>
      <c r="F652" s="203"/>
      <c r="G652" s="203"/>
      <c r="H652" s="412"/>
      <c r="I652" s="413"/>
      <c r="J652" s="413"/>
      <c r="K652" s="413"/>
      <c r="L652" s="414"/>
    </row>
    <row r="653">
      <c r="A653" s="207"/>
      <c r="B653" s="207"/>
      <c r="C653" s="207"/>
      <c r="D653" s="207"/>
      <c r="E653" s="207"/>
      <c r="F653" s="207"/>
      <c r="G653" s="207"/>
      <c r="H653" s="415"/>
      <c r="I653" s="416"/>
      <c r="J653" s="416"/>
      <c r="K653" s="416"/>
      <c r="L653" s="417"/>
    </row>
    <row r="654">
      <c r="A654" s="203"/>
      <c r="B654" s="203"/>
      <c r="C654" s="203"/>
      <c r="D654" s="203"/>
      <c r="E654" s="203"/>
      <c r="F654" s="203"/>
      <c r="G654" s="203"/>
      <c r="H654" s="412"/>
      <c r="I654" s="413"/>
      <c r="J654" s="413"/>
      <c r="K654" s="413"/>
      <c r="L654" s="414"/>
    </row>
    <row r="655">
      <c r="A655" s="207"/>
      <c r="B655" s="207"/>
      <c r="C655" s="207"/>
      <c r="D655" s="207"/>
      <c r="E655" s="207"/>
      <c r="F655" s="207"/>
      <c r="G655" s="207"/>
      <c r="H655" s="415"/>
      <c r="I655" s="416"/>
      <c r="J655" s="416"/>
      <c r="K655" s="416"/>
      <c r="L655" s="417"/>
    </row>
    <row r="656">
      <c r="A656" s="203"/>
      <c r="B656" s="203"/>
      <c r="C656" s="203"/>
      <c r="D656" s="203"/>
      <c r="E656" s="203"/>
      <c r="F656" s="203"/>
      <c r="G656" s="203"/>
      <c r="H656" s="412"/>
      <c r="I656" s="413"/>
      <c r="J656" s="413"/>
      <c r="K656" s="413"/>
      <c r="L656" s="414"/>
    </row>
    <row r="657">
      <c r="A657" s="207"/>
      <c r="B657" s="207"/>
      <c r="C657" s="207"/>
      <c r="D657" s="207"/>
      <c r="E657" s="207"/>
      <c r="F657" s="207"/>
      <c r="G657" s="207"/>
      <c r="H657" s="415"/>
      <c r="I657" s="416"/>
      <c r="J657" s="416"/>
      <c r="K657" s="416"/>
      <c r="L657" s="417"/>
    </row>
    <row r="658">
      <c r="A658" s="203"/>
      <c r="B658" s="203"/>
      <c r="C658" s="203"/>
      <c r="D658" s="203"/>
      <c r="E658" s="203"/>
      <c r="F658" s="203"/>
      <c r="G658" s="203"/>
      <c r="H658" s="412"/>
      <c r="I658" s="413"/>
      <c r="J658" s="413"/>
      <c r="K658" s="413"/>
      <c r="L658" s="414"/>
    </row>
    <row r="659">
      <c r="A659" s="207"/>
      <c r="B659" s="207"/>
      <c r="C659" s="207"/>
      <c r="D659" s="207"/>
      <c r="E659" s="207"/>
      <c r="F659" s="207"/>
      <c r="G659" s="207"/>
      <c r="H659" s="415"/>
      <c r="I659" s="416"/>
      <c r="J659" s="416"/>
      <c r="K659" s="416"/>
      <c r="L659" s="417"/>
    </row>
    <row r="660">
      <c r="A660" s="203"/>
      <c r="B660" s="203"/>
      <c r="C660" s="203"/>
      <c r="D660" s="203"/>
      <c r="E660" s="203"/>
      <c r="F660" s="203"/>
      <c r="G660" s="203"/>
      <c r="H660" s="412"/>
      <c r="I660" s="413"/>
      <c r="J660" s="413"/>
      <c r="K660" s="413"/>
      <c r="L660" s="414"/>
    </row>
    <row r="661">
      <c r="A661" s="207"/>
      <c r="B661" s="207"/>
      <c r="C661" s="207"/>
      <c r="D661" s="207"/>
      <c r="E661" s="207"/>
      <c r="F661" s="207"/>
      <c r="G661" s="207"/>
      <c r="H661" s="415"/>
      <c r="I661" s="416"/>
      <c r="J661" s="416"/>
      <c r="K661" s="416"/>
      <c r="L661" s="417"/>
    </row>
    <row r="662">
      <c r="A662" s="203"/>
      <c r="B662" s="203"/>
      <c r="C662" s="203"/>
      <c r="D662" s="203"/>
      <c r="E662" s="203"/>
      <c r="F662" s="203"/>
      <c r="G662" s="203"/>
      <c r="H662" s="412"/>
      <c r="I662" s="413"/>
      <c r="J662" s="413"/>
      <c r="K662" s="413"/>
      <c r="L662" s="414"/>
    </row>
    <row r="663">
      <c r="A663" s="207"/>
      <c r="B663" s="207"/>
      <c r="C663" s="207"/>
      <c r="D663" s="207"/>
      <c r="E663" s="207"/>
      <c r="F663" s="207"/>
      <c r="G663" s="207"/>
      <c r="H663" s="415"/>
      <c r="I663" s="416"/>
      <c r="J663" s="416"/>
      <c r="K663" s="416"/>
      <c r="L663" s="417"/>
    </row>
    <row r="664">
      <c r="A664" s="203"/>
      <c r="B664" s="203"/>
      <c r="C664" s="203"/>
      <c r="D664" s="203"/>
      <c r="E664" s="203"/>
      <c r="F664" s="203"/>
      <c r="G664" s="203"/>
      <c r="H664" s="412"/>
      <c r="I664" s="413"/>
      <c r="J664" s="413"/>
      <c r="K664" s="413"/>
      <c r="L664" s="414"/>
    </row>
    <row r="665">
      <c r="A665" s="207"/>
      <c r="B665" s="207"/>
      <c r="C665" s="207"/>
      <c r="D665" s="207"/>
      <c r="E665" s="207"/>
      <c r="F665" s="207"/>
      <c r="G665" s="207"/>
      <c r="H665" s="415"/>
      <c r="I665" s="416"/>
      <c r="J665" s="416"/>
      <c r="K665" s="416"/>
      <c r="L665" s="417"/>
    </row>
    <row r="666">
      <c r="A666" s="203"/>
      <c r="B666" s="203"/>
      <c r="C666" s="203"/>
      <c r="D666" s="203"/>
      <c r="E666" s="203"/>
      <c r="F666" s="203"/>
      <c r="G666" s="203"/>
      <c r="H666" s="412"/>
      <c r="I666" s="413"/>
      <c r="J666" s="413"/>
      <c r="K666" s="413"/>
      <c r="L666" s="414"/>
    </row>
    <row r="667">
      <c r="A667" s="207"/>
      <c r="B667" s="207"/>
      <c r="C667" s="207"/>
      <c r="D667" s="207"/>
      <c r="E667" s="207"/>
      <c r="F667" s="207"/>
      <c r="G667" s="207"/>
      <c r="H667" s="415"/>
      <c r="I667" s="416"/>
      <c r="J667" s="416"/>
      <c r="K667" s="416"/>
      <c r="L667" s="417"/>
    </row>
    <row r="668">
      <c r="A668" s="203"/>
      <c r="B668" s="203"/>
      <c r="C668" s="203"/>
      <c r="D668" s="203"/>
      <c r="E668" s="203"/>
      <c r="F668" s="203"/>
      <c r="G668" s="203"/>
      <c r="H668" s="412"/>
      <c r="I668" s="413"/>
      <c r="J668" s="413"/>
      <c r="K668" s="413"/>
      <c r="L668" s="414"/>
    </row>
    <row r="669">
      <c r="A669" s="207"/>
      <c r="B669" s="207"/>
      <c r="C669" s="207"/>
      <c r="D669" s="207"/>
      <c r="E669" s="207"/>
      <c r="F669" s="207"/>
      <c r="G669" s="207"/>
      <c r="H669" s="415"/>
      <c r="I669" s="416"/>
      <c r="J669" s="416"/>
      <c r="K669" s="416"/>
      <c r="L669" s="417"/>
    </row>
    <row r="670">
      <c r="A670" s="203"/>
      <c r="B670" s="203"/>
      <c r="C670" s="203"/>
      <c r="D670" s="203"/>
      <c r="E670" s="203"/>
      <c r="F670" s="203"/>
      <c r="G670" s="203"/>
      <c r="H670" s="412"/>
      <c r="I670" s="413"/>
      <c r="J670" s="413"/>
      <c r="K670" s="413"/>
      <c r="L670" s="414"/>
    </row>
    <row r="671">
      <c r="A671" s="207"/>
      <c r="B671" s="207"/>
      <c r="C671" s="207"/>
      <c r="D671" s="207"/>
      <c r="E671" s="207"/>
      <c r="F671" s="207"/>
      <c r="G671" s="207"/>
      <c r="H671" s="415"/>
      <c r="I671" s="416"/>
      <c r="J671" s="416"/>
      <c r="K671" s="416"/>
      <c r="L671" s="417"/>
    </row>
    <row r="672">
      <c r="A672" s="203"/>
      <c r="B672" s="203"/>
      <c r="C672" s="203"/>
      <c r="D672" s="203"/>
      <c r="E672" s="203"/>
      <c r="F672" s="203"/>
      <c r="G672" s="203"/>
      <c r="H672" s="412"/>
      <c r="I672" s="413"/>
      <c r="J672" s="413"/>
      <c r="K672" s="413"/>
      <c r="L672" s="414"/>
    </row>
    <row r="673">
      <c r="A673" s="207"/>
      <c r="B673" s="207"/>
      <c r="C673" s="207"/>
      <c r="D673" s="207"/>
      <c r="E673" s="207"/>
      <c r="F673" s="207"/>
      <c r="G673" s="207"/>
      <c r="H673" s="415"/>
      <c r="I673" s="416"/>
      <c r="J673" s="416"/>
      <c r="K673" s="416"/>
      <c r="L673" s="417"/>
    </row>
    <row r="674">
      <c r="A674" s="203"/>
      <c r="B674" s="203"/>
      <c r="C674" s="203"/>
      <c r="D674" s="203"/>
      <c r="E674" s="203"/>
      <c r="F674" s="203"/>
      <c r="G674" s="203"/>
      <c r="H674" s="412"/>
      <c r="I674" s="413"/>
      <c r="J674" s="413"/>
      <c r="K674" s="413"/>
      <c r="L674" s="414"/>
    </row>
    <row r="675">
      <c r="A675" s="207"/>
      <c r="B675" s="207"/>
      <c r="C675" s="207"/>
      <c r="D675" s="207"/>
      <c r="E675" s="207"/>
      <c r="F675" s="207"/>
      <c r="G675" s="207"/>
      <c r="H675" s="415"/>
      <c r="I675" s="416"/>
      <c r="J675" s="416"/>
      <c r="K675" s="416"/>
      <c r="L675" s="417"/>
    </row>
    <row r="676">
      <c r="A676" s="203"/>
      <c r="B676" s="203"/>
      <c r="C676" s="203"/>
      <c r="D676" s="203"/>
      <c r="E676" s="203"/>
      <c r="F676" s="203"/>
      <c r="G676" s="203"/>
      <c r="H676" s="412"/>
      <c r="I676" s="413"/>
      <c r="J676" s="413"/>
      <c r="K676" s="413"/>
      <c r="L676" s="414"/>
    </row>
    <row r="677">
      <c r="A677" s="207"/>
      <c r="B677" s="207"/>
      <c r="C677" s="207"/>
      <c r="D677" s="207"/>
      <c r="E677" s="207"/>
      <c r="F677" s="207"/>
      <c r="G677" s="207"/>
      <c r="H677" s="415"/>
      <c r="I677" s="416"/>
      <c r="J677" s="416"/>
      <c r="K677" s="416"/>
      <c r="L677" s="417"/>
    </row>
    <row r="678">
      <c r="A678" s="203"/>
      <c r="B678" s="203"/>
      <c r="C678" s="203"/>
      <c r="D678" s="203"/>
      <c r="E678" s="203"/>
      <c r="F678" s="203"/>
      <c r="G678" s="203"/>
      <c r="H678" s="412"/>
      <c r="I678" s="413"/>
      <c r="J678" s="413"/>
      <c r="K678" s="413"/>
      <c r="L678" s="414"/>
    </row>
    <row r="679">
      <c r="A679" s="207"/>
      <c r="B679" s="207"/>
      <c r="C679" s="207"/>
      <c r="D679" s="207"/>
      <c r="E679" s="207"/>
      <c r="F679" s="207"/>
      <c r="G679" s="207"/>
      <c r="H679" s="415"/>
      <c r="I679" s="416"/>
      <c r="J679" s="416"/>
      <c r="K679" s="416"/>
      <c r="L679" s="417"/>
    </row>
    <row r="680">
      <c r="A680" s="203"/>
      <c r="B680" s="203"/>
      <c r="C680" s="203"/>
      <c r="D680" s="203"/>
      <c r="E680" s="203"/>
      <c r="F680" s="203"/>
      <c r="G680" s="203"/>
      <c r="H680" s="412"/>
      <c r="I680" s="413"/>
      <c r="J680" s="413"/>
      <c r="K680" s="413"/>
      <c r="L680" s="414"/>
    </row>
    <row r="681">
      <c r="A681" s="207"/>
      <c r="B681" s="207"/>
      <c r="C681" s="207"/>
      <c r="D681" s="207"/>
      <c r="E681" s="207"/>
      <c r="F681" s="207"/>
      <c r="G681" s="207"/>
      <c r="H681" s="415"/>
      <c r="I681" s="416"/>
      <c r="J681" s="416"/>
      <c r="K681" s="416"/>
      <c r="L681" s="417"/>
    </row>
    <row r="682">
      <c r="A682" s="203"/>
      <c r="B682" s="203"/>
      <c r="C682" s="203"/>
      <c r="D682" s="203"/>
      <c r="E682" s="203"/>
      <c r="F682" s="203"/>
      <c r="G682" s="203"/>
      <c r="H682" s="412"/>
      <c r="I682" s="413"/>
      <c r="J682" s="413"/>
      <c r="K682" s="413"/>
      <c r="L682" s="414"/>
    </row>
    <row r="683">
      <c r="A683" s="207"/>
      <c r="B683" s="207"/>
      <c r="C683" s="207"/>
      <c r="D683" s="207"/>
      <c r="E683" s="207"/>
      <c r="F683" s="207"/>
      <c r="G683" s="207"/>
      <c r="H683" s="415"/>
      <c r="I683" s="416"/>
      <c r="J683" s="416"/>
      <c r="K683" s="416"/>
      <c r="L683" s="417"/>
    </row>
    <row r="684">
      <c r="A684" s="203"/>
      <c r="B684" s="203"/>
      <c r="C684" s="203"/>
      <c r="D684" s="203"/>
      <c r="E684" s="203"/>
      <c r="F684" s="203"/>
      <c r="G684" s="203"/>
      <c r="H684" s="412"/>
      <c r="I684" s="413"/>
      <c r="J684" s="413"/>
      <c r="K684" s="413"/>
      <c r="L684" s="414"/>
    </row>
    <row r="685">
      <c r="A685" s="207"/>
      <c r="B685" s="207"/>
      <c r="C685" s="207"/>
      <c r="D685" s="207"/>
      <c r="E685" s="207"/>
      <c r="F685" s="207"/>
      <c r="G685" s="207"/>
      <c r="H685" s="415"/>
      <c r="I685" s="416"/>
      <c r="J685" s="416"/>
      <c r="K685" s="416"/>
      <c r="L685" s="417"/>
    </row>
    <row r="686">
      <c r="A686" s="203"/>
      <c r="B686" s="203"/>
      <c r="C686" s="203"/>
      <c r="D686" s="203"/>
      <c r="E686" s="203"/>
      <c r="F686" s="203"/>
      <c r="G686" s="203"/>
      <c r="H686" s="412"/>
      <c r="I686" s="413"/>
      <c r="J686" s="413"/>
      <c r="K686" s="413"/>
      <c r="L686" s="414"/>
    </row>
    <row r="687">
      <c r="A687" s="207"/>
      <c r="B687" s="207"/>
      <c r="C687" s="207"/>
      <c r="D687" s="207"/>
      <c r="E687" s="207"/>
      <c r="F687" s="207"/>
      <c r="G687" s="207"/>
      <c r="H687" s="415"/>
      <c r="I687" s="416"/>
      <c r="J687" s="416"/>
      <c r="K687" s="416"/>
      <c r="L687" s="417"/>
    </row>
    <row r="688">
      <c r="A688" s="203"/>
      <c r="B688" s="203"/>
      <c r="C688" s="203"/>
      <c r="D688" s="203"/>
      <c r="E688" s="203"/>
      <c r="F688" s="203"/>
      <c r="G688" s="203"/>
      <c r="H688" s="412"/>
      <c r="I688" s="413"/>
      <c r="J688" s="413"/>
      <c r="K688" s="413"/>
      <c r="L688" s="414"/>
    </row>
    <row r="689">
      <c r="A689" s="207"/>
      <c r="B689" s="207"/>
      <c r="C689" s="207"/>
      <c r="D689" s="207"/>
      <c r="E689" s="207"/>
      <c r="F689" s="207"/>
      <c r="G689" s="207"/>
      <c r="H689" s="415"/>
      <c r="I689" s="416"/>
      <c r="J689" s="416"/>
      <c r="K689" s="416"/>
      <c r="L689" s="417"/>
    </row>
    <row r="690">
      <c r="A690" s="203"/>
      <c r="B690" s="203"/>
      <c r="C690" s="203"/>
      <c r="D690" s="203"/>
      <c r="E690" s="203"/>
      <c r="F690" s="203"/>
      <c r="G690" s="203"/>
      <c r="H690" s="412"/>
      <c r="I690" s="413"/>
      <c r="J690" s="413"/>
      <c r="K690" s="413"/>
      <c r="L690" s="414"/>
    </row>
    <row r="691">
      <c r="A691" s="207"/>
      <c r="B691" s="207"/>
      <c r="C691" s="207"/>
      <c r="D691" s="207"/>
      <c r="E691" s="207"/>
      <c r="F691" s="207"/>
      <c r="G691" s="207"/>
      <c r="H691" s="415"/>
      <c r="I691" s="416"/>
      <c r="J691" s="416"/>
      <c r="K691" s="416"/>
      <c r="L691" s="417"/>
    </row>
    <row r="692">
      <c r="A692" s="203"/>
      <c r="B692" s="203"/>
      <c r="C692" s="203"/>
      <c r="D692" s="203"/>
      <c r="E692" s="203"/>
      <c r="F692" s="203"/>
      <c r="G692" s="203"/>
      <c r="H692" s="412"/>
      <c r="I692" s="413"/>
      <c r="J692" s="413"/>
      <c r="K692" s="413"/>
      <c r="L692" s="414"/>
    </row>
    <row r="693">
      <c r="A693" s="207"/>
      <c r="B693" s="207"/>
      <c r="C693" s="207"/>
      <c r="D693" s="207"/>
      <c r="E693" s="207"/>
      <c r="F693" s="207"/>
      <c r="G693" s="207"/>
      <c r="H693" s="415"/>
      <c r="I693" s="416"/>
      <c r="J693" s="416"/>
      <c r="K693" s="416"/>
      <c r="L693" s="417"/>
    </row>
    <row r="694">
      <c r="A694" s="203"/>
      <c r="B694" s="203"/>
      <c r="C694" s="203"/>
      <c r="D694" s="203"/>
      <c r="E694" s="203"/>
      <c r="F694" s="203"/>
      <c r="G694" s="203"/>
      <c r="H694" s="412"/>
      <c r="I694" s="413"/>
      <c r="J694" s="413"/>
      <c r="K694" s="413"/>
      <c r="L694" s="414"/>
    </row>
    <row r="695">
      <c r="A695" s="207"/>
      <c r="B695" s="207"/>
      <c r="C695" s="207"/>
      <c r="D695" s="207"/>
      <c r="E695" s="207"/>
      <c r="F695" s="207"/>
      <c r="G695" s="207"/>
      <c r="H695" s="415"/>
      <c r="I695" s="416"/>
      <c r="J695" s="416"/>
      <c r="K695" s="416"/>
      <c r="L695" s="417"/>
    </row>
    <row r="696">
      <c r="A696" s="203"/>
      <c r="B696" s="203"/>
      <c r="C696" s="203"/>
      <c r="D696" s="203"/>
      <c r="E696" s="203"/>
      <c r="F696" s="203"/>
      <c r="G696" s="203"/>
      <c r="H696" s="412"/>
      <c r="I696" s="413"/>
      <c r="J696" s="413"/>
      <c r="K696" s="413"/>
      <c r="L696" s="414"/>
    </row>
    <row r="697">
      <c r="A697" s="207"/>
      <c r="B697" s="207"/>
      <c r="C697" s="207"/>
      <c r="D697" s="207"/>
      <c r="E697" s="207"/>
      <c r="F697" s="207"/>
      <c r="G697" s="207"/>
      <c r="H697" s="415"/>
      <c r="I697" s="416"/>
      <c r="J697" s="416"/>
      <c r="K697" s="416"/>
      <c r="L697" s="417"/>
    </row>
    <row r="698">
      <c r="A698" s="203"/>
      <c r="B698" s="203"/>
      <c r="C698" s="203"/>
      <c r="D698" s="203"/>
      <c r="E698" s="203"/>
      <c r="F698" s="203"/>
      <c r="G698" s="203"/>
      <c r="H698" s="412"/>
      <c r="I698" s="413"/>
      <c r="J698" s="413"/>
      <c r="K698" s="413"/>
      <c r="L698" s="414"/>
    </row>
    <row r="699">
      <c r="A699" s="207"/>
      <c r="B699" s="207"/>
      <c r="C699" s="207"/>
      <c r="D699" s="207"/>
      <c r="E699" s="207"/>
      <c r="F699" s="207"/>
      <c r="G699" s="207"/>
      <c r="H699" s="415"/>
      <c r="I699" s="416"/>
      <c r="J699" s="416"/>
      <c r="K699" s="416"/>
      <c r="L699" s="417"/>
    </row>
    <row r="700">
      <c r="A700" s="203"/>
      <c r="B700" s="203"/>
      <c r="C700" s="203"/>
      <c r="D700" s="203"/>
      <c r="E700" s="203"/>
      <c r="F700" s="203"/>
      <c r="G700" s="203"/>
      <c r="H700" s="412"/>
      <c r="I700" s="413"/>
      <c r="J700" s="413"/>
      <c r="K700" s="413"/>
      <c r="L700" s="414"/>
    </row>
    <row r="701">
      <c r="A701" s="207"/>
      <c r="B701" s="207"/>
      <c r="C701" s="207"/>
      <c r="D701" s="207"/>
      <c r="E701" s="207"/>
      <c r="F701" s="207"/>
      <c r="G701" s="207"/>
      <c r="H701" s="415"/>
      <c r="I701" s="416"/>
      <c r="J701" s="416"/>
      <c r="K701" s="416"/>
      <c r="L701" s="417"/>
    </row>
    <row r="702">
      <c r="A702" s="203"/>
      <c r="B702" s="203"/>
      <c r="C702" s="203"/>
      <c r="D702" s="203"/>
      <c r="E702" s="203"/>
      <c r="F702" s="203"/>
      <c r="G702" s="203"/>
      <c r="H702" s="412"/>
      <c r="I702" s="413"/>
      <c r="J702" s="413"/>
      <c r="K702" s="413"/>
      <c r="L702" s="414"/>
    </row>
    <row r="703">
      <c r="A703" s="207"/>
      <c r="B703" s="207"/>
      <c r="C703" s="207"/>
      <c r="D703" s="207"/>
      <c r="E703" s="207"/>
      <c r="F703" s="207"/>
      <c r="G703" s="207"/>
      <c r="H703" s="415"/>
      <c r="I703" s="416"/>
      <c r="J703" s="416"/>
      <c r="K703" s="416"/>
      <c r="L703" s="417"/>
    </row>
    <row r="704">
      <c r="A704" s="203"/>
      <c r="B704" s="203"/>
      <c r="C704" s="203"/>
      <c r="D704" s="203"/>
      <c r="E704" s="203"/>
      <c r="F704" s="203"/>
      <c r="G704" s="203"/>
      <c r="H704" s="412"/>
      <c r="I704" s="413"/>
      <c r="J704" s="413"/>
      <c r="K704" s="413"/>
      <c r="L704" s="414"/>
    </row>
    <row r="705">
      <c r="A705" s="207"/>
      <c r="B705" s="207"/>
      <c r="C705" s="207"/>
      <c r="D705" s="207"/>
      <c r="E705" s="207"/>
      <c r="F705" s="207"/>
      <c r="G705" s="207"/>
      <c r="H705" s="415"/>
      <c r="I705" s="416"/>
      <c r="J705" s="416"/>
      <c r="K705" s="416"/>
      <c r="L705" s="417"/>
    </row>
    <row r="706">
      <c r="A706" s="203"/>
      <c r="B706" s="203"/>
      <c r="C706" s="203"/>
      <c r="D706" s="203"/>
      <c r="E706" s="203"/>
      <c r="F706" s="203"/>
      <c r="G706" s="203"/>
      <c r="H706" s="412"/>
      <c r="I706" s="413"/>
      <c r="J706" s="413"/>
      <c r="K706" s="413"/>
      <c r="L706" s="414"/>
    </row>
    <row r="707">
      <c r="A707" s="207"/>
      <c r="B707" s="207"/>
      <c r="C707" s="207"/>
      <c r="D707" s="207"/>
      <c r="E707" s="207"/>
      <c r="F707" s="207"/>
      <c r="G707" s="207"/>
      <c r="H707" s="415"/>
      <c r="I707" s="416"/>
      <c r="J707" s="416"/>
      <c r="K707" s="416"/>
      <c r="L707" s="417"/>
    </row>
    <row r="708">
      <c r="A708" s="203"/>
      <c r="B708" s="203"/>
      <c r="C708" s="203"/>
      <c r="D708" s="203"/>
      <c r="E708" s="203"/>
      <c r="F708" s="203"/>
      <c r="G708" s="203"/>
      <c r="H708" s="412"/>
      <c r="I708" s="413"/>
      <c r="J708" s="413"/>
      <c r="K708" s="413"/>
      <c r="L708" s="414"/>
    </row>
    <row r="709">
      <c r="A709" s="207"/>
      <c r="B709" s="207"/>
      <c r="C709" s="207"/>
      <c r="D709" s="207"/>
      <c r="E709" s="207"/>
      <c r="F709" s="207"/>
      <c r="G709" s="207"/>
      <c r="H709" s="415"/>
      <c r="I709" s="416"/>
      <c r="J709" s="416"/>
      <c r="K709" s="416"/>
      <c r="L709" s="417"/>
    </row>
    <row r="710">
      <c r="A710" s="203"/>
      <c r="B710" s="203"/>
      <c r="C710" s="203"/>
      <c r="D710" s="203"/>
      <c r="E710" s="203"/>
      <c r="F710" s="203"/>
      <c r="G710" s="203"/>
      <c r="H710" s="412"/>
      <c r="I710" s="413"/>
      <c r="J710" s="413"/>
      <c r="K710" s="413"/>
      <c r="L710" s="414"/>
    </row>
    <row r="711">
      <c r="A711" s="207"/>
      <c r="B711" s="207"/>
      <c r="C711" s="207"/>
      <c r="D711" s="207"/>
      <c r="E711" s="207"/>
      <c r="F711" s="207"/>
      <c r="G711" s="207"/>
      <c r="H711" s="415"/>
      <c r="I711" s="416"/>
      <c r="J711" s="416"/>
      <c r="K711" s="416"/>
      <c r="L711" s="417"/>
    </row>
    <row r="712">
      <c r="A712" s="203"/>
      <c r="B712" s="203"/>
      <c r="C712" s="203"/>
      <c r="D712" s="203"/>
      <c r="E712" s="203"/>
      <c r="F712" s="203"/>
      <c r="G712" s="203"/>
      <c r="H712" s="412"/>
      <c r="I712" s="413"/>
      <c r="J712" s="413"/>
      <c r="K712" s="413"/>
      <c r="L712" s="414"/>
    </row>
    <row r="713">
      <c r="A713" s="207"/>
      <c r="B713" s="207"/>
      <c r="C713" s="207"/>
      <c r="D713" s="207"/>
      <c r="E713" s="207"/>
      <c r="F713" s="207"/>
      <c r="G713" s="207"/>
      <c r="H713" s="415"/>
      <c r="I713" s="416"/>
      <c r="J713" s="416"/>
      <c r="K713" s="416"/>
      <c r="L713" s="417"/>
    </row>
    <row r="714">
      <c r="A714" s="203"/>
      <c r="B714" s="203"/>
      <c r="C714" s="203"/>
      <c r="D714" s="203"/>
      <c r="E714" s="203"/>
      <c r="F714" s="203"/>
      <c r="G714" s="203"/>
      <c r="H714" s="412"/>
      <c r="I714" s="413"/>
      <c r="J714" s="413"/>
      <c r="K714" s="413"/>
      <c r="L714" s="414"/>
    </row>
    <row r="715">
      <c r="A715" s="207"/>
      <c r="B715" s="207"/>
      <c r="C715" s="207"/>
      <c r="D715" s="207"/>
      <c r="E715" s="207"/>
      <c r="F715" s="207"/>
      <c r="G715" s="207"/>
      <c r="H715" s="415"/>
      <c r="I715" s="416"/>
      <c r="J715" s="416"/>
      <c r="K715" s="416"/>
      <c r="L715" s="417"/>
    </row>
    <row r="716">
      <c r="A716" s="203"/>
      <c r="B716" s="203"/>
      <c r="C716" s="203"/>
      <c r="D716" s="203"/>
      <c r="E716" s="203"/>
      <c r="F716" s="203"/>
      <c r="G716" s="203"/>
      <c r="H716" s="412"/>
      <c r="I716" s="413"/>
      <c r="J716" s="413"/>
      <c r="K716" s="413"/>
      <c r="L716" s="414"/>
    </row>
    <row r="717">
      <c r="A717" s="207"/>
      <c r="B717" s="207"/>
      <c r="C717" s="207"/>
      <c r="D717" s="207"/>
      <c r="E717" s="207"/>
      <c r="F717" s="207"/>
      <c r="G717" s="207"/>
      <c r="H717" s="415"/>
      <c r="I717" s="416"/>
      <c r="J717" s="416"/>
      <c r="K717" s="416"/>
      <c r="L717" s="417"/>
    </row>
    <row r="718">
      <c r="A718" s="203"/>
      <c r="B718" s="203"/>
      <c r="C718" s="203"/>
      <c r="D718" s="203"/>
      <c r="E718" s="203"/>
      <c r="F718" s="203"/>
      <c r="G718" s="203"/>
      <c r="H718" s="412"/>
      <c r="I718" s="413"/>
      <c r="J718" s="413"/>
      <c r="K718" s="413"/>
      <c r="L718" s="414"/>
    </row>
    <row r="719">
      <c r="A719" s="207"/>
      <c r="B719" s="207"/>
      <c r="C719" s="207"/>
      <c r="D719" s="207"/>
      <c r="E719" s="207"/>
      <c r="F719" s="207"/>
      <c r="G719" s="207"/>
      <c r="H719" s="415"/>
      <c r="I719" s="416"/>
      <c r="J719" s="416"/>
      <c r="K719" s="416"/>
      <c r="L719" s="417"/>
    </row>
    <row r="720">
      <c r="A720" s="203"/>
      <c r="B720" s="203"/>
      <c r="C720" s="203"/>
      <c r="D720" s="203"/>
      <c r="E720" s="203"/>
      <c r="F720" s="203"/>
      <c r="G720" s="203"/>
      <c r="H720" s="412"/>
      <c r="I720" s="413"/>
      <c r="J720" s="413"/>
      <c r="K720" s="413"/>
      <c r="L720" s="414"/>
    </row>
    <row r="721">
      <c r="A721" s="207"/>
      <c r="B721" s="207"/>
      <c r="C721" s="207"/>
      <c r="D721" s="207"/>
      <c r="E721" s="207"/>
      <c r="F721" s="207"/>
      <c r="G721" s="207"/>
      <c r="H721" s="415"/>
      <c r="I721" s="416"/>
      <c r="J721" s="416"/>
      <c r="K721" s="416"/>
      <c r="L721" s="417"/>
    </row>
    <row r="722">
      <c r="A722" s="203"/>
      <c r="B722" s="203"/>
      <c r="C722" s="203"/>
      <c r="D722" s="203"/>
      <c r="E722" s="203"/>
      <c r="F722" s="203"/>
      <c r="G722" s="203"/>
      <c r="H722" s="412"/>
      <c r="I722" s="413"/>
      <c r="J722" s="413"/>
      <c r="K722" s="413"/>
      <c r="L722" s="414"/>
    </row>
    <row r="723">
      <c r="A723" s="207"/>
      <c r="B723" s="207"/>
      <c r="C723" s="207"/>
      <c r="D723" s="207"/>
      <c r="E723" s="207"/>
      <c r="F723" s="207"/>
      <c r="G723" s="207"/>
      <c r="H723" s="415"/>
      <c r="I723" s="416"/>
      <c r="J723" s="416"/>
      <c r="K723" s="416"/>
      <c r="L723" s="417"/>
    </row>
    <row r="724">
      <c r="A724" s="203"/>
      <c r="B724" s="203"/>
      <c r="C724" s="203"/>
      <c r="D724" s="203"/>
      <c r="E724" s="203"/>
      <c r="F724" s="203"/>
      <c r="G724" s="203"/>
      <c r="H724" s="412"/>
      <c r="I724" s="413"/>
      <c r="J724" s="413"/>
      <c r="K724" s="413"/>
      <c r="L724" s="414"/>
    </row>
    <row r="725">
      <c r="A725" s="207"/>
      <c r="B725" s="207"/>
      <c r="C725" s="207"/>
      <c r="D725" s="207"/>
      <c r="E725" s="207"/>
      <c r="F725" s="207"/>
      <c r="G725" s="207"/>
      <c r="H725" s="415"/>
      <c r="I725" s="416"/>
      <c r="J725" s="416"/>
      <c r="K725" s="416"/>
      <c r="L725" s="417"/>
    </row>
    <row r="726">
      <c r="A726" s="203"/>
      <c r="B726" s="203"/>
      <c r="C726" s="203"/>
      <c r="D726" s="203"/>
      <c r="E726" s="203"/>
      <c r="F726" s="203"/>
      <c r="G726" s="203"/>
      <c r="H726" s="412"/>
      <c r="I726" s="413"/>
      <c r="J726" s="413"/>
      <c r="K726" s="413"/>
      <c r="L726" s="414"/>
    </row>
    <row r="727">
      <c r="A727" s="207"/>
      <c r="B727" s="207"/>
      <c r="C727" s="207"/>
      <c r="D727" s="207"/>
      <c r="E727" s="207"/>
      <c r="F727" s="207"/>
      <c r="G727" s="207"/>
      <c r="H727" s="415"/>
      <c r="I727" s="416"/>
      <c r="J727" s="416"/>
      <c r="K727" s="416"/>
      <c r="L727" s="417"/>
    </row>
    <row r="728">
      <c r="A728" s="203"/>
      <c r="B728" s="203"/>
      <c r="C728" s="203"/>
      <c r="D728" s="203"/>
      <c r="E728" s="203"/>
      <c r="F728" s="203"/>
      <c r="G728" s="203"/>
      <c r="H728" s="412"/>
      <c r="I728" s="413"/>
      <c r="J728" s="413"/>
      <c r="K728" s="413"/>
      <c r="L728" s="414"/>
    </row>
    <row r="729">
      <c r="A729" s="207"/>
      <c r="B729" s="207"/>
      <c r="C729" s="207"/>
      <c r="D729" s="207"/>
      <c r="E729" s="207"/>
      <c r="F729" s="207"/>
      <c r="G729" s="207"/>
      <c r="H729" s="415"/>
      <c r="I729" s="416"/>
      <c r="J729" s="416"/>
      <c r="K729" s="416"/>
      <c r="L729" s="417"/>
    </row>
    <row r="730">
      <c r="A730" s="203"/>
      <c r="B730" s="203"/>
      <c r="C730" s="203"/>
      <c r="D730" s="203"/>
      <c r="E730" s="203"/>
      <c r="F730" s="203"/>
      <c r="G730" s="203"/>
      <c r="H730" s="412"/>
      <c r="I730" s="413"/>
      <c r="J730" s="413"/>
      <c r="K730" s="413"/>
      <c r="L730" s="414"/>
    </row>
    <row r="731">
      <c r="A731" s="207"/>
      <c r="B731" s="207"/>
      <c r="C731" s="207"/>
      <c r="D731" s="207"/>
      <c r="E731" s="207"/>
      <c r="F731" s="207"/>
      <c r="G731" s="207"/>
      <c r="H731" s="415"/>
      <c r="I731" s="416"/>
      <c r="J731" s="416"/>
      <c r="K731" s="416"/>
      <c r="L731" s="417"/>
    </row>
    <row r="732">
      <c r="A732" s="203"/>
      <c r="B732" s="203"/>
      <c r="C732" s="203"/>
      <c r="D732" s="203"/>
      <c r="E732" s="203"/>
      <c r="F732" s="203"/>
      <c r="G732" s="203"/>
      <c r="H732" s="412"/>
      <c r="I732" s="413"/>
      <c r="J732" s="413"/>
      <c r="K732" s="413"/>
      <c r="L732" s="414"/>
    </row>
    <row r="733">
      <c r="A733" s="207"/>
      <c r="B733" s="207"/>
      <c r="C733" s="207"/>
      <c r="D733" s="207"/>
      <c r="E733" s="207"/>
      <c r="F733" s="207"/>
      <c r="G733" s="207"/>
      <c r="H733" s="415"/>
      <c r="I733" s="416"/>
      <c r="J733" s="416"/>
      <c r="K733" s="416"/>
      <c r="L733" s="417"/>
    </row>
    <row r="734">
      <c r="A734" s="203"/>
      <c r="B734" s="203"/>
      <c r="C734" s="203"/>
      <c r="D734" s="203"/>
      <c r="E734" s="203"/>
      <c r="F734" s="203"/>
      <c r="G734" s="203"/>
      <c r="H734" s="412"/>
      <c r="I734" s="413"/>
      <c r="J734" s="413"/>
      <c r="K734" s="413"/>
      <c r="L734" s="414"/>
    </row>
    <row r="735">
      <c r="A735" s="207"/>
      <c r="B735" s="207"/>
      <c r="C735" s="207"/>
      <c r="D735" s="207"/>
      <c r="E735" s="207"/>
      <c r="F735" s="207"/>
      <c r="G735" s="207"/>
      <c r="H735" s="415"/>
      <c r="I735" s="416"/>
      <c r="J735" s="416"/>
      <c r="K735" s="416"/>
      <c r="L735" s="417"/>
    </row>
    <row r="736">
      <c r="A736" s="203"/>
      <c r="B736" s="203"/>
      <c r="C736" s="203"/>
      <c r="D736" s="203"/>
      <c r="E736" s="203"/>
      <c r="F736" s="203"/>
      <c r="G736" s="203"/>
      <c r="H736" s="412"/>
      <c r="I736" s="413"/>
      <c r="J736" s="413"/>
      <c r="K736" s="413"/>
      <c r="L736" s="414"/>
    </row>
    <row r="737">
      <c r="A737" s="207"/>
      <c r="B737" s="207"/>
      <c r="C737" s="207"/>
      <c r="D737" s="207"/>
      <c r="E737" s="207"/>
      <c r="F737" s="207"/>
      <c r="G737" s="207"/>
      <c r="H737" s="415"/>
      <c r="I737" s="416"/>
      <c r="J737" s="416"/>
      <c r="K737" s="416"/>
      <c r="L737" s="417"/>
    </row>
    <row r="738">
      <c r="A738" s="203"/>
      <c r="B738" s="203"/>
      <c r="C738" s="203"/>
      <c r="D738" s="203"/>
      <c r="E738" s="203"/>
      <c r="F738" s="203"/>
      <c r="G738" s="203"/>
      <c r="H738" s="412"/>
      <c r="I738" s="413"/>
      <c r="J738" s="413"/>
      <c r="K738" s="413"/>
      <c r="L738" s="414"/>
    </row>
    <row r="739">
      <c r="A739" s="207"/>
      <c r="B739" s="207"/>
      <c r="C739" s="207"/>
      <c r="D739" s="207"/>
      <c r="E739" s="207"/>
      <c r="F739" s="207"/>
      <c r="G739" s="207"/>
      <c r="H739" s="415"/>
      <c r="I739" s="416"/>
      <c r="J739" s="416"/>
      <c r="K739" s="416"/>
      <c r="L739" s="417"/>
    </row>
    <row r="740">
      <c r="A740" s="203"/>
      <c r="B740" s="203"/>
      <c r="C740" s="203"/>
      <c r="D740" s="203"/>
      <c r="E740" s="203"/>
      <c r="F740" s="203"/>
      <c r="G740" s="203"/>
      <c r="H740" s="412"/>
      <c r="I740" s="413"/>
      <c r="J740" s="413"/>
      <c r="K740" s="413"/>
      <c r="L740" s="414"/>
    </row>
    <row r="741">
      <c r="A741" s="207"/>
      <c r="B741" s="207"/>
      <c r="C741" s="207"/>
      <c r="D741" s="207"/>
      <c r="E741" s="207"/>
      <c r="F741" s="207"/>
      <c r="G741" s="207"/>
      <c r="H741" s="415"/>
      <c r="I741" s="416"/>
      <c r="J741" s="416"/>
      <c r="K741" s="416"/>
      <c r="L741" s="417"/>
    </row>
    <row r="742">
      <c r="A742" s="203"/>
      <c r="B742" s="203"/>
      <c r="C742" s="203"/>
      <c r="D742" s="203"/>
      <c r="E742" s="203"/>
      <c r="F742" s="203"/>
      <c r="G742" s="203"/>
      <c r="H742" s="412"/>
      <c r="I742" s="413"/>
      <c r="J742" s="413"/>
      <c r="K742" s="413"/>
      <c r="L742" s="414"/>
    </row>
    <row r="743">
      <c r="A743" s="207"/>
      <c r="B743" s="207"/>
      <c r="C743" s="207"/>
      <c r="D743" s="207"/>
      <c r="E743" s="207"/>
      <c r="F743" s="207"/>
      <c r="G743" s="207"/>
      <c r="H743" s="415"/>
      <c r="I743" s="416"/>
      <c r="J743" s="416"/>
      <c r="K743" s="416"/>
      <c r="L743" s="417"/>
    </row>
    <row r="744">
      <c r="A744" s="203"/>
      <c r="B744" s="203"/>
      <c r="C744" s="203"/>
      <c r="D744" s="203"/>
      <c r="E744" s="203"/>
      <c r="F744" s="203"/>
      <c r="G744" s="203"/>
      <c r="H744" s="412"/>
      <c r="I744" s="413"/>
      <c r="J744" s="413"/>
      <c r="K744" s="413"/>
      <c r="L744" s="414"/>
    </row>
    <row r="745">
      <c r="A745" s="207"/>
      <c r="B745" s="207"/>
      <c r="C745" s="207"/>
      <c r="D745" s="207"/>
      <c r="E745" s="207"/>
      <c r="F745" s="207"/>
      <c r="G745" s="207"/>
      <c r="H745" s="415"/>
      <c r="I745" s="416"/>
      <c r="J745" s="416"/>
      <c r="K745" s="416"/>
      <c r="L745" s="417"/>
    </row>
    <row r="746">
      <c r="A746" s="203"/>
      <c r="B746" s="203"/>
      <c r="C746" s="203"/>
      <c r="D746" s="203"/>
      <c r="E746" s="203"/>
      <c r="F746" s="203"/>
      <c r="G746" s="203"/>
      <c r="H746" s="412"/>
      <c r="I746" s="413"/>
      <c r="J746" s="413"/>
      <c r="K746" s="413"/>
      <c r="L746" s="414"/>
    </row>
    <row r="747">
      <c r="A747" s="207"/>
      <c r="B747" s="207"/>
      <c r="C747" s="207"/>
      <c r="D747" s="207"/>
      <c r="E747" s="207"/>
      <c r="F747" s="207"/>
      <c r="G747" s="207"/>
      <c r="H747" s="415"/>
      <c r="I747" s="416"/>
      <c r="J747" s="416"/>
      <c r="K747" s="416"/>
      <c r="L747" s="417"/>
    </row>
    <row r="748">
      <c r="A748" s="203"/>
      <c r="B748" s="203"/>
      <c r="C748" s="203"/>
      <c r="D748" s="203"/>
      <c r="E748" s="203"/>
      <c r="F748" s="203"/>
      <c r="G748" s="203"/>
      <c r="H748" s="412"/>
      <c r="I748" s="413"/>
      <c r="J748" s="413"/>
      <c r="K748" s="413"/>
      <c r="L748" s="414"/>
    </row>
    <row r="749">
      <c r="A749" s="207"/>
      <c r="B749" s="207"/>
      <c r="C749" s="207"/>
      <c r="D749" s="207"/>
      <c r="E749" s="207"/>
      <c r="F749" s="207"/>
      <c r="G749" s="207"/>
      <c r="H749" s="415"/>
      <c r="I749" s="416"/>
      <c r="J749" s="416"/>
      <c r="K749" s="416"/>
      <c r="L749" s="417"/>
    </row>
    <row r="750">
      <c r="A750" s="203"/>
      <c r="B750" s="203"/>
      <c r="C750" s="203"/>
      <c r="D750" s="203"/>
      <c r="E750" s="203"/>
      <c r="F750" s="203"/>
      <c r="G750" s="203"/>
      <c r="H750" s="412"/>
      <c r="I750" s="413"/>
      <c r="J750" s="413"/>
      <c r="K750" s="413"/>
      <c r="L750" s="414"/>
    </row>
    <row r="751">
      <c r="A751" s="207"/>
      <c r="B751" s="207"/>
      <c r="C751" s="207"/>
      <c r="D751" s="207"/>
      <c r="E751" s="207"/>
      <c r="F751" s="207"/>
      <c r="G751" s="207"/>
      <c r="H751" s="415"/>
      <c r="I751" s="416"/>
      <c r="J751" s="416"/>
      <c r="K751" s="416"/>
      <c r="L751" s="417"/>
    </row>
    <row r="752">
      <c r="A752" s="203"/>
      <c r="B752" s="203"/>
      <c r="C752" s="203"/>
      <c r="D752" s="203"/>
      <c r="E752" s="203"/>
      <c r="F752" s="203"/>
      <c r="G752" s="203"/>
      <c r="H752" s="412"/>
      <c r="I752" s="413"/>
      <c r="J752" s="413"/>
      <c r="K752" s="413"/>
      <c r="L752" s="414"/>
    </row>
    <row r="753">
      <c r="A753" s="207"/>
      <c r="B753" s="207"/>
      <c r="C753" s="207"/>
      <c r="D753" s="207"/>
      <c r="E753" s="207"/>
      <c r="F753" s="207"/>
      <c r="G753" s="207"/>
      <c r="H753" s="415"/>
      <c r="I753" s="416"/>
      <c r="J753" s="416"/>
      <c r="K753" s="416"/>
      <c r="L753" s="417"/>
    </row>
    <row r="754">
      <c r="A754" s="203"/>
      <c r="B754" s="203"/>
      <c r="C754" s="203"/>
      <c r="D754" s="203"/>
      <c r="E754" s="203"/>
      <c r="F754" s="203"/>
      <c r="G754" s="203"/>
      <c r="H754" s="412"/>
      <c r="I754" s="413"/>
      <c r="J754" s="413"/>
      <c r="K754" s="413"/>
      <c r="L754" s="414"/>
    </row>
    <row r="755">
      <c r="A755" s="207"/>
      <c r="B755" s="207"/>
      <c r="C755" s="207"/>
      <c r="D755" s="207"/>
      <c r="E755" s="207"/>
      <c r="F755" s="207"/>
      <c r="G755" s="207"/>
      <c r="H755" s="415"/>
      <c r="I755" s="416"/>
      <c r="J755" s="416"/>
      <c r="K755" s="416"/>
      <c r="L755" s="417"/>
    </row>
    <row r="756">
      <c r="A756" s="203"/>
      <c r="B756" s="203"/>
      <c r="C756" s="203"/>
      <c r="D756" s="203"/>
      <c r="E756" s="203"/>
      <c r="F756" s="203"/>
      <c r="G756" s="203"/>
      <c r="H756" s="412"/>
      <c r="I756" s="413"/>
      <c r="J756" s="413"/>
      <c r="K756" s="413"/>
      <c r="L756" s="414"/>
    </row>
    <row r="757">
      <c r="A757" s="207"/>
      <c r="B757" s="207"/>
      <c r="C757" s="207"/>
      <c r="D757" s="207"/>
      <c r="E757" s="207"/>
      <c r="F757" s="207"/>
      <c r="G757" s="207"/>
      <c r="H757" s="415"/>
      <c r="I757" s="416"/>
      <c r="J757" s="416"/>
      <c r="K757" s="416"/>
      <c r="L757" s="417"/>
    </row>
    <row r="758">
      <c r="A758" s="203"/>
      <c r="B758" s="203"/>
      <c r="C758" s="203"/>
      <c r="D758" s="203"/>
      <c r="E758" s="203"/>
      <c r="F758" s="203"/>
      <c r="G758" s="203"/>
      <c r="H758" s="412"/>
      <c r="I758" s="413"/>
      <c r="J758" s="413"/>
      <c r="K758" s="413"/>
      <c r="L758" s="414"/>
    </row>
    <row r="759">
      <c r="A759" s="207"/>
      <c r="B759" s="207"/>
      <c r="C759" s="207"/>
      <c r="D759" s="207"/>
      <c r="E759" s="207"/>
      <c r="F759" s="207"/>
      <c r="G759" s="207"/>
      <c r="H759" s="415"/>
      <c r="I759" s="416"/>
      <c r="J759" s="416"/>
      <c r="K759" s="416"/>
      <c r="L759" s="417"/>
    </row>
    <row r="760">
      <c r="A760" s="203"/>
      <c r="B760" s="203"/>
      <c r="C760" s="203"/>
      <c r="D760" s="203"/>
      <c r="E760" s="203"/>
      <c r="F760" s="203"/>
      <c r="G760" s="203"/>
      <c r="H760" s="412"/>
      <c r="I760" s="413"/>
      <c r="J760" s="413"/>
      <c r="K760" s="413"/>
      <c r="L760" s="414"/>
    </row>
    <row r="761">
      <c r="A761" s="207"/>
      <c r="B761" s="207"/>
      <c r="C761" s="207"/>
      <c r="D761" s="207"/>
      <c r="E761" s="207"/>
      <c r="F761" s="207"/>
      <c r="G761" s="207"/>
      <c r="H761" s="415"/>
      <c r="I761" s="416"/>
      <c r="J761" s="416"/>
      <c r="K761" s="416"/>
      <c r="L761" s="417"/>
    </row>
    <row r="762">
      <c r="A762" s="203"/>
      <c r="B762" s="203"/>
      <c r="C762" s="203"/>
      <c r="D762" s="203"/>
      <c r="E762" s="203"/>
      <c r="F762" s="203"/>
      <c r="G762" s="203"/>
      <c r="H762" s="412"/>
      <c r="I762" s="413"/>
      <c r="J762" s="413"/>
      <c r="K762" s="413"/>
      <c r="L762" s="414"/>
    </row>
    <row r="763">
      <c r="A763" s="207"/>
      <c r="B763" s="207"/>
      <c r="C763" s="207"/>
      <c r="D763" s="207"/>
      <c r="E763" s="207"/>
      <c r="F763" s="207"/>
      <c r="G763" s="207"/>
      <c r="H763" s="415"/>
      <c r="I763" s="416"/>
      <c r="J763" s="416"/>
      <c r="K763" s="416"/>
      <c r="L763" s="417"/>
    </row>
    <row r="764">
      <c r="A764" s="203"/>
      <c r="B764" s="203"/>
      <c r="C764" s="203"/>
      <c r="D764" s="203"/>
      <c r="E764" s="203"/>
      <c r="F764" s="203"/>
      <c r="G764" s="203"/>
      <c r="H764" s="412"/>
      <c r="I764" s="413"/>
      <c r="J764" s="413"/>
      <c r="K764" s="413"/>
      <c r="L764" s="414"/>
    </row>
    <row r="765">
      <c r="A765" s="207"/>
      <c r="B765" s="207"/>
      <c r="C765" s="207"/>
      <c r="D765" s="207"/>
      <c r="E765" s="207"/>
      <c r="F765" s="207"/>
      <c r="G765" s="207"/>
      <c r="H765" s="415"/>
      <c r="I765" s="416"/>
      <c r="J765" s="416"/>
      <c r="K765" s="416"/>
      <c r="L765" s="417"/>
    </row>
    <row r="766">
      <c r="A766" s="203"/>
      <c r="B766" s="203"/>
      <c r="C766" s="203"/>
      <c r="D766" s="203"/>
      <c r="E766" s="203"/>
      <c r="F766" s="203"/>
      <c r="G766" s="203"/>
      <c r="H766" s="412"/>
      <c r="I766" s="413"/>
      <c r="J766" s="413"/>
      <c r="K766" s="413"/>
      <c r="L766" s="414"/>
    </row>
    <row r="767">
      <c r="A767" s="207"/>
      <c r="B767" s="207"/>
      <c r="C767" s="207"/>
      <c r="D767" s="207"/>
      <c r="E767" s="207"/>
      <c r="F767" s="207"/>
      <c r="G767" s="207"/>
      <c r="H767" s="415"/>
      <c r="I767" s="416"/>
      <c r="J767" s="416"/>
      <c r="K767" s="416"/>
      <c r="L767" s="417"/>
    </row>
    <row r="768">
      <c r="A768" s="203"/>
      <c r="B768" s="203"/>
      <c r="C768" s="203"/>
      <c r="D768" s="203"/>
      <c r="E768" s="203"/>
      <c r="F768" s="203"/>
      <c r="G768" s="203"/>
      <c r="H768" s="412"/>
      <c r="I768" s="413"/>
      <c r="J768" s="413"/>
      <c r="K768" s="413"/>
      <c r="L768" s="414"/>
    </row>
    <row r="769">
      <c r="A769" s="207"/>
      <c r="B769" s="207"/>
      <c r="C769" s="207"/>
      <c r="D769" s="207"/>
      <c r="E769" s="207"/>
      <c r="F769" s="207"/>
      <c r="G769" s="207"/>
      <c r="H769" s="415"/>
      <c r="I769" s="416"/>
      <c r="J769" s="416"/>
      <c r="K769" s="416"/>
      <c r="L769" s="417"/>
    </row>
    <row r="770">
      <c r="A770" s="203"/>
      <c r="B770" s="203"/>
      <c r="C770" s="203"/>
      <c r="D770" s="203"/>
      <c r="E770" s="203"/>
      <c r="F770" s="203"/>
      <c r="G770" s="203"/>
      <c r="H770" s="412"/>
      <c r="I770" s="413"/>
      <c r="J770" s="413"/>
      <c r="K770" s="413"/>
      <c r="L770" s="414"/>
    </row>
    <row r="771">
      <c r="A771" s="207"/>
      <c r="B771" s="207"/>
      <c r="C771" s="207"/>
      <c r="D771" s="207"/>
      <c r="E771" s="207"/>
      <c r="F771" s="207"/>
      <c r="G771" s="207"/>
      <c r="H771" s="415"/>
      <c r="I771" s="416"/>
      <c r="J771" s="416"/>
      <c r="K771" s="416"/>
      <c r="L771" s="417"/>
    </row>
    <row r="772">
      <c r="A772" s="203"/>
      <c r="B772" s="203"/>
      <c r="C772" s="203"/>
      <c r="D772" s="203"/>
      <c r="E772" s="203"/>
      <c r="F772" s="203"/>
      <c r="G772" s="203"/>
      <c r="H772" s="412"/>
      <c r="I772" s="413"/>
      <c r="J772" s="413"/>
      <c r="K772" s="413"/>
      <c r="L772" s="414"/>
    </row>
    <row r="773">
      <c r="A773" s="207"/>
      <c r="B773" s="207"/>
      <c r="C773" s="207"/>
      <c r="D773" s="207"/>
      <c r="E773" s="207"/>
      <c r="F773" s="207"/>
      <c r="G773" s="207"/>
      <c r="H773" s="415"/>
      <c r="I773" s="416"/>
      <c r="J773" s="416"/>
      <c r="K773" s="416"/>
      <c r="L773" s="417"/>
    </row>
    <row r="774">
      <c r="A774" s="203"/>
      <c r="B774" s="203"/>
      <c r="C774" s="203"/>
      <c r="D774" s="203"/>
      <c r="E774" s="203"/>
      <c r="F774" s="203"/>
      <c r="G774" s="203"/>
      <c r="H774" s="412"/>
      <c r="I774" s="413"/>
      <c r="J774" s="413"/>
      <c r="K774" s="413"/>
      <c r="L774" s="414"/>
    </row>
    <row r="775">
      <c r="A775" s="207"/>
      <c r="B775" s="207"/>
      <c r="C775" s="207"/>
      <c r="D775" s="207"/>
      <c r="E775" s="207"/>
      <c r="F775" s="207"/>
      <c r="G775" s="207"/>
      <c r="H775" s="415"/>
      <c r="I775" s="416"/>
      <c r="J775" s="416"/>
      <c r="K775" s="416"/>
      <c r="L775" s="417"/>
    </row>
    <row r="776">
      <c r="A776" s="203"/>
      <c r="B776" s="203"/>
      <c r="C776" s="203"/>
      <c r="D776" s="203"/>
      <c r="E776" s="203"/>
      <c r="F776" s="203"/>
      <c r="G776" s="203"/>
      <c r="H776" s="412"/>
      <c r="I776" s="413"/>
      <c r="J776" s="413"/>
      <c r="K776" s="413"/>
      <c r="L776" s="414"/>
    </row>
    <row r="777">
      <c r="A777" s="207"/>
      <c r="B777" s="207"/>
      <c r="C777" s="207"/>
      <c r="D777" s="207"/>
      <c r="E777" s="207"/>
      <c r="F777" s="207"/>
      <c r="G777" s="207"/>
      <c r="H777" s="415"/>
      <c r="I777" s="416"/>
      <c r="J777" s="416"/>
      <c r="K777" s="416"/>
      <c r="L777" s="417"/>
    </row>
    <row r="778">
      <c r="A778" s="203"/>
      <c r="B778" s="203"/>
      <c r="C778" s="203"/>
      <c r="D778" s="203"/>
      <c r="E778" s="203"/>
      <c r="F778" s="203"/>
      <c r="G778" s="203"/>
      <c r="H778" s="412"/>
      <c r="I778" s="413"/>
      <c r="J778" s="413"/>
      <c r="K778" s="413"/>
      <c r="L778" s="414"/>
    </row>
    <row r="779">
      <c r="A779" s="207"/>
      <c r="B779" s="207"/>
      <c r="C779" s="207"/>
      <c r="D779" s="207"/>
      <c r="E779" s="207"/>
      <c r="F779" s="207"/>
      <c r="G779" s="207"/>
      <c r="H779" s="415"/>
      <c r="I779" s="416"/>
      <c r="J779" s="416"/>
      <c r="K779" s="416"/>
      <c r="L779" s="417"/>
    </row>
    <row r="780">
      <c r="A780" s="203"/>
      <c r="B780" s="203"/>
      <c r="C780" s="203"/>
      <c r="D780" s="203"/>
      <c r="E780" s="203"/>
      <c r="F780" s="203"/>
      <c r="G780" s="203"/>
      <c r="H780" s="412"/>
      <c r="I780" s="413"/>
      <c r="J780" s="413"/>
      <c r="K780" s="413"/>
      <c r="L780" s="414"/>
    </row>
    <row r="781">
      <c r="A781" s="207"/>
      <c r="B781" s="207"/>
      <c r="C781" s="207"/>
      <c r="D781" s="207"/>
      <c r="E781" s="207"/>
      <c r="F781" s="207"/>
      <c r="G781" s="207"/>
      <c r="H781" s="415"/>
      <c r="I781" s="416"/>
      <c r="J781" s="416"/>
      <c r="K781" s="416"/>
      <c r="L781" s="417"/>
    </row>
    <row r="782">
      <c r="A782" s="203"/>
      <c r="B782" s="203"/>
      <c r="C782" s="203"/>
      <c r="D782" s="203"/>
      <c r="E782" s="203"/>
      <c r="F782" s="203"/>
      <c r="G782" s="203"/>
      <c r="H782" s="412"/>
      <c r="I782" s="413"/>
      <c r="J782" s="413"/>
      <c r="K782" s="413"/>
      <c r="L782" s="414"/>
    </row>
    <row r="783">
      <c r="A783" s="207"/>
      <c r="B783" s="207"/>
      <c r="C783" s="207"/>
      <c r="D783" s="207"/>
      <c r="E783" s="207"/>
      <c r="F783" s="207"/>
      <c r="G783" s="207"/>
      <c r="H783" s="415"/>
      <c r="I783" s="416"/>
      <c r="J783" s="416"/>
      <c r="K783" s="416"/>
      <c r="L783" s="417"/>
    </row>
    <row r="784">
      <c r="A784" s="203"/>
      <c r="B784" s="203"/>
      <c r="C784" s="203"/>
      <c r="D784" s="203"/>
      <c r="E784" s="203"/>
      <c r="F784" s="203"/>
      <c r="G784" s="203"/>
      <c r="H784" s="412"/>
      <c r="I784" s="413"/>
      <c r="J784" s="413"/>
      <c r="K784" s="413"/>
      <c r="L784" s="414"/>
    </row>
    <row r="785">
      <c r="A785" s="207"/>
      <c r="B785" s="207"/>
      <c r="C785" s="207"/>
      <c r="D785" s="207"/>
      <c r="E785" s="207"/>
      <c r="F785" s="207"/>
      <c r="G785" s="207"/>
      <c r="H785" s="415"/>
      <c r="I785" s="416"/>
      <c r="J785" s="416"/>
      <c r="K785" s="416"/>
      <c r="L785" s="417"/>
    </row>
    <row r="786">
      <c r="A786" s="203"/>
      <c r="B786" s="203"/>
      <c r="C786" s="203"/>
      <c r="D786" s="203"/>
      <c r="E786" s="203"/>
      <c r="F786" s="203"/>
      <c r="G786" s="203"/>
      <c r="H786" s="412"/>
      <c r="I786" s="413"/>
      <c r="J786" s="413"/>
      <c r="K786" s="413"/>
      <c r="L786" s="414"/>
    </row>
    <row r="787">
      <c r="A787" s="207"/>
      <c r="B787" s="207"/>
      <c r="C787" s="207"/>
      <c r="D787" s="207"/>
      <c r="E787" s="207"/>
      <c r="F787" s="207"/>
      <c r="G787" s="207"/>
      <c r="H787" s="415"/>
      <c r="I787" s="416"/>
      <c r="J787" s="416"/>
      <c r="K787" s="416"/>
      <c r="L787" s="417"/>
    </row>
    <row r="788">
      <c r="A788" s="203"/>
      <c r="B788" s="203"/>
      <c r="C788" s="203"/>
      <c r="D788" s="203"/>
      <c r="E788" s="203"/>
      <c r="F788" s="203"/>
      <c r="G788" s="203"/>
      <c r="H788" s="412"/>
      <c r="I788" s="413"/>
      <c r="J788" s="413"/>
      <c r="K788" s="413"/>
      <c r="L788" s="414"/>
    </row>
    <row r="789">
      <c r="A789" s="207"/>
      <c r="B789" s="207"/>
      <c r="C789" s="207"/>
      <c r="D789" s="207"/>
      <c r="E789" s="207"/>
      <c r="F789" s="207"/>
      <c r="G789" s="207"/>
      <c r="H789" s="415"/>
      <c r="I789" s="416"/>
      <c r="J789" s="416"/>
      <c r="K789" s="416"/>
      <c r="L789" s="417"/>
    </row>
    <row r="790">
      <c r="A790" s="203"/>
      <c r="B790" s="203"/>
      <c r="C790" s="203"/>
      <c r="D790" s="203"/>
      <c r="E790" s="203"/>
      <c r="F790" s="203"/>
      <c r="G790" s="203"/>
      <c r="H790" s="412"/>
      <c r="I790" s="413"/>
      <c r="J790" s="413"/>
      <c r="K790" s="413"/>
      <c r="L790" s="414"/>
    </row>
    <row r="791">
      <c r="A791" s="207"/>
      <c r="B791" s="207"/>
      <c r="C791" s="207"/>
      <c r="D791" s="207"/>
      <c r="E791" s="207"/>
      <c r="F791" s="207"/>
      <c r="G791" s="207"/>
      <c r="H791" s="415"/>
      <c r="I791" s="416"/>
      <c r="J791" s="416"/>
      <c r="K791" s="416"/>
      <c r="L791" s="417"/>
    </row>
    <row r="792">
      <c r="A792" s="203"/>
      <c r="B792" s="203"/>
      <c r="C792" s="203"/>
      <c r="D792" s="203"/>
      <c r="E792" s="203"/>
      <c r="F792" s="203"/>
      <c r="G792" s="203"/>
      <c r="H792" s="412"/>
      <c r="I792" s="413"/>
      <c r="J792" s="413"/>
      <c r="K792" s="413"/>
      <c r="L792" s="414"/>
    </row>
    <row r="793">
      <c r="A793" s="207"/>
      <c r="B793" s="207"/>
      <c r="C793" s="207"/>
      <c r="D793" s="207"/>
      <c r="E793" s="207"/>
      <c r="F793" s="207"/>
      <c r="G793" s="207"/>
      <c r="H793" s="415"/>
      <c r="I793" s="416"/>
      <c r="J793" s="416"/>
      <c r="K793" s="416"/>
      <c r="L793" s="417"/>
    </row>
    <row r="794">
      <c r="A794" s="203"/>
      <c r="B794" s="203"/>
      <c r="C794" s="203"/>
      <c r="D794" s="203"/>
      <c r="E794" s="203"/>
      <c r="F794" s="203"/>
      <c r="G794" s="203"/>
      <c r="H794" s="412"/>
      <c r="I794" s="413"/>
      <c r="J794" s="413"/>
      <c r="K794" s="413"/>
      <c r="L794" s="414"/>
    </row>
    <row r="795">
      <c r="A795" s="207"/>
      <c r="B795" s="207"/>
      <c r="C795" s="207"/>
      <c r="D795" s="207"/>
      <c r="E795" s="207"/>
      <c r="F795" s="207"/>
      <c r="G795" s="207"/>
      <c r="H795" s="415"/>
      <c r="I795" s="416"/>
      <c r="J795" s="416"/>
      <c r="K795" s="416"/>
      <c r="L795" s="417"/>
    </row>
    <row r="796">
      <c r="A796" s="203"/>
      <c r="B796" s="203"/>
      <c r="C796" s="203"/>
      <c r="D796" s="203"/>
      <c r="E796" s="203"/>
      <c r="F796" s="203"/>
      <c r="G796" s="203"/>
      <c r="H796" s="412"/>
      <c r="I796" s="413"/>
      <c r="J796" s="413"/>
      <c r="K796" s="413"/>
      <c r="L796" s="414"/>
    </row>
    <row r="797">
      <c r="A797" s="207"/>
      <c r="B797" s="207"/>
      <c r="C797" s="207"/>
      <c r="D797" s="207"/>
      <c r="E797" s="207"/>
      <c r="F797" s="207"/>
      <c r="G797" s="207"/>
      <c r="H797" s="415"/>
      <c r="I797" s="416"/>
      <c r="J797" s="416"/>
      <c r="K797" s="416"/>
      <c r="L797" s="417"/>
    </row>
    <row r="798">
      <c r="A798" s="203"/>
      <c r="B798" s="203"/>
      <c r="C798" s="203"/>
      <c r="D798" s="203"/>
      <c r="E798" s="203"/>
      <c r="F798" s="203"/>
      <c r="G798" s="203"/>
      <c r="H798" s="412"/>
      <c r="I798" s="413"/>
      <c r="J798" s="413"/>
      <c r="K798" s="413"/>
      <c r="L798" s="414"/>
    </row>
    <row r="799">
      <c r="A799" s="207"/>
      <c r="B799" s="207"/>
      <c r="C799" s="207"/>
      <c r="D799" s="207"/>
      <c r="E799" s="207"/>
      <c r="F799" s="207"/>
      <c r="G799" s="207"/>
      <c r="H799" s="415"/>
      <c r="I799" s="416"/>
      <c r="J799" s="416"/>
      <c r="K799" s="416"/>
      <c r="L799" s="417"/>
    </row>
    <row r="800">
      <c r="A800" s="203"/>
      <c r="B800" s="203"/>
      <c r="C800" s="203"/>
      <c r="D800" s="203"/>
      <c r="E800" s="203"/>
      <c r="F800" s="203"/>
      <c r="G800" s="203"/>
      <c r="H800" s="412"/>
      <c r="I800" s="413"/>
      <c r="J800" s="413"/>
      <c r="K800" s="413"/>
      <c r="L800" s="414"/>
    </row>
    <row r="801">
      <c r="A801" s="207"/>
      <c r="B801" s="207"/>
      <c r="C801" s="207"/>
      <c r="D801" s="207"/>
      <c r="E801" s="207"/>
      <c r="F801" s="207"/>
      <c r="G801" s="207"/>
      <c r="H801" s="415"/>
      <c r="I801" s="416"/>
      <c r="J801" s="416"/>
      <c r="K801" s="416"/>
      <c r="L801" s="417"/>
    </row>
    <row r="802">
      <c r="A802" s="203"/>
      <c r="B802" s="203"/>
      <c r="C802" s="203"/>
      <c r="D802" s="203"/>
      <c r="E802" s="203"/>
      <c r="F802" s="203"/>
      <c r="G802" s="203"/>
      <c r="H802" s="412"/>
      <c r="I802" s="413"/>
      <c r="J802" s="413"/>
      <c r="K802" s="413"/>
      <c r="L802" s="414"/>
    </row>
    <row r="803">
      <c r="A803" s="207"/>
      <c r="B803" s="207"/>
      <c r="C803" s="207"/>
      <c r="D803" s="207"/>
      <c r="E803" s="207"/>
      <c r="F803" s="207"/>
      <c r="G803" s="207"/>
      <c r="H803" s="415"/>
      <c r="I803" s="416"/>
      <c r="J803" s="416"/>
      <c r="K803" s="416"/>
      <c r="L803" s="417"/>
    </row>
    <row r="804">
      <c r="A804" s="203"/>
      <c r="B804" s="203"/>
      <c r="C804" s="203"/>
      <c r="D804" s="203"/>
      <c r="E804" s="203"/>
      <c r="F804" s="203"/>
      <c r="G804" s="203"/>
      <c r="H804" s="412"/>
      <c r="I804" s="413"/>
      <c r="J804" s="413"/>
      <c r="K804" s="413"/>
      <c r="L804" s="414"/>
    </row>
    <row r="805">
      <c r="A805" s="207"/>
      <c r="B805" s="207"/>
      <c r="C805" s="207"/>
      <c r="D805" s="207"/>
      <c r="E805" s="207"/>
      <c r="F805" s="207"/>
      <c r="G805" s="207"/>
      <c r="H805" s="415"/>
      <c r="I805" s="416"/>
      <c r="J805" s="416"/>
      <c r="K805" s="416"/>
      <c r="L805" s="417"/>
    </row>
    <row r="806">
      <c r="A806" s="203"/>
      <c r="B806" s="203"/>
      <c r="C806" s="203"/>
      <c r="D806" s="203"/>
      <c r="E806" s="203"/>
      <c r="F806" s="203"/>
      <c r="G806" s="203"/>
      <c r="H806" s="412"/>
      <c r="I806" s="413"/>
      <c r="J806" s="413"/>
      <c r="K806" s="413"/>
      <c r="L806" s="414"/>
    </row>
    <row r="807">
      <c r="A807" s="207"/>
      <c r="B807" s="207"/>
      <c r="C807" s="207"/>
      <c r="D807" s="207"/>
      <c r="E807" s="207"/>
      <c r="F807" s="207"/>
      <c r="G807" s="207"/>
      <c r="H807" s="415"/>
      <c r="I807" s="416"/>
      <c r="J807" s="416"/>
      <c r="K807" s="416"/>
      <c r="L807" s="417"/>
    </row>
    <row r="808">
      <c r="A808" s="203"/>
      <c r="B808" s="203"/>
      <c r="C808" s="203"/>
      <c r="D808" s="203"/>
      <c r="E808" s="203"/>
      <c r="F808" s="203"/>
      <c r="G808" s="203"/>
      <c r="H808" s="412"/>
      <c r="I808" s="413"/>
      <c r="J808" s="413"/>
      <c r="K808" s="413"/>
      <c r="L808" s="414"/>
    </row>
    <row r="809">
      <c r="A809" s="207"/>
      <c r="B809" s="207"/>
      <c r="C809" s="207"/>
      <c r="D809" s="207"/>
      <c r="E809" s="207"/>
      <c r="F809" s="207"/>
      <c r="G809" s="207"/>
      <c r="H809" s="415"/>
      <c r="I809" s="416"/>
      <c r="J809" s="416"/>
      <c r="K809" s="416"/>
      <c r="L809" s="417"/>
    </row>
    <row r="810">
      <c r="A810" s="203"/>
      <c r="B810" s="203"/>
      <c r="C810" s="203"/>
      <c r="D810" s="203"/>
      <c r="E810" s="203"/>
      <c r="F810" s="203"/>
      <c r="G810" s="203"/>
      <c r="H810" s="412"/>
      <c r="I810" s="413"/>
      <c r="J810" s="413"/>
      <c r="K810" s="413"/>
      <c r="L810" s="414"/>
    </row>
    <row r="811">
      <c r="A811" s="207"/>
      <c r="B811" s="207"/>
      <c r="C811" s="207"/>
      <c r="D811" s="207"/>
      <c r="E811" s="207"/>
      <c r="F811" s="207"/>
      <c r="G811" s="207"/>
      <c r="H811" s="415"/>
      <c r="I811" s="416"/>
      <c r="J811" s="416"/>
      <c r="K811" s="416"/>
      <c r="L811" s="417"/>
    </row>
    <row r="812">
      <c r="A812" s="203"/>
      <c r="B812" s="203"/>
      <c r="C812" s="203"/>
      <c r="D812" s="203"/>
      <c r="E812" s="203"/>
      <c r="F812" s="203"/>
      <c r="G812" s="203"/>
      <c r="H812" s="412"/>
      <c r="I812" s="413"/>
      <c r="J812" s="413"/>
      <c r="K812" s="413"/>
      <c r="L812" s="414"/>
    </row>
    <row r="813">
      <c r="A813" s="207"/>
      <c r="B813" s="207"/>
      <c r="C813" s="207"/>
      <c r="D813" s="207"/>
      <c r="E813" s="207"/>
      <c r="F813" s="207"/>
      <c r="G813" s="207"/>
      <c r="H813" s="415"/>
      <c r="I813" s="416"/>
      <c r="J813" s="416"/>
      <c r="K813" s="416"/>
      <c r="L813" s="417"/>
    </row>
    <row r="814">
      <c r="A814" s="203"/>
      <c r="B814" s="203"/>
      <c r="C814" s="203"/>
      <c r="D814" s="203"/>
      <c r="E814" s="203"/>
      <c r="F814" s="203"/>
      <c r="G814" s="203"/>
      <c r="H814" s="412"/>
      <c r="I814" s="413"/>
      <c r="J814" s="413"/>
      <c r="K814" s="413"/>
      <c r="L814" s="414"/>
    </row>
    <row r="815">
      <c r="A815" s="207"/>
      <c r="B815" s="207"/>
      <c r="C815" s="207"/>
      <c r="D815" s="207"/>
      <c r="E815" s="207"/>
      <c r="F815" s="207"/>
      <c r="G815" s="207"/>
      <c r="H815" s="415"/>
      <c r="I815" s="416"/>
      <c r="J815" s="416"/>
      <c r="K815" s="416"/>
      <c r="L815" s="417"/>
    </row>
    <row r="816">
      <c r="A816" s="203"/>
      <c r="B816" s="203"/>
      <c r="C816" s="203"/>
      <c r="D816" s="203"/>
      <c r="E816" s="203"/>
      <c r="F816" s="203"/>
      <c r="G816" s="203"/>
      <c r="H816" s="412"/>
      <c r="I816" s="413"/>
      <c r="J816" s="413"/>
      <c r="K816" s="413"/>
      <c r="L816" s="414"/>
    </row>
    <row r="817">
      <c r="A817" s="207"/>
      <c r="B817" s="207"/>
      <c r="C817" s="207"/>
      <c r="D817" s="207"/>
      <c r="E817" s="207"/>
      <c r="F817" s="207"/>
      <c r="G817" s="207"/>
      <c r="H817" s="415"/>
      <c r="I817" s="416"/>
      <c r="J817" s="416"/>
      <c r="K817" s="416"/>
      <c r="L817" s="417"/>
    </row>
    <row r="818">
      <c r="A818" s="203"/>
      <c r="B818" s="203"/>
      <c r="C818" s="203"/>
      <c r="D818" s="203"/>
      <c r="E818" s="203"/>
      <c r="F818" s="203"/>
      <c r="G818" s="203"/>
      <c r="H818" s="412"/>
      <c r="I818" s="413"/>
      <c r="J818" s="413"/>
      <c r="K818" s="413"/>
      <c r="L818" s="414"/>
    </row>
    <row r="819">
      <c r="A819" s="207"/>
      <c r="B819" s="207"/>
      <c r="C819" s="207"/>
      <c r="D819" s="207"/>
      <c r="E819" s="207"/>
      <c r="F819" s="207"/>
      <c r="G819" s="207"/>
      <c r="H819" s="415"/>
      <c r="I819" s="416"/>
      <c r="J819" s="416"/>
      <c r="K819" s="416"/>
      <c r="L819" s="417"/>
    </row>
    <row r="820">
      <c r="A820" s="203"/>
      <c r="B820" s="203"/>
      <c r="C820" s="203"/>
      <c r="D820" s="203"/>
      <c r="E820" s="203"/>
      <c r="F820" s="203"/>
      <c r="G820" s="203"/>
      <c r="H820" s="412"/>
      <c r="I820" s="413"/>
      <c r="J820" s="413"/>
      <c r="K820" s="413"/>
      <c r="L820" s="414"/>
    </row>
    <row r="821">
      <c r="A821" s="207"/>
      <c r="B821" s="207"/>
      <c r="C821" s="207"/>
      <c r="D821" s="207"/>
      <c r="E821" s="207"/>
      <c r="F821" s="207"/>
      <c r="G821" s="207"/>
      <c r="H821" s="415"/>
      <c r="I821" s="416"/>
      <c r="J821" s="416"/>
      <c r="K821" s="416"/>
      <c r="L821" s="417"/>
    </row>
    <row r="822">
      <c r="A822" s="203"/>
      <c r="B822" s="203"/>
      <c r="C822" s="203"/>
      <c r="D822" s="203"/>
      <c r="E822" s="203"/>
      <c r="F822" s="203"/>
      <c r="G822" s="203"/>
      <c r="H822" s="412"/>
      <c r="I822" s="413"/>
      <c r="J822" s="413"/>
      <c r="K822" s="413"/>
      <c r="L822" s="414"/>
    </row>
    <row r="823">
      <c r="A823" s="207"/>
      <c r="B823" s="207"/>
      <c r="C823" s="207"/>
      <c r="D823" s="207"/>
      <c r="E823" s="207"/>
      <c r="F823" s="207"/>
      <c r="G823" s="207"/>
      <c r="H823" s="415"/>
      <c r="I823" s="416"/>
      <c r="J823" s="416"/>
      <c r="K823" s="416"/>
      <c r="L823" s="417"/>
    </row>
    <row r="824">
      <c r="A824" s="203"/>
      <c r="B824" s="203"/>
      <c r="C824" s="203"/>
      <c r="D824" s="203"/>
      <c r="E824" s="203"/>
      <c r="F824" s="203"/>
      <c r="G824" s="203"/>
      <c r="H824" s="412"/>
      <c r="I824" s="413"/>
      <c r="J824" s="413"/>
      <c r="K824" s="413"/>
      <c r="L824" s="414"/>
    </row>
    <row r="825">
      <c r="A825" s="207"/>
      <c r="B825" s="207"/>
      <c r="C825" s="207"/>
      <c r="D825" s="207"/>
      <c r="E825" s="207"/>
      <c r="F825" s="207"/>
      <c r="G825" s="207"/>
      <c r="H825" s="415"/>
      <c r="I825" s="416"/>
      <c r="J825" s="416"/>
      <c r="K825" s="416"/>
      <c r="L825" s="417"/>
    </row>
    <row r="826">
      <c r="A826" s="203"/>
      <c r="B826" s="203"/>
      <c r="C826" s="203"/>
      <c r="D826" s="203"/>
      <c r="E826" s="203"/>
      <c r="F826" s="203"/>
      <c r="G826" s="203"/>
      <c r="H826" s="412"/>
      <c r="I826" s="413"/>
      <c r="J826" s="413"/>
      <c r="K826" s="413"/>
      <c r="L826" s="414"/>
    </row>
    <row r="827">
      <c r="A827" s="207"/>
      <c r="B827" s="207"/>
      <c r="C827" s="207"/>
      <c r="D827" s="207"/>
      <c r="E827" s="207"/>
      <c r="F827" s="207"/>
      <c r="G827" s="207"/>
      <c r="H827" s="415"/>
      <c r="I827" s="416"/>
      <c r="J827" s="416"/>
      <c r="K827" s="416"/>
      <c r="L827" s="417"/>
    </row>
    <row r="828">
      <c r="A828" s="203"/>
      <c r="B828" s="203"/>
      <c r="C828" s="203"/>
      <c r="D828" s="203"/>
      <c r="E828" s="203"/>
      <c r="F828" s="203"/>
      <c r="G828" s="203"/>
      <c r="H828" s="412"/>
      <c r="I828" s="413"/>
      <c r="J828" s="413"/>
      <c r="K828" s="413"/>
      <c r="L828" s="414"/>
    </row>
    <row r="829">
      <c r="A829" s="207"/>
      <c r="B829" s="207"/>
      <c r="C829" s="207"/>
      <c r="D829" s="207"/>
      <c r="E829" s="207"/>
      <c r="F829" s="207"/>
      <c r="G829" s="207"/>
      <c r="H829" s="415"/>
      <c r="I829" s="416"/>
      <c r="J829" s="416"/>
      <c r="K829" s="416"/>
      <c r="L829" s="417"/>
    </row>
    <row r="830">
      <c r="A830" s="203"/>
      <c r="B830" s="203"/>
      <c r="C830" s="203"/>
      <c r="D830" s="203"/>
      <c r="E830" s="203"/>
      <c r="F830" s="203"/>
      <c r="G830" s="203"/>
      <c r="H830" s="412"/>
      <c r="I830" s="413"/>
      <c r="J830" s="413"/>
      <c r="K830" s="413"/>
      <c r="L830" s="414"/>
    </row>
    <row r="831">
      <c r="A831" s="207"/>
      <c r="B831" s="207"/>
      <c r="C831" s="207"/>
      <c r="D831" s="207"/>
      <c r="E831" s="207"/>
      <c r="F831" s="207"/>
      <c r="G831" s="207"/>
      <c r="H831" s="415"/>
      <c r="I831" s="416"/>
      <c r="J831" s="416"/>
      <c r="K831" s="416"/>
      <c r="L831" s="417"/>
    </row>
    <row r="832">
      <c r="A832" s="203"/>
      <c r="B832" s="203"/>
      <c r="C832" s="203"/>
      <c r="D832" s="203"/>
      <c r="E832" s="203"/>
      <c r="F832" s="203"/>
      <c r="G832" s="203"/>
      <c r="H832" s="412"/>
      <c r="I832" s="413"/>
      <c r="J832" s="413"/>
      <c r="K832" s="413"/>
      <c r="L832" s="414"/>
    </row>
    <row r="833">
      <c r="A833" s="207"/>
      <c r="B833" s="207"/>
      <c r="C833" s="207"/>
      <c r="D833" s="207"/>
      <c r="E833" s="207"/>
      <c r="F833" s="207"/>
      <c r="G833" s="207"/>
      <c r="H833" s="415"/>
      <c r="I833" s="416"/>
      <c r="J833" s="416"/>
      <c r="K833" s="416"/>
      <c r="L833" s="417"/>
    </row>
    <row r="834">
      <c r="A834" s="203"/>
      <c r="B834" s="203"/>
      <c r="C834" s="203"/>
      <c r="D834" s="203"/>
      <c r="E834" s="203"/>
      <c r="F834" s="203"/>
      <c r="G834" s="203"/>
      <c r="H834" s="412"/>
      <c r="I834" s="413"/>
      <c r="J834" s="413"/>
      <c r="K834" s="413"/>
      <c r="L834" s="414"/>
    </row>
    <row r="835">
      <c r="A835" s="207"/>
      <c r="B835" s="207"/>
      <c r="C835" s="207"/>
      <c r="D835" s="207"/>
      <c r="E835" s="207"/>
      <c r="F835" s="207"/>
      <c r="G835" s="207"/>
      <c r="H835" s="415"/>
      <c r="I835" s="416"/>
      <c r="J835" s="416"/>
      <c r="K835" s="416"/>
      <c r="L835" s="417"/>
    </row>
    <row r="836">
      <c r="A836" s="203"/>
      <c r="B836" s="203"/>
      <c r="C836" s="203"/>
      <c r="D836" s="203"/>
      <c r="E836" s="203"/>
      <c r="F836" s="203"/>
      <c r="G836" s="203"/>
      <c r="H836" s="412"/>
      <c r="I836" s="413"/>
      <c r="J836" s="413"/>
      <c r="K836" s="413"/>
      <c r="L836" s="414"/>
    </row>
    <row r="837">
      <c r="A837" s="207"/>
      <c r="B837" s="207"/>
      <c r="C837" s="207"/>
      <c r="D837" s="207"/>
      <c r="E837" s="207"/>
      <c r="F837" s="207"/>
      <c r="G837" s="207"/>
      <c r="H837" s="415"/>
      <c r="I837" s="416"/>
      <c r="J837" s="416"/>
      <c r="K837" s="416"/>
      <c r="L837" s="417"/>
    </row>
    <row r="838">
      <c r="A838" s="203"/>
      <c r="B838" s="203"/>
      <c r="C838" s="203"/>
      <c r="D838" s="203"/>
      <c r="E838" s="203"/>
      <c r="F838" s="203"/>
      <c r="G838" s="203"/>
      <c r="H838" s="412"/>
      <c r="I838" s="413"/>
      <c r="J838" s="413"/>
      <c r="K838" s="413"/>
      <c r="L838" s="414"/>
    </row>
    <row r="839">
      <c r="A839" s="207"/>
      <c r="B839" s="207"/>
      <c r="C839" s="207"/>
      <c r="D839" s="207"/>
      <c r="E839" s="207"/>
      <c r="F839" s="207"/>
      <c r="G839" s="207"/>
      <c r="H839" s="415"/>
      <c r="I839" s="416"/>
      <c r="J839" s="416"/>
      <c r="K839" s="416"/>
      <c r="L839" s="417"/>
    </row>
    <row r="840">
      <c r="A840" s="203"/>
      <c r="B840" s="203"/>
      <c r="C840" s="203"/>
      <c r="D840" s="203"/>
      <c r="E840" s="203"/>
      <c r="F840" s="203"/>
      <c r="G840" s="203"/>
      <c r="H840" s="412"/>
      <c r="I840" s="413"/>
      <c r="J840" s="413"/>
      <c r="K840" s="413"/>
      <c r="L840" s="414"/>
    </row>
    <row r="841">
      <c r="A841" s="207"/>
      <c r="B841" s="207"/>
      <c r="C841" s="207"/>
      <c r="D841" s="207"/>
      <c r="E841" s="207"/>
      <c r="F841" s="207"/>
      <c r="G841" s="207"/>
      <c r="H841" s="415"/>
      <c r="I841" s="416"/>
      <c r="J841" s="416"/>
      <c r="K841" s="416"/>
      <c r="L841" s="417"/>
    </row>
    <row r="842">
      <c r="A842" s="203"/>
      <c r="B842" s="203"/>
      <c r="C842" s="203"/>
      <c r="D842" s="203"/>
      <c r="E842" s="203"/>
      <c r="F842" s="203"/>
      <c r="G842" s="203"/>
      <c r="H842" s="412"/>
      <c r="I842" s="413"/>
      <c r="J842" s="413"/>
      <c r="K842" s="413"/>
      <c r="L842" s="414"/>
    </row>
    <row r="843">
      <c r="A843" s="207"/>
      <c r="B843" s="207"/>
      <c r="C843" s="207"/>
      <c r="D843" s="207"/>
      <c r="E843" s="207"/>
      <c r="F843" s="207"/>
      <c r="G843" s="207"/>
      <c r="H843" s="415"/>
      <c r="I843" s="416"/>
      <c r="J843" s="416"/>
      <c r="K843" s="416"/>
      <c r="L843" s="417"/>
    </row>
    <row r="844">
      <c r="A844" s="203"/>
      <c r="B844" s="203"/>
      <c r="C844" s="203"/>
      <c r="D844" s="203"/>
      <c r="E844" s="203"/>
      <c r="F844" s="203"/>
      <c r="G844" s="203"/>
      <c r="H844" s="412"/>
      <c r="I844" s="413"/>
      <c r="J844" s="413"/>
      <c r="K844" s="413"/>
      <c r="L844" s="414"/>
    </row>
    <row r="845">
      <c r="A845" s="207"/>
      <c r="B845" s="207"/>
      <c r="C845" s="207"/>
      <c r="D845" s="207"/>
      <c r="E845" s="207"/>
      <c r="F845" s="207"/>
      <c r="G845" s="207"/>
      <c r="H845" s="415"/>
      <c r="I845" s="416"/>
      <c r="J845" s="416"/>
      <c r="K845" s="416"/>
      <c r="L845" s="417"/>
    </row>
    <row r="846">
      <c r="A846" s="203"/>
      <c r="B846" s="203"/>
      <c r="C846" s="203"/>
      <c r="D846" s="203"/>
      <c r="E846" s="203"/>
      <c r="F846" s="203"/>
      <c r="G846" s="203"/>
      <c r="H846" s="412"/>
      <c r="I846" s="413"/>
      <c r="J846" s="413"/>
      <c r="K846" s="413"/>
      <c r="L846" s="414"/>
    </row>
    <row r="847">
      <c r="A847" s="207"/>
      <c r="B847" s="207"/>
      <c r="C847" s="207"/>
      <c r="D847" s="207"/>
      <c r="E847" s="207"/>
      <c r="F847" s="207"/>
      <c r="G847" s="207"/>
      <c r="H847" s="415"/>
      <c r="I847" s="416"/>
      <c r="J847" s="416"/>
      <c r="K847" s="416"/>
      <c r="L847" s="417"/>
    </row>
    <row r="848">
      <c r="A848" s="203"/>
      <c r="B848" s="203"/>
      <c r="C848" s="203"/>
      <c r="D848" s="203"/>
      <c r="E848" s="203"/>
      <c r="F848" s="203"/>
      <c r="G848" s="203"/>
      <c r="H848" s="412"/>
      <c r="I848" s="413"/>
      <c r="J848" s="413"/>
      <c r="K848" s="413"/>
      <c r="L848" s="414"/>
    </row>
    <row r="849">
      <c r="A849" s="207"/>
      <c r="B849" s="207"/>
      <c r="C849" s="207"/>
      <c r="D849" s="207"/>
      <c r="E849" s="207"/>
      <c r="F849" s="207"/>
      <c r="G849" s="207"/>
      <c r="H849" s="415"/>
      <c r="I849" s="416"/>
      <c r="J849" s="416"/>
      <c r="K849" s="416"/>
      <c r="L849" s="417"/>
    </row>
    <row r="850">
      <c r="A850" s="203"/>
      <c r="B850" s="203"/>
      <c r="C850" s="203"/>
      <c r="D850" s="203"/>
      <c r="E850" s="203"/>
      <c r="F850" s="203"/>
      <c r="G850" s="203"/>
      <c r="H850" s="412"/>
      <c r="I850" s="413"/>
      <c r="J850" s="413"/>
      <c r="K850" s="413"/>
      <c r="L850" s="414"/>
    </row>
    <row r="851">
      <c r="A851" s="207"/>
      <c r="B851" s="207"/>
      <c r="C851" s="207"/>
      <c r="D851" s="207"/>
      <c r="E851" s="207"/>
      <c r="F851" s="207"/>
      <c r="G851" s="207"/>
      <c r="H851" s="415"/>
      <c r="I851" s="416"/>
      <c r="J851" s="416"/>
      <c r="K851" s="416"/>
      <c r="L851" s="417"/>
    </row>
    <row r="852">
      <c r="A852" s="203"/>
      <c r="B852" s="203"/>
      <c r="C852" s="203"/>
      <c r="D852" s="203"/>
      <c r="E852" s="203"/>
      <c r="F852" s="203"/>
      <c r="G852" s="203"/>
      <c r="H852" s="412"/>
      <c r="I852" s="413"/>
      <c r="J852" s="413"/>
      <c r="K852" s="413"/>
      <c r="L852" s="414"/>
    </row>
    <row r="853">
      <c r="A853" s="207"/>
      <c r="B853" s="207"/>
      <c r="C853" s="207"/>
      <c r="D853" s="207"/>
      <c r="E853" s="207"/>
      <c r="F853" s="207"/>
      <c r="G853" s="207"/>
      <c r="H853" s="415"/>
      <c r="I853" s="416"/>
      <c r="J853" s="416"/>
      <c r="K853" s="416"/>
      <c r="L853" s="417"/>
    </row>
    <row r="854">
      <c r="A854" s="203"/>
      <c r="B854" s="203"/>
      <c r="C854" s="203"/>
      <c r="D854" s="203"/>
      <c r="E854" s="203"/>
      <c r="F854" s="203"/>
      <c r="G854" s="203"/>
      <c r="H854" s="412"/>
      <c r="I854" s="413"/>
      <c r="J854" s="413"/>
      <c r="K854" s="413"/>
      <c r="L854" s="414"/>
    </row>
    <row r="855">
      <c r="A855" s="207"/>
      <c r="B855" s="207"/>
      <c r="C855" s="207"/>
      <c r="D855" s="207"/>
      <c r="E855" s="207"/>
      <c r="F855" s="207"/>
      <c r="G855" s="207"/>
      <c r="H855" s="415"/>
      <c r="I855" s="416"/>
      <c r="J855" s="416"/>
      <c r="K855" s="416"/>
      <c r="L855" s="417"/>
    </row>
    <row r="856">
      <c r="A856" s="203"/>
      <c r="B856" s="203"/>
      <c r="C856" s="203"/>
      <c r="D856" s="203"/>
      <c r="E856" s="203"/>
      <c r="F856" s="203"/>
      <c r="G856" s="203"/>
      <c r="H856" s="412"/>
      <c r="I856" s="413"/>
      <c r="J856" s="413"/>
      <c r="K856" s="413"/>
      <c r="L856" s="414"/>
    </row>
    <row r="857">
      <c r="A857" s="207"/>
      <c r="B857" s="207"/>
      <c r="C857" s="207"/>
      <c r="D857" s="207"/>
      <c r="E857" s="207"/>
      <c r="F857" s="207"/>
      <c r="G857" s="207"/>
      <c r="H857" s="415"/>
      <c r="I857" s="416"/>
      <c r="J857" s="416"/>
      <c r="K857" s="416"/>
      <c r="L857" s="417"/>
    </row>
    <row r="858">
      <c r="A858" s="203"/>
      <c r="B858" s="203"/>
      <c r="C858" s="203"/>
      <c r="D858" s="203"/>
      <c r="E858" s="203"/>
      <c r="F858" s="203"/>
      <c r="G858" s="203"/>
      <c r="H858" s="412"/>
      <c r="I858" s="413"/>
      <c r="J858" s="413"/>
      <c r="K858" s="413"/>
      <c r="L858" s="414"/>
    </row>
    <row r="859">
      <c r="A859" s="207"/>
      <c r="B859" s="207"/>
      <c r="C859" s="207"/>
      <c r="D859" s="207"/>
      <c r="E859" s="207"/>
      <c r="F859" s="207"/>
      <c r="G859" s="207"/>
      <c r="H859" s="415"/>
      <c r="I859" s="416"/>
      <c r="J859" s="416"/>
      <c r="K859" s="416"/>
      <c r="L859" s="417"/>
    </row>
    <row r="860">
      <c r="A860" s="203"/>
      <c r="B860" s="203"/>
      <c r="C860" s="203"/>
      <c r="D860" s="203"/>
      <c r="E860" s="203"/>
      <c r="F860" s="203"/>
      <c r="G860" s="203"/>
      <c r="H860" s="412"/>
      <c r="I860" s="413"/>
      <c r="J860" s="413"/>
      <c r="K860" s="413"/>
      <c r="L860" s="414"/>
    </row>
    <row r="861">
      <c r="A861" s="207"/>
      <c r="B861" s="207"/>
      <c r="C861" s="207"/>
      <c r="D861" s="207"/>
      <c r="E861" s="207"/>
      <c r="F861" s="207"/>
      <c r="G861" s="207"/>
      <c r="H861" s="415"/>
      <c r="I861" s="416"/>
      <c r="J861" s="416"/>
      <c r="K861" s="416"/>
      <c r="L861" s="417"/>
    </row>
    <row r="862">
      <c r="A862" s="203"/>
      <c r="B862" s="203"/>
      <c r="C862" s="203"/>
      <c r="D862" s="203"/>
      <c r="E862" s="203"/>
      <c r="F862" s="203"/>
      <c r="G862" s="203"/>
      <c r="H862" s="412"/>
      <c r="I862" s="413"/>
      <c r="J862" s="413"/>
      <c r="K862" s="413"/>
      <c r="L862" s="414"/>
    </row>
    <row r="863">
      <c r="A863" s="207"/>
      <c r="B863" s="207"/>
      <c r="C863" s="207"/>
      <c r="D863" s="207"/>
      <c r="E863" s="207"/>
      <c r="F863" s="207"/>
      <c r="G863" s="207"/>
      <c r="H863" s="415"/>
      <c r="I863" s="416"/>
      <c r="J863" s="416"/>
      <c r="K863" s="416"/>
      <c r="L863" s="417"/>
    </row>
    <row r="864">
      <c r="A864" s="203"/>
      <c r="B864" s="203"/>
      <c r="C864" s="203"/>
      <c r="D864" s="203"/>
      <c r="E864" s="203"/>
      <c r="F864" s="203"/>
      <c r="G864" s="203"/>
      <c r="H864" s="412"/>
      <c r="I864" s="413"/>
      <c r="J864" s="413"/>
      <c r="K864" s="413"/>
      <c r="L864" s="414"/>
    </row>
    <row r="865">
      <c r="A865" s="207"/>
      <c r="B865" s="207"/>
      <c r="C865" s="207"/>
      <c r="D865" s="207"/>
      <c r="E865" s="207"/>
      <c r="F865" s="207"/>
      <c r="G865" s="207"/>
      <c r="H865" s="415"/>
      <c r="I865" s="416"/>
      <c r="J865" s="416"/>
      <c r="K865" s="416"/>
      <c r="L865" s="417"/>
    </row>
    <row r="866">
      <c r="A866" s="203"/>
      <c r="B866" s="203"/>
      <c r="C866" s="203"/>
      <c r="D866" s="203"/>
      <c r="E866" s="203"/>
      <c r="F866" s="203"/>
      <c r="G866" s="203"/>
      <c r="H866" s="412"/>
      <c r="I866" s="413"/>
      <c r="J866" s="413"/>
      <c r="K866" s="413"/>
      <c r="L866" s="414"/>
    </row>
    <row r="867">
      <c r="A867" s="207"/>
      <c r="B867" s="207"/>
      <c r="C867" s="207"/>
      <c r="D867" s="207"/>
      <c r="E867" s="207"/>
      <c r="F867" s="207"/>
      <c r="G867" s="207"/>
      <c r="H867" s="415"/>
      <c r="I867" s="416"/>
      <c r="J867" s="416"/>
      <c r="K867" s="416"/>
      <c r="L867" s="417"/>
    </row>
    <row r="868">
      <c r="A868" s="203"/>
      <c r="B868" s="203"/>
      <c r="C868" s="203"/>
      <c r="D868" s="203"/>
      <c r="E868" s="203"/>
      <c r="F868" s="203"/>
      <c r="G868" s="203"/>
      <c r="H868" s="412"/>
      <c r="I868" s="413"/>
      <c r="J868" s="413"/>
      <c r="K868" s="413"/>
      <c r="L868" s="414"/>
    </row>
    <row r="869">
      <c r="A869" s="207"/>
      <c r="B869" s="207"/>
      <c r="C869" s="207"/>
      <c r="D869" s="207"/>
      <c r="E869" s="207"/>
      <c r="F869" s="207"/>
      <c r="G869" s="207"/>
      <c r="H869" s="415"/>
      <c r="I869" s="416"/>
      <c r="J869" s="416"/>
      <c r="K869" s="416"/>
      <c r="L869" s="417"/>
    </row>
    <row r="870">
      <c r="A870" s="203"/>
      <c r="B870" s="203"/>
      <c r="C870" s="203"/>
      <c r="D870" s="203"/>
      <c r="E870" s="203"/>
      <c r="F870" s="203"/>
      <c r="G870" s="203"/>
      <c r="H870" s="412"/>
      <c r="I870" s="413"/>
      <c r="J870" s="413"/>
      <c r="K870" s="413"/>
      <c r="L870" s="414"/>
    </row>
    <row r="871">
      <c r="A871" s="207"/>
      <c r="B871" s="207"/>
      <c r="C871" s="207"/>
      <c r="D871" s="207"/>
      <c r="E871" s="207"/>
      <c r="F871" s="207"/>
      <c r="G871" s="207"/>
      <c r="H871" s="415"/>
      <c r="I871" s="416"/>
      <c r="J871" s="416"/>
      <c r="K871" s="416"/>
      <c r="L871" s="417"/>
    </row>
    <row r="872">
      <c r="A872" s="203"/>
      <c r="B872" s="203"/>
      <c r="C872" s="203"/>
      <c r="D872" s="203"/>
      <c r="E872" s="203"/>
      <c r="F872" s="203"/>
      <c r="G872" s="203"/>
      <c r="H872" s="412"/>
      <c r="I872" s="413"/>
      <c r="J872" s="413"/>
      <c r="K872" s="413"/>
      <c r="L872" s="414"/>
    </row>
    <row r="873">
      <c r="A873" s="207"/>
      <c r="B873" s="207"/>
      <c r="C873" s="207"/>
      <c r="D873" s="207"/>
      <c r="E873" s="207"/>
      <c r="F873" s="207"/>
      <c r="G873" s="207"/>
      <c r="H873" s="415"/>
      <c r="I873" s="416"/>
      <c r="J873" s="416"/>
      <c r="K873" s="416"/>
      <c r="L873" s="417"/>
    </row>
    <row r="874">
      <c r="A874" s="203"/>
      <c r="B874" s="203"/>
      <c r="C874" s="203"/>
      <c r="D874" s="203"/>
      <c r="E874" s="203"/>
      <c r="F874" s="203"/>
      <c r="G874" s="203"/>
      <c r="H874" s="412"/>
      <c r="I874" s="413"/>
      <c r="J874" s="413"/>
      <c r="K874" s="413"/>
      <c r="L874" s="414"/>
    </row>
    <row r="875">
      <c r="A875" s="207"/>
      <c r="B875" s="207"/>
      <c r="C875" s="207"/>
      <c r="D875" s="207"/>
      <c r="E875" s="207"/>
      <c r="F875" s="207"/>
      <c r="G875" s="207"/>
      <c r="H875" s="415"/>
      <c r="I875" s="416"/>
      <c r="J875" s="416"/>
      <c r="K875" s="416"/>
      <c r="L875" s="417"/>
    </row>
    <row r="876">
      <c r="A876" s="203"/>
      <c r="B876" s="203"/>
      <c r="C876" s="203"/>
      <c r="D876" s="203"/>
      <c r="E876" s="203"/>
      <c r="F876" s="203"/>
      <c r="G876" s="203"/>
      <c r="H876" s="412"/>
      <c r="I876" s="413"/>
      <c r="J876" s="413"/>
      <c r="K876" s="413"/>
      <c r="L876" s="414"/>
    </row>
    <row r="877">
      <c r="A877" s="207"/>
      <c r="B877" s="207"/>
      <c r="C877" s="207"/>
      <c r="D877" s="207"/>
      <c r="E877" s="207"/>
      <c r="F877" s="207"/>
      <c r="G877" s="207"/>
      <c r="H877" s="415"/>
      <c r="I877" s="416"/>
      <c r="J877" s="416"/>
      <c r="K877" s="416"/>
      <c r="L877" s="417"/>
    </row>
    <row r="878">
      <c r="A878" s="203"/>
      <c r="B878" s="203"/>
      <c r="C878" s="203"/>
      <c r="D878" s="203"/>
      <c r="E878" s="203"/>
      <c r="F878" s="203"/>
      <c r="G878" s="203"/>
      <c r="H878" s="412"/>
      <c r="I878" s="413"/>
      <c r="J878" s="413"/>
      <c r="K878" s="413"/>
      <c r="L878" s="414"/>
    </row>
    <row r="879">
      <c r="A879" s="207"/>
      <c r="B879" s="207"/>
      <c r="C879" s="207"/>
      <c r="D879" s="207"/>
      <c r="E879" s="207"/>
      <c r="F879" s="207"/>
      <c r="G879" s="207"/>
      <c r="H879" s="415"/>
      <c r="I879" s="416"/>
      <c r="J879" s="416"/>
      <c r="K879" s="416"/>
      <c r="L879" s="417"/>
    </row>
    <row r="880">
      <c r="A880" s="203"/>
      <c r="B880" s="203"/>
      <c r="C880" s="203"/>
      <c r="D880" s="203"/>
      <c r="E880" s="203"/>
      <c r="F880" s="203"/>
      <c r="G880" s="203"/>
      <c r="H880" s="412"/>
      <c r="I880" s="413"/>
      <c r="J880" s="413"/>
      <c r="K880" s="413"/>
      <c r="L880" s="414"/>
    </row>
    <row r="881">
      <c r="A881" s="207"/>
      <c r="B881" s="207"/>
      <c r="C881" s="207"/>
      <c r="D881" s="207"/>
      <c r="E881" s="207"/>
      <c r="F881" s="207"/>
      <c r="G881" s="207"/>
      <c r="H881" s="415"/>
      <c r="I881" s="416"/>
      <c r="J881" s="416"/>
      <c r="K881" s="416"/>
      <c r="L881" s="417"/>
    </row>
    <row r="882">
      <c r="A882" s="203"/>
      <c r="B882" s="203"/>
      <c r="C882" s="203"/>
      <c r="D882" s="203"/>
      <c r="E882" s="203"/>
      <c r="F882" s="203"/>
      <c r="G882" s="203"/>
      <c r="H882" s="412"/>
      <c r="I882" s="413"/>
      <c r="J882" s="413"/>
      <c r="K882" s="413"/>
      <c r="L882" s="414"/>
    </row>
    <row r="883">
      <c r="A883" s="207"/>
      <c r="B883" s="207"/>
      <c r="C883" s="207"/>
      <c r="D883" s="207"/>
      <c r="E883" s="207"/>
      <c r="F883" s="207"/>
      <c r="G883" s="207"/>
      <c r="H883" s="415"/>
      <c r="I883" s="416"/>
      <c r="J883" s="416"/>
      <c r="K883" s="416"/>
      <c r="L883" s="417"/>
    </row>
    <row r="884">
      <c r="A884" s="203"/>
      <c r="B884" s="203"/>
      <c r="C884" s="203"/>
      <c r="D884" s="203"/>
      <c r="E884" s="203"/>
      <c r="F884" s="203"/>
      <c r="G884" s="203"/>
      <c r="H884" s="412"/>
      <c r="I884" s="413"/>
      <c r="J884" s="413"/>
      <c r="K884" s="413"/>
      <c r="L884" s="414"/>
    </row>
    <row r="885">
      <c r="A885" s="207"/>
      <c r="B885" s="207"/>
      <c r="C885" s="207"/>
      <c r="D885" s="207"/>
      <c r="E885" s="207"/>
      <c r="F885" s="207"/>
      <c r="G885" s="207"/>
      <c r="H885" s="415"/>
      <c r="I885" s="416"/>
      <c r="J885" s="416"/>
      <c r="K885" s="416"/>
      <c r="L885" s="417"/>
    </row>
    <row r="886">
      <c r="A886" s="203"/>
      <c r="B886" s="203"/>
      <c r="C886" s="203"/>
      <c r="D886" s="203"/>
      <c r="E886" s="203"/>
      <c r="F886" s="203"/>
      <c r="G886" s="203"/>
      <c r="H886" s="412"/>
      <c r="I886" s="413"/>
      <c r="J886" s="413"/>
      <c r="K886" s="413"/>
      <c r="L886" s="414"/>
    </row>
    <row r="887">
      <c r="A887" s="207"/>
      <c r="B887" s="207"/>
      <c r="C887" s="207"/>
      <c r="D887" s="207"/>
      <c r="E887" s="207"/>
      <c r="F887" s="207"/>
      <c r="G887" s="207"/>
      <c r="H887" s="415"/>
      <c r="I887" s="416"/>
      <c r="J887" s="416"/>
      <c r="K887" s="416"/>
      <c r="L887" s="417"/>
    </row>
    <row r="888">
      <c r="A888" s="203"/>
      <c r="B888" s="203"/>
      <c r="C888" s="203"/>
      <c r="D888" s="203"/>
      <c r="E888" s="203"/>
      <c r="F888" s="203"/>
      <c r="G888" s="203"/>
      <c r="H888" s="412"/>
      <c r="I888" s="413"/>
      <c r="J888" s="413"/>
      <c r="K888" s="413"/>
      <c r="L888" s="414"/>
    </row>
    <row r="889">
      <c r="A889" s="207"/>
      <c r="B889" s="207"/>
      <c r="C889" s="207"/>
      <c r="D889" s="207"/>
      <c r="E889" s="207"/>
      <c r="F889" s="207"/>
      <c r="G889" s="207"/>
      <c r="H889" s="415"/>
      <c r="I889" s="416"/>
      <c r="J889" s="416"/>
      <c r="K889" s="416"/>
      <c r="L889" s="417"/>
    </row>
    <row r="890">
      <c r="A890" s="203"/>
      <c r="B890" s="203"/>
      <c r="C890" s="203"/>
      <c r="D890" s="203"/>
      <c r="E890" s="203"/>
      <c r="F890" s="203"/>
      <c r="G890" s="203"/>
      <c r="H890" s="412"/>
      <c r="I890" s="413"/>
      <c r="J890" s="413"/>
      <c r="K890" s="413"/>
      <c r="L890" s="414"/>
    </row>
    <row r="891">
      <c r="A891" s="207"/>
      <c r="B891" s="207"/>
      <c r="C891" s="207"/>
      <c r="D891" s="207"/>
      <c r="E891" s="207"/>
      <c r="F891" s="207"/>
      <c r="G891" s="207"/>
      <c r="H891" s="415"/>
      <c r="I891" s="416"/>
      <c r="J891" s="416"/>
      <c r="K891" s="416"/>
      <c r="L891" s="417"/>
    </row>
    <row r="892">
      <c r="A892" s="203"/>
      <c r="B892" s="203"/>
      <c r="C892" s="203"/>
      <c r="D892" s="203"/>
      <c r="E892" s="203"/>
      <c r="F892" s="203"/>
      <c r="G892" s="203"/>
      <c r="H892" s="412"/>
      <c r="I892" s="413"/>
      <c r="J892" s="413"/>
      <c r="K892" s="413"/>
      <c r="L892" s="414"/>
    </row>
    <row r="893">
      <c r="A893" s="207"/>
      <c r="B893" s="207"/>
      <c r="C893" s="207"/>
      <c r="D893" s="207"/>
      <c r="E893" s="207"/>
      <c r="F893" s="207"/>
      <c r="G893" s="207"/>
      <c r="H893" s="415"/>
      <c r="I893" s="416"/>
      <c r="J893" s="416"/>
      <c r="K893" s="416"/>
      <c r="L893" s="417"/>
    </row>
    <row r="894">
      <c r="A894" s="203"/>
      <c r="B894" s="203"/>
      <c r="C894" s="203"/>
      <c r="D894" s="203"/>
      <c r="E894" s="203"/>
      <c r="F894" s="203"/>
      <c r="G894" s="203"/>
      <c r="H894" s="412"/>
      <c r="I894" s="413"/>
      <c r="J894" s="413"/>
      <c r="K894" s="413"/>
      <c r="L894" s="414"/>
    </row>
    <row r="895">
      <c r="A895" s="207"/>
      <c r="B895" s="207"/>
      <c r="C895" s="207"/>
      <c r="D895" s="207"/>
      <c r="E895" s="207"/>
      <c r="F895" s="207"/>
      <c r="G895" s="207"/>
      <c r="H895" s="415"/>
      <c r="I895" s="416"/>
      <c r="J895" s="416"/>
      <c r="K895" s="416"/>
      <c r="L895" s="417"/>
    </row>
    <row r="896">
      <c r="A896" s="203"/>
      <c r="B896" s="203"/>
      <c r="C896" s="203"/>
      <c r="D896" s="203"/>
      <c r="E896" s="203"/>
      <c r="F896" s="203"/>
      <c r="G896" s="203"/>
      <c r="H896" s="412"/>
      <c r="I896" s="413"/>
      <c r="J896" s="413"/>
      <c r="K896" s="413"/>
      <c r="L896" s="414"/>
    </row>
    <row r="897">
      <c r="A897" s="207"/>
      <c r="B897" s="207"/>
      <c r="C897" s="207"/>
      <c r="D897" s="207"/>
      <c r="E897" s="207"/>
      <c r="F897" s="207"/>
      <c r="G897" s="207"/>
      <c r="H897" s="415"/>
      <c r="I897" s="416"/>
      <c r="J897" s="416"/>
      <c r="K897" s="416"/>
      <c r="L897" s="417"/>
    </row>
    <row r="898">
      <c r="A898" s="203"/>
      <c r="B898" s="203"/>
      <c r="C898" s="203"/>
      <c r="D898" s="203"/>
      <c r="E898" s="203"/>
      <c r="F898" s="203"/>
      <c r="G898" s="203"/>
      <c r="H898" s="412"/>
      <c r="I898" s="413"/>
      <c r="J898" s="413"/>
      <c r="K898" s="413"/>
      <c r="L898" s="414"/>
    </row>
    <row r="899">
      <c r="A899" s="207"/>
      <c r="B899" s="207"/>
      <c r="C899" s="207"/>
      <c r="D899" s="207"/>
      <c r="E899" s="207"/>
      <c r="F899" s="207"/>
      <c r="G899" s="207"/>
      <c r="H899" s="415"/>
      <c r="I899" s="416"/>
      <c r="J899" s="416"/>
      <c r="K899" s="416"/>
      <c r="L899" s="417"/>
    </row>
    <row r="900">
      <c r="A900" s="203"/>
      <c r="B900" s="203"/>
      <c r="C900" s="203"/>
      <c r="D900" s="203"/>
      <c r="E900" s="203"/>
      <c r="F900" s="203"/>
      <c r="G900" s="203"/>
      <c r="H900" s="412"/>
      <c r="I900" s="413"/>
      <c r="J900" s="413"/>
      <c r="K900" s="413"/>
      <c r="L900" s="414"/>
    </row>
    <row r="901">
      <c r="A901" s="207"/>
      <c r="B901" s="207"/>
      <c r="C901" s="207"/>
      <c r="D901" s="207"/>
      <c r="E901" s="207"/>
      <c r="F901" s="207"/>
      <c r="G901" s="207"/>
      <c r="H901" s="415"/>
      <c r="I901" s="416"/>
      <c r="J901" s="416"/>
      <c r="K901" s="416"/>
      <c r="L901" s="417"/>
    </row>
    <row r="902">
      <c r="A902" s="203"/>
      <c r="B902" s="203"/>
      <c r="C902" s="203"/>
      <c r="D902" s="203"/>
      <c r="E902" s="203"/>
      <c r="F902" s="203"/>
      <c r="G902" s="203"/>
      <c r="H902" s="412"/>
      <c r="I902" s="413"/>
      <c r="J902" s="413"/>
      <c r="K902" s="413"/>
      <c r="L902" s="414"/>
    </row>
    <row r="903">
      <c r="A903" s="207"/>
      <c r="B903" s="207"/>
      <c r="C903" s="207"/>
      <c r="D903" s="207"/>
      <c r="E903" s="207"/>
      <c r="F903" s="207"/>
      <c r="G903" s="207"/>
      <c r="H903" s="415"/>
      <c r="I903" s="416"/>
      <c r="J903" s="416"/>
      <c r="K903" s="416"/>
      <c r="L903" s="417"/>
    </row>
    <row r="904">
      <c r="A904" s="203"/>
      <c r="B904" s="203"/>
      <c r="C904" s="203"/>
      <c r="D904" s="203"/>
      <c r="E904" s="203"/>
      <c r="F904" s="203"/>
      <c r="G904" s="203"/>
      <c r="H904" s="412"/>
      <c r="I904" s="413"/>
      <c r="J904" s="413"/>
      <c r="K904" s="413"/>
      <c r="L904" s="414"/>
    </row>
    <row r="905">
      <c r="A905" s="207"/>
      <c r="B905" s="207"/>
      <c r="C905" s="207"/>
      <c r="D905" s="207"/>
      <c r="E905" s="207"/>
      <c r="F905" s="207"/>
      <c r="G905" s="207"/>
      <c r="H905" s="415"/>
      <c r="I905" s="416"/>
      <c r="J905" s="416"/>
      <c r="K905" s="416"/>
      <c r="L905" s="417"/>
    </row>
    <row r="906">
      <c r="A906" s="203"/>
      <c r="B906" s="203"/>
      <c r="C906" s="203"/>
      <c r="D906" s="203"/>
      <c r="E906" s="203"/>
      <c r="F906" s="203"/>
      <c r="G906" s="203"/>
      <c r="H906" s="412"/>
      <c r="I906" s="413"/>
      <c r="J906" s="413"/>
      <c r="K906" s="413"/>
      <c r="L906" s="414"/>
    </row>
    <row r="907">
      <c r="A907" s="207"/>
      <c r="B907" s="207"/>
      <c r="C907" s="207"/>
      <c r="D907" s="207"/>
      <c r="E907" s="207"/>
      <c r="F907" s="207"/>
      <c r="G907" s="207"/>
      <c r="H907" s="415"/>
      <c r="I907" s="416"/>
      <c r="J907" s="416"/>
      <c r="K907" s="416"/>
      <c r="L907" s="417"/>
    </row>
    <row r="908">
      <c r="A908" s="203"/>
      <c r="B908" s="203"/>
      <c r="C908" s="203"/>
      <c r="D908" s="203"/>
      <c r="E908" s="203"/>
      <c r="F908" s="203"/>
      <c r="G908" s="203"/>
      <c r="H908" s="412"/>
      <c r="I908" s="413"/>
      <c r="J908" s="413"/>
      <c r="K908" s="413"/>
      <c r="L908" s="414"/>
    </row>
    <row r="909">
      <c r="A909" s="207"/>
      <c r="B909" s="207"/>
      <c r="C909" s="207"/>
      <c r="D909" s="207"/>
      <c r="E909" s="207"/>
      <c r="F909" s="207"/>
      <c r="G909" s="207"/>
      <c r="H909" s="415"/>
      <c r="I909" s="416"/>
      <c r="J909" s="416"/>
      <c r="K909" s="416"/>
      <c r="L909" s="417"/>
    </row>
    <row r="910">
      <c r="A910" s="203"/>
      <c r="B910" s="203"/>
      <c r="C910" s="203"/>
      <c r="D910" s="203"/>
      <c r="E910" s="203"/>
      <c r="F910" s="203"/>
      <c r="G910" s="203"/>
      <c r="H910" s="412"/>
      <c r="I910" s="413"/>
      <c r="J910" s="413"/>
      <c r="K910" s="413"/>
      <c r="L910" s="414"/>
    </row>
    <row r="911">
      <c r="A911" s="207"/>
      <c r="B911" s="207"/>
      <c r="C911" s="207"/>
      <c r="D911" s="207"/>
      <c r="E911" s="207"/>
      <c r="F911" s="207"/>
      <c r="G911" s="207"/>
      <c r="H911" s="415"/>
      <c r="I911" s="416"/>
      <c r="J911" s="416"/>
      <c r="K911" s="416"/>
      <c r="L911" s="417"/>
    </row>
    <row r="912">
      <c r="A912" s="203"/>
      <c r="B912" s="203"/>
      <c r="C912" s="203"/>
      <c r="D912" s="203"/>
      <c r="E912" s="203"/>
      <c r="F912" s="203"/>
      <c r="G912" s="203"/>
      <c r="H912" s="412"/>
      <c r="I912" s="413"/>
      <c r="J912" s="413"/>
      <c r="K912" s="413"/>
      <c r="L912" s="414"/>
    </row>
    <row r="913">
      <c r="A913" s="207"/>
      <c r="B913" s="207"/>
      <c r="C913" s="207"/>
      <c r="D913" s="207"/>
      <c r="E913" s="207"/>
      <c r="F913" s="207"/>
      <c r="G913" s="207"/>
      <c r="H913" s="415"/>
      <c r="I913" s="416"/>
      <c r="J913" s="416"/>
      <c r="K913" s="416"/>
      <c r="L913" s="417"/>
    </row>
    <row r="914">
      <c r="A914" s="203"/>
      <c r="B914" s="203"/>
      <c r="C914" s="203"/>
      <c r="D914" s="203"/>
      <c r="E914" s="203"/>
      <c r="F914" s="203"/>
      <c r="G914" s="203"/>
      <c r="H914" s="412"/>
      <c r="I914" s="413"/>
      <c r="J914" s="413"/>
      <c r="K914" s="413"/>
      <c r="L914" s="414"/>
    </row>
    <row r="915">
      <c r="A915" s="207"/>
      <c r="B915" s="207"/>
      <c r="C915" s="207"/>
      <c r="D915" s="207"/>
      <c r="E915" s="207"/>
      <c r="F915" s="207"/>
      <c r="G915" s="207"/>
      <c r="H915" s="415"/>
      <c r="I915" s="416"/>
      <c r="J915" s="416"/>
      <c r="K915" s="416"/>
      <c r="L915" s="417"/>
    </row>
    <row r="916">
      <c r="A916" s="203"/>
      <c r="B916" s="203"/>
      <c r="C916" s="203"/>
      <c r="D916" s="203"/>
      <c r="E916" s="203"/>
      <c r="F916" s="203"/>
      <c r="G916" s="203"/>
      <c r="H916" s="412"/>
      <c r="I916" s="413"/>
      <c r="J916" s="413"/>
      <c r="K916" s="413"/>
      <c r="L916" s="414"/>
    </row>
    <row r="917">
      <c r="A917" s="207"/>
      <c r="B917" s="207"/>
      <c r="C917" s="207"/>
      <c r="D917" s="207"/>
      <c r="E917" s="207"/>
      <c r="F917" s="207"/>
      <c r="G917" s="207"/>
      <c r="H917" s="415"/>
      <c r="I917" s="416"/>
      <c r="J917" s="416"/>
      <c r="K917" s="416"/>
      <c r="L917" s="417"/>
    </row>
    <row r="918">
      <c r="A918" s="203"/>
      <c r="B918" s="203"/>
      <c r="C918" s="203"/>
      <c r="D918" s="203"/>
      <c r="E918" s="203"/>
      <c r="F918" s="203"/>
      <c r="G918" s="203"/>
      <c r="H918" s="412"/>
      <c r="I918" s="413"/>
      <c r="J918" s="413"/>
      <c r="K918" s="413"/>
      <c r="L918" s="414"/>
    </row>
    <row r="919">
      <c r="A919" s="207"/>
      <c r="B919" s="207"/>
      <c r="C919" s="207"/>
      <c r="D919" s="207"/>
      <c r="E919" s="207"/>
      <c r="F919" s="207"/>
      <c r="G919" s="207"/>
      <c r="H919" s="415"/>
      <c r="I919" s="416"/>
      <c r="J919" s="416"/>
      <c r="K919" s="416"/>
      <c r="L919" s="417"/>
    </row>
    <row r="920">
      <c r="A920" s="203"/>
      <c r="B920" s="203"/>
      <c r="C920" s="203"/>
      <c r="D920" s="203"/>
      <c r="E920" s="203"/>
      <c r="F920" s="203"/>
      <c r="G920" s="203"/>
      <c r="H920" s="412"/>
      <c r="I920" s="413"/>
      <c r="J920" s="413"/>
      <c r="K920" s="413"/>
      <c r="L920" s="414"/>
    </row>
    <row r="921">
      <c r="A921" s="207"/>
      <c r="B921" s="207"/>
      <c r="C921" s="207"/>
      <c r="D921" s="207"/>
      <c r="E921" s="207"/>
      <c r="F921" s="207"/>
      <c r="G921" s="207"/>
      <c r="H921" s="415"/>
      <c r="I921" s="416"/>
      <c r="J921" s="416"/>
      <c r="K921" s="416"/>
      <c r="L921" s="417"/>
    </row>
    <row r="922">
      <c r="A922" s="203"/>
      <c r="B922" s="203"/>
      <c r="C922" s="203"/>
      <c r="D922" s="203"/>
      <c r="E922" s="203"/>
      <c r="F922" s="203"/>
      <c r="G922" s="203"/>
      <c r="H922" s="412"/>
      <c r="I922" s="413"/>
      <c r="J922" s="413"/>
      <c r="K922" s="413"/>
      <c r="L922" s="414"/>
    </row>
    <row r="923">
      <c r="A923" s="207"/>
      <c r="B923" s="207"/>
      <c r="C923" s="207"/>
      <c r="D923" s="207"/>
      <c r="E923" s="207"/>
      <c r="F923" s="207"/>
      <c r="G923" s="207"/>
      <c r="H923" s="415"/>
      <c r="I923" s="416"/>
      <c r="J923" s="416"/>
      <c r="K923" s="416"/>
      <c r="L923" s="417"/>
    </row>
    <row r="924">
      <c r="A924" s="203"/>
      <c r="B924" s="203"/>
      <c r="C924" s="203"/>
      <c r="D924" s="203"/>
      <c r="E924" s="203"/>
      <c r="F924" s="203"/>
      <c r="G924" s="203"/>
      <c r="H924" s="412"/>
      <c r="I924" s="413"/>
      <c r="J924" s="413"/>
      <c r="K924" s="413"/>
      <c r="L924" s="414"/>
    </row>
    <row r="925">
      <c r="A925" s="207"/>
      <c r="B925" s="207"/>
      <c r="C925" s="207"/>
      <c r="D925" s="207"/>
      <c r="E925" s="207"/>
      <c r="F925" s="207"/>
      <c r="G925" s="207"/>
      <c r="H925" s="415"/>
      <c r="I925" s="416"/>
      <c r="J925" s="416"/>
      <c r="K925" s="416"/>
      <c r="L925" s="417"/>
    </row>
    <row r="926">
      <c r="A926" s="203"/>
      <c r="B926" s="203"/>
      <c r="C926" s="203"/>
      <c r="D926" s="203"/>
      <c r="E926" s="203"/>
      <c r="F926" s="203"/>
      <c r="G926" s="203"/>
      <c r="H926" s="412"/>
      <c r="I926" s="413"/>
      <c r="J926" s="413"/>
      <c r="K926" s="413"/>
      <c r="L926" s="414"/>
    </row>
    <row r="927">
      <c r="A927" s="207"/>
      <c r="B927" s="207"/>
      <c r="C927" s="207"/>
      <c r="D927" s="207"/>
      <c r="E927" s="207"/>
      <c r="F927" s="207"/>
      <c r="G927" s="207"/>
      <c r="H927" s="415"/>
      <c r="I927" s="416"/>
      <c r="J927" s="416"/>
      <c r="K927" s="416"/>
      <c r="L927" s="417"/>
    </row>
    <row r="928">
      <c r="A928" s="203"/>
      <c r="B928" s="203"/>
      <c r="C928" s="203"/>
      <c r="D928" s="203"/>
      <c r="E928" s="203"/>
      <c r="F928" s="203"/>
      <c r="G928" s="203"/>
      <c r="H928" s="412"/>
      <c r="I928" s="413"/>
      <c r="J928" s="413"/>
      <c r="K928" s="413"/>
      <c r="L928" s="414"/>
    </row>
    <row r="929">
      <c r="A929" s="207"/>
      <c r="B929" s="207"/>
      <c r="C929" s="207"/>
      <c r="D929" s="207"/>
      <c r="E929" s="207"/>
      <c r="F929" s="207"/>
      <c r="G929" s="207"/>
      <c r="H929" s="415"/>
      <c r="I929" s="416"/>
      <c r="J929" s="416"/>
      <c r="K929" s="416"/>
      <c r="L929" s="417"/>
    </row>
    <row r="930">
      <c r="A930" s="203"/>
      <c r="B930" s="203"/>
      <c r="C930" s="203"/>
      <c r="D930" s="203"/>
      <c r="E930" s="203"/>
      <c r="F930" s="203"/>
      <c r="G930" s="203"/>
      <c r="H930" s="412"/>
      <c r="I930" s="413"/>
      <c r="J930" s="413"/>
      <c r="K930" s="413"/>
      <c r="L930" s="414"/>
    </row>
    <row r="931">
      <c r="A931" s="207"/>
      <c r="B931" s="207"/>
      <c r="C931" s="207"/>
      <c r="D931" s="207"/>
      <c r="E931" s="207"/>
      <c r="F931" s="207"/>
      <c r="G931" s="207"/>
      <c r="H931" s="415"/>
      <c r="I931" s="416"/>
      <c r="J931" s="416"/>
      <c r="K931" s="416"/>
      <c r="L931" s="417"/>
    </row>
    <row r="932">
      <c r="A932" s="203"/>
      <c r="B932" s="203"/>
      <c r="C932" s="203"/>
      <c r="D932" s="203"/>
      <c r="E932" s="203"/>
      <c r="F932" s="203"/>
      <c r="G932" s="203"/>
      <c r="H932" s="412"/>
      <c r="I932" s="413"/>
      <c r="J932" s="413"/>
      <c r="K932" s="413"/>
      <c r="L932" s="414"/>
    </row>
    <row r="933">
      <c r="A933" s="207"/>
      <c r="B933" s="207"/>
      <c r="C933" s="207"/>
      <c r="D933" s="207"/>
      <c r="E933" s="207"/>
      <c r="F933" s="207"/>
      <c r="G933" s="207"/>
      <c r="H933" s="415"/>
      <c r="I933" s="416"/>
      <c r="J933" s="416"/>
      <c r="K933" s="416"/>
      <c r="L933" s="417"/>
    </row>
    <row r="934">
      <c r="A934" s="203"/>
      <c r="B934" s="203"/>
      <c r="C934" s="203"/>
      <c r="D934" s="203"/>
      <c r="E934" s="203"/>
      <c r="F934" s="203"/>
      <c r="G934" s="203"/>
      <c r="H934" s="412"/>
      <c r="I934" s="413"/>
      <c r="J934" s="413"/>
      <c r="K934" s="413"/>
      <c r="L934" s="414"/>
    </row>
    <row r="935">
      <c r="A935" s="207"/>
      <c r="B935" s="207"/>
      <c r="C935" s="207"/>
      <c r="D935" s="207"/>
      <c r="E935" s="207"/>
      <c r="F935" s="207"/>
      <c r="G935" s="207"/>
      <c r="H935" s="415"/>
      <c r="I935" s="416"/>
      <c r="J935" s="416"/>
      <c r="K935" s="416"/>
      <c r="L935" s="417"/>
    </row>
    <row r="936">
      <c r="A936" s="203"/>
      <c r="B936" s="203"/>
      <c r="C936" s="203"/>
      <c r="D936" s="203"/>
      <c r="E936" s="203"/>
      <c r="F936" s="203"/>
      <c r="G936" s="203"/>
      <c r="H936" s="412"/>
      <c r="I936" s="413"/>
      <c r="J936" s="413"/>
      <c r="K936" s="413"/>
      <c r="L936" s="414"/>
    </row>
    <row r="937">
      <c r="A937" s="207"/>
      <c r="B937" s="207"/>
      <c r="C937" s="207"/>
      <c r="D937" s="207"/>
      <c r="E937" s="207"/>
      <c r="F937" s="207"/>
      <c r="G937" s="207"/>
      <c r="H937" s="415"/>
      <c r="I937" s="416"/>
      <c r="J937" s="416"/>
      <c r="K937" s="416"/>
      <c r="L937" s="417"/>
    </row>
    <row r="938">
      <c r="A938" s="203"/>
      <c r="B938" s="203"/>
      <c r="C938" s="203"/>
      <c r="D938" s="203"/>
      <c r="E938" s="203"/>
      <c r="F938" s="203"/>
      <c r="G938" s="203"/>
      <c r="H938" s="412"/>
      <c r="I938" s="413"/>
      <c r="J938" s="413"/>
      <c r="K938" s="413"/>
      <c r="L938" s="414"/>
    </row>
    <row r="939">
      <c r="A939" s="207"/>
      <c r="B939" s="207"/>
      <c r="C939" s="207"/>
      <c r="D939" s="207"/>
      <c r="E939" s="207"/>
      <c r="F939" s="207"/>
      <c r="G939" s="207"/>
      <c r="H939" s="415"/>
      <c r="I939" s="416"/>
      <c r="J939" s="416"/>
      <c r="K939" s="416"/>
      <c r="L939" s="417"/>
    </row>
    <row r="940">
      <c r="A940" s="203"/>
      <c r="B940" s="203"/>
      <c r="C940" s="203"/>
      <c r="D940" s="203"/>
      <c r="E940" s="203"/>
      <c r="F940" s="203"/>
      <c r="G940" s="203"/>
      <c r="H940" s="412"/>
      <c r="I940" s="413"/>
      <c r="J940" s="413"/>
      <c r="K940" s="413"/>
      <c r="L940" s="414"/>
    </row>
    <row r="941">
      <c r="A941" s="207"/>
      <c r="B941" s="207"/>
      <c r="C941" s="207"/>
      <c r="D941" s="207"/>
      <c r="E941" s="207"/>
      <c r="F941" s="207"/>
      <c r="G941" s="207"/>
      <c r="H941" s="415"/>
      <c r="I941" s="416"/>
      <c r="J941" s="416"/>
      <c r="K941" s="416"/>
      <c r="L941" s="417"/>
    </row>
    <row r="942">
      <c r="A942" s="203"/>
      <c r="B942" s="203"/>
      <c r="C942" s="203"/>
      <c r="D942" s="203"/>
      <c r="E942" s="203"/>
      <c r="F942" s="203"/>
      <c r="G942" s="203"/>
      <c r="H942" s="412"/>
      <c r="I942" s="413"/>
      <c r="J942" s="413"/>
      <c r="K942" s="413"/>
      <c r="L942" s="414"/>
    </row>
    <row r="943">
      <c r="A943" s="207"/>
      <c r="B943" s="207"/>
      <c r="C943" s="207"/>
      <c r="D943" s="207"/>
      <c r="E943" s="207"/>
      <c r="F943" s="207"/>
      <c r="G943" s="207"/>
      <c r="H943" s="415"/>
      <c r="I943" s="416"/>
      <c r="J943" s="416"/>
      <c r="K943" s="416"/>
      <c r="L943" s="417"/>
    </row>
    <row r="944">
      <c r="A944" s="203"/>
      <c r="B944" s="203"/>
      <c r="C944" s="203"/>
      <c r="D944" s="203"/>
      <c r="E944" s="203"/>
      <c r="F944" s="203"/>
      <c r="G944" s="203"/>
      <c r="H944" s="412"/>
      <c r="I944" s="413"/>
      <c r="J944" s="413"/>
      <c r="K944" s="413"/>
      <c r="L944" s="414"/>
    </row>
    <row r="945">
      <c r="A945" s="207"/>
      <c r="B945" s="207"/>
      <c r="C945" s="207"/>
      <c r="D945" s="207"/>
      <c r="E945" s="207"/>
      <c r="F945" s="207"/>
      <c r="G945" s="207"/>
      <c r="H945" s="415"/>
      <c r="I945" s="416"/>
      <c r="J945" s="416"/>
      <c r="K945" s="416"/>
      <c r="L945" s="417"/>
    </row>
    <row r="946">
      <c r="A946" s="203"/>
      <c r="B946" s="203"/>
      <c r="C946" s="203"/>
      <c r="D946" s="203"/>
      <c r="E946" s="203"/>
      <c r="F946" s="203"/>
      <c r="G946" s="203"/>
      <c r="H946" s="412"/>
      <c r="I946" s="413"/>
      <c r="J946" s="413"/>
      <c r="K946" s="413"/>
      <c r="L946" s="414"/>
    </row>
    <row r="947">
      <c r="A947" s="207"/>
      <c r="B947" s="207"/>
      <c r="C947" s="207"/>
      <c r="D947" s="207"/>
      <c r="E947" s="207"/>
      <c r="F947" s="207"/>
      <c r="G947" s="207"/>
      <c r="H947" s="415"/>
      <c r="I947" s="416"/>
      <c r="J947" s="416"/>
      <c r="K947" s="416"/>
      <c r="L947" s="417"/>
    </row>
    <row r="948">
      <c r="A948" s="203"/>
      <c r="B948" s="203"/>
      <c r="C948" s="203"/>
      <c r="D948" s="203"/>
      <c r="E948" s="203"/>
      <c r="F948" s="203"/>
      <c r="G948" s="203"/>
      <c r="H948" s="412"/>
      <c r="I948" s="413"/>
      <c r="J948" s="413"/>
      <c r="K948" s="413"/>
      <c r="L948" s="414"/>
    </row>
    <row r="949">
      <c r="A949" s="207"/>
      <c r="B949" s="207"/>
      <c r="C949" s="207"/>
      <c r="D949" s="207"/>
      <c r="E949" s="207"/>
      <c r="F949" s="207"/>
      <c r="G949" s="207"/>
      <c r="H949" s="415"/>
      <c r="I949" s="416"/>
      <c r="J949" s="416"/>
      <c r="K949" s="416"/>
      <c r="L949" s="417"/>
    </row>
    <row r="950">
      <c r="A950" s="203"/>
      <c r="B950" s="203"/>
      <c r="C950" s="203"/>
      <c r="D950" s="203"/>
      <c r="E950" s="203"/>
      <c r="F950" s="203"/>
      <c r="G950" s="203"/>
      <c r="H950" s="412"/>
      <c r="I950" s="413"/>
      <c r="J950" s="413"/>
      <c r="K950" s="413"/>
      <c r="L950" s="414"/>
    </row>
    <row r="951">
      <c r="A951" s="207"/>
      <c r="B951" s="207"/>
      <c r="C951" s="207"/>
      <c r="D951" s="207"/>
      <c r="E951" s="207"/>
      <c r="F951" s="207"/>
      <c r="G951" s="207"/>
      <c r="H951" s="415"/>
      <c r="I951" s="416"/>
      <c r="J951" s="416"/>
      <c r="K951" s="416"/>
      <c r="L951" s="417"/>
    </row>
    <row r="952">
      <c r="A952" s="203"/>
      <c r="B952" s="203"/>
      <c r="C952" s="203"/>
      <c r="D952" s="203"/>
      <c r="E952" s="203"/>
      <c r="F952" s="203"/>
      <c r="G952" s="203"/>
      <c r="H952" s="412"/>
      <c r="I952" s="413"/>
      <c r="J952" s="413"/>
      <c r="K952" s="413"/>
      <c r="L952" s="414"/>
    </row>
    <row r="953">
      <c r="A953" s="207"/>
      <c r="B953" s="207"/>
      <c r="C953" s="207"/>
      <c r="D953" s="207"/>
      <c r="E953" s="207"/>
      <c r="F953" s="207"/>
      <c r="G953" s="207"/>
      <c r="H953" s="415"/>
      <c r="I953" s="416"/>
      <c r="J953" s="416"/>
      <c r="K953" s="416"/>
      <c r="L953" s="417"/>
    </row>
    <row r="954">
      <c r="A954" s="203"/>
      <c r="B954" s="203"/>
      <c r="C954" s="203"/>
      <c r="D954" s="203"/>
      <c r="E954" s="203"/>
      <c r="F954" s="203"/>
      <c r="G954" s="203"/>
      <c r="H954" s="412"/>
      <c r="I954" s="413"/>
      <c r="J954" s="413"/>
      <c r="K954" s="413"/>
      <c r="L954" s="414"/>
    </row>
    <row r="955">
      <c r="A955" s="207"/>
      <c r="B955" s="207"/>
      <c r="C955" s="207"/>
      <c r="D955" s="207"/>
      <c r="E955" s="207"/>
      <c r="F955" s="207"/>
      <c r="G955" s="207"/>
      <c r="H955" s="415"/>
      <c r="I955" s="416"/>
      <c r="J955" s="416"/>
      <c r="K955" s="416"/>
      <c r="L955" s="417"/>
    </row>
    <row r="956">
      <c r="A956" s="203"/>
      <c r="B956" s="203"/>
      <c r="C956" s="203"/>
      <c r="D956" s="203"/>
      <c r="E956" s="203"/>
      <c r="F956" s="203"/>
      <c r="G956" s="203"/>
      <c r="H956" s="412"/>
      <c r="I956" s="413"/>
      <c r="J956" s="413"/>
      <c r="K956" s="413"/>
      <c r="L956" s="414"/>
    </row>
    <row r="957">
      <c r="A957" s="207"/>
      <c r="B957" s="207"/>
      <c r="C957" s="207"/>
      <c r="D957" s="207"/>
      <c r="E957" s="207"/>
      <c r="F957" s="207"/>
      <c r="G957" s="207"/>
      <c r="H957" s="415"/>
      <c r="I957" s="416"/>
      <c r="J957" s="416"/>
      <c r="K957" s="416"/>
      <c r="L957" s="417"/>
    </row>
    <row r="958">
      <c r="A958" s="203"/>
      <c r="B958" s="203"/>
      <c r="C958" s="203"/>
      <c r="D958" s="203"/>
      <c r="E958" s="203"/>
      <c r="F958" s="203"/>
      <c r="G958" s="203"/>
      <c r="H958" s="412"/>
      <c r="I958" s="413"/>
      <c r="J958" s="413"/>
      <c r="K958" s="413"/>
      <c r="L958" s="414"/>
    </row>
    <row r="959">
      <c r="A959" s="207"/>
      <c r="B959" s="207"/>
      <c r="C959" s="207"/>
      <c r="D959" s="207"/>
      <c r="E959" s="207"/>
      <c r="F959" s="207"/>
      <c r="G959" s="207"/>
      <c r="H959" s="415"/>
      <c r="I959" s="416"/>
      <c r="J959" s="416"/>
      <c r="K959" s="416"/>
      <c r="L959" s="417"/>
    </row>
    <row r="960">
      <c r="A960" s="203"/>
      <c r="B960" s="203"/>
      <c r="C960" s="203"/>
      <c r="D960" s="203"/>
      <c r="E960" s="203"/>
      <c r="F960" s="203"/>
      <c r="G960" s="203"/>
      <c r="H960" s="412"/>
      <c r="I960" s="413"/>
      <c r="J960" s="413"/>
      <c r="K960" s="413"/>
      <c r="L960" s="414"/>
    </row>
    <row r="961">
      <c r="A961" s="207"/>
      <c r="B961" s="207"/>
      <c r="C961" s="207"/>
      <c r="D961" s="207"/>
      <c r="E961" s="207"/>
      <c r="F961" s="207"/>
      <c r="G961" s="207"/>
      <c r="H961" s="415"/>
      <c r="I961" s="416"/>
      <c r="J961" s="416"/>
      <c r="K961" s="416"/>
      <c r="L961" s="417"/>
    </row>
    <row r="962">
      <c r="A962" s="203"/>
      <c r="B962" s="203"/>
      <c r="C962" s="203"/>
      <c r="D962" s="203"/>
      <c r="E962" s="203"/>
      <c r="F962" s="203"/>
      <c r="G962" s="203"/>
      <c r="H962" s="412"/>
      <c r="I962" s="413"/>
      <c r="J962" s="413"/>
      <c r="K962" s="413"/>
      <c r="L962" s="414"/>
    </row>
    <row r="963">
      <c r="A963" s="207"/>
      <c r="B963" s="207"/>
      <c r="C963" s="207"/>
      <c r="D963" s="207"/>
      <c r="E963" s="207"/>
      <c r="F963" s="207"/>
      <c r="G963" s="207"/>
      <c r="H963" s="415"/>
      <c r="I963" s="416"/>
      <c r="J963" s="416"/>
      <c r="K963" s="416"/>
      <c r="L963" s="417"/>
    </row>
    <row r="964">
      <c r="A964" s="203"/>
      <c r="B964" s="203"/>
      <c r="C964" s="203"/>
      <c r="D964" s="203"/>
      <c r="E964" s="203"/>
      <c r="F964" s="203"/>
      <c r="G964" s="203"/>
      <c r="H964" s="412"/>
      <c r="I964" s="413"/>
      <c r="J964" s="413"/>
      <c r="K964" s="413"/>
      <c r="L964" s="414"/>
    </row>
    <row r="965">
      <c r="A965" s="207"/>
      <c r="B965" s="207"/>
      <c r="C965" s="207"/>
      <c r="D965" s="207"/>
      <c r="E965" s="207"/>
      <c r="F965" s="207"/>
      <c r="G965" s="207"/>
      <c r="H965" s="415"/>
      <c r="I965" s="416"/>
      <c r="J965" s="416"/>
      <c r="K965" s="416"/>
      <c r="L965" s="417"/>
    </row>
    <row r="966">
      <c r="A966" s="203"/>
      <c r="B966" s="203"/>
      <c r="C966" s="203"/>
      <c r="D966" s="203"/>
      <c r="E966" s="203"/>
      <c r="F966" s="203"/>
      <c r="G966" s="203"/>
      <c r="H966" s="412"/>
      <c r="I966" s="413"/>
      <c r="J966" s="413"/>
      <c r="K966" s="413"/>
      <c r="L966" s="414"/>
    </row>
    <row r="967">
      <c r="A967" s="207"/>
      <c r="B967" s="207"/>
      <c r="C967" s="207"/>
      <c r="D967" s="207"/>
      <c r="E967" s="207"/>
      <c r="F967" s="207"/>
      <c r="G967" s="207"/>
      <c r="H967" s="415"/>
      <c r="I967" s="416"/>
      <c r="J967" s="416"/>
      <c r="K967" s="416"/>
      <c r="L967" s="417"/>
    </row>
    <row r="968">
      <c r="A968" s="203"/>
      <c r="B968" s="203"/>
      <c r="C968" s="203"/>
      <c r="D968" s="203"/>
      <c r="E968" s="203"/>
      <c r="F968" s="203"/>
      <c r="G968" s="203"/>
      <c r="H968" s="412"/>
      <c r="I968" s="413"/>
      <c r="J968" s="413"/>
      <c r="K968" s="413"/>
      <c r="L968" s="414"/>
    </row>
    <row r="969">
      <c r="A969" s="207"/>
      <c r="B969" s="207"/>
      <c r="C969" s="207"/>
      <c r="D969" s="207"/>
      <c r="E969" s="207"/>
      <c r="F969" s="207"/>
      <c r="G969" s="207"/>
      <c r="H969" s="415"/>
      <c r="I969" s="416"/>
      <c r="J969" s="416"/>
      <c r="K969" s="416"/>
      <c r="L969" s="417"/>
    </row>
    <row r="970">
      <c r="A970" s="203"/>
      <c r="B970" s="203"/>
      <c r="C970" s="203"/>
      <c r="D970" s="203"/>
      <c r="E970" s="203"/>
      <c r="F970" s="203"/>
      <c r="G970" s="203"/>
      <c r="H970" s="412"/>
      <c r="I970" s="413"/>
      <c r="J970" s="413"/>
      <c r="K970" s="413"/>
      <c r="L970" s="414"/>
    </row>
    <row r="971">
      <c r="A971" s="207"/>
      <c r="B971" s="207"/>
      <c r="C971" s="207"/>
      <c r="D971" s="207"/>
      <c r="E971" s="207"/>
      <c r="F971" s="207"/>
      <c r="G971" s="207"/>
      <c r="H971" s="415"/>
      <c r="I971" s="416"/>
      <c r="J971" s="416"/>
      <c r="K971" s="416"/>
      <c r="L971" s="417"/>
    </row>
    <row r="972">
      <c r="A972" s="203"/>
      <c r="B972" s="203"/>
      <c r="C972" s="203"/>
      <c r="D972" s="203"/>
      <c r="E972" s="203"/>
      <c r="F972" s="203"/>
      <c r="G972" s="203"/>
      <c r="H972" s="412"/>
      <c r="I972" s="413"/>
      <c r="J972" s="413"/>
      <c r="K972" s="413"/>
      <c r="L972" s="414"/>
    </row>
    <row r="973">
      <c r="A973" s="207"/>
      <c r="B973" s="207"/>
      <c r="C973" s="207"/>
      <c r="D973" s="207"/>
      <c r="E973" s="207"/>
      <c r="F973" s="207"/>
      <c r="G973" s="207"/>
      <c r="H973" s="415"/>
      <c r="I973" s="416"/>
      <c r="J973" s="416"/>
      <c r="K973" s="416"/>
      <c r="L973" s="417"/>
    </row>
    <row r="974">
      <c r="A974" s="203"/>
      <c r="B974" s="203"/>
      <c r="C974" s="203"/>
      <c r="D974" s="203"/>
      <c r="E974" s="203"/>
      <c r="F974" s="203"/>
      <c r="G974" s="203"/>
      <c r="H974" s="412"/>
      <c r="I974" s="413"/>
      <c r="J974" s="413"/>
      <c r="K974" s="413"/>
      <c r="L974" s="414"/>
    </row>
    <row r="975">
      <c r="A975" s="207"/>
      <c r="B975" s="207"/>
      <c r="C975" s="207"/>
      <c r="D975" s="207"/>
      <c r="E975" s="207"/>
      <c r="F975" s="207"/>
      <c r="G975" s="207"/>
      <c r="H975" s="415"/>
      <c r="I975" s="416"/>
      <c r="J975" s="416"/>
      <c r="K975" s="416"/>
      <c r="L975" s="417"/>
    </row>
    <row r="976">
      <c r="A976" s="203"/>
      <c r="B976" s="203"/>
      <c r="C976" s="203"/>
      <c r="D976" s="203"/>
      <c r="E976" s="203"/>
      <c r="F976" s="203"/>
      <c r="G976" s="203"/>
      <c r="H976" s="412"/>
      <c r="I976" s="413"/>
      <c r="J976" s="413"/>
      <c r="K976" s="413"/>
      <c r="L976" s="414"/>
    </row>
    <row r="977">
      <c r="A977" s="207"/>
      <c r="B977" s="207"/>
      <c r="C977" s="207"/>
      <c r="D977" s="207"/>
      <c r="E977" s="207"/>
      <c r="F977" s="207"/>
      <c r="G977" s="207"/>
      <c r="H977" s="415"/>
      <c r="I977" s="416"/>
      <c r="J977" s="416"/>
      <c r="K977" s="416"/>
      <c r="L977" s="417"/>
    </row>
    <row r="978">
      <c r="A978" s="203"/>
      <c r="B978" s="203"/>
      <c r="C978" s="203"/>
      <c r="D978" s="203"/>
      <c r="E978" s="203"/>
      <c r="F978" s="203"/>
      <c r="G978" s="203"/>
      <c r="H978" s="412"/>
      <c r="I978" s="413"/>
      <c r="J978" s="413"/>
      <c r="K978" s="413"/>
      <c r="L978" s="414"/>
    </row>
    <row r="979">
      <c r="A979" s="207"/>
      <c r="B979" s="207"/>
      <c r="C979" s="207"/>
      <c r="D979" s="207"/>
      <c r="E979" s="207"/>
      <c r="F979" s="207"/>
      <c r="G979" s="207"/>
      <c r="H979" s="415"/>
      <c r="I979" s="416"/>
      <c r="J979" s="416"/>
      <c r="K979" s="416"/>
      <c r="L979" s="417"/>
    </row>
    <row r="980">
      <c r="A980" s="203"/>
      <c r="B980" s="203"/>
      <c r="C980" s="203"/>
      <c r="D980" s="203"/>
      <c r="E980" s="203"/>
      <c r="F980" s="203"/>
      <c r="G980" s="203"/>
      <c r="H980" s="412"/>
      <c r="I980" s="413"/>
      <c r="J980" s="413"/>
      <c r="K980" s="413"/>
      <c r="L980" s="414"/>
    </row>
    <row r="981">
      <c r="A981" s="207"/>
      <c r="B981" s="207"/>
      <c r="C981" s="207"/>
      <c r="D981" s="207"/>
      <c r="E981" s="207"/>
      <c r="F981" s="207"/>
      <c r="G981" s="207"/>
      <c r="H981" s="415"/>
      <c r="I981" s="416"/>
      <c r="J981" s="416"/>
      <c r="K981" s="416"/>
      <c r="L981" s="417"/>
    </row>
    <row r="982">
      <c r="A982" s="203"/>
      <c r="B982" s="203"/>
      <c r="C982" s="203"/>
      <c r="D982" s="203"/>
      <c r="E982" s="203"/>
      <c r="F982" s="203"/>
      <c r="G982" s="203"/>
      <c r="H982" s="412"/>
      <c r="I982" s="413"/>
      <c r="J982" s="413"/>
      <c r="K982" s="413"/>
      <c r="L982" s="414"/>
    </row>
    <row r="983">
      <c r="A983" s="207"/>
      <c r="B983" s="207"/>
      <c r="C983" s="207"/>
      <c r="D983" s="207"/>
      <c r="E983" s="207"/>
      <c r="F983" s="207"/>
      <c r="G983" s="207"/>
      <c r="H983" s="415"/>
      <c r="I983" s="416"/>
      <c r="J983" s="416"/>
      <c r="K983" s="416"/>
      <c r="L983" s="417"/>
    </row>
    <row r="984">
      <c r="A984" s="203"/>
      <c r="B984" s="203"/>
      <c r="C984" s="203"/>
      <c r="D984" s="203"/>
      <c r="E984" s="203"/>
      <c r="F984" s="203"/>
      <c r="G984" s="203"/>
      <c r="H984" s="412"/>
      <c r="I984" s="413"/>
      <c r="J984" s="413"/>
      <c r="K984" s="413"/>
      <c r="L984" s="414"/>
    </row>
    <row r="985">
      <c r="A985" s="207"/>
      <c r="B985" s="207"/>
      <c r="C985" s="207"/>
      <c r="D985" s="207"/>
      <c r="E985" s="207"/>
      <c r="F985" s="207"/>
      <c r="G985" s="207"/>
      <c r="H985" s="415"/>
      <c r="I985" s="416"/>
      <c r="J985" s="416"/>
      <c r="K985" s="416"/>
      <c r="L985" s="417"/>
    </row>
    <row r="986">
      <c r="A986" s="203"/>
      <c r="B986" s="203"/>
      <c r="C986" s="203"/>
      <c r="D986" s="203"/>
      <c r="E986" s="203"/>
      <c r="F986" s="203"/>
      <c r="G986" s="203"/>
      <c r="H986" s="412"/>
      <c r="I986" s="413"/>
      <c r="J986" s="413"/>
      <c r="K986" s="413"/>
      <c r="L986" s="414"/>
    </row>
    <row r="987">
      <c r="A987" s="207"/>
      <c r="B987" s="207"/>
      <c r="C987" s="207"/>
      <c r="D987" s="207"/>
      <c r="E987" s="207"/>
      <c r="F987" s="207"/>
      <c r="G987" s="207"/>
      <c r="H987" s="415"/>
      <c r="I987" s="416"/>
      <c r="J987" s="416"/>
      <c r="K987" s="416"/>
      <c r="L987" s="417"/>
    </row>
    <row r="988">
      <c r="A988" s="203"/>
      <c r="B988" s="203"/>
      <c r="C988" s="203"/>
      <c r="D988" s="203"/>
      <c r="E988" s="203"/>
      <c r="F988" s="203"/>
      <c r="G988" s="203"/>
      <c r="H988" s="412"/>
      <c r="I988" s="413"/>
      <c r="J988" s="413"/>
      <c r="K988" s="413"/>
      <c r="L988" s="414"/>
    </row>
    <row r="989">
      <c r="A989" s="207"/>
      <c r="B989" s="207"/>
      <c r="C989" s="207"/>
      <c r="D989" s="207"/>
      <c r="E989" s="207"/>
      <c r="F989" s="207"/>
      <c r="G989" s="207"/>
      <c r="H989" s="415"/>
      <c r="I989" s="416"/>
      <c r="J989" s="416"/>
      <c r="K989" s="416"/>
      <c r="L989" s="417"/>
    </row>
    <row r="990">
      <c r="A990" s="203"/>
      <c r="B990" s="203"/>
      <c r="C990" s="203"/>
      <c r="D990" s="203"/>
      <c r="E990" s="203"/>
      <c r="F990" s="203"/>
      <c r="G990" s="203"/>
      <c r="H990" s="412"/>
      <c r="I990" s="413"/>
      <c r="J990" s="413"/>
      <c r="K990" s="413"/>
      <c r="L990" s="414"/>
    </row>
    <row r="991">
      <c r="A991" s="207"/>
      <c r="B991" s="207"/>
      <c r="C991" s="207"/>
      <c r="D991" s="207"/>
      <c r="E991" s="207"/>
      <c r="F991" s="207"/>
      <c r="G991" s="207"/>
      <c r="H991" s="415"/>
      <c r="I991" s="416"/>
      <c r="J991" s="416"/>
      <c r="K991" s="416"/>
      <c r="L991" s="417"/>
    </row>
    <row r="992">
      <c r="A992" s="203"/>
      <c r="B992" s="203"/>
      <c r="C992" s="203"/>
      <c r="D992" s="203"/>
      <c r="E992" s="203"/>
      <c r="F992" s="203"/>
      <c r="G992" s="203"/>
      <c r="H992" s="412"/>
      <c r="I992" s="413"/>
      <c r="J992" s="413"/>
      <c r="K992" s="413"/>
      <c r="L992" s="414"/>
    </row>
    <row r="993">
      <c r="A993" s="207"/>
      <c r="B993" s="207"/>
      <c r="C993" s="207"/>
      <c r="D993" s="207"/>
      <c r="E993" s="207"/>
      <c r="F993" s="207"/>
      <c r="G993" s="207"/>
      <c r="H993" s="415"/>
      <c r="I993" s="416"/>
      <c r="J993" s="416"/>
      <c r="K993" s="416"/>
      <c r="L993" s="417"/>
    </row>
    <row r="994">
      <c r="A994" s="203"/>
      <c r="B994" s="203"/>
      <c r="C994" s="203"/>
      <c r="D994" s="203"/>
      <c r="E994" s="203"/>
      <c r="F994" s="203"/>
      <c r="G994" s="203"/>
      <c r="H994" s="412"/>
      <c r="I994" s="413"/>
      <c r="J994" s="413"/>
      <c r="K994" s="413"/>
      <c r="L994" s="414"/>
    </row>
    <row r="995">
      <c r="A995" s="207"/>
      <c r="B995" s="207"/>
      <c r="C995" s="207"/>
      <c r="D995" s="207"/>
      <c r="E995" s="207"/>
      <c r="F995" s="207"/>
      <c r="G995" s="207"/>
      <c r="H995" s="415"/>
      <c r="I995" s="416"/>
      <c r="J995" s="416"/>
      <c r="K995" s="416"/>
      <c r="L995" s="417"/>
    </row>
    <row r="996">
      <c r="A996" s="203"/>
      <c r="B996" s="203"/>
      <c r="C996" s="203"/>
      <c r="D996" s="203"/>
      <c r="E996" s="203"/>
      <c r="F996" s="203"/>
      <c r="G996" s="203"/>
      <c r="H996" s="412"/>
      <c r="I996" s="413"/>
      <c r="J996" s="413"/>
      <c r="K996" s="413"/>
      <c r="L996" s="414"/>
    </row>
    <row r="997">
      <c r="A997" s="207"/>
      <c r="B997" s="207"/>
      <c r="C997" s="207"/>
      <c r="D997" s="207"/>
      <c r="E997" s="207"/>
      <c r="F997" s="207"/>
      <c r="G997" s="207"/>
      <c r="H997" s="415"/>
      <c r="I997" s="416"/>
      <c r="J997" s="416"/>
      <c r="K997" s="416"/>
      <c r="L997" s="417"/>
    </row>
    <row r="998">
      <c r="A998" s="203"/>
      <c r="B998" s="203"/>
      <c r="C998" s="203"/>
      <c r="D998" s="203"/>
      <c r="E998" s="203"/>
      <c r="F998" s="203"/>
      <c r="G998" s="203"/>
      <c r="H998" s="412"/>
      <c r="I998" s="413"/>
      <c r="J998" s="413"/>
      <c r="K998" s="413"/>
      <c r="L998" s="414"/>
    </row>
    <row r="999">
      <c r="A999" s="207"/>
      <c r="B999" s="207"/>
      <c r="C999" s="207"/>
      <c r="D999" s="207"/>
      <c r="E999" s="207"/>
      <c r="F999" s="207"/>
      <c r="G999" s="207"/>
      <c r="H999" s="415"/>
      <c r="I999" s="416"/>
      <c r="J999" s="416"/>
      <c r="K999" s="416"/>
      <c r="L999" s="417"/>
    </row>
  </sheetData>
  <mergeCells count="39">
    <mergeCell ref="A1:A2"/>
    <mergeCell ref="B1:B2"/>
    <mergeCell ref="C1:C2"/>
    <mergeCell ref="D1:D2"/>
    <mergeCell ref="E1:E2"/>
    <mergeCell ref="F1:F2"/>
    <mergeCell ref="G1:G2"/>
    <mergeCell ref="H1:L2"/>
    <mergeCell ref="H4:L4"/>
    <mergeCell ref="H5:L5"/>
    <mergeCell ref="H6:L6"/>
    <mergeCell ref="H7:L7"/>
    <mergeCell ref="H9:L9"/>
    <mergeCell ref="H10:L10"/>
    <mergeCell ref="H11:L11"/>
    <mergeCell ref="H12:L12"/>
    <mergeCell ref="H13:L13"/>
    <mergeCell ref="H14:L14"/>
    <mergeCell ref="H16:L16"/>
    <mergeCell ref="H17:L17"/>
    <mergeCell ref="H18:L18"/>
    <mergeCell ref="H19:L19"/>
    <mergeCell ref="H20:L20"/>
    <mergeCell ref="H22:L22"/>
    <mergeCell ref="H23:L23"/>
    <mergeCell ref="H24:L24"/>
    <mergeCell ref="H26:L26"/>
    <mergeCell ref="H27:L27"/>
    <mergeCell ref="H37:L37"/>
    <mergeCell ref="H38:L38"/>
    <mergeCell ref="H40:L40"/>
    <mergeCell ref="H41:L41"/>
    <mergeCell ref="H28:L28"/>
    <mergeCell ref="H29:L29"/>
    <mergeCell ref="H30:L30"/>
    <mergeCell ref="H32:L32"/>
    <mergeCell ref="H33:L33"/>
    <mergeCell ref="H34:L34"/>
    <mergeCell ref="H36:L36"/>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5.88"/>
    <col customWidth="1" min="2" max="2" width="11.75"/>
    <col customWidth="1" min="3" max="3" width="16.13"/>
    <col customWidth="1" min="4" max="4" width="7.13"/>
    <col customWidth="1" min="5" max="5" width="5.63"/>
    <col customWidth="1" min="6" max="6" width="8.0"/>
    <col customWidth="1" min="7" max="7" width="11.38"/>
    <col customWidth="1" min="8" max="8" width="10.88"/>
    <col customWidth="1" min="9" max="9" width="8.38"/>
    <col customWidth="1" min="10" max="10" width="10.25"/>
    <col customWidth="1" min="11" max="11" width="13.25"/>
    <col customWidth="1" min="12" max="13" width="15.38"/>
    <col customWidth="1" min="14" max="14" width="16.63"/>
    <col customWidth="1" min="15" max="15" width="16.13"/>
    <col customWidth="1" min="16" max="16" width="15.75"/>
    <col customWidth="1" min="17" max="17" width="20.5"/>
  </cols>
  <sheetData>
    <row r="1">
      <c r="A1" s="420" t="s">
        <v>167</v>
      </c>
      <c r="B1" s="421" t="s">
        <v>168</v>
      </c>
      <c r="C1" s="421" t="s">
        <v>169</v>
      </c>
      <c r="D1" s="421" t="s">
        <v>170</v>
      </c>
      <c r="E1" s="422" t="s">
        <v>171</v>
      </c>
      <c r="F1" s="421" t="s">
        <v>172</v>
      </c>
      <c r="G1" s="421" t="s">
        <v>173</v>
      </c>
      <c r="H1" s="423" t="s">
        <v>680</v>
      </c>
      <c r="I1" s="94"/>
      <c r="J1" s="94"/>
      <c r="K1" s="94"/>
      <c r="L1" s="94"/>
      <c r="M1" s="94"/>
      <c r="N1" s="94"/>
      <c r="O1" s="94"/>
      <c r="P1" s="94"/>
      <c r="Q1" s="94"/>
      <c r="R1" s="424"/>
      <c r="S1" s="425"/>
      <c r="T1" s="425"/>
      <c r="U1" s="425"/>
      <c r="V1" s="425"/>
      <c r="W1" s="425"/>
      <c r="X1" s="425"/>
      <c r="Y1" s="425"/>
      <c r="Z1" s="425"/>
      <c r="AA1" s="425"/>
      <c r="AB1" s="425"/>
    </row>
    <row r="2">
      <c r="A2" s="426"/>
      <c r="B2" s="427"/>
      <c r="C2" s="427"/>
      <c r="D2" s="427"/>
      <c r="E2" s="427"/>
      <c r="F2" s="427"/>
      <c r="G2" s="427"/>
      <c r="H2" s="428" t="s">
        <v>681</v>
      </c>
      <c r="I2" s="428" t="s">
        <v>682</v>
      </c>
      <c r="J2" s="428" t="s">
        <v>683</v>
      </c>
      <c r="K2" s="428" t="s">
        <v>684</v>
      </c>
      <c r="L2" s="428" t="s">
        <v>685</v>
      </c>
      <c r="M2" s="429" t="s">
        <v>686</v>
      </c>
      <c r="N2" s="430" t="s">
        <v>186</v>
      </c>
      <c r="Q2" s="431"/>
      <c r="R2" s="432"/>
      <c r="S2" s="433"/>
      <c r="T2" s="433"/>
      <c r="U2" s="433"/>
      <c r="V2" s="434"/>
      <c r="W2" s="434"/>
      <c r="X2" s="434"/>
    </row>
    <row r="3">
      <c r="A3" s="435" t="s">
        <v>687</v>
      </c>
      <c r="B3" s="324" t="s">
        <v>688</v>
      </c>
      <c r="C3" s="324" t="s">
        <v>689</v>
      </c>
      <c r="D3" s="324" t="s">
        <v>243</v>
      </c>
      <c r="E3" s="324">
        <v>1.0</v>
      </c>
      <c r="F3" s="324" t="s">
        <v>203</v>
      </c>
      <c r="G3" s="324" t="s">
        <v>690</v>
      </c>
      <c r="H3" s="324">
        <v>13.0</v>
      </c>
      <c r="I3" s="324" t="s">
        <v>691</v>
      </c>
      <c r="J3" s="324" t="s">
        <v>692</v>
      </c>
      <c r="K3" s="324" t="s">
        <v>26</v>
      </c>
      <c r="L3" s="324" t="s">
        <v>26</v>
      </c>
      <c r="M3" s="324" t="s">
        <v>693</v>
      </c>
      <c r="N3" s="436" t="s">
        <v>26</v>
      </c>
      <c r="O3" s="34"/>
      <c r="P3" s="34"/>
      <c r="Q3" s="14"/>
    </row>
    <row r="4">
      <c r="A4" s="437" t="s">
        <v>694</v>
      </c>
      <c r="B4" s="325" t="s">
        <v>26</v>
      </c>
      <c r="C4" s="325" t="s">
        <v>26</v>
      </c>
      <c r="D4" s="325" t="s">
        <v>695</v>
      </c>
      <c r="E4" s="325">
        <v>2.0</v>
      </c>
      <c r="F4" s="325" t="s">
        <v>199</v>
      </c>
      <c r="G4" s="325" t="s">
        <v>690</v>
      </c>
      <c r="H4" s="325">
        <v>15.0</v>
      </c>
      <c r="I4" s="325" t="s">
        <v>691</v>
      </c>
      <c r="J4" s="325" t="s">
        <v>692</v>
      </c>
      <c r="K4" s="325" t="s">
        <v>26</v>
      </c>
      <c r="L4" s="325" t="s">
        <v>26</v>
      </c>
      <c r="M4" s="325" t="s">
        <v>696</v>
      </c>
      <c r="N4" s="436" t="s">
        <v>697</v>
      </c>
      <c r="O4" s="34"/>
      <c r="P4" s="34"/>
      <c r="Q4" s="14"/>
    </row>
    <row r="5">
      <c r="A5" s="437" t="s">
        <v>698</v>
      </c>
      <c r="B5" s="325" t="s">
        <v>699</v>
      </c>
      <c r="C5" s="325" t="s">
        <v>689</v>
      </c>
      <c r="D5" s="325" t="s">
        <v>700</v>
      </c>
      <c r="E5" s="325">
        <v>3.0</v>
      </c>
      <c r="F5" s="325" t="s">
        <v>203</v>
      </c>
      <c r="G5" s="325" t="s">
        <v>690</v>
      </c>
      <c r="H5" s="325">
        <v>14.0</v>
      </c>
      <c r="I5" s="325" t="s">
        <v>691</v>
      </c>
      <c r="J5" s="325" t="s">
        <v>692</v>
      </c>
      <c r="K5" s="325" t="s">
        <v>26</v>
      </c>
      <c r="L5" s="325" t="s">
        <v>26</v>
      </c>
      <c r="M5" s="325" t="s">
        <v>693</v>
      </c>
      <c r="N5" s="436" t="s">
        <v>26</v>
      </c>
      <c r="O5" s="34"/>
      <c r="P5" s="34"/>
      <c r="Q5" s="14"/>
    </row>
    <row r="6">
      <c r="A6" s="437" t="s">
        <v>701</v>
      </c>
      <c r="B6" s="325" t="s">
        <v>26</v>
      </c>
      <c r="C6" s="325" t="s">
        <v>26</v>
      </c>
      <c r="D6" s="325" t="s">
        <v>332</v>
      </c>
      <c r="E6" s="325">
        <v>3.0</v>
      </c>
      <c r="F6" s="325" t="s">
        <v>203</v>
      </c>
      <c r="G6" s="325" t="s">
        <v>690</v>
      </c>
      <c r="H6" s="325">
        <v>12.0</v>
      </c>
      <c r="I6" s="325" t="s">
        <v>691</v>
      </c>
      <c r="J6" s="325" t="s">
        <v>702</v>
      </c>
      <c r="K6" s="325" t="s">
        <v>26</v>
      </c>
      <c r="L6" s="325" t="s">
        <v>26</v>
      </c>
      <c r="M6" s="325" t="s">
        <v>696</v>
      </c>
      <c r="N6" s="436" t="s">
        <v>703</v>
      </c>
      <c r="O6" s="34"/>
      <c r="P6" s="34"/>
      <c r="Q6" s="14"/>
    </row>
    <row r="7">
      <c r="A7" s="437" t="s">
        <v>704</v>
      </c>
      <c r="B7" s="325" t="s">
        <v>705</v>
      </c>
      <c r="C7" s="325" t="s">
        <v>689</v>
      </c>
      <c r="D7" s="325" t="s">
        <v>241</v>
      </c>
      <c r="E7" s="325">
        <v>2.0</v>
      </c>
      <c r="F7" s="325" t="s">
        <v>706</v>
      </c>
      <c r="G7" s="325" t="s">
        <v>707</v>
      </c>
      <c r="H7" s="325">
        <v>10.0</v>
      </c>
      <c r="I7" s="325" t="s">
        <v>708</v>
      </c>
      <c r="J7" s="325" t="s">
        <v>26</v>
      </c>
      <c r="K7" s="325" t="s">
        <v>709</v>
      </c>
      <c r="L7" s="325" t="s">
        <v>692</v>
      </c>
      <c r="M7" s="325" t="s">
        <v>710</v>
      </c>
      <c r="N7" s="436" t="s">
        <v>711</v>
      </c>
      <c r="O7" s="34"/>
      <c r="P7" s="34"/>
      <c r="Q7" s="14"/>
    </row>
    <row r="8">
      <c r="A8" s="437" t="s">
        <v>712</v>
      </c>
      <c r="B8" s="325" t="s">
        <v>26</v>
      </c>
      <c r="C8" s="325" t="s">
        <v>26</v>
      </c>
      <c r="D8" s="325" t="s">
        <v>267</v>
      </c>
      <c r="E8" s="325">
        <v>2.0</v>
      </c>
      <c r="F8" s="325" t="s">
        <v>207</v>
      </c>
      <c r="G8" s="325" t="s">
        <v>690</v>
      </c>
      <c r="H8" s="325">
        <v>15.0</v>
      </c>
      <c r="I8" s="325" t="s">
        <v>691</v>
      </c>
      <c r="J8" s="325" t="s">
        <v>692</v>
      </c>
      <c r="K8" s="325" t="s">
        <v>26</v>
      </c>
      <c r="L8" s="325" t="s">
        <v>26</v>
      </c>
      <c r="M8" s="325" t="s">
        <v>693</v>
      </c>
      <c r="N8" s="436" t="s">
        <v>713</v>
      </c>
      <c r="O8" s="34"/>
      <c r="P8" s="34"/>
      <c r="Q8" s="14"/>
    </row>
    <row r="9">
      <c r="A9" s="437" t="s">
        <v>714</v>
      </c>
      <c r="B9" s="325" t="s">
        <v>715</v>
      </c>
      <c r="C9" s="325" t="s">
        <v>716</v>
      </c>
      <c r="D9" s="325" t="s">
        <v>275</v>
      </c>
      <c r="E9" s="325">
        <v>2.0</v>
      </c>
      <c r="F9" s="325" t="s">
        <v>203</v>
      </c>
      <c r="G9" s="325" t="s">
        <v>690</v>
      </c>
      <c r="H9" s="325">
        <v>13.0</v>
      </c>
      <c r="I9" s="325" t="s">
        <v>696</v>
      </c>
      <c r="J9" s="325" t="s">
        <v>692</v>
      </c>
      <c r="K9" s="325" t="s">
        <v>26</v>
      </c>
      <c r="L9" s="325" t="s">
        <v>26</v>
      </c>
      <c r="M9" s="325" t="s">
        <v>693</v>
      </c>
      <c r="N9" s="436" t="s">
        <v>717</v>
      </c>
      <c r="O9" s="34"/>
      <c r="P9" s="34"/>
      <c r="Q9" s="14"/>
    </row>
    <row r="10">
      <c r="A10" s="437" t="s">
        <v>718</v>
      </c>
      <c r="B10" s="325" t="s">
        <v>699</v>
      </c>
      <c r="C10" s="325" t="s">
        <v>689</v>
      </c>
      <c r="D10" s="325" t="s">
        <v>267</v>
      </c>
      <c r="E10" s="325">
        <v>3.0</v>
      </c>
      <c r="F10" s="325" t="s">
        <v>199</v>
      </c>
      <c r="G10" s="325" t="s">
        <v>690</v>
      </c>
      <c r="H10" s="325">
        <v>14.0</v>
      </c>
      <c r="I10" s="325" t="s">
        <v>691</v>
      </c>
      <c r="J10" s="325" t="s">
        <v>702</v>
      </c>
      <c r="K10" s="325" t="s">
        <v>26</v>
      </c>
      <c r="L10" s="325" t="s">
        <v>26</v>
      </c>
      <c r="M10" s="325" t="s">
        <v>693</v>
      </c>
      <c r="N10" s="436" t="s">
        <v>719</v>
      </c>
      <c r="O10" s="34"/>
      <c r="P10" s="34"/>
      <c r="Q10" s="14"/>
    </row>
    <row r="11">
      <c r="A11" s="437" t="s">
        <v>720</v>
      </c>
      <c r="B11" s="325" t="s">
        <v>705</v>
      </c>
      <c r="C11" s="325" t="s">
        <v>689</v>
      </c>
      <c r="D11" s="325" t="s">
        <v>341</v>
      </c>
      <c r="E11" s="325">
        <v>5.0</v>
      </c>
      <c r="F11" s="325" t="s">
        <v>203</v>
      </c>
      <c r="G11" s="325" t="s">
        <v>690</v>
      </c>
      <c r="H11" s="325">
        <v>17.0</v>
      </c>
      <c r="I11" s="325" t="s">
        <v>691</v>
      </c>
      <c r="J11" s="325" t="s">
        <v>692</v>
      </c>
      <c r="K11" s="325" t="s">
        <v>26</v>
      </c>
      <c r="L11" s="325" t="s">
        <v>26</v>
      </c>
      <c r="M11" s="325" t="s">
        <v>721</v>
      </c>
      <c r="N11" s="436" t="s">
        <v>26</v>
      </c>
      <c r="O11" s="34"/>
      <c r="P11" s="34"/>
      <c r="Q11" s="14"/>
    </row>
    <row r="12">
      <c r="A12" s="437" t="s">
        <v>722</v>
      </c>
      <c r="B12" s="325" t="s">
        <v>723</v>
      </c>
      <c r="C12" s="325" t="s">
        <v>689</v>
      </c>
      <c r="D12" s="325" t="s">
        <v>372</v>
      </c>
      <c r="E12" s="325">
        <v>7.0</v>
      </c>
      <c r="F12" s="325" t="s">
        <v>203</v>
      </c>
      <c r="G12" s="325" t="s">
        <v>690</v>
      </c>
      <c r="H12" s="325">
        <v>18.0</v>
      </c>
      <c r="I12" s="325" t="s">
        <v>724</v>
      </c>
      <c r="J12" s="325" t="s">
        <v>692</v>
      </c>
      <c r="K12" s="325" t="s">
        <v>26</v>
      </c>
      <c r="L12" s="325" t="s">
        <v>26</v>
      </c>
      <c r="M12" s="325" t="s">
        <v>725</v>
      </c>
      <c r="N12" s="436" t="s">
        <v>26</v>
      </c>
      <c r="O12" s="34"/>
      <c r="P12" s="34"/>
      <c r="Q12" s="14"/>
    </row>
    <row r="13">
      <c r="A13" s="437" t="s">
        <v>726</v>
      </c>
      <c r="B13" s="325" t="s">
        <v>727</v>
      </c>
      <c r="C13" s="325" t="s">
        <v>689</v>
      </c>
      <c r="D13" s="325" t="s">
        <v>360</v>
      </c>
      <c r="E13" s="325">
        <v>7.0</v>
      </c>
      <c r="F13" s="325" t="s">
        <v>199</v>
      </c>
      <c r="G13" s="325" t="s">
        <v>707</v>
      </c>
      <c r="H13" s="325">
        <v>15.0</v>
      </c>
      <c r="I13" s="325" t="s">
        <v>710</v>
      </c>
      <c r="J13" s="325" t="s">
        <v>26</v>
      </c>
      <c r="K13" s="325" t="s">
        <v>709</v>
      </c>
      <c r="L13" s="325" t="s">
        <v>692</v>
      </c>
      <c r="M13" s="325" t="s">
        <v>710</v>
      </c>
      <c r="N13" s="436" t="s">
        <v>26</v>
      </c>
      <c r="O13" s="34"/>
      <c r="P13" s="34"/>
      <c r="Q13" s="14"/>
    </row>
    <row r="14">
      <c r="A14" s="437" t="s">
        <v>728</v>
      </c>
      <c r="B14" s="325" t="s">
        <v>26</v>
      </c>
      <c r="C14" s="325" t="s">
        <v>26</v>
      </c>
      <c r="D14" s="325" t="s">
        <v>341</v>
      </c>
      <c r="E14" s="325">
        <v>7.0</v>
      </c>
      <c r="F14" s="325" t="s">
        <v>199</v>
      </c>
      <c r="G14" s="325" t="s">
        <v>690</v>
      </c>
      <c r="H14" s="325">
        <v>18.0</v>
      </c>
      <c r="I14" s="325" t="s">
        <v>691</v>
      </c>
      <c r="J14" s="325" t="s">
        <v>729</v>
      </c>
      <c r="K14" s="325" t="s">
        <v>26</v>
      </c>
      <c r="L14" s="325" t="s">
        <v>26</v>
      </c>
      <c r="M14" s="325" t="s">
        <v>693</v>
      </c>
      <c r="N14" s="436" t="s">
        <v>730</v>
      </c>
      <c r="O14" s="34"/>
      <c r="P14" s="34"/>
      <c r="Q14" s="14"/>
    </row>
    <row r="15">
      <c r="A15" s="437" t="s">
        <v>731</v>
      </c>
      <c r="B15" s="325" t="s">
        <v>732</v>
      </c>
      <c r="C15" s="325" t="s">
        <v>380</v>
      </c>
      <c r="D15" s="325" t="s">
        <v>341</v>
      </c>
      <c r="E15" s="325">
        <v>7.0</v>
      </c>
      <c r="F15" s="325" t="s">
        <v>199</v>
      </c>
      <c r="G15" s="325" t="s">
        <v>707</v>
      </c>
      <c r="H15" s="325">
        <v>20.0</v>
      </c>
      <c r="I15" s="325" t="s">
        <v>710</v>
      </c>
      <c r="J15" s="325" t="s">
        <v>26</v>
      </c>
      <c r="K15" s="325" t="s">
        <v>709</v>
      </c>
      <c r="L15" s="325" t="s">
        <v>692</v>
      </c>
      <c r="M15" s="325" t="s">
        <v>710</v>
      </c>
      <c r="N15" s="436" t="s">
        <v>733</v>
      </c>
      <c r="O15" s="34"/>
      <c r="P15" s="34"/>
      <c r="Q15" s="14"/>
    </row>
    <row r="16">
      <c r="A16" s="437"/>
      <c r="B16" s="438"/>
      <c r="C16" s="438"/>
      <c r="D16" s="438"/>
      <c r="E16" s="438"/>
      <c r="F16" s="438"/>
      <c r="G16" s="438"/>
      <c r="H16" s="438"/>
      <c r="I16" s="438"/>
      <c r="J16" s="438"/>
      <c r="K16" s="438"/>
      <c r="L16" s="438"/>
      <c r="M16" s="438"/>
      <c r="N16" s="436" t="s">
        <v>26</v>
      </c>
      <c r="O16" s="34"/>
      <c r="P16" s="34"/>
      <c r="Q16" s="14"/>
    </row>
    <row r="17">
      <c r="A17" s="439"/>
      <c r="B17" s="438"/>
      <c r="C17" s="438"/>
      <c r="D17" s="438"/>
      <c r="E17" s="438"/>
      <c r="F17" s="438"/>
      <c r="G17" s="438"/>
      <c r="H17" s="438"/>
      <c r="I17" s="438"/>
      <c r="J17" s="438"/>
      <c r="K17" s="438"/>
      <c r="L17" s="438"/>
      <c r="M17" s="438"/>
      <c r="N17" s="436" t="s">
        <v>26</v>
      </c>
      <c r="O17" s="34"/>
      <c r="P17" s="34"/>
      <c r="Q17" s="14"/>
    </row>
    <row r="18">
      <c r="A18" s="440"/>
    </row>
    <row r="19">
      <c r="A19" s="440"/>
    </row>
    <row r="20">
      <c r="A20" s="440"/>
    </row>
    <row r="21">
      <c r="A21" s="440"/>
    </row>
    <row r="22">
      <c r="A22" s="440"/>
    </row>
    <row r="23">
      <c r="A23" s="440"/>
    </row>
    <row r="24">
      <c r="A24" s="440"/>
    </row>
    <row r="25">
      <c r="A25" s="440"/>
    </row>
    <row r="26">
      <c r="A26" s="440"/>
    </row>
    <row r="27">
      <c r="A27" s="440"/>
    </row>
    <row r="28">
      <c r="A28" s="440"/>
    </row>
    <row r="29">
      <c r="A29" s="440"/>
    </row>
    <row r="30">
      <c r="A30" s="440"/>
    </row>
    <row r="31">
      <c r="A31" s="440"/>
    </row>
    <row r="32">
      <c r="A32" s="440"/>
    </row>
    <row r="33">
      <c r="A33" s="440"/>
    </row>
    <row r="34">
      <c r="A34" s="440"/>
    </row>
    <row r="35">
      <c r="A35" s="440"/>
    </row>
    <row r="36">
      <c r="A36" s="440"/>
    </row>
    <row r="37">
      <c r="A37" s="440"/>
    </row>
    <row r="38">
      <c r="A38" s="440"/>
    </row>
    <row r="39">
      <c r="A39" s="440"/>
    </row>
    <row r="40">
      <c r="A40" s="440"/>
    </row>
    <row r="41">
      <c r="A41" s="440"/>
    </row>
    <row r="42">
      <c r="A42" s="440"/>
    </row>
    <row r="43">
      <c r="A43" s="440"/>
    </row>
    <row r="44">
      <c r="A44" s="440"/>
    </row>
    <row r="45">
      <c r="A45" s="440"/>
    </row>
    <row r="46">
      <c r="A46" s="440"/>
    </row>
    <row r="47">
      <c r="A47" s="440"/>
    </row>
    <row r="48">
      <c r="A48" s="440"/>
    </row>
    <row r="49">
      <c r="A49" s="440"/>
    </row>
    <row r="50">
      <c r="A50" s="440"/>
    </row>
    <row r="51">
      <c r="A51" s="440"/>
    </row>
    <row r="52">
      <c r="A52" s="440"/>
    </row>
    <row r="53">
      <c r="A53" s="440"/>
    </row>
    <row r="54">
      <c r="A54" s="440"/>
    </row>
    <row r="55">
      <c r="A55" s="440"/>
    </row>
    <row r="56">
      <c r="A56" s="440"/>
    </row>
    <row r="57">
      <c r="A57" s="440"/>
    </row>
    <row r="58">
      <c r="A58" s="440"/>
    </row>
    <row r="59">
      <c r="A59" s="440"/>
    </row>
    <row r="60">
      <c r="A60" s="440"/>
    </row>
    <row r="61">
      <c r="A61" s="440"/>
    </row>
    <row r="62">
      <c r="A62" s="440"/>
    </row>
    <row r="63">
      <c r="A63" s="440"/>
    </row>
    <row r="64">
      <c r="A64" s="440"/>
    </row>
    <row r="65">
      <c r="A65" s="440"/>
    </row>
    <row r="66">
      <c r="A66" s="440"/>
    </row>
    <row r="67">
      <c r="A67" s="440"/>
    </row>
    <row r="68">
      <c r="A68" s="440"/>
    </row>
    <row r="69">
      <c r="A69" s="440"/>
    </row>
    <row r="70">
      <c r="A70" s="440"/>
    </row>
    <row r="71">
      <c r="A71" s="440"/>
    </row>
    <row r="72">
      <c r="A72" s="440"/>
    </row>
    <row r="73">
      <c r="A73" s="440"/>
    </row>
    <row r="74">
      <c r="A74" s="440"/>
    </row>
    <row r="75">
      <c r="A75" s="440"/>
    </row>
    <row r="76">
      <c r="A76" s="440"/>
    </row>
    <row r="77">
      <c r="A77" s="440"/>
    </row>
    <row r="78">
      <c r="A78" s="440"/>
    </row>
    <row r="79">
      <c r="A79" s="440"/>
    </row>
    <row r="80">
      <c r="A80" s="440"/>
    </row>
    <row r="81">
      <c r="A81" s="440"/>
    </row>
    <row r="82">
      <c r="A82" s="440"/>
    </row>
    <row r="83">
      <c r="A83" s="440"/>
    </row>
    <row r="84">
      <c r="A84" s="440"/>
    </row>
    <row r="85">
      <c r="A85" s="440"/>
    </row>
    <row r="86">
      <c r="A86" s="440"/>
    </row>
    <row r="87">
      <c r="A87" s="440"/>
    </row>
    <row r="88">
      <c r="A88" s="440"/>
    </row>
    <row r="89">
      <c r="A89" s="440"/>
    </row>
    <row r="90">
      <c r="A90" s="440"/>
    </row>
    <row r="91">
      <c r="A91" s="440"/>
    </row>
    <row r="92">
      <c r="A92" s="440"/>
    </row>
    <row r="93">
      <c r="A93" s="440"/>
    </row>
    <row r="94">
      <c r="A94" s="440"/>
    </row>
    <row r="95">
      <c r="A95" s="440"/>
    </row>
    <row r="96">
      <c r="A96" s="440"/>
    </row>
    <row r="97">
      <c r="A97" s="440"/>
    </row>
    <row r="98">
      <c r="A98" s="440"/>
    </row>
    <row r="99">
      <c r="A99" s="440"/>
    </row>
    <row r="100">
      <c r="A100" s="440"/>
    </row>
    <row r="101">
      <c r="A101" s="440"/>
    </row>
    <row r="102">
      <c r="A102" s="440"/>
    </row>
    <row r="103">
      <c r="A103" s="440"/>
    </row>
    <row r="104">
      <c r="A104" s="440"/>
    </row>
    <row r="105">
      <c r="A105" s="440"/>
    </row>
    <row r="106">
      <c r="A106" s="440"/>
    </row>
    <row r="107">
      <c r="A107" s="440"/>
    </row>
    <row r="108">
      <c r="A108" s="440"/>
    </row>
    <row r="109">
      <c r="A109" s="440"/>
    </row>
    <row r="110">
      <c r="A110" s="440"/>
    </row>
    <row r="111">
      <c r="A111" s="440"/>
    </row>
    <row r="112">
      <c r="A112" s="440"/>
    </row>
    <row r="113">
      <c r="A113" s="440"/>
    </row>
    <row r="114">
      <c r="A114" s="440"/>
    </row>
    <row r="115">
      <c r="A115" s="440"/>
    </row>
    <row r="116">
      <c r="A116" s="440"/>
    </row>
    <row r="117">
      <c r="A117" s="440"/>
    </row>
    <row r="118">
      <c r="A118" s="440"/>
    </row>
    <row r="119">
      <c r="A119" s="440"/>
    </row>
    <row r="120">
      <c r="A120" s="440"/>
    </row>
    <row r="121">
      <c r="A121" s="440"/>
    </row>
    <row r="122">
      <c r="A122" s="440"/>
    </row>
    <row r="123">
      <c r="A123" s="440"/>
    </row>
    <row r="124">
      <c r="A124" s="440"/>
    </row>
    <row r="125">
      <c r="A125" s="440"/>
    </row>
    <row r="126">
      <c r="A126" s="440"/>
    </row>
    <row r="127">
      <c r="A127" s="440"/>
    </row>
    <row r="128">
      <c r="A128" s="440"/>
    </row>
    <row r="129">
      <c r="A129" s="440"/>
    </row>
    <row r="130">
      <c r="A130" s="440"/>
    </row>
    <row r="131">
      <c r="A131" s="440"/>
    </row>
    <row r="132">
      <c r="A132" s="440"/>
    </row>
    <row r="133">
      <c r="A133" s="440"/>
    </row>
    <row r="134">
      <c r="A134" s="440"/>
    </row>
    <row r="135">
      <c r="A135" s="440"/>
    </row>
    <row r="136">
      <c r="A136" s="440"/>
    </row>
    <row r="137">
      <c r="A137" s="440"/>
    </row>
    <row r="138">
      <c r="A138" s="440"/>
    </row>
    <row r="139">
      <c r="A139" s="440"/>
    </row>
    <row r="140">
      <c r="A140" s="440"/>
    </row>
    <row r="141">
      <c r="A141" s="440"/>
    </row>
    <row r="142">
      <c r="A142" s="440"/>
    </row>
    <row r="143">
      <c r="A143" s="440"/>
    </row>
    <row r="144">
      <c r="A144" s="440"/>
    </row>
    <row r="145">
      <c r="A145" s="440"/>
    </row>
    <row r="146">
      <c r="A146" s="440"/>
    </row>
    <row r="147">
      <c r="A147" s="440"/>
    </row>
    <row r="148">
      <c r="A148" s="440"/>
    </row>
    <row r="149">
      <c r="A149" s="440"/>
    </row>
    <row r="150">
      <c r="A150" s="440"/>
    </row>
    <row r="151">
      <c r="A151" s="440"/>
    </row>
    <row r="152">
      <c r="A152" s="440"/>
    </row>
    <row r="153">
      <c r="A153" s="440"/>
    </row>
    <row r="154">
      <c r="A154" s="440"/>
    </row>
    <row r="155">
      <c r="A155" s="440"/>
    </row>
    <row r="156">
      <c r="A156" s="440"/>
    </row>
    <row r="157">
      <c r="A157" s="440"/>
    </row>
    <row r="158">
      <c r="A158" s="440"/>
    </row>
    <row r="159">
      <c r="A159" s="440"/>
    </row>
    <row r="160">
      <c r="A160" s="440"/>
    </row>
    <row r="161">
      <c r="A161" s="440"/>
    </row>
    <row r="162">
      <c r="A162" s="440"/>
    </row>
    <row r="163">
      <c r="A163" s="440"/>
    </row>
    <row r="164">
      <c r="A164" s="440"/>
    </row>
    <row r="165">
      <c r="A165" s="440"/>
    </row>
    <row r="166">
      <c r="A166" s="440"/>
    </row>
    <row r="167">
      <c r="A167" s="440"/>
    </row>
    <row r="168">
      <c r="A168" s="440"/>
    </row>
    <row r="169">
      <c r="A169" s="440"/>
    </row>
    <row r="170">
      <c r="A170" s="440"/>
    </row>
    <row r="171">
      <c r="A171" s="440"/>
    </row>
    <row r="172">
      <c r="A172" s="440"/>
    </row>
    <row r="173">
      <c r="A173" s="440"/>
    </row>
    <row r="174">
      <c r="A174" s="440"/>
    </row>
    <row r="175">
      <c r="A175" s="440"/>
    </row>
    <row r="176">
      <c r="A176" s="440"/>
    </row>
    <row r="177">
      <c r="A177" s="440"/>
    </row>
    <row r="178">
      <c r="A178" s="440"/>
    </row>
    <row r="179">
      <c r="A179" s="440"/>
    </row>
    <row r="180">
      <c r="A180" s="440"/>
    </row>
    <row r="181">
      <c r="A181" s="440"/>
    </row>
    <row r="182">
      <c r="A182" s="440"/>
    </row>
    <row r="183">
      <c r="A183" s="440"/>
    </row>
    <row r="184">
      <c r="A184" s="440"/>
    </row>
    <row r="185">
      <c r="A185" s="440"/>
    </row>
    <row r="186">
      <c r="A186" s="440"/>
    </row>
    <row r="187">
      <c r="A187" s="440"/>
    </row>
    <row r="188">
      <c r="A188" s="440"/>
    </row>
    <row r="189">
      <c r="A189" s="440"/>
    </row>
    <row r="190">
      <c r="A190" s="440"/>
    </row>
    <row r="191">
      <c r="A191" s="440"/>
    </row>
    <row r="192">
      <c r="A192" s="440"/>
    </row>
    <row r="193">
      <c r="A193" s="440"/>
    </row>
    <row r="194">
      <c r="A194" s="440"/>
    </row>
    <row r="195">
      <c r="A195" s="440"/>
    </row>
    <row r="196">
      <c r="A196" s="440"/>
    </row>
    <row r="197">
      <c r="A197" s="440"/>
    </row>
    <row r="198">
      <c r="A198" s="440"/>
    </row>
    <row r="199">
      <c r="A199" s="440"/>
    </row>
    <row r="200">
      <c r="A200" s="440"/>
    </row>
    <row r="201">
      <c r="A201" s="440"/>
    </row>
    <row r="202">
      <c r="A202" s="440"/>
    </row>
    <row r="203">
      <c r="A203" s="440"/>
    </row>
    <row r="204">
      <c r="A204" s="440"/>
    </row>
    <row r="205">
      <c r="A205" s="440"/>
    </row>
    <row r="206">
      <c r="A206" s="440"/>
    </row>
    <row r="207">
      <c r="A207" s="440"/>
    </row>
    <row r="208">
      <c r="A208" s="440"/>
    </row>
    <row r="209">
      <c r="A209" s="440"/>
    </row>
    <row r="210">
      <c r="A210" s="440"/>
    </row>
    <row r="211">
      <c r="A211" s="440"/>
    </row>
    <row r="212">
      <c r="A212" s="440"/>
    </row>
    <row r="213">
      <c r="A213" s="440"/>
    </row>
    <row r="214">
      <c r="A214" s="440"/>
    </row>
    <row r="215">
      <c r="A215" s="440"/>
    </row>
    <row r="216">
      <c r="A216" s="440"/>
    </row>
    <row r="217">
      <c r="A217" s="440"/>
    </row>
    <row r="218">
      <c r="A218" s="440"/>
    </row>
    <row r="219">
      <c r="A219" s="440"/>
    </row>
    <row r="220">
      <c r="A220" s="440"/>
    </row>
    <row r="221">
      <c r="A221" s="440"/>
    </row>
    <row r="222">
      <c r="A222" s="440"/>
    </row>
    <row r="223">
      <c r="A223" s="440"/>
    </row>
    <row r="224">
      <c r="A224" s="440"/>
    </row>
    <row r="225">
      <c r="A225" s="440"/>
    </row>
    <row r="226">
      <c r="A226" s="440"/>
    </row>
    <row r="227">
      <c r="A227" s="440"/>
    </row>
    <row r="228">
      <c r="A228" s="440"/>
    </row>
    <row r="229">
      <c r="A229" s="440"/>
    </row>
    <row r="230">
      <c r="A230" s="440"/>
    </row>
    <row r="231">
      <c r="A231" s="440"/>
    </row>
    <row r="232">
      <c r="A232" s="440"/>
    </row>
    <row r="233">
      <c r="A233" s="440"/>
    </row>
    <row r="234">
      <c r="A234" s="440"/>
    </row>
    <row r="235">
      <c r="A235" s="440"/>
    </row>
    <row r="236">
      <c r="A236" s="440"/>
    </row>
    <row r="237">
      <c r="A237" s="440"/>
    </row>
    <row r="238">
      <c r="A238" s="440"/>
    </row>
    <row r="239">
      <c r="A239" s="440"/>
    </row>
    <row r="240">
      <c r="A240" s="440"/>
    </row>
    <row r="241">
      <c r="A241" s="440"/>
    </row>
    <row r="242">
      <c r="A242" s="440"/>
    </row>
    <row r="243">
      <c r="A243" s="440"/>
    </row>
    <row r="244">
      <c r="A244" s="440"/>
    </row>
    <row r="245">
      <c r="A245" s="440"/>
    </row>
    <row r="246">
      <c r="A246" s="440"/>
    </row>
    <row r="247">
      <c r="A247" s="440"/>
    </row>
    <row r="248">
      <c r="A248" s="440"/>
    </row>
    <row r="249">
      <c r="A249" s="440"/>
    </row>
    <row r="250">
      <c r="A250" s="440"/>
    </row>
    <row r="251">
      <c r="A251" s="440"/>
    </row>
    <row r="252">
      <c r="A252" s="440"/>
    </row>
    <row r="253">
      <c r="A253" s="440"/>
    </row>
    <row r="254">
      <c r="A254" s="440"/>
    </row>
    <row r="255">
      <c r="A255" s="440"/>
    </row>
    <row r="256">
      <c r="A256" s="440"/>
    </row>
    <row r="257">
      <c r="A257" s="440"/>
    </row>
    <row r="258">
      <c r="A258" s="440"/>
    </row>
    <row r="259">
      <c r="A259" s="440"/>
    </row>
    <row r="260">
      <c r="A260" s="440"/>
    </row>
    <row r="261">
      <c r="A261" s="440"/>
    </row>
    <row r="262">
      <c r="A262" s="440"/>
    </row>
    <row r="263">
      <c r="A263" s="440"/>
    </row>
    <row r="264">
      <c r="A264" s="440"/>
    </row>
    <row r="265">
      <c r="A265" s="440"/>
    </row>
    <row r="266">
      <c r="A266" s="440"/>
    </row>
    <row r="267">
      <c r="A267" s="440"/>
    </row>
    <row r="268">
      <c r="A268" s="440"/>
    </row>
    <row r="269">
      <c r="A269" s="440"/>
    </row>
    <row r="270">
      <c r="A270" s="440"/>
    </row>
    <row r="271">
      <c r="A271" s="440"/>
    </row>
    <row r="272">
      <c r="A272" s="440"/>
    </row>
    <row r="273">
      <c r="A273" s="440"/>
    </row>
    <row r="274">
      <c r="A274" s="440"/>
    </row>
    <row r="275">
      <c r="A275" s="440"/>
    </row>
    <row r="276">
      <c r="A276" s="440"/>
    </row>
    <row r="277">
      <c r="A277" s="440"/>
    </row>
    <row r="278">
      <c r="A278" s="440"/>
    </row>
    <row r="279">
      <c r="A279" s="440"/>
    </row>
    <row r="280">
      <c r="A280" s="440"/>
    </row>
    <row r="281">
      <c r="A281" s="440"/>
    </row>
    <row r="282">
      <c r="A282" s="440"/>
    </row>
    <row r="283">
      <c r="A283" s="440"/>
    </row>
    <row r="284">
      <c r="A284" s="440"/>
    </row>
    <row r="285">
      <c r="A285" s="440"/>
    </row>
    <row r="286">
      <c r="A286" s="440"/>
    </row>
    <row r="287">
      <c r="A287" s="440"/>
    </row>
    <row r="288">
      <c r="A288" s="440"/>
    </row>
    <row r="289">
      <c r="A289" s="440"/>
    </row>
    <row r="290">
      <c r="A290" s="440"/>
    </row>
    <row r="291">
      <c r="A291" s="440"/>
    </row>
    <row r="292">
      <c r="A292" s="440"/>
    </row>
    <row r="293">
      <c r="A293" s="440"/>
    </row>
    <row r="294">
      <c r="A294" s="440"/>
    </row>
    <row r="295">
      <c r="A295" s="440"/>
    </row>
    <row r="296">
      <c r="A296" s="440"/>
    </row>
    <row r="297">
      <c r="A297" s="440"/>
    </row>
    <row r="298">
      <c r="A298" s="440"/>
    </row>
    <row r="299">
      <c r="A299" s="440"/>
    </row>
    <row r="300">
      <c r="A300" s="440"/>
    </row>
    <row r="301">
      <c r="A301" s="440"/>
    </row>
    <row r="302">
      <c r="A302" s="440"/>
    </row>
    <row r="303">
      <c r="A303" s="440"/>
    </row>
    <row r="304">
      <c r="A304" s="440"/>
    </row>
    <row r="305">
      <c r="A305" s="440"/>
    </row>
    <row r="306">
      <c r="A306" s="440"/>
    </row>
    <row r="307">
      <c r="A307" s="440"/>
    </row>
    <row r="308">
      <c r="A308" s="440"/>
    </row>
    <row r="309">
      <c r="A309" s="440"/>
    </row>
    <row r="310">
      <c r="A310" s="440"/>
    </row>
    <row r="311">
      <c r="A311" s="440"/>
    </row>
    <row r="312">
      <c r="A312" s="440"/>
    </row>
    <row r="313">
      <c r="A313" s="440"/>
    </row>
    <row r="314">
      <c r="A314" s="440"/>
    </row>
    <row r="315">
      <c r="A315" s="440"/>
    </row>
    <row r="316">
      <c r="A316" s="440"/>
    </row>
    <row r="317">
      <c r="A317" s="440"/>
    </row>
    <row r="318">
      <c r="A318" s="440"/>
    </row>
    <row r="319">
      <c r="A319" s="440"/>
    </row>
    <row r="320">
      <c r="A320" s="440"/>
    </row>
    <row r="321">
      <c r="A321" s="440"/>
    </row>
    <row r="322">
      <c r="A322" s="440"/>
    </row>
    <row r="323">
      <c r="A323" s="440"/>
    </row>
    <row r="324">
      <c r="A324" s="440"/>
    </row>
    <row r="325">
      <c r="A325" s="440"/>
    </row>
    <row r="326">
      <c r="A326" s="440"/>
    </row>
    <row r="327">
      <c r="A327" s="440"/>
    </row>
    <row r="328">
      <c r="A328" s="440"/>
    </row>
    <row r="329">
      <c r="A329" s="440"/>
    </row>
    <row r="330">
      <c r="A330" s="440"/>
    </row>
    <row r="331">
      <c r="A331" s="440"/>
    </row>
    <row r="332">
      <c r="A332" s="440"/>
    </row>
    <row r="333">
      <c r="A333" s="440"/>
    </row>
    <row r="334">
      <c r="A334" s="440"/>
    </row>
    <row r="335">
      <c r="A335" s="440"/>
    </row>
    <row r="336">
      <c r="A336" s="440"/>
    </row>
    <row r="337">
      <c r="A337" s="440"/>
    </row>
    <row r="338">
      <c r="A338" s="440"/>
    </row>
    <row r="339">
      <c r="A339" s="440"/>
    </row>
    <row r="340">
      <c r="A340" s="440"/>
    </row>
    <row r="341">
      <c r="A341" s="440"/>
    </row>
    <row r="342">
      <c r="A342" s="440"/>
    </row>
    <row r="343">
      <c r="A343" s="440"/>
    </row>
    <row r="344">
      <c r="A344" s="440"/>
    </row>
    <row r="345">
      <c r="A345" s="440"/>
    </row>
    <row r="346">
      <c r="A346" s="440"/>
    </row>
    <row r="347">
      <c r="A347" s="440"/>
    </row>
    <row r="348">
      <c r="A348" s="440"/>
    </row>
    <row r="349">
      <c r="A349" s="440"/>
    </row>
    <row r="350">
      <c r="A350" s="440"/>
    </row>
    <row r="351">
      <c r="A351" s="440"/>
    </row>
    <row r="352">
      <c r="A352" s="440"/>
    </row>
    <row r="353">
      <c r="A353" s="440"/>
    </row>
    <row r="354">
      <c r="A354" s="440"/>
    </row>
    <row r="355">
      <c r="A355" s="440"/>
    </row>
    <row r="356">
      <c r="A356" s="440"/>
    </row>
    <row r="357">
      <c r="A357" s="440"/>
    </row>
    <row r="358">
      <c r="A358" s="440"/>
    </row>
    <row r="359">
      <c r="A359" s="440"/>
    </row>
    <row r="360">
      <c r="A360" s="440"/>
    </row>
    <row r="361">
      <c r="A361" s="440"/>
    </row>
    <row r="362">
      <c r="A362" s="440"/>
    </row>
    <row r="363">
      <c r="A363" s="440"/>
    </row>
    <row r="364">
      <c r="A364" s="440"/>
    </row>
    <row r="365">
      <c r="A365" s="440"/>
    </row>
    <row r="366">
      <c r="A366" s="440"/>
    </row>
    <row r="367">
      <c r="A367" s="440"/>
    </row>
    <row r="368">
      <c r="A368" s="440"/>
    </row>
    <row r="369">
      <c r="A369" s="440"/>
    </row>
    <row r="370">
      <c r="A370" s="440"/>
    </row>
    <row r="371">
      <c r="A371" s="440"/>
    </row>
    <row r="372">
      <c r="A372" s="440"/>
    </row>
    <row r="373">
      <c r="A373" s="440"/>
    </row>
    <row r="374">
      <c r="A374" s="440"/>
    </row>
    <row r="375">
      <c r="A375" s="440"/>
    </row>
    <row r="376">
      <c r="A376" s="440"/>
    </row>
    <row r="377">
      <c r="A377" s="440"/>
    </row>
    <row r="378">
      <c r="A378" s="440"/>
    </row>
    <row r="379">
      <c r="A379" s="440"/>
    </row>
    <row r="380">
      <c r="A380" s="440"/>
    </row>
    <row r="381">
      <c r="A381" s="440"/>
    </row>
    <row r="382">
      <c r="A382" s="440"/>
    </row>
    <row r="383">
      <c r="A383" s="440"/>
    </row>
    <row r="384">
      <c r="A384" s="440"/>
    </row>
    <row r="385">
      <c r="A385" s="440"/>
    </row>
    <row r="386">
      <c r="A386" s="440"/>
    </row>
    <row r="387">
      <c r="A387" s="440"/>
    </row>
    <row r="388">
      <c r="A388" s="440"/>
    </row>
    <row r="389">
      <c r="A389" s="440"/>
    </row>
    <row r="390">
      <c r="A390" s="440"/>
    </row>
    <row r="391">
      <c r="A391" s="440"/>
    </row>
    <row r="392">
      <c r="A392" s="440"/>
    </row>
    <row r="393">
      <c r="A393" s="440"/>
    </row>
    <row r="394">
      <c r="A394" s="440"/>
    </row>
    <row r="395">
      <c r="A395" s="440"/>
    </row>
    <row r="396">
      <c r="A396" s="440"/>
    </row>
    <row r="397">
      <c r="A397" s="440"/>
    </row>
    <row r="398">
      <c r="A398" s="440"/>
    </row>
    <row r="399">
      <c r="A399" s="440"/>
    </row>
    <row r="400">
      <c r="A400" s="440"/>
    </row>
    <row r="401">
      <c r="A401" s="440"/>
    </row>
    <row r="402">
      <c r="A402" s="440"/>
    </row>
    <row r="403">
      <c r="A403" s="440"/>
    </row>
    <row r="404">
      <c r="A404" s="440"/>
    </row>
    <row r="405">
      <c r="A405" s="440"/>
    </row>
    <row r="406">
      <c r="A406" s="440"/>
    </row>
    <row r="407">
      <c r="A407" s="440"/>
    </row>
    <row r="408">
      <c r="A408" s="440"/>
    </row>
    <row r="409">
      <c r="A409" s="440"/>
    </row>
    <row r="410">
      <c r="A410" s="440"/>
    </row>
    <row r="411">
      <c r="A411" s="440"/>
    </row>
    <row r="412">
      <c r="A412" s="440"/>
    </row>
    <row r="413">
      <c r="A413" s="440"/>
    </row>
    <row r="414">
      <c r="A414" s="440"/>
    </row>
    <row r="415">
      <c r="A415" s="440"/>
    </row>
    <row r="416">
      <c r="A416" s="440"/>
    </row>
    <row r="417">
      <c r="A417" s="440"/>
    </row>
    <row r="418">
      <c r="A418" s="440"/>
    </row>
    <row r="419">
      <c r="A419" s="440"/>
    </row>
    <row r="420">
      <c r="A420" s="440"/>
    </row>
    <row r="421">
      <c r="A421" s="440"/>
    </row>
    <row r="422">
      <c r="A422" s="440"/>
    </row>
    <row r="423">
      <c r="A423" s="440"/>
    </row>
    <row r="424">
      <c r="A424" s="440"/>
    </row>
    <row r="425">
      <c r="A425" s="440"/>
    </row>
    <row r="426">
      <c r="A426" s="440"/>
    </row>
    <row r="427">
      <c r="A427" s="440"/>
    </row>
    <row r="428">
      <c r="A428" s="440"/>
    </row>
    <row r="429">
      <c r="A429" s="440"/>
    </row>
    <row r="430">
      <c r="A430" s="440"/>
    </row>
    <row r="431">
      <c r="A431" s="440"/>
    </row>
    <row r="432">
      <c r="A432" s="440"/>
    </row>
    <row r="433">
      <c r="A433" s="440"/>
    </row>
    <row r="434">
      <c r="A434" s="440"/>
    </row>
    <row r="435">
      <c r="A435" s="440"/>
    </row>
    <row r="436">
      <c r="A436" s="440"/>
    </row>
    <row r="437">
      <c r="A437" s="440"/>
    </row>
    <row r="438">
      <c r="A438" s="440"/>
    </row>
    <row r="439">
      <c r="A439" s="440"/>
    </row>
    <row r="440">
      <c r="A440" s="440"/>
    </row>
    <row r="441">
      <c r="A441" s="440"/>
    </row>
    <row r="442">
      <c r="A442" s="440"/>
    </row>
    <row r="443">
      <c r="A443" s="440"/>
    </row>
    <row r="444">
      <c r="A444" s="440"/>
    </row>
    <row r="445">
      <c r="A445" s="440"/>
    </row>
    <row r="446">
      <c r="A446" s="440"/>
    </row>
    <row r="447">
      <c r="A447" s="440"/>
    </row>
    <row r="448">
      <c r="A448" s="440"/>
    </row>
    <row r="449">
      <c r="A449" s="440"/>
    </row>
    <row r="450">
      <c r="A450" s="440"/>
    </row>
    <row r="451">
      <c r="A451" s="440"/>
    </row>
    <row r="452">
      <c r="A452" s="440"/>
    </row>
    <row r="453">
      <c r="A453" s="440"/>
    </row>
    <row r="454">
      <c r="A454" s="440"/>
    </row>
    <row r="455">
      <c r="A455" s="440"/>
    </row>
    <row r="456">
      <c r="A456" s="440"/>
    </row>
    <row r="457">
      <c r="A457" s="440"/>
    </row>
    <row r="458">
      <c r="A458" s="440"/>
    </row>
    <row r="459">
      <c r="A459" s="440"/>
    </row>
    <row r="460">
      <c r="A460" s="440"/>
    </row>
    <row r="461">
      <c r="A461" s="440"/>
    </row>
    <row r="462">
      <c r="A462" s="440"/>
    </row>
    <row r="463">
      <c r="A463" s="440"/>
    </row>
    <row r="464">
      <c r="A464" s="440"/>
    </row>
    <row r="465">
      <c r="A465" s="440"/>
    </row>
    <row r="466">
      <c r="A466" s="440"/>
    </row>
    <row r="467">
      <c r="A467" s="440"/>
    </row>
    <row r="468">
      <c r="A468" s="440"/>
    </row>
    <row r="469">
      <c r="A469" s="440"/>
    </row>
    <row r="470">
      <c r="A470" s="440"/>
    </row>
    <row r="471">
      <c r="A471" s="440"/>
    </row>
    <row r="472">
      <c r="A472" s="440"/>
    </row>
    <row r="473">
      <c r="A473" s="440"/>
    </row>
    <row r="474">
      <c r="A474" s="440"/>
    </row>
    <row r="475">
      <c r="A475" s="440"/>
    </row>
    <row r="476">
      <c r="A476" s="440"/>
    </row>
    <row r="477">
      <c r="A477" s="440"/>
    </row>
    <row r="478">
      <c r="A478" s="440"/>
    </row>
    <row r="479">
      <c r="A479" s="440"/>
    </row>
    <row r="480">
      <c r="A480" s="440"/>
    </row>
    <row r="481">
      <c r="A481" s="440"/>
    </row>
    <row r="482">
      <c r="A482" s="440"/>
    </row>
    <row r="483">
      <c r="A483" s="440"/>
    </row>
    <row r="484">
      <c r="A484" s="440"/>
    </row>
    <row r="485">
      <c r="A485" s="440"/>
    </row>
    <row r="486">
      <c r="A486" s="440"/>
    </row>
    <row r="487">
      <c r="A487" s="440"/>
    </row>
    <row r="488">
      <c r="A488" s="440"/>
    </row>
    <row r="489">
      <c r="A489" s="440"/>
    </row>
    <row r="490">
      <c r="A490" s="440"/>
    </row>
    <row r="491">
      <c r="A491" s="440"/>
    </row>
    <row r="492">
      <c r="A492" s="440"/>
    </row>
    <row r="493">
      <c r="A493" s="440"/>
    </row>
    <row r="494">
      <c r="A494" s="440"/>
    </row>
    <row r="495">
      <c r="A495" s="440"/>
    </row>
    <row r="496">
      <c r="A496" s="440"/>
    </row>
    <row r="497">
      <c r="A497" s="440"/>
    </row>
    <row r="498">
      <c r="A498" s="440"/>
    </row>
    <row r="499">
      <c r="A499" s="440"/>
    </row>
    <row r="500">
      <c r="A500" s="440"/>
    </row>
    <row r="501">
      <c r="A501" s="440"/>
    </row>
    <row r="502">
      <c r="A502" s="440"/>
    </row>
    <row r="503">
      <c r="A503" s="440"/>
    </row>
    <row r="504">
      <c r="A504" s="440"/>
    </row>
    <row r="505">
      <c r="A505" s="440"/>
    </row>
    <row r="506">
      <c r="A506" s="440"/>
    </row>
    <row r="507">
      <c r="A507" s="440"/>
    </row>
    <row r="508">
      <c r="A508" s="440"/>
    </row>
    <row r="509">
      <c r="A509" s="440"/>
    </row>
    <row r="510">
      <c r="A510" s="440"/>
    </row>
    <row r="511">
      <c r="A511" s="440"/>
    </row>
    <row r="512">
      <c r="A512" s="440"/>
    </row>
    <row r="513">
      <c r="A513" s="440"/>
    </row>
    <row r="514">
      <c r="A514" s="440"/>
    </row>
    <row r="515">
      <c r="A515" s="440"/>
    </row>
    <row r="516">
      <c r="A516" s="440"/>
    </row>
    <row r="517">
      <c r="A517" s="440"/>
    </row>
    <row r="518">
      <c r="A518" s="440"/>
    </row>
    <row r="519">
      <c r="A519" s="440"/>
    </row>
    <row r="520">
      <c r="A520" s="440"/>
    </row>
    <row r="521">
      <c r="A521" s="440"/>
    </row>
    <row r="522">
      <c r="A522" s="440"/>
    </row>
    <row r="523">
      <c r="A523" s="440"/>
    </row>
    <row r="524">
      <c r="A524" s="440"/>
    </row>
    <row r="525">
      <c r="A525" s="440"/>
    </row>
    <row r="526">
      <c r="A526" s="440"/>
    </row>
    <row r="527">
      <c r="A527" s="440"/>
    </row>
    <row r="528">
      <c r="A528" s="440"/>
    </row>
    <row r="529">
      <c r="A529" s="440"/>
    </row>
    <row r="530">
      <c r="A530" s="440"/>
    </row>
    <row r="531">
      <c r="A531" s="440"/>
    </row>
    <row r="532">
      <c r="A532" s="440"/>
    </row>
    <row r="533">
      <c r="A533" s="440"/>
    </row>
    <row r="534">
      <c r="A534" s="440"/>
    </row>
    <row r="535">
      <c r="A535" s="440"/>
    </row>
    <row r="536">
      <c r="A536" s="440"/>
    </row>
    <row r="537">
      <c r="A537" s="440"/>
    </row>
    <row r="538">
      <c r="A538" s="440"/>
    </row>
    <row r="539">
      <c r="A539" s="440"/>
    </row>
    <row r="540">
      <c r="A540" s="440"/>
    </row>
    <row r="541">
      <c r="A541" s="440"/>
    </row>
    <row r="542">
      <c r="A542" s="440"/>
    </row>
    <row r="543">
      <c r="A543" s="440"/>
    </row>
    <row r="544">
      <c r="A544" s="440"/>
    </row>
    <row r="545">
      <c r="A545" s="440"/>
    </row>
    <row r="546">
      <c r="A546" s="440"/>
    </row>
    <row r="547">
      <c r="A547" s="440"/>
    </row>
    <row r="548">
      <c r="A548" s="440"/>
    </row>
    <row r="549">
      <c r="A549" s="440"/>
    </row>
    <row r="550">
      <c r="A550" s="440"/>
    </row>
    <row r="551">
      <c r="A551" s="440"/>
    </row>
    <row r="552">
      <c r="A552" s="440"/>
    </row>
    <row r="553">
      <c r="A553" s="440"/>
    </row>
    <row r="554">
      <c r="A554" s="440"/>
    </row>
    <row r="555">
      <c r="A555" s="440"/>
    </row>
    <row r="556">
      <c r="A556" s="440"/>
    </row>
    <row r="557">
      <c r="A557" s="440"/>
    </row>
    <row r="558">
      <c r="A558" s="440"/>
    </row>
    <row r="559">
      <c r="A559" s="440"/>
    </row>
    <row r="560">
      <c r="A560" s="440"/>
    </row>
    <row r="561">
      <c r="A561" s="440"/>
    </row>
    <row r="562">
      <c r="A562" s="440"/>
    </row>
    <row r="563">
      <c r="A563" s="440"/>
    </row>
    <row r="564">
      <c r="A564" s="440"/>
    </row>
    <row r="565">
      <c r="A565" s="440"/>
    </row>
    <row r="566">
      <c r="A566" s="440"/>
    </row>
    <row r="567">
      <c r="A567" s="440"/>
    </row>
    <row r="568">
      <c r="A568" s="440"/>
    </row>
    <row r="569">
      <c r="A569" s="440"/>
    </row>
    <row r="570">
      <c r="A570" s="440"/>
    </row>
    <row r="571">
      <c r="A571" s="440"/>
    </row>
    <row r="572">
      <c r="A572" s="440"/>
    </row>
    <row r="573">
      <c r="A573" s="440"/>
    </row>
    <row r="574">
      <c r="A574" s="440"/>
    </row>
    <row r="575">
      <c r="A575" s="440"/>
    </row>
    <row r="576">
      <c r="A576" s="440"/>
    </row>
    <row r="577">
      <c r="A577" s="440"/>
    </row>
    <row r="578">
      <c r="A578" s="440"/>
    </row>
    <row r="579">
      <c r="A579" s="440"/>
    </row>
    <row r="580">
      <c r="A580" s="440"/>
    </row>
    <row r="581">
      <c r="A581" s="440"/>
    </row>
    <row r="582">
      <c r="A582" s="440"/>
    </row>
    <row r="583">
      <c r="A583" s="440"/>
    </row>
    <row r="584">
      <c r="A584" s="440"/>
    </row>
    <row r="585">
      <c r="A585" s="440"/>
    </row>
    <row r="586">
      <c r="A586" s="440"/>
    </row>
    <row r="587">
      <c r="A587" s="440"/>
    </row>
    <row r="588">
      <c r="A588" s="440"/>
    </row>
    <row r="589">
      <c r="A589" s="440"/>
    </row>
    <row r="590">
      <c r="A590" s="440"/>
    </row>
    <row r="591">
      <c r="A591" s="440"/>
    </row>
    <row r="592">
      <c r="A592" s="440"/>
    </row>
    <row r="593">
      <c r="A593" s="440"/>
    </row>
    <row r="594">
      <c r="A594" s="440"/>
    </row>
    <row r="595">
      <c r="A595" s="440"/>
    </row>
    <row r="596">
      <c r="A596" s="440"/>
    </row>
    <row r="597">
      <c r="A597" s="440"/>
    </row>
    <row r="598">
      <c r="A598" s="440"/>
    </row>
    <row r="599">
      <c r="A599" s="440"/>
    </row>
    <row r="600">
      <c r="A600" s="440"/>
    </row>
    <row r="601">
      <c r="A601" s="440"/>
    </row>
    <row r="602">
      <c r="A602" s="440"/>
    </row>
    <row r="603">
      <c r="A603" s="440"/>
    </row>
    <row r="604">
      <c r="A604" s="440"/>
    </row>
    <row r="605">
      <c r="A605" s="440"/>
    </row>
    <row r="606">
      <c r="A606" s="440"/>
    </row>
    <row r="607">
      <c r="A607" s="440"/>
    </row>
    <row r="608">
      <c r="A608" s="440"/>
    </row>
    <row r="609">
      <c r="A609" s="440"/>
    </row>
    <row r="610">
      <c r="A610" s="440"/>
    </row>
    <row r="611">
      <c r="A611" s="440"/>
    </row>
    <row r="612">
      <c r="A612" s="440"/>
    </row>
    <row r="613">
      <c r="A613" s="440"/>
    </row>
    <row r="614">
      <c r="A614" s="440"/>
    </row>
    <row r="615">
      <c r="A615" s="440"/>
    </row>
    <row r="616">
      <c r="A616" s="440"/>
    </row>
    <row r="617">
      <c r="A617" s="440"/>
    </row>
    <row r="618">
      <c r="A618" s="440"/>
    </row>
    <row r="619">
      <c r="A619" s="440"/>
    </row>
    <row r="620">
      <c r="A620" s="440"/>
    </row>
    <row r="621">
      <c r="A621" s="440"/>
    </row>
    <row r="622">
      <c r="A622" s="440"/>
    </row>
    <row r="623">
      <c r="A623" s="440"/>
    </row>
    <row r="624">
      <c r="A624" s="440"/>
    </row>
    <row r="625">
      <c r="A625" s="440"/>
    </row>
    <row r="626">
      <c r="A626" s="440"/>
    </row>
    <row r="627">
      <c r="A627" s="440"/>
    </row>
    <row r="628">
      <c r="A628" s="440"/>
    </row>
    <row r="629">
      <c r="A629" s="440"/>
    </row>
    <row r="630">
      <c r="A630" s="440"/>
    </row>
    <row r="631">
      <c r="A631" s="440"/>
    </row>
    <row r="632">
      <c r="A632" s="440"/>
    </row>
    <row r="633">
      <c r="A633" s="440"/>
    </row>
    <row r="634">
      <c r="A634" s="440"/>
    </row>
    <row r="635">
      <c r="A635" s="440"/>
    </row>
    <row r="636">
      <c r="A636" s="440"/>
    </row>
    <row r="637">
      <c r="A637" s="440"/>
    </row>
    <row r="638">
      <c r="A638" s="440"/>
    </row>
    <row r="639">
      <c r="A639" s="440"/>
    </row>
    <row r="640">
      <c r="A640" s="440"/>
    </row>
    <row r="641">
      <c r="A641" s="440"/>
    </row>
    <row r="642">
      <c r="A642" s="440"/>
    </row>
    <row r="643">
      <c r="A643" s="440"/>
    </row>
    <row r="644">
      <c r="A644" s="440"/>
    </row>
    <row r="645">
      <c r="A645" s="440"/>
    </row>
    <row r="646">
      <c r="A646" s="440"/>
    </row>
    <row r="647">
      <c r="A647" s="440"/>
    </row>
    <row r="648">
      <c r="A648" s="440"/>
    </row>
    <row r="649">
      <c r="A649" s="440"/>
    </row>
    <row r="650">
      <c r="A650" s="440"/>
    </row>
    <row r="651">
      <c r="A651" s="440"/>
    </row>
    <row r="652">
      <c r="A652" s="440"/>
    </row>
    <row r="653">
      <c r="A653" s="440"/>
    </row>
    <row r="654">
      <c r="A654" s="440"/>
    </row>
    <row r="655">
      <c r="A655" s="440"/>
    </row>
    <row r="656">
      <c r="A656" s="440"/>
    </row>
    <row r="657">
      <c r="A657" s="440"/>
    </row>
    <row r="658">
      <c r="A658" s="440"/>
    </row>
    <row r="659">
      <c r="A659" s="440"/>
    </row>
    <row r="660">
      <c r="A660" s="440"/>
    </row>
    <row r="661">
      <c r="A661" s="440"/>
    </row>
    <row r="662">
      <c r="A662" s="440"/>
    </row>
    <row r="663">
      <c r="A663" s="440"/>
    </row>
    <row r="664">
      <c r="A664" s="440"/>
    </row>
    <row r="665">
      <c r="A665" s="440"/>
    </row>
    <row r="666">
      <c r="A666" s="440"/>
    </row>
    <row r="667">
      <c r="A667" s="440"/>
    </row>
    <row r="668">
      <c r="A668" s="440"/>
    </row>
    <row r="669">
      <c r="A669" s="440"/>
    </row>
    <row r="670">
      <c r="A670" s="440"/>
    </row>
    <row r="671">
      <c r="A671" s="440"/>
    </row>
    <row r="672">
      <c r="A672" s="440"/>
    </row>
    <row r="673">
      <c r="A673" s="440"/>
    </row>
    <row r="674">
      <c r="A674" s="440"/>
    </row>
    <row r="675">
      <c r="A675" s="440"/>
    </row>
    <row r="676">
      <c r="A676" s="440"/>
    </row>
    <row r="677">
      <c r="A677" s="440"/>
    </row>
    <row r="678">
      <c r="A678" s="440"/>
    </row>
    <row r="679">
      <c r="A679" s="440"/>
    </row>
    <row r="680">
      <c r="A680" s="440"/>
    </row>
    <row r="681">
      <c r="A681" s="440"/>
    </row>
    <row r="682">
      <c r="A682" s="440"/>
    </row>
    <row r="683">
      <c r="A683" s="440"/>
    </row>
    <row r="684">
      <c r="A684" s="440"/>
    </row>
    <row r="685">
      <c r="A685" s="440"/>
    </row>
    <row r="686">
      <c r="A686" s="440"/>
    </row>
    <row r="687">
      <c r="A687" s="440"/>
    </row>
    <row r="688">
      <c r="A688" s="440"/>
    </row>
    <row r="689">
      <c r="A689" s="440"/>
    </row>
    <row r="690">
      <c r="A690" s="440"/>
    </row>
    <row r="691">
      <c r="A691" s="440"/>
    </row>
    <row r="692">
      <c r="A692" s="440"/>
    </row>
    <row r="693">
      <c r="A693" s="440"/>
    </row>
    <row r="694">
      <c r="A694" s="440"/>
    </row>
    <row r="695">
      <c r="A695" s="440"/>
    </row>
    <row r="696">
      <c r="A696" s="440"/>
    </row>
    <row r="697">
      <c r="A697" s="440"/>
    </row>
    <row r="698">
      <c r="A698" s="440"/>
    </row>
    <row r="699">
      <c r="A699" s="440"/>
    </row>
    <row r="700">
      <c r="A700" s="440"/>
    </row>
    <row r="701">
      <c r="A701" s="440"/>
    </row>
    <row r="702">
      <c r="A702" s="440"/>
    </row>
    <row r="703">
      <c r="A703" s="440"/>
    </row>
    <row r="704">
      <c r="A704" s="440"/>
    </row>
    <row r="705">
      <c r="A705" s="440"/>
    </row>
    <row r="706">
      <c r="A706" s="440"/>
    </row>
    <row r="707">
      <c r="A707" s="440"/>
    </row>
    <row r="708">
      <c r="A708" s="440"/>
    </row>
    <row r="709">
      <c r="A709" s="440"/>
    </row>
    <row r="710">
      <c r="A710" s="440"/>
    </row>
    <row r="711">
      <c r="A711" s="440"/>
    </row>
    <row r="712">
      <c r="A712" s="440"/>
    </row>
    <row r="713">
      <c r="A713" s="440"/>
    </row>
    <row r="714">
      <c r="A714" s="440"/>
    </row>
    <row r="715">
      <c r="A715" s="440"/>
    </row>
    <row r="716">
      <c r="A716" s="440"/>
    </row>
    <row r="717">
      <c r="A717" s="440"/>
    </row>
    <row r="718">
      <c r="A718" s="440"/>
    </row>
    <row r="719">
      <c r="A719" s="440"/>
    </row>
    <row r="720">
      <c r="A720" s="440"/>
    </row>
    <row r="721">
      <c r="A721" s="440"/>
    </row>
    <row r="722">
      <c r="A722" s="440"/>
    </row>
    <row r="723">
      <c r="A723" s="440"/>
    </row>
    <row r="724">
      <c r="A724" s="440"/>
    </row>
    <row r="725">
      <c r="A725" s="440"/>
    </row>
    <row r="726">
      <c r="A726" s="440"/>
    </row>
    <row r="727">
      <c r="A727" s="440"/>
    </row>
    <row r="728">
      <c r="A728" s="440"/>
    </row>
    <row r="729">
      <c r="A729" s="440"/>
    </row>
    <row r="730">
      <c r="A730" s="440"/>
    </row>
    <row r="731">
      <c r="A731" s="440"/>
    </row>
    <row r="732">
      <c r="A732" s="440"/>
    </row>
    <row r="733">
      <c r="A733" s="440"/>
    </row>
    <row r="734">
      <c r="A734" s="440"/>
    </row>
    <row r="735">
      <c r="A735" s="440"/>
    </row>
    <row r="736">
      <c r="A736" s="440"/>
    </row>
    <row r="737">
      <c r="A737" s="440"/>
    </row>
    <row r="738">
      <c r="A738" s="440"/>
    </row>
    <row r="739">
      <c r="A739" s="440"/>
    </row>
    <row r="740">
      <c r="A740" s="440"/>
    </row>
    <row r="741">
      <c r="A741" s="440"/>
    </row>
    <row r="742">
      <c r="A742" s="440"/>
    </row>
    <row r="743">
      <c r="A743" s="440"/>
    </row>
    <row r="744">
      <c r="A744" s="440"/>
    </row>
    <row r="745">
      <c r="A745" s="440"/>
    </row>
    <row r="746">
      <c r="A746" s="440"/>
    </row>
    <row r="747">
      <c r="A747" s="440"/>
    </row>
    <row r="748">
      <c r="A748" s="440"/>
    </row>
    <row r="749">
      <c r="A749" s="440"/>
    </row>
    <row r="750">
      <c r="A750" s="440"/>
    </row>
    <row r="751">
      <c r="A751" s="440"/>
    </row>
    <row r="752">
      <c r="A752" s="440"/>
    </row>
    <row r="753">
      <c r="A753" s="440"/>
    </row>
    <row r="754">
      <c r="A754" s="440"/>
    </row>
    <row r="755">
      <c r="A755" s="440"/>
    </row>
    <row r="756">
      <c r="A756" s="440"/>
    </row>
    <row r="757">
      <c r="A757" s="440"/>
    </row>
    <row r="758">
      <c r="A758" s="440"/>
    </row>
    <row r="759">
      <c r="A759" s="440"/>
    </row>
    <row r="760">
      <c r="A760" s="440"/>
    </row>
    <row r="761">
      <c r="A761" s="440"/>
    </row>
    <row r="762">
      <c r="A762" s="440"/>
    </row>
    <row r="763">
      <c r="A763" s="440"/>
    </row>
    <row r="764">
      <c r="A764" s="440"/>
    </row>
    <row r="765">
      <c r="A765" s="440"/>
    </row>
    <row r="766">
      <c r="A766" s="440"/>
    </row>
    <row r="767">
      <c r="A767" s="440"/>
    </row>
    <row r="768">
      <c r="A768" s="440"/>
    </row>
    <row r="769">
      <c r="A769" s="440"/>
    </row>
    <row r="770">
      <c r="A770" s="440"/>
    </row>
    <row r="771">
      <c r="A771" s="440"/>
    </row>
    <row r="772">
      <c r="A772" s="440"/>
    </row>
    <row r="773">
      <c r="A773" s="440"/>
    </row>
    <row r="774">
      <c r="A774" s="440"/>
    </row>
    <row r="775">
      <c r="A775" s="440"/>
    </row>
    <row r="776">
      <c r="A776" s="440"/>
    </row>
    <row r="777">
      <c r="A777" s="440"/>
    </row>
    <row r="778">
      <c r="A778" s="440"/>
    </row>
    <row r="779">
      <c r="A779" s="440"/>
    </row>
    <row r="780">
      <c r="A780" s="440"/>
    </row>
    <row r="781">
      <c r="A781" s="440"/>
    </row>
    <row r="782">
      <c r="A782" s="440"/>
    </row>
    <row r="783">
      <c r="A783" s="440"/>
    </row>
    <row r="784">
      <c r="A784" s="440"/>
    </row>
    <row r="785">
      <c r="A785" s="440"/>
    </row>
    <row r="786">
      <c r="A786" s="440"/>
    </row>
    <row r="787">
      <c r="A787" s="440"/>
    </row>
    <row r="788">
      <c r="A788" s="440"/>
    </row>
    <row r="789">
      <c r="A789" s="440"/>
    </row>
    <row r="790">
      <c r="A790" s="440"/>
    </row>
    <row r="791">
      <c r="A791" s="440"/>
    </row>
    <row r="792">
      <c r="A792" s="440"/>
    </row>
    <row r="793">
      <c r="A793" s="440"/>
    </row>
    <row r="794">
      <c r="A794" s="440"/>
    </row>
    <row r="795">
      <c r="A795" s="440"/>
    </row>
    <row r="796">
      <c r="A796" s="440"/>
    </row>
    <row r="797">
      <c r="A797" s="440"/>
    </row>
    <row r="798">
      <c r="A798" s="440"/>
    </row>
    <row r="799">
      <c r="A799" s="440"/>
    </row>
    <row r="800">
      <c r="A800" s="440"/>
    </row>
    <row r="801">
      <c r="A801" s="440"/>
    </row>
    <row r="802">
      <c r="A802" s="440"/>
    </row>
    <row r="803">
      <c r="A803" s="440"/>
    </row>
    <row r="804">
      <c r="A804" s="440"/>
    </row>
    <row r="805">
      <c r="A805" s="440"/>
    </row>
    <row r="806">
      <c r="A806" s="440"/>
    </row>
    <row r="807">
      <c r="A807" s="440"/>
    </row>
    <row r="808">
      <c r="A808" s="440"/>
    </row>
    <row r="809">
      <c r="A809" s="440"/>
    </row>
    <row r="810">
      <c r="A810" s="440"/>
    </row>
    <row r="811">
      <c r="A811" s="440"/>
    </row>
    <row r="812">
      <c r="A812" s="440"/>
    </row>
    <row r="813">
      <c r="A813" s="440"/>
    </row>
    <row r="814">
      <c r="A814" s="440"/>
    </row>
    <row r="815">
      <c r="A815" s="440"/>
    </row>
    <row r="816">
      <c r="A816" s="440"/>
    </row>
    <row r="817">
      <c r="A817" s="440"/>
    </row>
    <row r="818">
      <c r="A818" s="440"/>
    </row>
    <row r="819">
      <c r="A819" s="440"/>
    </row>
    <row r="820">
      <c r="A820" s="440"/>
    </row>
    <row r="821">
      <c r="A821" s="440"/>
    </row>
    <row r="822">
      <c r="A822" s="440"/>
    </row>
    <row r="823">
      <c r="A823" s="440"/>
    </row>
    <row r="824">
      <c r="A824" s="440"/>
    </row>
    <row r="825">
      <c r="A825" s="440"/>
    </row>
    <row r="826">
      <c r="A826" s="440"/>
    </row>
    <row r="827">
      <c r="A827" s="440"/>
    </row>
    <row r="828">
      <c r="A828" s="440"/>
    </row>
    <row r="829">
      <c r="A829" s="440"/>
    </row>
    <row r="830">
      <c r="A830" s="440"/>
    </row>
    <row r="831">
      <c r="A831" s="440"/>
    </row>
    <row r="832">
      <c r="A832" s="440"/>
    </row>
    <row r="833">
      <c r="A833" s="440"/>
    </row>
    <row r="834">
      <c r="A834" s="440"/>
    </row>
    <row r="835">
      <c r="A835" s="440"/>
    </row>
    <row r="836">
      <c r="A836" s="440"/>
    </row>
    <row r="837">
      <c r="A837" s="440"/>
    </row>
    <row r="838">
      <c r="A838" s="440"/>
    </row>
    <row r="839">
      <c r="A839" s="440"/>
    </row>
    <row r="840">
      <c r="A840" s="440"/>
    </row>
    <row r="841">
      <c r="A841" s="440"/>
    </row>
    <row r="842">
      <c r="A842" s="440"/>
    </row>
    <row r="843">
      <c r="A843" s="440"/>
    </row>
    <row r="844">
      <c r="A844" s="440"/>
    </row>
    <row r="845">
      <c r="A845" s="440"/>
    </row>
    <row r="846">
      <c r="A846" s="440"/>
    </row>
    <row r="847">
      <c r="A847" s="440"/>
    </row>
    <row r="848">
      <c r="A848" s="440"/>
    </row>
    <row r="849">
      <c r="A849" s="440"/>
    </row>
    <row r="850">
      <c r="A850" s="440"/>
    </row>
    <row r="851">
      <c r="A851" s="440"/>
    </row>
    <row r="852">
      <c r="A852" s="440"/>
    </row>
    <row r="853">
      <c r="A853" s="440"/>
    </row>
    <row r="854">
      <c r="A854" s="440"/>
    </row>
    <row r="855">
      <c r="A855" s="440"/>
    </row>
    <row r="856">
      <c r="A856" s="440"/>
    </row>
    <row r="857">
      <c r="A857" s="440"/>
    </row>
    <row r="858">
      <c r="A858" s="440"/>
    </row>
    <row r="859">
      <c r="A859" s="440"/>
    </row>
    <row r="860">
      <c r="A860" s="440"/>
    </row>
    <row r="861">
      <c r="A861" s="440"/>
    </row>
    <row r="862">
      <c r="A862" s="440"/>
    </row>
    <row r="863">
      <c r="A863" s="440"/>
    </row>
    <row r="864">
      <c r="A864" s="440"/>
    </row>
    <row r="865">
      <c r="A865" s="440"/>
    </row>
    <row r="866">
      <c r="A866" s="440"/>
    </row>
    <row r="867">
      <c r="A867" s="440"/>
    </row>
    <row r="868">
      <c r="A868" s="440"/>
    </row>
    <row r="869">
      <c r="A869" s="440"/>
    </row>
    <row r="870">
      <c r="A870" s="440"/>
    </row>
    <row r="871">
      <c r="A871" s="440"/>
    </row>
    <row r="872">
      <c r="A872" s="440"/>
    </row>
    <row r="873">
      <c r="A873" s="440"/>
    </row>
    <row r="874">
      <c r="A874" s="440"/>
    </row>
    <row r="875">
      <c r="A875" s="440"/>
    </row>
    <row r="876">
      <c r="A876" s="440"/>
    </row>
    <row r="877">
      <c r="A877" s="440"/>
    </row>
    <row r="878">
      <c r="A878" s="440"/>
    </row>
    <row r="879">
      <c r="A879" s="440"/>
    </row>
    <row r="880">
      <c r="A880" s="440"/>
    </row>
    <row r="881">
      <c r="A881" s="440"/>
    </row>
    <row r="882">
      <c r="A882" s="440"/>
    </row>
    <row r="883">
      <c r="A883" s="440"/>
    </row>
    <row r="884">
      <c r="A884" s="440"/>
    </row>
    <row r="885">
      <c r="A885" s="440"/>
    </row>
    <row r="886">
      <c r="A886" s="440"/>
    </row>
    <row r="887">
      <c r="A887" s="440"/>
    </row>
    <row r="888">
      <c r="A888" s="440"/>
    </row>
    <row r="889">
      <c r="A889" s="440"/>
    </row>
    <row r="890">
      <c r="A890" s="440"/>
    </row>
    <row r="891">
      <c r="A891" s="440"/>
    </row>
    <row r="892">
      <c r="A892" s="440"/>
    </row>
    <row r="893">
      <c r="A893" s="440"/>
    </row>
    <row r="894">
      <c r="A894" s="440"/>
    </row>
    <row r="895">
      <c r="A895" s="440"/>
    </row>
    <row r="896">
      <c r="A896" s="440"/>
    </row>
    <row r="897">
      <c r="A897" s="440"/>
    </row>
    <row r="898">
      <c r="A898" s="440"/>
    </row>
    <row r="899">
      <c r="A899" s="440"/>
    </row>
    <row r="900">
      <c r="A900" s="440"/>
    </row>
    <row r="901">
      <c r="A901" s="440"/>
    </row>
    <row r="902">
      <c r="A902" s="440"/>
    </row>
    <row r="903">
      <c r="A903" s="440"/>
    </row>
    <row r="904">
      <c r="A904" s="440"/>
    </row>
    <row r="905">
      <c r="A905" s="440"/>
    </row>
    <row r="906">
      <c r="A906" s="440"/>
    </row>
    <row r="907">
      <c r="A907" s="440"/>
    </row>
    <row r="908">
      <c r="A908" s="440"/>
    </row>
    <row r="909">
      <c r="A909" s="440"/>
    </row>
    <row r="910">
      <c r="A910" s="440"/>
    </row>
    <row r="911">
      <c r="A911" s="440"/>
    </row>
    <row r="912">
      <c r="A912" s="440"/>
    </row>
    <row r="913">
      <c r="A913" s="440"/>
    </row>
    <row r="914">
      <c r="A914" s="440"/>
    </row>
    <row r="915">
      <c r="A915" s="440"/>
    </row>
    <row r="916">
      <c r="A916" s="440"/>
    </row>
    <row r="917">
      <c r="A917" s="440"/>
    </row>
    <row r="918">
      <c r="A918" s="440"/>
    </row>
    <row r="919">
      <c r="A919" s="440"/>
    </row>
    <row r="920">
      <c r="A920" s="440"/>
    </row>
    <row r="921">
      <c r="A921" s="440"/>
    </row>
    <row r="922">
      <c r="A922" s="440"/>
    </row>
    <row r="923">
      <c r="A923" s="440"/>
    </row>
    <row r="924">
      <c r="A924" s="440"/>
    </row>
    <row r="925">
      <c r="A925" s="440"/>
    </row>
    <row r="926">
      <c r="A926" s="440"/>
    </row>
    <row r="927">
      <c r="A927" s="440"/>
    </row>
    <row r="928">
      <c r="A928" s="440"/>
    </row>
    <row r="929">
      <c r="A929" s="440"/>
    </row>
    <row r="930">
      <c r="A930" s="440"/>
    </row>
    <row r="931">
      <c r="A931" s="440"/>
    </row>
    <row r="932">
      <c r="A932" s="440"/>
    </row>
    <row r="933">
      <c r="A933" s="440"/>
    </row>
    <row r="934">
      <c r="A934" s="440"/>
    </row>
    <row r="935">
      <c r="A935" s="440"/>
    </row>
    <row r="936">
      <c r="A936" s="440"/>
    </row>
    <row r="937">
      <c r="A937" s="440"/>
    </row>
    <row r="938">
      <c r="A938" s="440"/>
    </row>
    <row r="939">
      <c r="A939" s="440"/>
    </row>
    <row r="940">
      <c r="A940" s="440"/>
    </row>
    <row r="941">
      <c r="A941" s="440"/>
    </row>
    <row r="942">
      <c r="A942" s="440"/>
    </row>
    <row r="943">
      <c r="A943" s="440"/>
    </row>
    <row r="944">
      <c r="A944" s="440"/>
    </row>
    <row r="945">
      <c r="A945" s="440"/>
    </row>
    <row r="946">
      <c r="A946" s="440"/>
    </row>
    <row r="947">
      <c r="A947" s="440"/>
    </row>
    <row r="948">
      <c r="A948" s="440"/>
    </row>
    <row r="949">
      <c r="A949" s="440"/>
    </row>
    <row r="950">
      <c r="A950" s="440"/>
    </row>
    <row r="951">
      <c r="A951" s="440"/>
    </row>
    <row r="952">
      <c r="A952" s="440"/>
    </row>
    <row r="953">
      <c r="A953" s="440"/>
    </row>
    <row r="954">
      <c r="A954" s="440"/>
    </row>
    <row r="955">
      <c r="A955" s="440"/>
    </row>
    <row r="956">
      <c r="A956" s="440"/>
    </row>
    <row r="957">
      <c r="A957" s="440"/>
    </row>
    <row r="958">
      <c r="A958" s="440"/>
    </row>
    <row r="959">
      <c r="A959" s="440"/>
    </row>
    <row r="960">
      <c r="A960" s="440"/>
    </row>
    <row r="961">
      <c r="A961" s="440"/>
    </row>
    <row r="962">
      <c r="A962" s="440"/>
    </row>
    <row r="963">
      <c r="A963" s="440"/>
    </row>
    <row r="964">
      <c r="A964" s="440"/>
    </row>
    <row r="965">
      <c r="A965" s="440"/>
    </row>
    <row r="966">
      <c r="A966" s="440"/>
    </row>
    <row r="967">
      <c r="A967" s="440"/>
    </row>
    <row r="968">
      <c r="A968" s="440"/>
    </row>
    <row r="969">
      <c r="A969" s="440"/>
    </row>
    <row r="970">
      <c r="A970" s="440"/>
    </row>
    <row r="971">
      <c r="A971" s="440"/>
    </row>
    <row r="972">
      <c r="A972" s="440"/>
    </row>
    <row r="973">
      <c r="A973" s="440"/>
    </row>
    <row r="974">
      <c r="A974" s="440"/>
    </row>
    <row r="975">
      <c r="A975" s="440"/>
    </row>
    <row r="976">
      <c r="A976" s="440"/>
    </row>
    <row r="977">
      <c r="A977" s="440"/>
    </row>
    <row r="978">
      <c r="A978" s="440"/>
    </row>
    <row r="979">
      <c r="A979" s="440"/>
    </row>
    <row r="980">
      <c r="A980" s="440"/>
    </row>
    <row r="981">
      <c r="A981" s="440"/>
    </row>
    <row r="982">
      <c r="A982" s="440"/>
    </row>
    <row r="983">
      <c r="A983" s="440"/>
    </row>
    <row r="984">
      <c r="A984" s="440"/>
    </row>
    <row r="985">
      <c r="A985" s="440"/>
    </row>
    <row r="986">
      <c r="A986" s="440"/>
    </row>
    <row r="987">
      <c r="A987" s="440"/>
    </row>
    <row r="988">
      <c r="A988" s="440"/>
    </row>
    <row r="989">
      <c r="A989" s="440"/>
    </row>
    <row r="990">
      <c r="A990" s="440"/>
    </row>
    <row r="991">
      <c r="A991" s="440"/>
    </row>
    <row r="992">
      <c r="A992" s="440"/>
    </row>
    <row r="993">
      <c r="A993" s="440"/>
    </row>
    <row r="994">
      <c r="A994" s="440"/>
    </row>
    <row r="995">
      <c r="A995" s="440"/>
    </row>
    <row r="996">
      <c r="A996" s="440"/>
    </row>
    <row r="997">
      <c r="A997" s="440"/>
    </row>
    <row r="998">
      <c r="A998" s="440"/>
    </row>
    <row r="999">
      <c r="A999" s="440"/>
    </row>
    <row r="1000">
      <c r="A1000" s="440"/>
    </row>
  </sheetData>
  <mergeCells count="24">
    <mergeCell ref="A1:A2"/>
    <mergeCell ref="B1:B2"/>
    <mergeCell ref="C1:C2"/>
    <mergeCell ref="D1:D2"/>
    <mergeCell ref="E1:E2"/>
    <mergeCell ref="F1:F2"/>
    <mergeCell ref="G1:G2"/>
    <mergeCell ref="H1:Q1"/>
    <mergeCell ref="N2:Q2"/>
    <mergeCell ref="N3:Q3"/>
    <mergeCell ref="N4:Q4"/>
    <mergeCell ref="N5:Q5"/>
    <mergeCell ref="N6:Q6"/>
    <mergeCell ref="N7:Q7"/>
    <mergeCell ref="N15:Q15"/>
    <mergeCell ref="N16:Q16"/>
    <mergeCell ref="N17:Q17"/>
    <mergeCell ref="N8:Q8"/>
    <mergeCell ref="N9:Q9"/>
    <mergeCell ref="N10:Q10"/>
    <mergeCell ref="N11:Q11"/>
    <mergeCell ref="N12:Q12"/>
    <mergeCell ref="N13:Q13"/>
    <mergeCell ref="N14:Q1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37.13"/>
    <col customWidth="1" min="2" max="2" width="20.0"/>
    <col customWidth="1" min="3" max="3" width="24.88"/>
    <col customWidth="1" min="4" max="4" width="10.13"/>
    <col customWidth="1" min="5" max="5" width="9.75"/>
    <col customWidth="1" min="6" max="6" width="8.63"/>
    <col customWidth="1" hidden="1" min="7" max="7" width="16.25"/>
    <col customWidth="1" hidden="1" min="8" max="8" width="22.75"/>
    <col customWidth="1" min="9" max="9" width="84.63"/>
    <col customWidth="1" min="10" max="10" width="22.38"/>
    <col customWidth="1" min="11" max="12" width="35.63"/>
  </cols>
  <sheetData>
    <row r="1">
      <c r="A1" s="441" t="s">
        <v>167</v>
      </c>
      <c r="B1" s="442" t="s">
        <v>734</v>
      </c>
      <c r="C1" s="442" t="s">
        <v>735</v>
      </c>
      <c r="D1" s="443" t="s">
        <v>170</v>
      </c>
      <c r="E1" s="443" t="s">
        <v>171</v>
      </c>
      <c r="F1" s="443" t="s">
        <v>172</v>
      </c>
      <c r="G1" s="443" t="s">
        <v>736</v>
      </c>
      <c r="H1" s="443" t="s">
        <v>737</v>
      </c>
      <c r="I1" s="444" t="s">
        <v>738</v>
      </c>
      <c r="J1" s="443" t="s">
        <v>739</v>
      </c>
      <c r="K1" s="443" t="s">
        <v>740</v>
      </c>
      <c r="L1" s="443" t="s">
        <v>741</v>
      </c>
    </row>
    <row r="2">
      <c r="A2" s="356"/>
      <c r="B2" s="356"/>
      <c r="C2" s="356"/>
      <c r="D2" s="356"/>
      <c r="E2" s="356"/>
      <c r="F2" s="356"/>
      <c r="G2" s="356"/>
      <c r="H2" s="356"/>
      <c r="I2" s="356"/>
      <c r="J2" s="356"/>
      <c r="K2" s="356"/>
      <c r="L2" s="356"/>
    </row>
    <row r="3">
      <c r="A3" s="445" t="s">
        <v>742</v>
      </c>
      <c r="B3" s="445" t="s">
        <v>743</v>
      </c>
      <c r="C3" s="445" t="s">
        <v>744</v>
      </c>
      <c r="D3" s="445" t="s">
        <v>202</v>
      </c>
      <c r="E3" s="446">
        <v>1.0</v>
      </c>
      <c r="F3" s="445" t="s">
        <v>745</v>
      </c>
      <c r="G3" s="446"/>
      <c r="H3" s="446"/>
      <c r="I3" s="447" t="s">
        <v>746</v>
      </c>
      <c r="J3" s="448" t="s">
        <v>747</v>
      </c>
      <c r="K3" s="445" t="s">
        <v>748</v>
      </c>
      <c r="L3" s="445">
        <v>5.0</v>
      </c>
    </row>
    <row r="4">
      <c r="A4" s="449" t="s">
        <v>749</v>
      </c>
      <c r="B4" s="449" t="s">
        <v>743</v>
      </c>
      <c r="C4" s="449" t="s">
        <v>750</v>
      </c>
      <c r="D4" s="449" t="s">
        <v>241</v>
      </c>
      <c r="E4" s="450">
        <v>2.0</v>
      </c>
      <c r="F4" s="449" t="s">
        <v>751</v>
      </c>
      <c r="G4" s="450"/>
      <c r="H4" s="450"/>
      <c r="I4" s="451" t="s">
        <v>752</v>
      </c>
      <c r="J4" s="452" t="s">
        <v>753</v>
      </c>
      <c r="K4" s="449" t="s">
        <v>754</v>
      </c>
      <c r="L4" s="449">
        <v>25.0</v>
      </c>
    </row>
    <row r="5">
      <c r="A5" s="445" t="s">
        <v>755</v>
      </c>
      <c r="B5" s="445" t="s">
        <v>743</v>
      </c>
      <c r="C5" s="445" t="s">
        <v>756</v>
      </c>
      <c r="D5" s="445" t="s">
        <v>206</v>
      </c>
      <c r="E5" s="446">
        <v>1.0</v>
      </c>
      <c r="F5" s="445" t="s">
        <v>757</v>
      </c>
      <c r="G5" s="446"/>
      <c r="H5" s="446"/>
      <c r="I5" s="447" t="s">
        <v>758</v>
      </c>
      <c r="J5" s="448" t="s">
        <v>759</v>
      </c>
      <c r="K5" s="445" t="s">
        <v>760</v>
      </c>
      <c r="L5" s="445">
        <v>10.0</v>
      </c>
    </row>
    <row r="6">
      <c r="A6" s="449" t="s">
        <v>761</v>
      </c>
      <c r="B6" s="449" t="s">
        <v>743</v>
      </c>
      <c r="C6" s="449" t="s">
        <v>762</v>
      </c>
      <c r="D6" s="449" t="s">
        <v>206</v>
      </c>
      <c r="E6" s="450">
        <v>1.0</v>
      </c>
      <c r="F6" s="449" t="s">
        <v>763</v>
      </c>
      <c r="G6" s="450"/>
      <c r="H6" s="450"/>
      <c r="I6" s="451" t="s">
        <v>764</v>
      </c>
      <c r="J6" s="452" t="s">
        <v>759</v>
      </c>
      <c r="K6" s="449" t="s">
        <v>760</v>
      </c>
      <c r="L6" s="449">
        <v>10.0</v>
      </c>
    </row>
    <row r="7">
      <c r="A7" s="445" t="s">
        <v>765</v>
      </c>
      <c r="B7" s="445" t="s">
        <v>743</v>
      </c>
      <c r="C7" s="445" t="s">
        <v>762</v>
      </c>
      <c r="D7" s="445" t="s">
        <v>206</v>
      </c>
      <c r="E7" s="446">
        <v>1.0</v>
      </c>
      <c r="F7" s="445" t="s">
        <v>751</v>
      </c>
      <c r="G7" s="446"/>
      <c r="H7" s="446"/>
      <c r="I7" s="447" t="s">
        <v>766</v>
      </c>
      <c r="J7" s="448" t="s">
        <v>759</v>
      </c>
      <c r="K7" s="445" t="s">
        <v>760</v>
      </c>
      <c r="L7" s="445">
        <v>5.0</v>
      </c>
    </row>
    <row r="8">
      <c r="A8" s="449" t="s">
        <v>767</v>
      </c>
      <c r="B8" s="449" t="s">
        <v>743</v>
      </c>
      <c r="C8" s="449" t="s">
        <v>762</v>
      </c>
      <c r="D8" s="449" t="s">
        <v>768</v>
      </c>
      <c r="E8" s="450">
        <v>0.0</v>
      </c>
      <c r="F8" s="449" t="s">
        <v>763</v>
      </c>
      <c r="G8" s="450"/>
      <c r="H8" s="450"/>
      <c r="I8" s="451" t="s">
        <v>769</v>
      </c>
      <c r="J8" s="452" t="s">
        <v>770</v>
      </c>
      <c r="K8" s="449" t="s">
        <v>760</v>
      </c>
      <c r="L8" s="449">
        <v>5.0</v>
      </c>
    </row>
    <row r="9">
      <c r="A9" s="445" t="s">
        <v>771</v>
      </c>
      <c r="B9" s="445" t="s">
        <v>743</v>
      </c>
      <c r="C9" s="445" t="s">
        <v>762</v>
      </c>
      <c r="D9" s="445" t="s">
        <v>206</v>
      </c>
      <c r="E9" s="446">
        <v>1.0</v>
      </c>
      <c r="F9" s="445" t="s">
        <v>751</v>
      </c>
      <c r="G9" s="446"/>
      <c r="H9" s="446"/>
      <c r="I9" s="447" t="s">
        <v>772</v>
      </c>
      <c r="J9" s="453" t="s">
        <v>759</v>
      </c>
      <c r="K9" s="445" t="s">
        <v>760</v>
      </c>
      <c r="L9" s="445">
        <v>10.0</v>
      </c>
    </row>
    <row r="10">
      <c r="A10" s="449" t="s">
        <v>773</v>
      </c>
      <c r="B10" s="449" t="s">
        <v>743</v>
      </c>
      <c r="C10" s="449" t="s">
        <v>774</v>
      </c>
      <c r="D10" s="449" t="s">
        <v>202</v>
      </c>
      <c r="E10" s="450">
        <v>1.0</v>
      </c>
      <c r="F10" s="449" t="s">
        <v>775</v>
      </c>
      <c r="G10" s="450"/>
      <c r="H10" s="449" t="s">
        <v>776</v>
      </c>
      <c r="I10" s="451" t="s">
        <v>777</v>
      </c>
      <c r="J10" s="454" t="s">
        <v>747</v>
      </c>
      <c r="K10" s="449" t="s">
        <v>748</v>
      </c>
      <c r="L10" s="449">
        <v>5.0</v>
      </c>
    </row>
    <row r="11">
      <c r="A11" s="445" t="s">
        <v>778</v>
      </c>
      <c r="B11" s="445" t="s">
        <v>743</v>
      </c>
      <c r="C11" s="445" t="s">
        <v>744</v>
      </c>
      <c r="D11" s="445" t="s">
        <v>190</v>
      </c>
      <c r="E11" s="446">
        <v>0.0</v>
      </c>
      <c r="F11" s="445" t="s">
        <v>26</v>
      </c>
      <c r="G11" s="446"/>
      <c r="H11" s="446"/>
      <c r="I11" s="447" t="s">
        <v>779</v>
      </c>
      <c r="J11" s="448" t="s">
        <v>780</v>
      </c>
      <c r="K11" s="445" t="s">
        <v>781</v>
      </c>
      <c r="L11" s="445">
        <v>2.0</v>
      </c>
    </row>
    <row r="12">
      <c r="A12" s="449" t="s">
        <v>782</v>
      </c>
      <c r="B12" s="449" t="s">
        <v>743</v>
      </c>
      <c r="C12" s="449" t="s">
        <v>783</v>
      </c>
      <c r="D12" s="449" t="s">
        <v>190</v>
      </c>
      <c r="E12" s="450">
        <v>0.0</v>
      </c>
      <c r="F12" s="449" t="s">
        <v>784</v>
      </c>
      <c r="G12" s="450"/>
      <c r="H12" s="449" t="s">
        <v>785</v>
      </c>
      <c r="I12" s="451" t="s">
        <v>786</v>
      </c>
      <c r="J12" s="454" t="s">
        <v>787</v>
      </c>
      <c r="K12" s="449" t="s">
        <v>788</v>
      </c>
      <c r="L12" s="449">
        <v>15.0</v>
      </c>
    </row>
    <row r="13">
      <c r="A13" s="445" t="s">
        <v>789</v>
      </c>
      <c r="B13" s="445" t="s">
        <v>743</v>
      </c>
      <c r="C13" s="445" t="s">
        <v>790</v>
      </c>
      <c r="D13" s="445" t="s">
        <v>202</v>
      </c>
      <c r="E13" s="446">
        <v>1.0</v>
      </c>
      <c r="F13" s="445" t="s">
        <v>745</v>
      </c>
      <c r="G13" s="446"/>
      <c r="H13" s="445" t="s">
        <v>791</v>
      </c>
      <c r="I13" s="447" t="s">
        <v>792</v>
      </c>
      <c r="J13" s="448" t="s">
        <v>793</v>
      </c>
      <c r="K13" s="445" t="s">
        <v>794</v>
      </c>
      <c r="L13" s="445">
        <v>5.0</v>
      </c>
    </row>
    <row r="14">
      <c r="A14" s="449" t="s">
        <v>795</v>
      </c>
      <c r="B14" s="449" t="s">
        <v>743</v>
      </c>
      <c r="C14" s="449" t="s">
        <v>756</v>
      </c>
      <c r="D14" s="449" t="s">
        <v>228</v>
      </c>
      <c r="E14" s="450">
        <v>0.0</v>
      </c>
      <c r="F14" s="449" t="s">
        <v>745</v>
      </c>
      <c r="G14" s="450"/>
      <c r="H14" s="449" t="s">
        <v>796</v>
      </c>
      <c r="I14" s="451" t="s">
        <v>797</v>
      </c>
      <c r="J14" s="454" t="s">
        <v>759</v>
      </c>
      <c r="K14" s="449" t="s">
        <v>798</v>
      </c>
      <c r="L14" s="449">
        <v>5.0</v>
      </c>
    </row>
    <row r="15">
      <c r="A15" s="445" t="s">
        <v>799</v>
      </c>
      <c r="B15" s="445" t="s">
        <v>743</v>
      </c>
      <c r="C15" s="445" t="s">
        <v>800</v>
      </c>
      <c r="D15" s="445" t="s">
        <v>801</v>
      </c>
      <c r="E15" s="446">
        <v>1.0</v>
      </c>
      <c r="F15" s="445" t="s">
        <v>802</v>
      </c>
      <c r="G15" s="446"/>
      <c r="H15" s="446"/>
      <c r="I15" s="447" t="s">
        <v>803</v>
      </c>
      <c r="J15" s="453" t="s">
        <v>804</v>
      </c>
      <c r="K15" s="445" t="s">
        <v>788</v>
      </c>
      <c r="L15" s="445">
        <v>20.0</v>
      </c>
    </row>
    <row r="16">
      <c r="A16" s="449" t="s">
        <v>805</v>
      </c>
      <c r="B16" s="449" t="s">
        <v>743</v>
      </c>
      <c r="C16" s="449" t="s">
        <v>800</v>
      </c>
      <c r="D16" s="449" t="s">
        <v>243</v>
      </c>
      <c r="E16" s="450">
        <v>1.0</v>
      </c>
      <c r="F16" s="449" t="s">
        <v>757</v>
      </c>
      <c r="G16" s="450"/>
      <c r="H16" s="450"/>
      <c r="I16" s="451" t="s">
        <v>806</v>
      </c>
      <c r="J16" s="454" t="s">
        <v>807</v>
      </c>
      <c r="K16" s="449" t="s">
        <v>788</v>
      </c>
      <c r="L16" s="449">
        <v>40.0</v>
      </c>
    </row>
    <row r="17">
      <c r="A17" s="445" t="s">
        <v>808</v>
      </c>
      <c r="B17" s="445" t="s">
        <v>743</v>
      </c>
      <c r="C17" s="445" t="s">
        <v>756</v>
      </c>
      <c r="D17" s="445" t="s">
        <v>194</v>
      </c>
      <c r="E17" s="446">
        <v>1.0</v>
      </c>
      <c r="F17" s="445" t="s">
        <v>809</v>
      </c>
      <c r="G17" s="446"/>
      <c r="H17" s="446"/>
      <c r="I17" s="447" t="s">
        <v>810</v>
      </c>
      <c r="J17" s="448" t="s">
        <v>759</v>
      </c>
      <c r="K17" s="445" t="s">
        <v>760</v>
      </c>
      <c r="L17" s="445">
        <v>10.0</v>
      </c>
    </row>
    <row r="18">
      <c r="A18" s="449" t="s">
        <v>811</v>
      </c>
      <c r="B18" s="449" t="s">
        <v>743</v>
      </c>
      <c r="C18" s="449" t="s">
        <v>744</v>
      </c>
      <c r="D18" s="449" t="s">
        <v>812</v>
      </c>
      <c r="E18" s="450">
        <v>0.0</v>
      </c>
      <c r="F18" s="449" t="s">
        <v>26</v>
      </c>
      <c r="G18" s="450"/>
      <c r="H18" s="450"/>
      <c r="I18" s="451" t="s">
        <v>813</v>
      </c>
      <c r="J18" s="454" t="s">
        <v>811</v>
      </c>
      <c r="K18" s="449" t="s">
        <v>781</v>
      </c>
      <c r="L18" s="449">
        <v>25.0</v>
      </c>
    </row>
    <row r="19">
      <c r="A19" s="445" t="s">
        <v>814</v>
      </c>
      <c r="B19" s="445" t="s">
        <v>743</v>
      </c>
      <c r="C19" s="445" t="s">
        <v>756</v>
      </c>
      <c r="D19" s="445" t="s">
        <v>202</v>
      </c>
      <c r="E19" s="446">
        <v>1.0</v>
      </c>
      <c r="F19" s="445" t="s">
        <v>802</v>
      </c>
      <c r="G19" s="446"/>
      <c r="H19" s="445" t="s">
        <v>815</v>
      </c>
      <c r="I19" s="447" t="s">
        <v>816</v>
      </c>
      <c r="J19" s="448" t="s">
        <v>759</v>
      </c>
      <c r="K19" s="445" t="s">
        <v>798</v>
      </c>
      <c r="L19" s="445">
        <v>5.0</v>
      </c>
    </row>
    <row r="20">
      <c r="A20" s="449" t="s">
        <v>817</v>
      </c>
      <c r="B20" s="449" t="s">
        <v>743</v>
      </c>
      <c r="C20" s="449" t="s">
        <v>750</v>
      </c>
      <c r="D20" s="449" t="s">
        <v>194</v>
      </c>
      <c r="E20" s="450">
        <v>1.0</v>
      </c>
      <c r="F20" s="449" t="s">
        <v>26</v>
      </c>
      <c r="G20" s="450"/>
      <c r="H20" s="450"/>
      <c r="I20" s="451" t="s">
        <v>818</v>
      </c>
      <c r="J20" s="452" t="s">
        <v>819</v>
      </c>
      <c r="K20" s="449" t="s">
        <v>754</v>
      </c>
      <c r="L20" s="449">
        <v>20.0</v>
      </c>
    </row>
    <row r="21">
      <c r="A21" s="445" t="s">
        <v>820</v>
      </c>
      <c r="B21" s="445" t="s">
        <v>743</v>
      </c>
      <c r="C21" s="445" t="s">
        <v>756</v>
      </c>
      <c r="D21" s="445" t="s">
        <v>243</v>
      </c>
      <c r="E21" s="446">
        <v>1.0</v>
      </c>
      <c r="F21" s="445" t="s">
        <v>751</v>
      </c>
      <c r="G21" s="446"/>
      <c r="H21" s="446"/>
      <c r="I21" s="447" t="s">
        <v>821</v>
      </c>
      <c r="J21" s="448" t="s">
        <v>759</v>
      </c>
      <c r="K21" s="445" t="s">
        <v>822</v>
      </c>
      <c r="L21" s="445">
        <v>5.0</v>
      </c>
    </row>
    <row r="22">
      <c r="A22" s="449" t="s">
        <v>823</v>
      </c>
      <c r="B22" s="449" t="s">
        <v>824</v>
      </c>
      <c r="C22" s="449" t="s">
        <v>750</v>
      </c>
      <c r="D22" s="449" t="s">
        <v>257</v>
      </c>
      <c r="E22" s="450">
        <v>1.0</v>
      </c>
      <c r="F22" s="449" t="s">
        <v>825</v>
      </c>
      <c r="G22" s="450"/>
      <c r="H22" s="450"/>
      <c r="I22" s="451" t="s">
        <v>826</v>
      </c>
      <c r="J22" s="452" t="s">
        <v>753</v>
      </c>
      <c r="K22" s="449" t="s">
        <v>754</v>
      </c>
      <c r="L22" s="449">
        <v>50.0</v>
      </c>
    </row>
    <row r="23">
      <c r="A23" s="445" t="s">
        <v>827</v>
      </c>
      <c r="B23" s="445" t="s">
        <v>743</v>
      </c>
      <c r="C23" s="445" t="s">
        <v>790</v>
      </c>
      <c r="D23" s="445" t="s">
        <v>194</v>
      </c>
      <c r="E23" s="446">
        <v>1.0</v>
      </c>
      <c r="F23" s="445" t="s">
        <v>825</v>
      </c>
      <c r="G23" s="446"/>
      <c r="H23" s="446"/>
      <c r="I23" s="447" t="s">
        <v>828</v>
      </c>
      <c r="J23" s="453" t="s">
        <v>829</v>
      </c>
      <c r="K23" s="445" t="s">
        <v>760</v>
      </c>
      <c r="L23" s="445">
        <v>15.0</v>
      </c>
    </row>
    <row r="24">
      <c r="A24" s="449" t="s">
        <v>830</v>
      </c>
      <c r="B24" s="449" t="s">
        <v>743</v>
      </c>
      <c r="C24" s="449" t="s">
        <v>756</v>
      </c>
      <c r="D24" s="449" t="s">
        <v>206</v>
      </c>
      <c r="E24" s="450">
        <v>1.0</v>
      </c>
      <c r="F24" s="449" t="s">
        <v>745</v>
      </c>
      <c r="G24" s="450"/>
      <c r="H24" s="450"/>
      <c r="I24" s="451" t="s">
        <v>831</v>
      </c>
      <c r="J24" s="454" t="s">
        <v>759</v>
      </c>
      <c r="K24" s="449" t="s">
        <v>760</v>
      </c>
      <c r="L24" s="449">
        <v>15.0</v>
      </c>
    </row>
    <row r="25">
      <c r="A25" s="445" t="s">
        <v>832</v>
      </c>
      <c r="B25" s="445" t="s">
        <v>743</v>
      </c>
      <c r="C25" s="445" t="s">
        <v>756</v>
      </c>
      <c r="D25" s="445" t="s">
        <v>202</v>
      </c>
      <c r="E25" s="446">
        <v>1.0</v>
      </c>
      <c r="F25" s="445" t="s">
        <v>833</v>
      </c>
      <c r="G25" s="446"/>
      <c r="H25" s="446"/>
      <c r="I25" s="447" t="s">
        <v>834</v>
      </c>
      <c r="J25" s="448" t="s">
        <v>759</v>
      </c>
      <c r="K25" s="445" t="s">
        <v>760</v>
      </c>
      <c r="L25" s="445">
        <v>15.0</v>
      </c>
    </row>
    <row r="26">
      <c r="A26" s="449" t="s">
        <v>835</v>
      </c>
      <c r="B26" s="449" t="s">
        <v>743</v>
      </c>
      <c r="C26" s="449" t="s">
        <v>756</v>
      </c>
      <c r="D26" s="449" t="s">
        <v>202</v>
      </c>
      <c r="E26" s="450">
        <v>1.0</v>
      </c>
      <c r="F26" s="449" t="s">
        <v>802</v>
      </c>
      <c r="G26" s="450"/>
      <c r="H26" s="450"/>
      <c r="I26" s="451" t="s">
        <v>836</v>
      </c>
      <c r="J26" s="454" t="s">
        <v>759</v>
      </c>
      <c r="K26" s="449" t="s">
        <v>760</v>
      </c>
      <c r="L26" s="449">
        <v>20.0</v>
      </c>
    </row>
    <row r="27">
      <c r="A27" s="445" t="s">
        <v>837</v>
      </c>
      <c r="B27" s="445" t="s">
        <v>743</v>
      </c>
      <c r="C27" s="445" t="s">
        <v>750</v>
      </c>
      <c r="D27" s="445" t="s">
        <v>224</v>
      </c>
      <c r="E27" s="446">
        <v>1.0</v>
      </c>
      <c r="F27" s="445" t="s">
        <v>751</v>
      </c>
      <c r="G27" s="446"/>
      <c r="H27" s="446"/>
      <c r="I27" s="447" t="s">
        <v>838</v>
      </c>
      <c r="J27" s="453" t="s">
        <v>819</v>
      </c>
      <c r="K27" s="445" t="s">
        <v>754</v>
      </c>
      <c r="L27" s="445">
        <v>50.0</v>
      </c>
    </row>
    <row r="28">
      <c r="A28" s="449" t="s">
        <v>839</v>
      </c>
      <c r="B28" s="449" t="s">
        <v>743</v>
      </c>
      <c r="C28" s="449" t="s">
        <v>744</v>
      </c>
      <c r="D28" s="449" t="s">
        <v>224</v>
      </c>
      <c r="E28" s="450">
        <v>1.0</v>
      </c>
      <c r="F28" s="449" t="s">
        <v>757</v>
      </c>
      <c r="G28" s="450"/>
      <c r="H28" s="450"/>
      <c r="I28" s="451" t="s">
        <v>840</v>
      </c>
      <c r="J28" s="454" t="s">
        <v>780</v>
      </c>
      <c r="K28" s="449" t="s">
        <v>781</v>
      </c>
      <c r="L28" s="449">
        <v>15.0</v>
      </c>
    </row>
    <row r="29">
      <c r="A29" s="445" t="s">
        <v>841</v>
      </c>
      <c r="B29" s="445" t="s">
        <v>743</v>
      </c>
      <c r="C29" s="445" t="s">
        <v>744</v>
      </c>
      <c r="D29" s="445" t="s">
        <v>241</v>
      </c>
      <c r="E29" s="446">
        <v>2.0</v>
      </c>
      <c r="F29" s="445" t="s">
        <v>809</v>
      </c>
      <c r="G29" s="446"/>
      <c r="H29" s="446"/>
      <c r="I29" s="447" t="s">
        <v>842</v>
      </c>
      <c r="J29" s="448" t="s">
        <v>780</v>
      </c>
      <c r="K29" s="445" t="s">
        <v>781</v>
      </c>
      <c r="L29" s="445">
        <v>50.0</v>
      </c>
    </row>
    <row r="30">
      <c r="A30" s="449" t="s">
        <v>843</v>
      </c>
      <c r="B30" s="449" t="s">
        <v>743</v>
      </c>
      <c r="C30" s="449" t="s">
        <v>756</v>
      </c>
      <c r="D30" s="449" t="s">
        <v>206</v>
      </c>
      <c r="E30" s="450">
        <v>1.0</v>
      </c>
      <c r="F30" s="449" t="s">
        <v>26</v>
      </c>
      <c r="G30" s="450"/>
      <c r="H30" s="450"/>
      <c r="I30" s="451" t="s">
        <v>844</v>
      </c>
      <c r="J30" s="452" t="s">
        <v>845</v>
      </c>
      <c r="K30" s="449" t="s">
        <v>760</v>
      </c>
      <c r="L30" s="449">
        <v>2.0</v>
      </c>
    </row>
    <row r="31">
      <c r="A31" s="445" t="s">
        <v>846</v>
      </c>
      <c r="B31" s="445" t="s">
        <v>743</v>
      </c>
      <c r="C31" s="445" t="s">
        <v>783</v>
      </c>
      <c r="D31" s="445" t="s">
        <v>206</v>
      </c>
      <c r="E31" s="446">
        <v>1.0</v>
      </c>
      <c r="F31" s="445" t="s">
        <v>751</v>
      </c>
      <c r="G31" s="446"/>
      <c r="H31" s="446"/>
      <c r="I31" s="447" t="s">
        <v>847</v>
      </c>
      <c r="J31" s="448" t="s">
        <v>787</v>
      </c>
      <c r="K31" s="445" t="s">
        <v>788</v>
      </c>
      <c r="L31" s="445">
        <v>15.0</v>
      </c>
    </row>
    <row r="32">
      <c r="A32" s="449" t="s">
        <v>848</v>
      </c>
      <c r="B32" s="449" t="s">
        <v>743</v>
      </c>
      <c r="C32" s="449" t="s">
        <v>849</v>
      </c>
      <c r="D32" s="449" t="s">
        <v>194</v>
      </c>
      <c r="E32" s="450">
        <v>1.0</v>
      </c>
      <c r="F32" s="449" t="s">
        <v>26</v>
      </c>
      <c r="G32" s="450"/>
      <c r="H32" s="450"/>
      <c r="I32" s="451" t="s">
        <v>850</v>
      </c>
      <c r="J32" s="454" t="s">
        <v>759</v>
      </c>
      <c r="K32" s="449" t="s">
        <v>851</v>
      </c>
      <c r="L32" s="449">
        <v>10.0</v>
      </c>
    </row>
    <row r="33">
      <c r="A33" s="445" t="s">
        <v>852</v>
      </c>
      <c r="B33" s="445" t="s">
        <v>743</v>
      </c>
      <c r="C33" s="445" t="s">
        <v>800</v>
      </c>
      <c r="D33" s="445" t="s">
        <v>224</v>
      </c>
      <c r="E33" s="446">
        <v>1.0</v>
      </c>
      <c r="F33" s="445" t="s">
        <v>853</v>
      </c>
      <c r="G33" s="446"/>
      <c r="H33" s="446"/>
      <c r="I33" s="447" t="s">
        <v>854</v>
      </c>
      <c r="J33" s="448" t="s">
        <v>759</v>
      </c>
      <c r="K33" s="445" t="s">
        <v>788</v>
      </c>
      <c r="L33" s="445">
        <v>75.0</v>
      </c>
    </row>
    <row r="34">
      <c r="A34" s="449" t="s">
        <v>855</v>
      </c>
      <c r="B34" s="449" t="s">
        <v>743</v>
      </c>
      <c r="C34" s="449" t="s">
        <v>800</v>
      </c>
      <c r="D34" s="449" t="s">
        <v>206</v>
      </c>
      <c r="E34" s="450">
        <v>1.0</v>
      </c>
      <c r="F34" s="449" t="s">
        <v>856</v>
      </c>
      <c r="G34" s="450"/>
      <c r="H34" s="450"/>
      <c r="I34" s="451" t="s">
        <v>857</v>
      </c>
      <c r="J34" s="454" t="s">
        <v>759</v>
      </c>
      <c r="K34" s="449" t="s">
        <v>760</v>
      </c>
      <c r="L34" s="449">
        <v>75.0</v>
      </c>
    </row>
    <row r="35">
      <c r="A35" s="445" t="s">
        <v>858</v>
      </c>
      <c r="B35" s="445" t="s">
        <v>743</v>
      </c>
      <c r="C35" s="445" t="s">
        <v>750</v>
      </c>
      <c r="D35" s="445" t="s">
        <v>194</v>
      </c>
      <c r="E35" s="446">
        <v>1.0</v>
      </c>
      <c r="F35" s="445" t="s">
        <v>809</v>
      </c>
      <c r="G35" s="446"/>
      <c r="H35" s="446"/>
      <c r="I35" s="447" t="s">
        <v>859</v>
      </c>
      <c r="J35" s="448" t="s">
        <v>860</v>
      </c>
      <c r="K35" s="445" t="s">
        <v>754</v>
      </c>
      <c r="L35" s="445">
        <v>50.0</v>
      </c>
    </row>
    <row r="36">
      <c r="A36" s="449" t="s">
        <v>861</v>
      </c>
      <c r="B36" s="449" t="s">
        <v>743</v>
      </c>
      <c r="C36" s="449" t="s">
        <v>783</v>
      </c>
      <c r="D36" s="449" t="s">
        <v>206</v>
      </c>
      <c r="E36" s="450">
        <v>1.0</v>
      </c>
      <c r="F36" s="449" t="s">
        <v>751</v>
      </c>
      <c r="G36" s="450"/>
      <c r="H36" s="450"/>
      <c r="I36" s="451" t="s">
        <v>862</v>
      </c>
      <c r="J36" s="454" t="s">
        <v>747</v>
      </c>
      <c r="K36" s="449" t="s">
        <v>748</v>
      </c>
      <c r="L36" s="449">
        <v>10.0</v>
      </c>
    </row>
    <row r="37">
      <c r="A37" s="445" t="s">
        <v>863</v>
      </c>
      <c r="B37" s="445" t="s">
        <v>743</v>
      </c>
      <c r="C37" s="445" t="s">
        <v>744</v>
      </c>
      <c r="D37" s="445" t="s">
        <v>206</v>
      </c>
      <c r="E37" s="446">
        <v>1.0</v>
      </c>
      <c r="F37" s="445" t="s">
        <v>751</v>
      </c>
      <c r="G37" s="446"/>
      <c r="H37" s="446"/>
      <c r="I37" s="447" t="s">
        <v>864</v>
      </c>
      <c r="J37" s="448" t="s">
        <v>787</v>
      </c>
      <c r="K37" s="445" t="s">
        <v>788</v>
      </c>
      <c r="L37" s="445">
        <v>5.0</v>
      </c>
    </row>
    <row r="38">
      <c r="A38" s="449" t="s">
        <v>865</v>
      </c>
      <c r="B38" s="449" t="s">
        <v>743</v>
      </c>
      <c r="C38" s="449" t="s">
        <v>774</v>
      </c>
      <c r="D38" s="449" t="s">
        <v>866</v>
      </c>
      <c r="E38" s="450">
        <v>0.0</v>
      </c>
      <c r="F38" s="449" t="s">
        <v>745</v>
      </c>
      <c r="G38" s="450"/>
      <c r="H38" s="449" t="s">
        <v>867</v>
      </c>
      <c r="I38" s="451" t="s">
        <v>868</v>
      </c>
      <c r="J38" s="454" t="s">
        <v>747</v>
      </c>
      <c r="K38" s="449" t="s">
        <v>748</v>
      </c>
      <c r="L38" s="449">
        <v>2.0</v>
      </c>
    </row>
    <row r="39">
      <c r="A39" s="445" t="s">
        <v>869</v>
      </c>
      <c r="B39" s="445" t="s">
        <v>743</v>
      </c>
      <c r="C39" s="445" t="s">
        <v>783</v>
      </c>
      <c r="D39" s="445" t="s">
        <v>812</v>
      </c>
      <c r="E39" s="446">
        <v>0.0</v>
      </c>
      <c r="F39" s="445" t="s">
        <v>751</v>
      </c>
      <c r="G39" s="446"/>
      <c r="H39" s="445" t="s">
        <v>870</v>
      </c>
      <c r="I39" s="447" t="s">
        <v>871</v>
      </c>
      <c r="J39" s="448" t="s">
        <v>787</v>
      </c>
      <c r="K39" s="445" t="s">
        <v>788</v>
      </c>
      <c r="L39" s="445">
        <v>5.0</v>
      </c>
    </row>
    <row r="40">
      <c r="A40" s="449" t="s">
        <v>872</v>
      </c>
      <c r="B40" s="449" t="s">
        <v>743</v>
      </c>
      <c r="C40" s="449" t="s">
        <v>756</v>
      </c>
      <c r="D40" s="449" t="s">
        <v>202</v>
      </c>
      <c r="E40" s="450">
        <v>1.0</v>
      </c>
      <c r="F40" s="449" t="s">
        <v>856</v>
      </c>
      <c r="G40" s="450"/>
      <c r="H40" s="450"/>
      <c r="I40" s="451" t="s">
        <v>873</v>
      </c>
      <c r="J40" s="454" t="s">
        <v>759</v>
      </c>
      <c r="K40" s="449" t="s">
        <v>760</v>
      </c>
      <c r="L40" s="449">
        <v>15.0</v>
      </c>
    </row>
    <row r="41">
      <c r="A41" s="445" t="s">
        <v>874</v>
      </c>
      <c r="B41" s="445" t="s">
        <v>743</v>
      </c>
      <c r="C41" s="445" t="s">
        <v>790</v>
      </c>
      <c r="D41" s="445" t="s">
        <v>875</v>
      </c>
      <c r="E41" s="446">
        <v>0.0</v>
      </c>
      <c r="F41" s="445" t="s">
        <v>856</v>
      </c>
      <c r="G41" s="446"/>
      <c r="H41" s="445" t="s">
        <v>815</v>
      </c>
      <c r="I41" s="447" t="s">
        <v>876</v>
      </c>
      <c r="J41" s="448" t="s">
        <v>793</v>
      </c>
      <c r="K41" s="445" t="s">
        <v>794</v>
      </c>
      <c r="L41" s="445">
        <v>10.0</v>
      </c>
    </row>
    <row r="42">
      <c r="A42" s="449" t="s">
        <v>877</v>
      </c>
      <c r="B42" s="449" t="s">
        <v>743</v>
      </c>
      <c r="C42" s="449" t="s">
        <v>756</v>
      </c>
      <c r="D42" s="449" t="s">
        <v>812</v>
      </c>
      <c r="E42" s="450">
        <v>0.0</v>
      </c>
      <c r="F42" s="449" t="s">
        <v>751</v>
      </c>
      <c r="G42" s="450"/>
      <c r="H42" s="450"/>
      <c r="I42" s="451" t="s">
        <v>878</v>
      </c>
      <c r="J42" s="454" t="s">
        <v>759</v>
      </c>
      <c r="K42" s="449" t="s">
        <v>798</v>
      </c>
      <c r="L42" s="449">
        <v>25.0</v>
      </c>
    </row>
    <row r="43">
      <c r="A43" s="445" t="s">
        <v>879</v>
      </c>
      <c r="B43" s="445" t="s">
        <v>743</v>
      </c>
      <c r="C43" s="445" t="s">
        <v>774</v>
      </c>
      <c r="D43" s="445" t="s">
        <v>198</v>
      </c>
      <c r="E43" s="446">
        <v>0.0</v>
      </c>
      <c r="F43" s="445" t="s">
        <v>880</v>
      </c>
      <c r="G43" s="446"/>
      <c r="H43" s="446"/>
      <c r="I43" s="447" t="s">
        <v>881</v>
      </c>
      <c r="J43" s="448" t="s">
        <v>747</v>
      </c>
      <c r="K43" s="445" t="s">
        <v>748</v>
      </c>
      <c r="L43" s="445">
        <v>10.0</v>
      </c>
    </row>
    <row r="44">
      <c r="A44" s="449" t="s">
        <v>882</v>
      </c>
      <c r="B44" s="449" t="s">
        <v>743</v>
      </c>
      <c r="C44" s="449" t="s">
        <v>756</v>
      </c>
      <c r="D44" s="449" t="s">
        <v>202</v>
      </c>
      <c r="E44" s="450">
        <v>1.0</v>
      </c>
      <c r="F44" s="449" t="s">
        <v>757</v>
      </c>
      <c r="G44" s="450"/>
      <c r="H44" s="450"/>
      <c r="I44" s="451" t="s">
        <v>883</v>
      </c>
      <c r="J44" s="454" t="s">
        <v>759</v>
      </c>
      <c r="K44" s="449" t="s">
        <v>760</v>
      </c>
      <c r="L44" s="449">
        <v>25.0</v>
      </c>
    </row>
    <row r="45">
      <c r="A45" s="445" t="s">
        <v>884</v>
      </c>
      <c r="B45" s="445" t="s">
        <v>743</v>
      </c>
      <c r="C45" s="445" t="s">
        <v>756</v>
      </c>
      <c r="D45" s="445" t="s">
        <v>202</v>
      </c>
      <c r="E45" s="446">
        <v>1.0</v>
      </c>
      <c r="F45" s="445" t="s">
        <v>757</v>
      </c>
      <c r="G45" s="446"/>
      <c r="H45" s="446"/>
      <c r="I45" s="447" t="s">
        <v>885</v>
      </c>
      <c r="J45" s="448" t="s">
        <v>759</v>
      </c>
      <c r="K45" s="445" t="s">
        <v>760</v>
      </c>
      <c r="L45" s="445">
        <v>15.0</v>
      </c>
    </row>
    <row r="46">
      <c r="A46" s="449" t="s">
        <v>886</v>
      </c>
      <c r="B46" s="449" t="s">
        <v>743</v>
      </c>
      <c r="C46" s="449" t="s">
        <v>887</v>
      </c>
      <c r="D46" s="449" t="s">
        <v>243</v>
      </c>
      <c r="E46" s="450">
        <v>1.0</v>
      </c>
      <c r="F46" s="449" t="s">
        <v>751</v>
      </c>
      <c r="G46" s="450"/>
      <c r="H46" s="450"/>
      <c r="I46" s="451" t="s">
        <v>888</v>
      </c>
      <c r="J46" s="454" t="s">
        <v>747</v>
      </c>
      <c r="K46" s="449" t="s">
        <v>851</v>
      </c>
      <c r="L46" s="449">
        <v>40.0</v>
      </c>
    </row>
    <row r="47">
      <c r="A47" s="445" t="s">
        <v>889</v>
      </c>
      <c r="B47" s="445" t="s">
        <v>743</v>
      </c>
      <c r="C47" s="445" t="s">
        <v>887</v>
      </c>
      <c r="D47" s="445" t="s">
        <v>243</v>
      </c>
      <c r="E47" s="446">
        <v>1.0</v>
      </c>
      <c r="F47" s="445" t="s">
        <v>745</v>
      </c>
      <c r="G47" s="446"/>
      <c r="H47" s="446"/>
      <c r="I47" s="447" t="s">
        <v>888</v>
      </c>
      <c r="J47" s="448" t="s">
        <v>747</v>
      </c>
      <c r="K47" s="445" t="s">
        <v>851</v>
      </c>
      <c r="L47" s="445">
        <v>40.0</v>
      </c>
    </row>
    <row r="48">
      <c r="A48" s="449" t="s">
        <v>890</v>
      </c>
      <c r="B48" s="449" t="s">
        <v>743</v>
      </c>
      <c r="C48" s="449" t="s">
        <v>887</v>
      </c>
      <c r="D48" s="449" t="s">
        <v>243</v>
      </c>
      <c r="E48" s="450">
        <v>1.0</v>
      </c>
      <c r="F48" s="449" t="s">
        <v>751</v>
      </c>
      <c r="G48" s="450"/>
      <c r="H48" s="450"/>
      <c r="I48" s="451" t="s">
        <v>888</v>
      </c>
      <c r="J48" s="452" t="s">
        <v>770</v>
      </c>
      <c r="K48" s="449" t="s">
        <v>851</v>
      </c>
      <c r="L48" s="449">
        <v>40.0</v>
      </c>
    </row>
    <row r="49">
      <c r="A49" s="445" t="s">
        <v>891</v>
      </c>
      <c r="B49" s="445" t="s">
        <v>743</v>
      </c>
      <c r="C49" s="445" t="s">
        <v>887</v>
      </c>
      <c r="D49" s="445" t="s">
        <v>194</v>
      </c>
      <c r="E49" s="446">
        <v>1.0</v>
      </c>
      <c r="F49" s="445" t="s">
        <v>856</v>
      </c>
      <c r="G49" s="446"/>
      <c r="H49" s="446"/>
      <c r="I49" s="447" t="s">
        <v>888</v>
      </c>
      <c r="J49" s="448" t="s">
        <v>747</v>
      </c>
      <c r="K49" s="445" t="s">
        <v>851</v>
      </c>
      <c r="L49" s="445">
        <v>20.0</v>
      </c>
    </row>
    <row r="50">
      <c r="A50" s="449" t="s">
        <v>892</v>
      </c>
      <c r="B50" s="449" t="s">
        <v>743</v>
      </c>
      <c r="C50" s="449" t="s">
        <v>887</v>
      </c>
      <c r="D50" s="449" t="s">
        <v>235</v>
      </c>
      <c r="E50" s="450">
        <v>1.0</v>
      </c>
      <c r="F50" s="449" t="s">
        <v>809</v>
      </c>
      <c r="G50" s="450"/>
      <c r="H50" s="450"/>
      <c r="I50" s="451" t="s">
        <v>888</v>
      </c>
      <c r="J50" s="454" t="s">
        <v>893</v>
      </c>
      <c r="K50" s="449" t="s">
        <v>851</v>
      </c>
      <c r="L50" s="449">
        <v>50.0</v>
      </c>
    </row>
    <row r="51">
      <c r="A51" s="445" t="s">
        <v>894</v>
      </c>
      <c r="B51" s="445" t="s">
        <v>743</v>
      </c>
      <c r="C51" s="445" t="s">
        <v>750</v>
      </c>
      <c r="D51" s="445" t="s">
        <v>198</v>
      </c>
      <c r="E51" s="446">
        <v>0.0</v>
      </c>
      <c r="F51" s="445" t="s">
        <v>751</v>
      </c>
      <c r="G51" s="446"/>
      <c r="H51" s="446"/>
      <c r="I51" s="447" t="s">
        <v>895</v>
      </c>
      <c r="J51" s="448" t="s">
        <v>896</v>
      </c>
      <c r="K51" s="445" t="s">
        <v>754</v>
      </c>
      <c r="L51" s="445">
        <v>10.0</v>
      </c>
    </row>
    <row r="52">
      <c r="A52" s="449" t="s">
        <v>897</v>
      </c>
      <c r="B52" s="449" t="s">
        <v>743</v>
      </c>
      <c r="C52" s="449" t="s">
        <v>744</v>
      </c>
      <c r="D52" s="449" t="s">
        <v>898</v>
      </c>
      <c r="E52" s="450">
        <v>0.0</v>
      </c>
      <c r="F52" s="449" t="s">
        <v>26</v>
      </c>
      <c r="G52" s="450"/>
      <c r="H52" s="450"/>
      <c r="I52" s="451" t="s">
        <v>899</v>
      </c>
      <c r="J52" s="452" t="s">
        <v>900</v>
      </c>
      <c r="K52" s="449" t="s">
        <v>901</v>
      </c>
      <c r="L52" s="449">
        <v>2.0</v>
      </c>
    </row>
    <row r="53">
      <c r="A53" s="445" t="s">
        <v>902</v>
      </c>
      <c r="B53" s="445" t="s">
        <v>743</v>
      </c>
      <c r="C53" s="445" t="s">
        <v>756</v>
      </c>
      <c r="D53" s="445" t="s">
        <v>206</v>
      </c>
      <c r="E53" s="446">
        <v>1.0</v>
      </c>
      <c r="F53" s="445" t="s">
        <v>745</v>
      </c>
      <c r="G53" s="446"/>
      <c r="H53" s="446"/>
      <c r="I53" s="447" t="s">
        <v>903</v>
      </c>
      <c r="J53" s="448" t="s">
        <v>759</v>
      </c>
      <c r="K53" s="445" t="s">
        <v>760</v>
      </c>
      <c r="L53" s="445">
        <v>15.0</v>
      </c>
    </row>
    <row r="54">
      <c r="A54" s="449" t="s">
        <v>904</v>
      </c>
      <c r="B54" s="449" t="s">
        <v>743</v>
      </c>
      <c r="C54" s="449" t="s">
        <v>800</v>
      </c>
      <c r="D54" s="449" t="s">
        <v>898</v>
      </c>
      <c r="E54" s="450">
        <v>0.0</v>
      </c>
      <c r="F54" s="449" t="s">
        <v>825</v>
      </c>
      <c r="G54" s="450"/>
      <c r="H54" s="449" t="s">
        <v>905</v>
      </c>
      <c r="I54" s="451" t="s">
        <v>906</v>
      </c>
      <c r="J54" s="454" t="s">
        <v>860</v>
      </c>
      <c r="K54" s="449" t="s">
        <v>907</v>
      </c>
      <c r="L54" s="449">
        <v>5.0</v>
      </c>
    </row>
    <row r="55">
      <c r="A55" s="445" t="s">
        <v>908</v>
      </c>
      <c r="B55" s="445" t="s">
        <v>743</v>
      </c>
      <c r="C55" s="445" t="s">
        <v>887</v>
      </c>
      <c r="D55" s="445" t="s">
        <v>224</v>
      </c>
      <c r="E55" s="446">
        <v>1.0</v>
      </c>
      <c r="F55" s="445" t="s">
        <v>745</v>
      </c>
      <c r="G55" s="446"/>
      <c r="H55" s="446"/>
      <c r="I55" s="447" t="s">
        <v>909</v>
      </c>
      <c r="J55" s="448" t="s">
        <v>860</v>
      </c>
      <c r="K55" s="445" t="s">
        <v>754</v>
      </c>
      <c r="L55" s="445">
        <v>200.0</v>
      </c>
    </row>
    <row r="56">
      <c r="A56" s="449" t="s">
        <v>910</v>
      </c>
      <c r="B56" s="449" t="s">
        <v>743</v>
      </c>
      <c r="C56" s="449" t="s">
        <v>756</v>
      </c>
      <c r="D56" s="449" t="s">
        <v>202</v>
      </c>
      <c r="E56" s="450">
        <v>1.0</v>
      </c>
      <c r="F56" s="449" t="s">
        <v>802</v>
      </c>
      <c r="G56" s="450"/>
      <c r="H56" s="450"/>
      <c r="I56" s="451" t="s">
        <v>911</v>
      </c>
      <c r="J56" s="454" t="s">
        <v>759</v>
      </c>
      <c r="K56" s="449" t="s">
        <v>760</v>
      </c>
      <c r="L56" s="449">
        <v>20.0</v>
      </c>
    </row>
    <row r="57">
      <c r="A57" s="445" t="s">
        <v>912</v>
      </c>
      <c r="B57" s="445" t="s">
        <v>743</v>
      </c>
      <c r="C57" s="445" t="s">
        <v>756</v>
      </c>
      <c r="D57" s="445" t="s">
        <v>206</v>
      </c>
      <c r="E57" s="446">
        <v>1.0</v>
      </c>
      <c r="F57" s="445" t="s">
        <v>809</v>
      </c>
      <c r="G57" s="446"/>
      <c r="H57" s="446"/>
      <c r="I57" s="447" t="s">
        <v>913</v>
      </c>
      <c r="J57" s="448" t="s">
        <v>759</v>
      </c>
      <c r="K57" s="445" t="s">
        <v>760</v>
      </c>
      <c r="L57" s="445">
        <v>5.0</v>
      </c>
    </row>
    <row r="58">
      <c r="A58" s="449" t="s">
        <v>896</v>
      </c>
      <c r="B58" s="449" t="s">
        <v>743</v>
      </c>
      <c r="C58" s="449" t="s">
        <v>750</v>
      </c>
      <c r="D58" s="449" t="s">
        <v>875</v>
      </c>
      <c r="E58" s="450">
        <v>0.0</v>
      </c>
      <c r="F58" s="449" t="s">
        <v>26</v>
      </c>
      <c r="G58" s="450"/>
      <c r="H58" s="450"/>
      <c r="I58" s="451" t="s">
        <v>914</v>
      </c>
      <c r="J58" s="452" t="s">
        <v>896</v>
      </c>
      <c r="K58" s="449" t="s">
        <v>754</v>
      </c>
      <c r="L58" s="449">
        <v>15.0</v>
      </c>
    </row>
    <row r="59">
      <c r="A59" s="445" t="s">
        <v>915</v>
      </c>
      <c r="B59" s="445" t="s">
        <v>743</v>
      </c>
      <c r="C59" s="445" t="s">
        <v>916</v>
      </c>
      <c r="D59" s="445" t="s">
        <v>202</v>
      </c>
      <c r="E59" s="446">
        <v>1.0</v>
      </c>
      <c r="F59" s="445" t="s">
        <v>856</v>
      </c>
      <c r="G59" s="446"/>
      <c r="H59" s="446"/>
      <c r="I59" s="447" t="s">
        <v>917</v>
      </c>
      <c r="J59" s="448" t="s">
        <v>860</v>
      </c>
      <c r="K59" s="445" t="s">
        <v>788</v>
      </c>
      <c r="L59" s="445">
        <v>20.0</v>
      </c>
    </row>
    <row r="60">
      <c r="A60" s="449" t="s">
        <v>918</v>
      </c>
      <c r="B60" s="449" t="s">
        <v>743</v>
      </c>
      <c r="C60" s="449" t="s">
        <v>916</v>
      </c>
      <c r="D60" s="449" t="s">
        <v>194</v>
      </c>
      <c r="E60" s="450">
        <v>1.0</v>
      </c>
      <c r="F60" s="449" t="s">
        <v>856</v>
      </c>
      <c r="G60" s="450"/>
      <c r="H60" s="450"/>
      <c r="I60" s="451" t="s">
        <v>919</v>
      </c>
      <c r="J60" s="454" t="s">
        <v>860</v>
      </c>
      <c r="K60" s="449" t="s">
        <v>788</v>
      </c>
      <c r="L60" s="449">
        <v>25.0</v>
      </c>
    </row>
    <row r="61">
      <c r="A61" s="445" t="s">
        <v>920</v>
      </c>
      <c r="B61" s="445" t="s">
        <v>743</v>
      </c>
      <c r="C61" s="445" t="s">
        <v>916</v>
      </c>
      <c r="D61" s="445" t="s">
        <v>812</v>
      </c>
      <c r="E61" s="446">
        <v>0.0</v>
      </c>
      <c r="F61" s="445" t="s">
        <v>809</v>
      </c>
      <c r="G61" s="446"/>
      <c r="H61" s="446"/>
      <c r="I61" s="447" t="s">
        <v>921</v>
      </c>
      <c r="J61" s="448" t="s">
        <v>860</v>
      </c>
      <c r="K61" s="445" t="s">
        <v>788</v>
      </c>
      <c r="L61" s="445">
        <v>15.0</v>
      </c>
    </row>
    <row r="62">
      <c r="A62" s="449" t="s">
        <v>922</v>
      </c>
      <c r="B62" s="449" t="s">
        <v>743</v>
      </c>
      <c r="C62" s="449" t="s">
        <v>916</v>
      </c>
      <c r="D62" s="449" t="s">
        <v>246</v>
      </c>
      <c r="E62" s="450">
        <v>1.0</v>
      </c>
      <c r="F62" s="449" t="s">
        <v>833</v>
      </c>
      <c r="G62" s="450"/>
      <c r="H62" s="450"/>
      <c r="I62" s="451" t="s">
        <v>923</v>
      </c>
      <c r="J62" s="454" t="s">
        <v>860</v>
      </c>
      <c r="K62" s="449" t="s">
        <v>788</v>
      </c>
      <c r="L62" s="449">
        <v>50.0</v>
      </c>
    </row>
    <row r="63">
      <c r="A63" s="445" t="s">
        <v>924</v>
      </c>
      <c r="B63" s="445" t="s">
        <v>743</v>
      </c>
      <c r="C63" s="445" t="s">
        <v>916</v>
      </c>
      <c r="D63" s="445" t="s">
        <v>812</v>
      </c>
      <c r="E63" s="446">
        <v>0.0</v>
      </c>
      <c r="F63" s="445" t="s">
        <v>809</v>
      </c>
      <c r="G63" s="446"/>
      <c r="H63" s="446"/>
      <c r="I63" s="447" t="s">
        <v>925</v>
      </c>
      <c r="J63" s="448" t="s">
        <v>860</v>
      </c>
      <c r="K63" s="445" t="s">
        <v>788</v>
      </c>
      <c r="L63" s="445">
        <v>25.0</v>
      </c>
    </row>
    <row r="64">
      <c r="A64" s="449" t="s">
        <v>926</v>
      </c>
      <c r="B64" s="449" t="s">
        <v>743</v>
      </c>
      <c r="C64" s="449" t="s">
        <v>756</v>
      </c>
      <c r="D64" s="449" t="s">
        <v>194</v>
      </c>
      <c r="E64" s="450">
        <v>1.0</v>
      </c>
      <c r="F64" s="449" t="s">
        <v>880</v>
      </c>
      <c r="G64" s="450"/>
      <c r="H64" s="450"/>
      <c r="I64" s="451" t="s">
        <v>927</v>
      </c>
      <c r="J64" s="454" t="s">
        <v>759</v>
      </c>
      <c r="K64" s="449" t="s">
        <v>760</v>
      </c>
      <c r="L64" s="449">
        <v>15.0</v>
      </c>
    </row>
    <row r="65">
      <c r="A65" s="445" t="s">
        <v>928</v>
      </c>
      <c r="B65" s="445" t="s">
        <v>743</v>
      </c>
      <c r="C65" s="445" t="s">
        <v>800</v>
      </c>
      <c r="D65" s="445" t="s">
        <v>202</v>
      </c>
      <c r="E65" s="446">
        <v>1.0</v>
      </c>
      <c r="F65" s="445" t="s">
        <v>929</v>
      </c>
      <c r="G65" s="446"/>
      <c r="H65" s="446"/>
      <c r="I65" s="447" t="s">
        <v>930</v>
      </c>
      <c r="J65" s="448" t="s">
        <v>860</v>
      </c>
      <c r="K65" s="445" t="s">
        <v>907</v>
      </c>
      <c r="L65" s="445">
        <v>50.0</v>
      </c>
    </row>
    <row r="66">
      <c r="A66" s="449" t="s">
        <v>931</v>
      </c>
      <c r="B66" s="449" t="s">
        <v>743</v>
      </c>
      <c r="C66" s="449" t="s">
        <v>744</v>
      </c>
      <c r="D66" s="449" t="s">
        <v>812</v>
      </c>
      <c r="E66" s="450">
        <v>0.0</v>
      </c>
      <c r="F66" s="449" t="s">
        <v>26</v>
      </c>
      <c r="G66" s="450"/>
      <c r="H66" s="450"/>
      <c r="I66" s="451" t="s">
        <v>932</v>
      </c>
      <c r="J66" s="452" t="s">
        <v>933</v>
      </c>
      <c r="K66" s="449" t="s">
        <v>781</v>
      </c>
      <c r="L66" s="449">
        <v>15.0</v>
      </c>
    </row>
    <row r="67">
      <c r="A67" s="445" t="s">
        <v>934</v>
      </c>
      <c r="B67" s="445" t="s">
        <v>743</v>
      </c>
      <c r="C67" s="445" t="s">
        <v>790</v>
      </c>
      <c r="D67" s="445" t="s">
        <v>224</v>
      </c>
      <c r="E67" s="446">
        <v>1.0</v>
      </c>
      <c r="F67" s="445" t="s">
        <v>751</v>
      </c>
      <c r="G67" s="446"/>
      <c r="H67" s="446"/>
      <c r="I67" s="447" t="s">
        <v>935</v>
      </c>
      <c r="J67" s="448" t="s">
        <v>793</v>
      </c>
      <c r="K67" s="445" t="s">
        <v>794</v>
      </c>
      <c r="L67" s="445">
        <v>50.0</v>
      </c>
    </row>
    <row r="68">
      <c r="A68" s="449" t="s">
        <v>936</v>
      </c>
      <c r="B68" s="449" t="s">
        <v>743</v>
      </c>
      <c r="C68" s="449" t="s">
        <v>744</v>
      </c>
      <c r="D68" s="449" t="s">
        <v>875</v>
      </c>
      <c r="E68" s="450">
        <v>0.0</v>
      </c>
      <c r="F68" s="449" t="s">
        <v>26</v>
      </c>
      <c r="G68" s="450"/>
      <c r="H68" s="450"/>
      <c r="I68" s="451" t="s">
        <v>937</v>
      </c>
      <c r="J68" s="452" t="s">
        <v>938</v>
      </c>
      <c r="K68" s="449" t="s">
        <v>781</v>
      </c>
      <c r="L68" s="449">
        <v>2.0</v>
      </c>
    </row>
    <row r="69">
      <c r="A69" s="445" t="s">
        <v>939</v>
      </c>
      <c r="B69" s="445" t="s">
        <v>743</v>
      </c>
      <c r="C69" s="445" t="s">
        <v>790</v>
      </c>
      <c r="D69" s="445" t="s">
        <v>940</v>
      </c>
      <c r="E69" s="445">
        <v>4.0</v>
      </c>
      <c r="F69" s="445" t="s">
        <v>751</v>
      </c>
      <c r="G69" s="446"/>
      <c r="H69" s="446"/>
      <c r="I69" s="447" t="s">
        <v>941</v>
      </c>
      <c r="J69" s="448" t="s">
        <v>793</v>
      </c>
      <c r="K69" s="445" t="s">
        <v>794</v>
      </c>
      <c r="L69" s="445">
        <v>800.0</v>
      </c>
    </row>
    <row r="70">
      <c r="A70" s="449" t="s">
        <v>942</v>
      </c>
      <c r="B70" s="449" t="s">
        <v>743</v>
      </c>
      <c r="C70" s="449" t="s">
        <v>943</v>
      </c>
      <c r="D70" s="449" t="s">
        <v>194</v>
      </c>
      <c r="E70" s="450">
        <v>1.0</v>
      </c>
      <c r="F70" s="449" t="s">
        <v>745</v>
      </c>
      <c r="G70" s="450"/>
      <c r="H70" s="450"/>
      <c r="I70" s="451" t="s">
        <v>944</v>
      </c>
      <c r="J70" s="452" t="s">
        <v>945</v>
      </c>
      <c r="K70" s="449" t="s">
        <v>946</v>
      </c>
      <c r="L70" s="449">
        <v>15.0</v>
      </c>
    </row>
    <row r="71">
      <c r="A71" s="445" t="s">
        <v>947</v>
      </c>
      <c r="B71" s="445" t="s">
        <v>743</v>
      </c>
      <c r="C71" s="445" t="s">
        <v>800</v>
      </c>
      <c r="D71" s="445" t="s">
        <v>202</v>
      </c>
      <c r="E71" s="446">
        <v>1.0</v>
      </c>
      <c r="F71" s="445" t="s">
        <v>757</v>
      </c>
      <c r="G71" s="446"/>
      <c r="H71" s="445" t="s">
        <v>905</v>
      </c>
      <c r="I71" s="447" t="s">
        <v>948</v>
      </c>
      <c r="J71" s="448" t="s">
        <v>787</v>
      </c>
      <c r="K71" s="445" t="s">
        <v>788</v>
      </c>
      <c r="L71" s="445">
        <v>20.0</v>
      </c>
    </row>
    <row r="72">
      <c r="A72" s="449" t="s">
        <v>949</v>
      </c>
      <c r="B72" s="449" t="s">
        <v>743</v>
      </c>
      <c r="C72" s="449" t="s">
        <v>916</v>
      </c>
      <c r="D72" s="449" t="s">
        <v>206</v>
      </c>
      <c r="E72" s="450">
        <v>1.0</v>
      </c>
      <c r="F72" s="449" t="s">
        <v>856</v>
      </c>
      <c r="G72" s="450"/>
      <c r="H72" s="450"/>
      <c r="I72" s="451" t="s">
        <v>950</v>
      </c>
      <c r="J72" s="454" t="s">
        <v>860</v>
      </c>
      <c r="K72" s="449" t="s">
        <v>907</v>
      </c>
      <c r="L72" s="449">
        <v>10.0</v>
      </c>
    </row>
    <row r="73">
      <c r="A73" s="445" t="s">
        <v>951</v>
      </c>
      <c r="B73" s="445" t="s">
        <v>743</v>
      </c>
      <c r="C73" s="445" t="s">
        <v>756</v>
      </c>
      <c r="D73" s="445" t="s">
        <v>898</v>
      </c>
      <c r="E73" s="446">
        <v>0.0</v>
      </c>
      <c r="F73" s="445" t="s">
        <v>26</v>
      </c>
      <c r="G73" s="446"/>
      <c r="H73" s="446"/>
      <c r="I73" s="447" t="s">
        <v>952</v>
      </c>
      <c r="J73" s="448" t="s">
        <v>811</v>
      </c>
      <c r="K73" s="445" t="s">
        <v>781</v>
      </c>
      <c r="L73" s="445">
        <v>5.0</v>
      </c>
    </row>
    <row r="74">
      <c r="A74" s="449" t="s">
        <v>953</v>
      </c>
      <c r="B74" s="449" t="s">
        <v>743</v>
      </c>
      <c r="C74" s="449" t="s">
        <v>750</v>
      </c>
      <c r="D74" s="449" t="s">
        <v>224</v>
      </c>
      <c r="E74" s="450">
        <v>1.0</v>
      </c>
      <c r="F74" s="449" t="s">
        <v>751</v>
      </c>
      <c r="G74" s="450"/>
      <c r="H74" s="450"/>
      <c r="I74" s="451" t="s">
        <v>954</v>
      </c>
      <c r="J74" s="452" t="s">
        <v>819</v>
      </c>
      <c r="K74" s="449" t="s">
        <v>754</v>
      </c>
      <c r="L74" s="449">
        <v>80.0</v>
      </c>
    </row>
    <row r="75">
      <c r="A75" s="445" t="s">
        <v>955</v>
      </c>
      <c r="B75" s="445" t="s">
        <v>743</v>
      </c>
      <c r="C75" s="445" t="s">
        <v>849</v>
      </c>
      <c r="D75" s="445" t="s">
        <v>194</v>
      </c>
      <c r="E75" s="446">
        <v>1.0</v>
      </c>
      <c r="F75" s="445" t="s">
        <v>751</v>
      </c>
      <c r="G75" s="446"/>
      <c r="H75" s="446"/>
      <c r="I75" s="447" t="s">
        <v>956</v>
      </c>
      <c r="J75" s="453" t="s">
        <v>957</v>
      </c>
      <c r="K75" s="445" t="s">
        <v>760</v>
      </c>
      <c r="L75" s="445">
        <v>20.0</v>
      </c>
    </row>
    <row r="76">
      <c r="A76" s="449" t="s">
        <v>958</v>
      </c>
      <c r="B76" s="449" t="s">
        <v>743</v>
      </c>
      <c r="C76" s="449" t="s">
        <v>849</v>
      </c>
      <c r="D76" s="449" t="s">
        <v>194</v>
      </c>
      <c r="E76" s="450">
        <v>1.0</v>
      </c>
      <c r="F76" s="449" t="s">
        <v>745</v>
      </c>
      <c r="G76" s="450"/>
      <c r="H76" s="450"/>
      <c r="I76" s="451" t="s">
        <v>959</v>
      </c>
      <c r="J76" s="452" t="s">
        <v>957</v>
      </c>
      <c r="K76" s="449" t="s">
        <v>760</v>
      </c>
      <c r="L76" s="449">
        <v>20.0</v>
      </c>
    </row>
    <row r="77">
      <c r="A77" s="445" t="s">
        <v>960</v>
      </c>
      <c r="B77" s="445" t="s">
        <v>743</v>
      </c>
      <c r="C77" s="445" t="s">
        <v>849</v>
      </c>
      <c r="D77" s="445" t="s">
        <v>194</v>
      </c>
      <c r="E77" s="446">
        <v>1.0</v>
      </c>
      <c r="F77" s="445" t="s">
        <v>26</v>
      </c>
      <c r="G77" s="446"/>
      <c r="H77" s="446"/>
      <c r="I77" s="447" t="s">
        <v>961</v>
      </c>
      <c r="J77" s="453" t="s">
        <v>957</v>
      </c>
      <c r="K77" s="445" t="s">
        <v>760</v>
      </c>
      <c r="L77" s="445">
        <v>20.0</v>
      </c>
    </row>
    <row r="78">
      <c r="A78" s="449" t="s">
        <v>962</v>
      </c>
      <c r="B78" s="449" t="s">
        <v>743</v>
      </c>
      <c r="C78" s="449" t="s">
        <v>756</v>
      </c>
      <c r="D78" s="449" t="s">
        <v>228</v>
      </c>
      <c r="E78" s="450">
        <v>0.0</v>
      </c>
      <c r="F78" s="449" t="s">
        <v>26</v>
      </c>
      <c r="G78" s="450"/>
      <c r="H78" s="450"/>
      <c r="I78" s="451" t="s">
        <v>963</v>
      </c>
      <c r="J78" s="454" t="s">
        <v>759</v>
      </c>
      <c r="K78" s="449" t="s">
        <v>760</v>
      </c>
      <c r="L78" s="449">
        <v>15.0</v>
      </c>
    </row>
    <row r="79">
      <c r="A79" s="445" t="s">
        <v>964</v>
      </c>
      <c r="B79" s="445" t="s">
        <v>743</v>
      </c>
      <c r="C79" s="445" t="s">
        <v>800</v>
      </c>
      <c r="D79" s="445" t="s">
        <v>206</v>
      </c>
      <c r="E79" s="446">
        <v>1.0</v>
      </c>
      <c r="F79" s="445" t="s">
        <v>965</v>
      </c>
      <c r="G79" s="446"/>
      <c r="H79" s="446"/>
      <c r="I79" s="447" t="s">
        <v>966</v>
      </c>
      <c r="J79" s="448" t="s">
        <v>860</v>
      </c>
      <c r="K79" s="445" t="s">
        <v>907</v>
      </c>
      <c r="L79" s="445">
        <v>10.0</v>
      </c>
    </row>
    <row r="80">
      <c r="A80" s="449" t="s">
        <v>967</v>
      </c>
      <c r="B80" s="449" t="s">
        <v>743</v>
      </c>
      <c r="C80" s="449" t="s">
        <v>756</v>
      </c>
      <c r="D80" s="449" t="s">
        <v>190</v>
      </c>
      <c r="E80" s="450">
        <v>0.0</v>
      </c>
      <c r="F80" s="449" t="s">
        <v>751</v>
      </c>
      <c r="G80" s="450"/>
      <c r="H80" s="450"/>
      <c r="I80" s="451" t="s">
        <v>968</v>
      </c>
      <c r="J80" s="454" t="s">
        <v>759</v>
      </c>
      <c r="K80" s="449" t="s">
        <v>798</v>
      </c>
      <c r="L80" s="449">
        <v>15.0</v>
      </c>
    </row>
    <row r="81">
      <c r="A81" s="445" t="s">
        <v>969</v>
      </c>
      <c r="B81" s="445" t="s">
        <v>743</v>
      </c>
      <c r="C81" s="445" t="s">
        <v>774</v>
      </c>
      <c r="D81" s="445" t="s">
        <v>194</v>
      </c>
      <c r="E81" s="446">
        <v>1.0</v>
      </c>
      <c r="F81" s="445" t="s">
        <v>880</v>
      </c>
      <c r="G81" s="446"/>
      <c r="H81" s="445" t="s">
        <v>970</v>
      </c>
      <c r="I81" s="447" t="s">
        <v>971</v>
      </c>
      <c r="J81" s="448" t="s">
        <v>747</v>
      </c>
      <c r="K81" s="445" t="s">
        <v>748</v>
      </c>
      <c r="L81" s="445">
        <v>10.0</v>
      </c>
    </row>
    <row r="82">
      <c r="A82" s="449" t="s">
        <v>972</v>
      </c>
      <c r="B82" s="449" t="s">
        <v>743</v>
      </c>
      <c r="C82" s="449" t="s">
        <v>756</v>
      </c>
      <c r="D82" s="449" t="s">
        <v>973</v>
      </c>
      <c r="E82" s="450">
        <v>1.0</v>
      </c>
      <c r="F82" s="449" t="s">
        <v>974</v>
      </c>
      <c r="G82" s="450"/>
      <c r="H82" s="450"/>
      <c r="I82" s="451" t="s">
        <v>975</v>
      </c>
      <c r="J82" s="454" t="s">
        <v>747</v>
      </c>
      <c r="K82" s="449" t="s">
        <v>748</v>
      </c>
      <c r="L82" s="449">
        <v>10.0</v>
      </c>
    </row>
    <row r="83">
      <c r="A83" s="445" t="s">
        <v>976</v>
      </c>
      <c r="B83" s="445" t="s">
        <v>743</v>
      </c>
      <c r="C83" s="445" t="s">
        <v>756</v>
      </c>
      <c r="D83" s="445" t="s">
        <v>898</v>
      </c>
      <c r="E83" s="446">
        <v>0.0</v>
      </c>
      <c r="F83" s="445" t="s">
        <v>751</v>
      </c>
      <c r="G83" s="446"/>
      <c r="H83" s="446"/>
      <c r="I83" s="447" t="s">
        <v>977</v>
      </c>
      <c r="J83" s="448" t="s">
        <v>770</v>
      </c>
      <c r="K83" s="445" t="s">
        <v>901</v>
      </c>
      <c r="L83" s="445">
        <v>15.0</v>
      </c>
    </row>
    <row r="84">
      <c r="A84" s="449" t="s">
        <v>978</v>
      </c>
      <c r="B84" s="449" t="s">
        <v>743</v>
      </c>
      <c r="C84" s="449" t="s">
        <v>800</v>
      </c>
      <c r="D84" s="449" t="s">
        <v>812</v>
      </c>
      <c r="E84" s="450">
        <v>0.0</v>
      </c>
      <c r="F84" s="449" t="s">
        <v>751</v>
      </c>
      <c r="G84" s="450"/>
      <c r="H84" s="450"/>
      <c r="I84" s="451" t="s">
        <v>979</v>
      </c>
      <c r="J84" s="454" t="s">
        <v>759</v>
      </c>
      <c r="K84" s="449" t="s">
        <v>760</v>
      </c>
      <c r="L84" s="449">
        <v>5.0</v>
      </c>
    </row>
    <row r="85">
      <c r="A85" s="445" t="s">
        <v>980</v>
      </c>
      <c r="B85" s="445" t="s">
        <v>743</v>
      </c>
      <c r="C85" s="445" t="s">
        <v>790</v>
      </c>
      <c r="D85" s="445" t="s">
        <v>267</v>
      </c>
      <c r="E85" s="446">
        <v>2.0</v>
      </c>
      <c r="F85" s="445" t="s">
        <v>26</v>
      </c>
      <c r="G85" s="446"/>
      <c r="H85" s="446"/>
      <c r="I85" s="447" t="s">
        <v>981</v>
      </c>
      <c r="J85" s="448" t="s">
        <v>793</v>
      </c>
      <c r="K85" s="445" t="s">
        <v>794</v>
      </c>
      <c r="L85" s="445">
        <v>250.0</v>
      </c>
    </row>
    <row r="86">
      <c r="A86" s="449" t="s">
        <v>982</v>
      </c>
      <c r="B86" s="449" t="s">
        <v>743</v>
      </c>
      <c r="C86" s="449" t="s">
        <v>800</v>
      </c>
      <c r="D86" s="449" t="s">
        <v>898</v>
      </c>
      <c r="E86" s="450">
        <v>0.0</v>
      </c>
      <c r="F86" s="449" t="s">
        <v>751</v>
      </c>
      <c r="G86" s="450"/>
      <c r="H86" s="450"/>
      <c r="I86" s="451" t="s">
        <v>983</v>
      </c>
      <c r="J86" s="454" t="s">
        <v>747</v>
      </c>
      <c r="K86" s="449" t="s">
        <v>748</v>
      </c>
      <c r="L86" s="449">
        <v>20.0</v>
      </c>
    </row>
    <row r="87">
      <c r="A87" s="445" t="s">
        <v>984</v>
      </c>
      <c r="B87" s="445" t="s">
        <v>743</v>
      </c>
      <c r="C87" s="445" t="s">
        <v>790</v>
      </c>
      <c r="D87" s="445" t="s">
        <v>206</v>
      </c>
      <c r="E87" s="446">
        <v>1.0</v>
      </c>
      <c r="F87" s="445" t="s">
        <v>26</v>
      </c>
      <c r="G87" s="446"/>
      <c r="H87" s="445" t="s">
        <v>985</v>
      </c>
      <c r="I87" s="447" t="s">
        <v>986</v>
      </c>
      <c r="J87" s="448" t="s">
        <v>793</v>
      </c>
      <c r="K87" s="445" t="s">
        <v>794</v>
      </c>
      <c r="L87" s="445">
        <v>5.0</v>
      </c>
    </row>
    <row r="88">
      <c r="A88" s="449" t="s">
        <v>987</v>
      </c>
      <c r="B88" s="449" t="s">
        <v>743</v>
      </c>
      <c r="C88" s="449" t="s">
        <v>800</v>
      </c>
      <c r="D88" s="449" t="s">
        <v>875</v>
      </c>
      <c r="E88" s="450">
        <v>0.0</v>
      </c>
      <c r="F88" s="449" t="s">
        <v>751</v>
      </c>
      <c r="G88" s="450"/>
      <c r="H88" s="449" t="s">
        <v>988</v>
      </c>
      <c r="I88" s="451" t="s">
        <v>989</v>
      </c>
      <c r="J88" s="452" t="s">
        <v>845</v>
      </c>
      <c r="K88" s="449" t="s">
        <v>760</v>
      </c>
      <c r="L88" s="449">
        <v>2.0</v>
      </c>
    </row>
    <row r="89">
      <c r="A89" s="445" t="s">
        <v>990</v>
      </c>
      <c r="B89" s="445" t="s">
        <v>743</v>
      </c>
      <c r="C89" s="445" t="s">
        <v>887</v>
      </c>
      <c r="D89" s="445" t="s">
        <v>206</v>
      </c>
      <c r="E89" s="446">
        <v>1.0</v>
      </c>
      <c r="F89" s="445" t="s">
        <v>26</v>
      </c>
      <c r="G89" s="446"/>
      <c r="H89" s="446"/>
      <c r="I89" s="447" t="s">
        <v>991</v>
      </c>
      <c r="J89" s="453" t="s">
        <v>747</v>
      </c>
      <c r="K89" s="445" t="s">
        <v>748</v>
      </c>
      <c r="L89" s="445">
        <v>20.0</v>
      </c>
    </row>
    <row r="90">
      <c r="A90" s="449" t="s">
        <v>992</v>
      </c>
      <c r="B90" s="449" t="s">
        <v>743</v>
      </c>
      <c r="C90" s="449" t="s">
        <v>887</v>
      </c>
      <c r="D90" s="449" t="s">
        <v>194</v>
      </c>
      <c r="E90" s="450">
        <v>1.0</v>
      </c>
      <c r="F90" s="449" t="s">
        <v>856</v>
      </c>
      <c r="G90" s="450"/>
      <c r="H90" s="450"/>
      <c r="I90" s="451" t="s">
        <v>991</v>
      </c>
      <c r="J90" s="454" t="s">
        <v>747</v>
      </c>
      <c r="K90" s="449" t="s">
        <v>748</v>
      </c>
      <c r="L90" s="449">
        <v>20.0</v>
      </c>
    </row>
    <row r="91">
      <c r="A91" s="445" t="s">
        <v>993</v>
      </c>
      <c r="B91" s="445" t="s">
        <v>743</v>
      </c>
      <c r="C91" s="445" t="s">
        <v>887</v>
      </c>
      <c r="D91" s="445" t="s">
        <v>243</v>
      </c>
      <c r="E91" s="446">
        <v>1.0</v>
      </c>
      <c r="F91" s="445" t="s">
        <v>751</v>
      </c>
      <c r="G91" s="446"/>
      <c r="H91" s="446"/>
      <c r="I91" s="447" t="s">
        <v>991</v>
      </c>
      <c r="J91" s="448" t="s">
        <v>747</v>
      </c>
      <c r="K91" s="445" t="s">
        <v>748</v>
      </c>
      <c r="L91" s="445">
        <v>20.0</v>
      </c>
    </row>
    <row r="92">
      <c r="A92" s="449" t="s">
        <v>994</v>
      </c>
      <c r="B92" s="449" t="s">
        <v>743</v>
      </c>
      <c r="C92" s="449" t="s">
        <v>887</v>
      </c>
      <c r="D92" s="449" t="s">
        <v>206</v>
      </c>
      <c r="E92" s="450">
        <v>1.0</v>
      </c>
      <c r="F92" s="449" t="s">
        <v>26</v>
      </c>
      <c r="G92" s="450"/>
      <c r="H92" s="450"/>
      <c r="I92" s="451" t="s">
        <v>991</v>
      </c>
      <c r="J92" s="454" t="s">
        <v>747</v>
      </c>
      <c r="K92" s="449" t="s">
        <v>748</v>
      </c>
      <c r="L92" s="449">
        <v>20.0</v>
      </c>
    </row>
    <row r="93">
      <c r="A93" s="445" t="s">
        <v>995</v>
      </c>
      <c r="B93" s="445" t="s">
        <v>743</v>
      </c>
      <c r="C93" s="445" t="s">
        <v>756</v>
      </c>
      <c r="D93" s="445" t="s">
        <v>224</v>
      </c>
      <c r="E93" s="446">
        <v>1.0</v>
      </c>
      <c r="F93" s="445" t="s">
        <v>745</v>
      </c>
      <c r="G93" s="446"/>
      <c r="H93" s="446"/>
      <c r="I93" s="447" t="s">
        <v>996</v>
      </c>
      <c r="J93" s="448" t="s">
        <v>759</v>
      </c>
      <c r="K93" s="445" t="s">
        <v>798</v>
      </c>
      <c r="L93" s="445">
        <v>50.0</v>
      </c>
    </row>
    <row r="94">
      <c r="A94" s="449" t="s">
        <v>997</v>
      </c>
      <c r="B94" s="449" t="s">
        <v>743</v>
      </c>
      <c r="C94" s="449" t="s">
        <v>756</v>
      </c>
      <c r="D94" s="449" t="s">
        <v>194</v>
      </c>
      <c r="E94" s="450">
        <v>1.0</v>
      </c>
      <c r="F94" s="449" t="s">
        <v>745</v>
      </c>
      <c r="G94" s="450"/>
      <c r="H94" s="450"/>
      <c r="I94" s="451" t="s">
        <v>998</v>
      </c>
      <c r="J94" s="454" t="s">
        <v>759</v>
      </c>
      <c r="K94" s="449" t="s">
        <v>798</v>
      </c>
      <c r="L94" s="449">
        <v>80.0</v>
      </c>
    </row>
    <row r="95">
      <c r="A95" s="445" t="s">
        <v>999</v>
      </c>
      <c r="B95" s="445" t="s">
        <v>743</v>
      </c>
      <c r="C95" s="445" t="s">
        <v>756</v>
      </c>
      <c r="D95" s="445" t="s">
        <v>194</v>
      </c>
      <c r="E95" s="446">
        <v>1.0</v>
      </c>
      <c r="F95" s="445" t="s">
        <v>802</v>
      </c>
      <c r="G95" s="446"/>
      <c r="H95" s="446"/>
      <c r="I95" s="447" t="s">
        <v>1000</v>
      </c>
      <c r="J95" s="448" t="s">
        <v>759</v>
      </c>
      <c r="K95" s="445" t="s">
        <v>760</v>
      </c>
      <c r="L95" s="445">
        <v>20.0</v>
      </c>
    </row>
    <row r="96">
      <c r="A96" s="449" t="s">
        <v>1001</v>
      </c>
      <c r="B96" s="449" t="s">
        <v>743</v>
      </c>
      <c r="C96" s="449" t="s">
        <v>744</v>
      </c>
      <c r="D96" s="449" t="s">
        <v>243</v>
      </c>
      <c r="E96" s="450">
        <v>1.0</v>
      </c>
      <c r="F96" s="449" t="s">
        <v>26</v>
      </c>
      <c r="G96" s="450"/>
      <c r="H96" s="450"/>
      <c r="I96" s="451" t="s">
        <v>1002</v>
      </c>
      <c r="J96" s="454" t="s">
        <v>1003</v>
      </c>
      <c r="K96" s="449" t="s">
        <v>781</v>
      </c>
      <c r="L96" s="449">
        <v>50.0</v>
      </c>
    </row>
    <row r="97">
      <c r="A97" s="445" t="s">
        <v>1004</v>
      </c>
      <c r="B97" s="445" t="s">
        <v>743</v>
      </c>
      <c r="C97" s="445" t="s">
        <v>774</v>
      </c>
      <c r="D97" s="445" t="s">
        <v>228</v>
      </c>
      <c r="E97" s="446">
        <v>0.0</v>
      </c>
      <c r="F97" s="445" t="s">
        <v>965</v>
      </c>
      <c r="G97" s="446"/>
      <c r="H97" s="446"/>
      <c r="I97" s="447" t="s">
        <v>1005</v>
      </c>
      <c r="J97" s="448" t="s">
        <v>747</v>
      </c>
      <c r="K97" s="445" t="s">
        <v>748</v>
      </c>
      <c r="L97" s="445">
        <v>20.0</v>
      </c>
    </row>
    <row r="98">
      <c r="A98" s="449" t="s">
        <v>1006</v>
      </c>
      <c r="B98" s="449" t="s">
        <v>743</v>
      </c>
      <c r="C98" s="449" t="s">
        <v>756</v>
      </c>
      <c r="D98" s="449" t="s">
        <v>206</v>
      </c>
      <c r="E98" s="450">
        <v>1.0</v>
      </c>
      <c r="F98" s="449" t="s">
        <v>757</v>
      </c>
      <c r="G98" s="450"/>
      <c r="H98" s="450"/>
      <c r="I98" s="451" t="s">
        <v>1007</v>
      </c>
      <c r="J98" s="454" t="s">
        <v>759</v>
      </c>
      <c r="K98" s="449" t="s">
        <v>760</v>
      </c>
      <c r="L98" s="449">
        <v>10.0</v>
      </c>
    </row>
    <row r="99">
      <c r="A99" s="445" t="s">
        <v>1008</v>
      </c>
      <c r="B99" s="445" t="s">
        <v>743</v>
      </c>
      <c r="C99" s="445" t="s">
        <v>756</v>
      </c>
      <c r="D99" s="445" t="s">
        <v>228</v>
      </c>
      <c r="E99" s="446">
        <v>0.0</v>
      </c>
      <c r="F99" s="445" t="s">
        <v>1009</v>
      </c>
      <c r="G99" s="446"/>
      <c r="H99" s="446"/>
      <c r="I99" s="447" t="s">
        <v>1010</v>
      </c>
      <c r="J99" s="448" t="s">
        <v>759</v>
      </c>
      <c r="K99" s="445" t="s">
        <v>760</v>
      </c>
      <c r="L99" s="445">
        <v>10.0</v>
      </c>
    </row>
    <row r="100">
      <c r="A100" s="449" t="s">
        <v>66</v>
      </c>
      <c r="B100" s="449" t="s">
        <v>2</v>
      </c>
      <c r="C100" s="449" t="s">
        <v>762</v>
      </c>
      <c r="D100" s="449" t="s">
        <v>190</v>
      </c>
      <c r="E100" s="449">
        <v>0.0</v>
      </c>
      <c r="F100" s="449" t="s">
        <v>191</v>
      </c>
      <c r="G100" s="450"/>
      <c r="H100" s="450"/>
      <c r="I100" s="451" t="s">
        <v>1011</v>
      </c>
      <c r="J100" s="454" t="s">
        <v>747</v>
      </c>
      <c r="K100" s="449" t="s">
        <v>748</v>
      </c>
      <c r="L100" s="449">
        <v>15.0</v>
      </c>
    </row>
    <row r="101">
      <c r="A101" s="445" t="s">
        <v>57</v>
      </c>
      <c r="B101" s="445" t="s">
        <v>2</v>
      </c>
      <c r="C101" s="445" t="s">
        <v>762</v>
      </c>
      <c r="D101" s="445" t="s">
        <v>194</v>
      </c>
      <c r="E101" s="445">
        <v>1.0</v>
      </c>
      <c r="F101" s="445" t="s">
        <v>191</v>
      </c>
      <c r="G101" s="446"/>
      <c r="H101" s="446"/>
      <c r="I101" s="447" t="s">
        <v>1012</v>
      </c>
      <c r="J101" s="448" t="s">
        <v>759</v>
      </c>
      <c r="K101" s="445" t="s">
        <v>760</v>
      </c>
      <c r="L101" s="445">
        <v>25.0</v>
      </c>
    </row>
    <row r="102">
      <c r="A102" s="449" t="s">
        <v>68</v>
      </c>
      <c r="B102" s="449" t="s">
        <v>2</v>
      </c>
      <c r="C102" s="449" t="s">
        <v>762</v>
      </c>
      <c r="D102" s="449" t="s">
        <v>198</v>
      </c>
      <c r="E102" s="449">
        <v>0.0</v>
      </c>
      <c r="F102" s="449" t="s">
        <v>199</v>
      </c>
      <c r="G102" s="450"/>
      <c r="H102" s="450"/>
      <c r="I102" s="451" t="s">
        <v>1013</v>
      </c>
      <c r="J102" s="454" t="s">
        <v>747</v>
      </c>
      <c r="K102" s="449" t="s">
        <v>748</v>
      </c>
      <c r="L102" s="449">
        <v>5.0</v>
      </c>
    </row>
    <row r="103">
      <c r="A103" s="445" t="s">
        <v>54</v>
      </c>
      <c r="B103" s="445" t="s">
        <v>2</v>
      </c>
      <c r="C103" s="445" t="s">
        <v>762</v>
      </c>
      <c r="D103" s="445" t="s">
        <v>202</v>
      </c>
      <c r="E103" s="445">
        <v>0.0</v>
      </c>
      <c r="F103" s="445" t="s">
        <v>203</v>
      </c>
      <c r="G103" s="446"/>
      <c r="H103" s="446"/>
      <c r="I103" s="447" t="s">
        <v>1014</v>
      </c>
      <c r="J103" s="448" t="s">
        <v>759</v>
      </c>
      <c r="K103" s="445" t="s">
        <v>760</v>
      </c>
      <c r="L103" s="445">
        <v>25.0</v>
      </c>
    </row>
    <row r="104">
      <c r="A104" s="449" t="s">
        <v>55</v>
      </c>
      <c r="B104" s="449" t="s">
        <v>2</v>
      </c>
      <c r="C104" s="449" t="s">
        <v>762</v>
      </c>
      <c r="D104" s="449" t="s">
        <v>206</v>
      </c>
      <c r="E104" s="449">
        <v>0.0</v>
      </c>
      <c r="F104" s="449" t="s">
        <v>207</v>
      </c>
      <c r="G104" s="450"/>
      <c r="H104" s="450"/>
      <c r="I104" s="451" t="s">
        <v>1015</v>
      </c>
      <c r="J104" s="454" t="s">
        <v>747</v>
      </c>
      <c r="K104" s="449" t="s">
        <v>748</v>
      </c>
      <c r="L104" s="449">
        <v>15.0</v>
      </c>
    </row>
    <row r="105">
      <c r="A105" s="445" t="s">
        <v>53</v>
      </c>
      <c r="B105" s="445" t="s">
        <v>2</v>
      </c>
      <c r="C105" s="445" t="s">
        <v>762</v>
      </c>
      <c r="D105" s="445" t="s">
        <v>202</v>
      </c>
      <c r="E105" s="445">
        <v>1.0</v>
      </c>
      <c r="F105" s="445" t="s">
        <v>199</v>
      </c>
      <c r="G105" s="446"/>
      <c r="H105" s="446"/>
      <c r="I105" s="447" t="s">
        <v>1016</v>
      </c>
      <c r="J105" s="448" t="s">
        <v>759</v>
      </c>
      <c r="K105" s="445" t="s">
        <v>760</v>
      </c>
      <c r="L105" s="445">
        <v>15.0</v>
      </c>
    </row>
    <row r="106">
      <c r="A106" s="449" t="s">
        <v>79</v>
      </c>
      <c r="B106" s="449" t="s">
        <v>2</v>
      </c>
      <c r="C106" s="449" t="s">
        <v>762</v>
      </c>
      <c r="D106" s="449" t="s">
        <v>190</v>
      </c>
      <c r="E106" s="449">
        <v>0.0</v>
      </c>
      <c r="F106" s="449" t="s">
        <v>211</v>
      </c>
      <c r="G106" s="450"/>
      <c r="H106" s="450"/>
      <c r="I106" s="451" t="s">
        <v>1017</v>
      </c>
      <c r="J106" s="454" t="s">
        <v>759</v>
      </c>
      <c r="K106" s="449" t="s">
        <v>760</v>
      </c>
      <c r="L106" s="449">
        <v>5.0</v>
      </c>
    </row>
    <row r="107">
      <c r="A107" s="445" t="s">
        <v>71</v>
      </c>
      <c r="B107" s="445" t="s">
        <v>2</v>
      </c>
      <c r="C107" s="445" t="s">
        <v>762</v>
      </c>
      <c r="D107" s="445" t="s">
        <v>216</v>
      </c>
      <c r="E107" s="445">
        <v>0.0</v>
      </c>
      <c r="F107" s="445" t="s">
        <v>199</v>
      </c>
      <c r="G107" s="446"/>
      <c r="H107" s="446"/>
      <c r="I107" s="447" t="s">
        <v>1018</v>
      </c>
      <c r="J107" s="448" t="s">
        <v>759</v>
      </c>
      <c r="K107" s="445" t="s">
        <v>760</v>
      </c>
      <c r="L107" s="445">
        <v>10.0</v>
      </c>
    </row>
    <row r="108">
      <c r="A108" s="449" t="s">
        <v>82</v>
      </c>
      <c r="B108" s="449" t="s">
        <v>2</v>
      </c>
      <c r="C108" s="449" t="s">
        <v>762</v>
      </c>
      <c r="D108" s="449" t="s">
        <v>206</v>
      </c>
      <c r="E108" s="449">
        <v>0.0</v>
      </c>
      <c r="F108" s="449" t="s">
        <v>220</v>
      </c>
      <c r="G108" s="450"/>
      <c r="H108" s="450"/>
      <c r="I108" s="451" t="s">
        <v>1019</v>
      </c>
      <c r="J108" s="454" t="s">
        <v>759</v>
      </c>
      <c r="K108" s="449" t="s">
        <v>760</v>
      </c>
      <c r="L108" s="449">
        <v>5.0</v>
      </c>
    </row>
    <row r="109">
      <c r="A109" s="445" t="s">
        <v>52</v>
      </c>
      <c r="B109" s="445" t="s">
        <v>2</v>
      </c>
      <c r="C109" s="445" t="s">
        <v>762</v>
      </c>
      <c r="D109" s="445" t="s">
        <v>194</v>
      </c>
      <c r="E109" s="445">
        <v>1.0</v>
      </c>
      <c r="F109" s="445" t="s">
        <v>199</v>
      </c>
      <c r="G109" s="446"/>
      <c r="H109" s="446"/>
      <c r="I109" s="447" t="s">
        <v>1020</v>
      </c>
      <c r="J109" s="448" t="s">
        <v>759</v>
      </c>
      <c r="K109" s="445" t="s">
        <v>760</v>
      </c>
      <c r="L109" s="445">
        <v>15.0</v>
      </c>
    </row>
    <row r="110">
      <c r="A110" s="449" t="s">
        <v>65</v>
      </c>
      <c r="B110" s="449" t="s">
        <v>2</v>
      </c>
      <c r="C110" s="449" t="s">
        <v>762</v>
      </c>
      <c r="D110" s="449" t="s">
        <v>206</v>
      </c>
      <c r="E110" s="449">
        <v>0.0</v>
      </c>
      <c r="F110" s="449" t="s">
        <v>199</v>
      </c>
      <c r="G110" s="450"/>
      <c r="H110" s="450"/>
      <c r="I110" s="451" t="s">
        <v>1021</v>
      </c>
      <c r="J110" s="454" t="s">
        <v>759</v>
      </c>
      <c r="K110" s="449" t="s">
        <v>760</v>
      </c>
      <c r="L110" s="449">
        <v>5.0</v>
      </c>
    </row>
    <row r="111">
      <c r="A111" s="445" t="s">
        <v>59</v>
      </c>
      <c r="B111" s="445" t="s">
        <v>2</v>
      </c>
      <c r="C111" s="445" t="s">
        <v>762</v>
      </c>
      <c r="D111" s="445" t="s">
        <v>224</v>
      </c>
      <c r="E111" s="445">
        <v>1.0</v>
      </c>
      <c r="F111" s="445" t="s">
        <v>225</v>
      </c>
      <c r="G111" s="446"/>
      <c r="H111" s="446"/>
      <c r="I111" s="447" t="s">
        <v>1022</v>
      </c>
      <c r="J111" s="448" t="s">
        <v>747</v>
      </c>
      <c r="K111" s="445" t="s">
        <v>748</v>
      </c>
      <c r="L111" s="445">
        <v>40.0</v>
      </c>
    </row>
    <row r="112">
      <c r="A112" s="449" t="s">
        <v>85</v>
      </c>
      <c r="B112" s="449" t="s">
        <v>2</v>
      </c>
      <c r="C112" s="449" t="s">
        <v>762</v>
      </c>
      <c r="D112" s="449" t="s">
        <v>228</v>
      </c>
      <c r="E112" s="449">
        <v>0.0</v>
      </c>
      <c r="F112" s="449" t="s">
        <v>1023</v>
      </c>
      <c r="G112" s="450"/>
      <c r="H112" s="450"/>
      <c r="I112" s="451" t="s">
        <v>1024</v>
      </c>
      <c r="J112" s="454" t="s">
        <v>759</v>
      </c>
      <c r="K112" s="449" t="s">
        <v>760</v>
      </c>
      <c r="L112" s="449">
        <v>5.0</v>
      </c>
    </row>
    <row r="113">
      <c r="A113" s="445" t="s">
        <v>58</v>
      </c>
      <c r="B113" s="445" t="s">
        <v>2</v>
      </c>
      <c r="C113" s="445" t="s">
        <v>762</v>
      </c>
      <c r="D113" s="445" t="s">
        <v>224</v>
      </c>
      <c r="E113" s="445">
        <v>1.0</v>
      </c>
      <c r="F113" s="445" t="s">
        <v>199</v>
      </c>
      <c r="G113" s="446"/>
      <c r="H113" s="446"/>
      <c r="I113" s="447" t="s">
        <v>1025</v>
      </c>
      <c r="J113" s="448" t="s">
        <v>747</v>
      </c>
      <c r="K113" s="445" t="s">
        <v>748</v>
      </c>
      <c r="L113" s="445">
        <v>30.0</v>
      </c>
    </row>
    <row r="114">
      <c r="A114" s="449" t="s">
        <v>76</v>
      </c>
      <c r="B114" s="449" t="s">
        <v>2</v>
      </c>
      <c r="C114" s="449" t="s">
        <v>762</v>
      </c>
      <c r="D114" s="449" t="s">
        <v>198</v>
      </c>
      <c r="E114" s="449">
        <v>0.0</v>
      </c>
      <c r="F114" s="449" t="s">
        <v>220</v>
      </c>
      <c r="G114" s="450"/>
      <c r="H114" s="450"/>
      <c r="I114" s="451" t="s">
        <v>1026</v>
      </c>
      <c r="J114" s="454" t="s">
        <v>759</v>
      </c>
      <c r="K114" s="449" t="s">
        <v>760</v>
      </c>
      <c r="L114" s="449">
        <v>10.0</v>
      </c>
    </row>
    <row r="115">
      <c r="A115" s="445" t="s">
        <v>77</v>
      </c>
      <c r="B115" s="445" t="s">
        <v>2</v>
      </c>
      <c r="C115" s="445" t="s">
        <v>762</v>
      </c>
      <c r="D115" s="445" t="s">
        <v>235</v>
      </c>
      <c r="E115" s="445">
        <v>1.0</v>
      </c>
      <c r="F115" s="445" t="s">
        <v>236</v>
      </c>
      <c r="G115" s="446"/>
      <c r="H115" s="446"/>
      <c r="I115" s="447" t="s">
        <v>1027</v>
      </c>
      <c r="J115" s="453" t="s">
        <v>829</v>
      </c>
      <c r="K115" s="445" t="s">
        <v>748</v>
      </c>
      <c r="L115" s="445">
        <v>80.0</v>
      </c>
    </row>
    <row r="116">
      <c r="A116" s="449" t="s">
        <v>88</v>
      </c>
      <c r="B116" s="449" t="s">
        <v>2</v>
      </c>
      <c r="C116" s="449" t="s">
        <v>762</v>
      </c>
      <c r="D116" s="449" t="s">
        <v>194</v>
      </c>
      <c r="E116" s="449">
        <v>1.0</v>
      </c>
      <c r="F116" s="449" t="s">
        <v>199</v>
      </c>
      <c r="G116" s="450"/>
      <c r="H116" s="450"/>
      <c r="I116" s="451" t="s">
        <v>1028</v>
      </c>
      <c r="J116" s="452" t="s">
        <v>829</v>
      </c>
      <c r="K116" s="449" t="s">
        <v>760</v>
      </c>
      <c r="L116" s="449">
        <v>60.0</v>
      </c>
    </row>
    <row r="117">
      <c r="A117" s="445" t="s">
        <v>64</v>
      </c>
      <c r="B117" s="445" t="s">
        <v>2</v>
      </c>
      <c r="C117" s="445" t="s">
        <v>762</v>
      </c>
      <c r="D117" s="445" t="s">
        <v>194</v>
      </c>
      <c r="E117" s="445">
        <v>1.0</v>
      </c>
      <c r="F117" s="445" t="s">
        <v>199</v>
      </c>
      <c r="G117" s="446"/>
      <c r="H117" s="446"/>
      <c r="I117" s="447" t="s">
        <v>1029</v>
      </c>
      <c r="J117" s="453" t="s">
        <v>829</v>
      </c>
      <c r="K117" s="445" t="s">
        <v>760</v>
      </c>
      <c r="L117" s="445">
        <v>70.0</v>
      </c>
    </row>
    <row r="118">
      <c r="A118" s="449" t="s">
        <v>86</v>
      </c>
      <c r="B118" s="449" t="s">
        <v>2</v>
      </c>
      <c r="C118" s="449" t="s">
        <v>762</v>
      </c>
      <c r="D118" s="449" t="s">
        <v>235</v>
      </c>
      <c r="E118" s="449">
        <v>1.0</v>
      </c>
      <c r="F118" s="449" t="s">
        <v>236</v>
      </c>
      <c r="G118" s="450"/>
      <c r="H118" s="450"/>
      <c r="I118" s="451" t="s">
        <v>1030</v>
      </c>
      <c r="J118" s="452" t="s">
        <v>829</v>
      </c>
      <c r="K118" s="449" t="s">
        <v>748</v>
      </c>
      <c r="L118" s="449">
        <v>90.0</v>
      </c>
    </row>
    <row r="119">
      <c r="A119" s="445" t="s">
        <v>51</v>
      </c>
      <c r="B119" s="445" t="s">
        <v>2</v>
      </c>
      <c r="C119" s="445" t="s">
        <v>762</v>
      </c>
      <c r="D119" s="445" t="s">
        <v>241</v>
      </c>
      <c r="E119" s="445">
        <v>2.0</v>
      </c>
      <c r="F119" s="445" t="s">
        <v>236</v>
      </c>
      <c r="G119" s="446"/>
      <c r="H119" s="446"/>
      <c r="I119" s="447" t="s">
        <v>1031</v>
      </c>
      <c r="J119" s="453" t="s">
        <v>829</v>
      </c>
      <c r="K119" s="445" t="s">
        <v>760</v>
      </c>
      <c r="L119" s="445">
        <v>120.0</v>
      </c>
    </row>
    <row r="120">
      <c r="A120" s="449" t="s">
        <v>72</v>
      </c>
      <c r="B120" s="449" t="s">
        <v>2</v>
      </c>
      <c r="C120" s="449" t="s">
        <v>762</v>
      </c>
      <c r="D120" s="449" t="s">
        <v>243</v>
      </c>
      <c r="E120" s="449">
        <v>1.0</v>
      </c>
      <c r="F120" s="449" t="s">
        <v>236</v>
      </c>
      <c r="G120" s="450"/>
      <c r="H120" s="450"/>
      <c r="I120" s="451" t="s">
        <v>1032</v>
      </c>
      <c r="J120" s="452" t="s">
        <v>829</v>
      </c>
      <c r="K120" s="449" t="s">
        <v>748</v>
      </c>
      <c r="L120" s="449">
        <v>100.0</v>
      </c>
    </row>
    <row r="121">
      <c r="A121" s="445" t="s">
        <v>62</v>
      </c>
      <c r="B121" s="445" t="s">
        <v>2</v>
      </c>
      <c r="C121" s="445" t="s">
        <v>762</v>
      </c>
      <c r="D121" s="445" t="s">
        <v>246</v>
      </c>
      <c r="E121" s="445">
        <v>1.0</v>
      </c>
      <c r="F121" s="445" t="s">
        <v>207</v>
      </c>
      <c r="G121" s="446"/>
      <c r="H121" s="446"/>
      <c r="I121" s="447" t="s">
        <v>1033</v>
      </c>
      <c r="J121" s="453" t="s">
        <v>829</v>
      </c>
      <c r="K121" s="445" t="s">
        <v>760</v>
      </c>
      <c r="L121" s="445">
        <v>90.0</v>
      </c>
    </row>
    <row r="122">
      <c r="A122" s="449" t="s">
        <v>92</v>
      </c>
      <c r="B122" s="449" t="s">
        <v>2</v>
      </c>
      <c r="C122" s="449" t="s">
        <v>762</v>
      </c>
      <c r="D122" s="449" t="s">
        <v>202</v>
      </c>
      <c r="E122" s="449">
        <v>0.0</v>
      </c>
      <c r="F122" s="449" t="s">
        <v>207</v>
      </c>
      <c r="G122" s="450"/>
      <c r="H122" s="450"/>
      <c r="I122" s="451" t="s">
        <v>1034</v>
      </c>
      <c r="J122" s="452" t="s">
        <v>829</v>
      </c>
      <c r="K122" s="449" t="s">
        <v>760</v>
      </c>
      <c r="L122" s="449">
        <v>50.0</v>
      </c>
    </row>
    <row r="123">
      <c r="A123" s="445" t="s">
        <v>73</v>
      </c>
      <c r="B123" s="445" t="s">
        <v>2</v>
      </c>
      <c r="C123" s="445" t="s">
        <v>762</v>
      </c>
      <c r="D123" s="445" t="s">
        <v>246</v>
      </c>
      <c r="E123" s="445">
        <v>1.0</v>
      </c>
      <c r="F123" s="445" t="s">
        <v>199</v>
      </c>
      <c r="G123" s="446"/>
      <c r="H123" s="446"/>
      <c r="I123" s="447" t="s">
        <v>1035</v>
      </c>
      <c r="J123" s="453" t="s">
        <v>829</v>
      </c>
      <c r="K123" s="445" t="s">
        <v>760</v>
      </c>
      <c r="L123" s="445">
        <v>50.0</v>
      </c>
    </row>
    <row r="124">
      <c r="A124" s="449" t="s">
        <v>75</v>
      </c>
      <c r="B124" s="449" t="s">
        <v>2</v>
      </c>
      <c r="C124" s="449" t="s">
        <v>762</v>
      </c>
      <c r="D124" s="449" t="s">
        <v>243</v>
      </c>
      <c r="E124" s="449">
        <v>1.0</v>
      </c>
      <c r="F124" s="449" t="s">
        <v>236</v>
      </c>
      <c r="G124" s="450"/>
      <c r="H124" s="450"/>
      <c r="I124" s="451" t="s">
        <v>1036</v>
      </c>
      <c r="J124" s="452" t="s">
        <v>829</v>
      </c>
      <c r="K124" s="449" t="s">
        <v>760</v>
      </c>
      <c r="L124" s="449">
        <v>80.0</v>
      </c>
    </row>
    <row r="125">
      <c r="A125" s="445" t="s">
        <v>96</v>
      </c>
      <c r="B125" s="445" t="s">
        <v>2</v>
      </c>
      <c r="C125" s="445" t="s">
        <v>762</v>
      </c>
      <c r="D125" s="445" t="s">
        <v>246</v>
      </c>
      <c r="E125" s="445">
        <v>1.0</v>
      </c>
      <c r="F125" s="445" t="s">
        <v>191</v>
      </c>
      <c r="G125" s="446"/>
      <c r="H125" s="446"/>
      <c r="I125" s="447" t="s">
        <v>1037</v>
      </c>
      <c r="J125" s="453" t="s">
        <v>829</v>
      </c>
      <c r="K125" s="445" t="s">
        <v>760</v>
      </c>
      <c r="L125" s="445">
        <v>70.0</v>
      </c>
    </row>
    <row r="126">
      <c r="A126" s="449" t="s">
        <v>100</v>
      </c>
      <c r="B126" s="449" t="s">
        <v>2</v>
      </c>
      <c r="C126" s="449" t="s">
        <v>762</v>
      </c>
      <c r="D126" s="449" t="s">
        <v>194</v>
      </c>
      <c r="E126" s="449">
        <v>1.0</v>
      </c>
      <c r="F126" s="449" t="s">
        <v>253</v>
      </c>
      <c r="G126" s="450"/>
      <c r="H126" s="450"/>
      <c r="I126" s="451" t="s">
        <v>1038</v>
      </c>
      <c r="J126" s="452" t="s">
        <v>829</v>
      </c>
      <c r="K126" s="449" t="s">
        <v>748</v>
      </c>
      <c r="L126" s="449">
        <v>80.0</v>
      </c>
    </row>
    <row r="127">
      <c r="A127" s="445" t="s">
        <v>83</v>
      </c>
      <c r="B127" s="445" t="s">
        <v>2</v>
      </c>
      <c r="C127" s="445" t="s">
        <v>762</v>
      </c>
      <c r="D127" s="445" t="s">
        <v>255</v>
      </c>
      <c r="E127" s="445">
        <v>2.0</v>
      </c>
      <c r="F127" s="445" t="s">
        <v>199</v>
      </c>
      <c r="G127" s="446"/>
      <c r="H127" s="446"/>
      <c r="I127" s="447" t="s">
        <v>1039</v>
      </c>
      <c r="J127" s="453" t="s">
        <v>829</v>
      </c>
      <c r="K127" s="445" t="s">
        <v>760</v>
      </c>
      <c r="L127" s="445">
        <v>60.0</v>
      </c>
    </row>
    <row r="128">
      <c r="A128" s="449" t="s">
        <v>63</v>
      </c>
      <c r="B128" s="449" t="s">
        <v>2</v>
      </c>
      <c r="C128" s="449" t="s">
        <v>762</v>
      </c>
      <c r="D128" s="449" t="s">
        <v>257</v>
      </c>
      <c r="E128" s="449">
        <v>2.0</v>
      </c>
      <c r="F128" s="449" t="s">
        <v>258</v>
      </c>
      <c r="G128" s="450"/>
      <c r="H128" s="450"/>
      <c r="I128" s="451" t="s">
        <v>1040</v>
      </c>
      <c r="J128" s="452" t="s">
        <v>829</v>
      </c>
      <c r="K128" s="449" t="s">
        <v>760</v>
      </c>
      <c r="L128" s="449">
        <v>120.0</v>
      </c>
    </row>
    <row r="129">
      <c r="A129" s="445" t="s">
        <v>93</v>
      </c>
      <c r="B129" s="445" t="s">
        <v>2</v>
      </c>
      <c r="C129" s="445" t="s">
        <v>762</v>
      </c>
      <c r="D129" s="445" t="s">
        <v>224</v>
      </c>
      <c r="E129" s="445">
        <v>1.0</v>
      </c>
      <c r="F129" s="445" t="s">
        <v>207</v>
      </c>
      <c r="G129" s="446"/>
      <c r="H129" s="446"/>
      <c r="I129" s="447" t="s">
        <v>1041</v>
      </c>
      <c r="J129" s="453" t="s">
        <v>829</v>
      </c>
      <c r="K129" s="445" t="s">
        <v>760</v>
      </c>
      <c r="L129" s="445">
        <v>60.0</v>
      </c>
    </row>
    <row r="130">
      <c r="A130" s="449" t="s">
        <v>103</v>
      </c>
      <c r="B130" s="449" t="s">
        <v>2</v>
      </c>
      <c r="C130" s="449" t="s">
        <v>762</v>
      </c>
      <c r="D130" s="449" t="s">
        <v>259</v>
      </c>
      <c r="E130" s="449">
        <v>1.0</v>
      </c>
      <c r="F130" s="449" t="s">
        <v>191</v>
      </c>
      <c r="G130" s="450"/>
      <c r="H130" s="450"/>
      <c r="I130" s="451" t="s">
        <v>1042</v>
      </c>
      <c r="J130" s="452" t="s">
        <v>829</v>
      </c>
      <c r="K130" s="449" t="s">
        <v>760</v>
      </c>
      <c r="L130" s="449">
        <v>70.0</v>
      </c>
    </row>
    <row r="131">
      <c r="A131" s="445" t="s">
        <v>56</v>
      </c>
      <c r="B131" s="445" t="s">
        <v>2</v>
      </c>
      <c r="C131" s="445" t="s">
        <v>762</v>
      </c>
      <c r="D131" s="445" t="s">
        <v>243</v>
      </c>
      <c r="E131" s="445">
        <v>1.0</v>
      </c>
      <c r="F131" s="445" t="s">
        <v>199</v>
      </c>
      <c r="G131" s="446"/>
      <c r="H131" s="446"/>
      <c r="I131" s="447" t="s">
        <v>1043</v>
      </c>
      <c r="J131" s="453" t="s">
        <v>829</v>
      </c>
      <c r="K131" s="445" t="s">
        <v>760</v>
      </c>
      <c r="L131" s="445">
        <v>80.0</v>
      </c>
    </row>
    <row r="132">
      <c r="A132" s="455" t="s">
        <v>91</v>
      </c>
      <c r="B132" s="449" t="s">
        <v>2</v>
      </c>
      <c r="C132" s="449" t="s">
        <v>762</v>
      </c>
      <c r="D132" s="456" t="s">
        <v>243</v>
      </c>
      <c r="E132" s="449">
        <v>1.0</v>
      </c>
      <c r="F132" s="456" t="s">
        <v>191</v>
      </c>
      <c r="G132" s="450"/>
      <c r="H132" s="450"/>
      <c r="I132" s="451" t="s">
        <v>1044</v>
      </c>
      <c r="J132" s="452" t="s">
        <v>829</v>
      </c>
      <c r="K132" s="449" t="s">
        <v>760</v>
      </c>
      <c r="L132" s="449">
        <v>60.0</v>
      </c>
    </row>
    <row r="133">
      <c r="A133" s="445" t="s">
        <v>50</v>
      </c>
      <c r="B133" s="445" t="s">
        <v>2</v>
      </c>
      <c r="C133" s="445" t="s">
        <v>762</v>
      </c>
      <c r="D133" s="445" t="s">
        <v>257</v>
      </c>
      <c r="E133" s="445">
        <v>1.0</v>
      </c>
      <c r="F133" s="445" t="s">
        <v>207</v>
      </c>
      <c r="G133" s="446"/>
      <c r="H133" s="446"/>
      <c r="I133" s="447" t="s">
        <v>1045</v>
      </c>
      <c r="J133" s="453" t="s">
        <v>829</v>
      </c>
      <c r="K133" s="445" t="s">
        <v>760</v>
      </c>
      <c r="L133" s="445">
        <v>50.0</v>
      </c>
    </row>
    <row r="134">
      <c r="A134" s="449" t="s">
        <v>102</v>
      </c>
      <c r="B134" s="449" t="s">
        <v>2</v>
      </c>
      <c r="C134" s="449" t="s">
        <v>762</v>
      </c>
      <c r="D134" s="449" t="s">
        <v>235</v>
      </c>
      <c r="E134" s="449">
        <v>1.0</v>
      </c>
      <c r="F134" s="449" t="s">
        <v>207</v>
      </c>
      <c r="G134" s="450"/>
      <c r="H134" s="450"/>
      <c r="I134" s="451" t="s">
        <v>1046</v>
      </c>
      <c r="J134" s="452" t="s">
        <v>829</v>
      </c>
      <c r="K134" s="449" t="s">
        <v>760</v>
      </c>
      <c r="L134" s="449">
        <v>60.0</v>
      </c>
    </row>
    <row r="135">
      <c r="A135" s="445" t="s">
        <v>104</v>
      </c>
      <c r="B135" s="445" t="s">
        <v>2</v>
      </c>
      <c r="C135" s="445" t="s">
        <v>762</v>
      </c>
      <c r="D135" s="445" t="s">
        <v>241</v>
      </c>
      <c r="E135" s="445">
        <v>2.0</v>
      </c>
      <c r="F135" s="445" t="s">
        <v>262</v>
      </c>
      <c r="G135" s="446"/>
      <c r="H135" s="446"/>
      <c r="I135" s="447" t="s">
        <v>1047</v>
      </c>
      <c r="J135" s="453" t="s">
        <v>829</v>
      </c>
      <c r="K135" s="445" t="s">
        <v>760</v>
      </c>
      <c r="L135" s="445">
        <v>100.0</v>
      </c>
    </row>
    <row r="136">
      <c r="A136" s="449" t="s">
        <v>105</v>
      </c>
      <c r="B136" s="449" t="s">
        <v>2</v>
      </c>
      <c r="C136" s="449" t="s">
        <v>762</v>
      </c>
      <c r="D136" s="449" t="s">
        <v>241</v>
      </c>
      <c r="E136" s="449">
        <v>2.0</v>
      </c>
      <c r="F136" s="449" t="s">
        <v>207</v>
      </c>
      <c r="G136" s="450"/>
      <c r="H136" s="450"/>
      <c r="I136" s="451" t="s">
        <v>1048</v>
      </c>
      <c r="J136" s="452" t="s">
        <v>829</v>
      </c>
      <c r="K136" s="449" t="s">
        <v>760</v>
      </c>
      <c r="L136" s="449">
        <v>100.0</v>
      </c>
    </row>
    <row r="137">
      <c r="A137" s="445" t="s">
        <v>97</v>
      </c>
      <c r="B137" s="445" t="s">
        <v>2</v>
      </c>
      <c r="C137" s="445" t="s">
        <v>762</v>
      </c>
      <c r="D137" s="445" t="s">
        <v>243</v>
      </c>
      <c r="E137" s="445">
        <v>1.0</v>
      </c>
      <c r="F137" s="445" t="s">
        <v>236</v>
      </c>
      <c r="G137" s="446"/>
      <c r="H137" s="446"/>
      <c r="I137" s="447" t="s">
        <v>1049</v>
      </c>
      <c r="J137" s="453" t="s">
        <v>829</v>
      </c>
      <c r="K137" s="445" t="s">
        <v>760</v>
      </c>
      <c r="L137" s="445">
        <v>70.0</v>
      </c>
    </row>
    <row r="138">
      <c r="A138" s="449" t="s">
        <v>266</v>
      </c>
      <c r="B138" s="449" t="s">
        <v>2</v>
      </c>
      <c r="C138" s="449" t="s">
        <v>762</v>
      </c>
      <c r="D138" s="449" t="s">
        <v>267</v>
      </c>
      <c r="E138" s="449">
        <v>3.0</v>
      </c>
      <c r="F138" s="449" t="s">
        <v>268</v>
      </c>
      <c r="G138" s="450"/>
      <c r="H138" s="450"/>
      <c r="I138" s="451" t="s">
        <v>1050</v>
      </c>
      <c r="J138" s="452" t="s">
        <v>829</v>
      </c>
      <c r="K138" s="449" t="s">
        <v>760</v>
      </c>
      <c r="L138" s="449">
        <v>120.0</v>
      </c>
    </row>
    <row r="139">
      <c r="A139" s="445" t="s">
        <v>84</v>
      </c>
      <c r="B139" s="445" t="s">
        <v>2</v>
      </c>
      <c r="C139" s="445" t="s">
        <v>762</v>
      </c>
      <c r="D139" s="445" t="s">
        <v>243</v>
      </c>
      <c r="E139" s="445">
        <v>1.0</v>
      </c>
      <c r="F139" s="445" t="s">
        <v>236</v>
      </c>
      <c r="G139" s="446"/>
      <c r="H139" s="446"/>
      <c r="I139" s="447" t="s">
        <v>1051</v>
      </c>
      <c r="J139" s="453" t="s">
        <v>1052</v>
      </c>
      <c r="K139" s="445" t="s">
        <v>1053</v>
      </c>
      <c r="L139" s="445">
        <v>60.0</v>
      </c>
    </row>
    <row r="140">
      <c r="A140" s="449" t="s">
        <v>61</v>
      </c>
      <c r="B140" s="449" t="s">
        <v>2</v>
      </c>
      <c r="C140" s="449" t="s">
        <v>762</v>
      </c>
      <c r="D140" s="449" t="s">
        <v>259</v>
      </c>
      <c r="E140" s="449">
        <v>1.0</v>
      </c>
      <c r="F140" s="449" t="s">
        <v>225</v>
      </c>
      <c r="G140" s="450"/>
      <c r="H140" s="450"/>
      <c r="I140" s="451" t="s">
        <v>1054</v>
      </c>
      <c r="J140" s="452" t="s">
        <v>829</v>
      </c>
      <c r="K140" s="449" t="s">
        <v>760</v>
      </c>
      <c r="L140" s="449">
        <v>70.0</v>
      </c>
    </row>
    <row r="141">
      <c r="A141" s="445" t="s">
        <v>269</v>
      </c>
      <c r="B141" s="445" t="s">
        <v>2</v>
      </c>
      <c r="C141" s="445" t="s">
        <v>762</v>
      </c>
      <c r="D141" s="445" t="s">
        <v>270</v>
      </c>
      <c r="E141" s="445">
        <v>3.0</v>
      </c>
      <c r="F141" s="445" t="s">
        <v>271</v>
      </c>
      <c r="G141" s="446"/>
      <c r="H141" s="446"/>
      <c r="I141" s="447" t="s">
        <v>1055</v>
      </c>
      <c r="J141" s="453" t="s">
        <v>829</v>
      </c>
      <c r="K141" s="445" t="s">
        <v>760</v>
      </c>
      <c r="L141" s="445">
        <v>150.0</v>
      </c>
    </row>
    <row r="142">
      <c r="A142" s="449" t="s">
        <v>78</v>
      </c>
      <c r="B142" s="449" t="s">
        <v>2</v>
      </c>
      <c r="C142" s="449" t="s">
        <v>762</v>
      </c>
      <c r="D142" s="449" t="s">
        <v>246</v>
      </c>
      <c r="E142" s="449">
        <v>1.0</v>
      </c>
      <c r="F142" s="449" t="s">
        <v>199</v>
      </c>
      <c r="G142" s="450"/>
      <c r="H142" s="450"/>
      <c r="I142" s="451" t="s">
        <v>1056</v>
      </c>
      <c r="J142" s="452" t="s">
        <v>829</v>
      </c>
      <c r="K142" s="449" t="s">
        <v>760</v>
      </c>
      <c r="L142" s="449">
        <v>60.0</v>
      </c>
    </row>
    <row r="143">
      <c r="A143" s="445" t="s">
        <v>87</v>
      </c>
      <c r="B143" s="445" t="s">
        <v>2</v>
      </c>
      <c r="C143" s="445" t="s">
        <v>762</v>
      </c>
      <c r="D143" s="445" t="s">
        <v>235</v>
      </c>
      <c r="E143" s="445">
        <v>1.0</v>
      </c>
      <c r="F143" s="445" t="s">
        <v>236</v>
      </c>
      <c r="G143" s="446"/>
      <c r="H143" s="446"/>
      <c r="I143" s="447" t="s">
        <v>1057</v>
      </c>
      <c r="J143" s="453" t="s">
        <v>829</v>
      </c>
      <c r="K143" s="445" t="s">
        <v>760</v>
      </c>
      <c r="L143" s="445">
        <v>70.0</v>
      </c>
    </row>
    <row r="144">
      <c r="A144" s="449" t="s">
        <v>67</v>
      </c>
      <c r="B144" s="449" t="s">
        <v>2</v>
      </c>
      <c r="C144" s="449" t="s">
        <v>762</v>
      </c>
      <c r="D144" s="449" t="s">
        <v>224</v>
      </c>
      <c r="E144" s="449">
        <v>1.0</v>
      </c>
      <c r="F144" s="449" t="s">
        <v>199</v>
      </c>
      <c r="G144" s="450"/>
      <c r="H144" s="450"/>
      <c r="I144" s="451" t="s">
        <v>1058</v>
      </c>
      <c r="J144" s="452" t="s">
        <v>829</v>
      </c>
      <c r="K144" s="449" t="s">
        <v>760</v>
      </c>
      <c r="L144" s="449">
        <v>80.0</v>
      </c>
    </row>
    <row r="145">
      <c r="A145" s="445" t="s">
        <v>106</v>
      </c>
      <c r="B145" s="445" t="s">
        <v>2</v>
      </c>
      <c r="C145" s="445" t="s">
        <v>762</v>
      </c>
      <c r="D145" s="445" t="s">
        <v>275</v>
      </c>
      <c r="E145" s="445">
        <v>2.0</v>
      </c>
      <c r="F145" s="445" t="s">
        <v>225</v>
      </c>
      <c r="G145" s="446"/>
      <c r="H145" s="446"/>
      <c r="I145" s="447" t="s">
        <v>1059</v>
      </c>
      <c r="J145" s="453" t="s">
        <v>829</v>
      </c>
      <c r="K145" s="445" t="s">
        <v>760</v>
      </c>
      <c r="L145" s="445">
        <v>120.0</v>
      </c>
    </row>
    <row r="146">
      <c r="A146" s="449" t="s">
        <v>101</v>
      </c>
      <c r="B146" s="449" t="s">
        <v>2</v>
      </c>
      <c r="C146" s="449" t="s">
        <v>762</v>
      </c>
      <c r="D146" s="449" t="s">
        <v>206</v>
      </c>
      <c r="E146" s="449">
        <v>1.0</v>
      </c>
      <c r="F146" s="449" t="s">
        <v>203</v>
      </c>
      <c r="G146" s="450"/>
      <c r="H146" s="450"/>
      <c r="I146" s="451" t="s">
        <v>1060</v>
      </c>
      <c r="J146" s="452" t="s">
        <v>829</v>
      </c>
      <c r="K146" s="449" t="s">
        <v>760</v>
      </c>
      <c r="L146" s="449">
        <v>25.0</v>
      </c>
    </row>
    <row r="147">
      <c r="A147" s="445" t="s">
        <v>98</v>
      </c>
      <c r="B147" s="445" t="s">
        <v>2</v>
      </c>
      <c r="C147" s="445" t="s">
        <v>762</v>
      </c>
      <c r="D147" s="445" t="s">
        <v>243</v>
      </c>
      <c r="E147" s="445">
        <v>1.0</v>
      </c>
      <c r="F147" s="445" t="s">
        <v>191</v>
      </c>
      <c r="G147" s="446"/>
      <c r="H147" s="446"/>
      <c r="I147" s="447" t="s">
        <v>1061</v>
      </c>
      <c r="J147" s="453" t="s">
        <v>829</v>
      </c>
      <c r="K147" s="445" t="s">
        <v>760</v>
      </c>
      <c r="L147" s="445">
        <v>80.0</v>
      </c>
    </row>
    <row r="148">
      <c r="A148" s="449" t="s">
        <v>70</v>
      </c>
      <c r="B148" s="449" t="s">
        <v>2</v>
      </c>
      <c r="C148" s="449" t="s">
        <v>762</v>
      </c>
      <c r="D148" s="449" t="s">
        <v>282</v>
      </c>
      <c r="E148" s="449">
        <v>2.0</v>
      </c>
      <c r="F148" s="449" t="s">
        <v>207</v>
      </c>
      <c r="G148" s="450"/>
      <c r="H148" s="450"/>
      <c r="I148" s="451" t="s">
        <v>1062</v>
      </c>
      <c r="J148" s="454" t="s">
        <v>747</v>
      </c>
      <c r="K148" s="449" t="s">
        <v>748</v>
      </c>
      <c r="L148" s="449">
        <v>200.0</v>
      </c>
    </row>
    <row r="149">
      <c r="A149" s="445" t="s">
        <v>81</v>
      </c>
      <c r="B149" s="445" t="s">
        <v>2</v>
      </c>
      <c r="C149" s="445" t="s">
        <v>762</v>
      </c>
      <c r="D149" s="445" t="s">
        <v>241</v>
      </c>
      <c r="E149" s="445">
        <v>2.0</v>
      </c>
      <c r="F149" s="445" t="s">
        <v>253</v>
      </c>
      <c r="G149" s="446"/>
      <c r="H149" s="446"/>
      <c r="I149" s="447" t="s">
        <v>1063</v>
      </c>
      <c r="J149" s="448" t="s">
        <v>747</v>
      </c>
      <c r="K149" s="445" t="s">
        <v>748</v>
      </c>
      <c r="L149" s="445">
        <v>250.0</v>
      </c>
    </row>
    <row r="150">
      <c r="A150" s="449" t="s">
        <v>69</v>
      </c>
      <c r="B150" s="449" t="s">
        <v>2</v>
      </c>
      <c r="C150" s="449" t="s">
        <v>762</v>
      </c>
      <c r="D150" s="449" t="s">
        <v>241</v>
      </c>
      <c r="E150" s="449">
        <v>2.0</v>
      </c>
      <c r="F150" s="449" t="s">
        <v>199</v>
      </c>
      <c r="G150" s="450"/>
      <c r="H150" s="450"/>
      <c r="I150" s="451" t="s">
        <v>1064</v>
      </c>
      <c r="J150" s="454" t="s">
        <v>747</v>
      </c>
      <c r="K150" s="449" t="s">
        <v>748</v>
      </c>
      <c r="L150" s="449">
        <v>300.0</v>
      </c>
    </row>
    <row r="151">
      <c r="A151" s="445" t="s">
        <v>99</v>
      </c>
      <c r="B151" s="445" t="s">
        <v>2</v>
      </c>
      <c r="C151" s="445" t="s">
        <v>762</v>
      </c>
      <c r="D151" s="445" t="s">
        <v>243</v>
      </c>
      <c r="E151" s="445">
        <v>1.0</v>
      </c>
      <c r="F151" s="445" t="s">
        <v>203</v>
      </c>
      <c r="G151" s="446"/>
      <c r="H151" s="446"/>
      <c r="I151" s="447" t="s">
        <v>1065</v>
      </c>
      <c r="J151" s="448" t="s">
        <v>747</v>
      </c>
      <c r="K151" s="445" t="s">
        <v>748</v>
      </c>
      <c r="L151" s="445">
        <v>25.0</v>
      </c>
    </row>
    <row r="152">
      <c r="A152" s="449" t="s">
        <v>60</v>
      </c>
      <c r="B152" s="449" t="s">
        <v>2</v>
      </c>
      <c r="C152" s="449" t="s">
        <v>762</v>
      </c>
      <c r="D152" s="449" t="s">
        <v>206</v>
      </c>
      <c r="E152" s="449">
        <v>1.0</v>
      </c>
      <c r="F152" s="449" t="s">
        <v>207</v>
      </c>
      <c r="G152" s="450"/>
      <c r="H152" s="450"/>
      <c r="I152" s="451" t="s">
        <v>1066</v>
      </c>
      <c r="J152" s="452" t="s">
        <v>804</v>
      </c>
      <c r="K152" s="449" t="s">
        <v>907</v>
      </c>
      <c r="L152" s="449">
        <v>30.0</v>
      </c>
    </row>
    <row r="153">
      <c r="A153" s="445" t="s">
        <v>80</v>
      </c>
      <c r="B153" s="445" t="s">
        <v>2</v>
      </c>
      <c r="C153" s="445" t="s">
        <v>762</v>
      </c>
      <c r="D153" s="445" t="s">
        <v>257</v>
      </c>
      <c r="E153" s="445">
        <v>1.0</v>
      </c>
      <c r="F153" s="445" t="s">
        <v>199</v>
      </c>
      <c r="G153" s="446"/>
      <c r="H153" s="446"/>
      <c r="I153" s="447" t="s">
        <v>1067</v>
      </c>
      <c r="J153" s="448" t="s">
        <v>747</v>
      </c>
      <c r="K153" s="445" t="s">
        <v>748</v>
      </c>
      <c r="L153" s="445">
        <v>250.0</v>
      </c>
    </row>
    <row r="154">
      <c r="A154" s="449" t="s">
        <v>89</v>
      </c>
      <c r="B154" s="449" t="s">
        <v>2</v>
      </c>
      <c r="C154" s="449" t="s">
        <v>762</v>
      </c>
      <c r="D154" s="449" t="s">
        <v>293</v>
      </c>
      <c r="E154" s="449">
        <v>3.0</v>
      </c>
      <c r="F154" s="449" t="s">
        <v>207</v>
      </c>
      <c r="G154" s="450"/>
      <c r="H154" s="450"/>
      <c r="I154" s="451" t="s">
        <v>1068</v>
      </c>
      <c r="J154" s="454" t="s">
        <v>747</v>
      </c>
      <c r="K154" s="449" t="s">
        <v>748</v>
      </c>
      <c r="L154" s="449">
        <v>500.0</v>
      </c>
    </row>
    <row r="155">
      <c r="A155" s="445" t="s">
        <v>90</v>
      </c>
      <c r="B155" s="445" t="s">
        <v>2</v>
      </c>
      <c r="C155" s="445" t="s">
        <v>762</v>
      </c>
      <c r="D155" s="445" t="s">
        <v>295</v>
      </c>
      <c r="E155" s="445">
        <v>3.0</v>
      </c>
      <c r="F155" s="445" t="s">
        <v>296</v>
      </c>
      <c r="G155" s="446"/>
      <c r="H155" s="446"/>
      <c r="I155" s="447" t="s">
        <v>1069</v>
      </c>
      <c r="J155" s="448" t="s">
        <v>747</v>
      </c>
      <c r="K155" s="445" t="s">
        <v>748</v>
      </c>
      <c r="L155" s="445">
        <v>1000.0</v>
      </c>
    </row>
    <row r="156">
      <c r="A156" s="449" t="s">
        <v>623</v>
      </c>
      <c r="B156" s="449" t="s">
        <v>1070</v>
      </c>
      <c r="C156" s="449" t="s">
        <v>1071</v>
      </c>
      <c r="D156" s="450" t="s">
        <v>194</v>
      </c>
      <c r="E156" s="450">
        <v>1.0</v>
      </c>
      <c r="F156" s="450" t="s">
        <v>1072</v>
      </c>
      <c r="G156" s="450"/>
      <c r="H156" s="450"/>
      <c r="I156" s="451" t="s">
        <v>1073</v>
      </c>
      <c r="J156" s="454" t="s">
        <v>860</v>
      </c>
      <c r="K156" s="449" t="s">
        <v>907</v>
      </c>
      <c r="L156" s="449">
        <v>25.0</v>
      </c>
    </row>
    <row r="157">
      <c r="A157" s="445" t="s">
        <v>626</v>
      </c>
      <c r="B157" s="445" t="s">
        <v>1070</v>
      </c>
      <c r="C157" s="445" t="s">
        <v>1071</v>
      </c>
      <c r="D157" s="446" t="s">
        <v>243</v>
      </c>
      <c r="E157" s="446">
        <v>1.0</v>
      </c>
      <c r="F157" s="446" t="s">
        <v>802</v>
      </c>
      <c r="G157" s="446"/>
      <c r="H157" s="446"/>
      <c r="I157" s="447" t="s">
        <v>1074</v>
      </c>
      <c r="J157" s="448" t="s">
        <v>787</v>
      </c>
      <c r="K157" s="445" t="s">
        <v>788</v>
      </c>
      <c r="L157" s="445">
        <v>50.0</v>
      </c>
    </row>
    <row r="158">
      <c r="A158" s="449" t="s">
        <v>627</v>
      </c>
      <c r="B158" s="449" t="s">
        <v>1070</v>
      </c>
      <c r="C158" s="449" t="s">
        <v>1071</v>
      </c>
      <c r="D158" s="450" t="s">
        <v>1075</v>
      </c>
      <c r="E158" s="450">
        <v>2.0</v>
      </c>
      <c r="F158" s="450" t="s">
        <v>1076</v>
      </c>
      <c r="G158" s="450"/>
      <c r="H158" s="450"/>
      <c r="I158" s="451" t="s">
        <v>1077</v>
      </c>
      <c r="J158" s="454" t="s">
        <v>787</v>
      </c>
      <c r="K158" s="449" t="s">
        <v>788</v>
      </c>
      <c r="L158" s="449">
        <v>125.0</v>
      </c>
    </row>
    <row r="159">
      <c r="A159" s="445" t="s">
        <v>629</v>
      </c>
      <c r="B159" s="445" t="s">
        <v>1070</v>
      </c>
      <c r="C159" s="445" t="s">
        <v>1071</v>
      </c>
      <c r="D159" s="446" t="s">
        <v>246</v>
      </c>
      <c r="E159" s="446">
        <v>2.0</v>
      </c>
      <c r="F159" s="446" t="s">
        <v>757</v>
      </c>
      <c r="G159" s="446"/>
      <c r="H159" s="446"/>
      <c r="I159" s="447" t="s">
        <v>1078</v>
      </c>
      <c r="J159" s="448" t="s">
        <v>759</v>
      </c>
      <c r="K159" s="445" t="s">
        <v>760</v>
      </c>
      <c r="L159" s="445">
        <v>50.0</v>
      </c>
    </row>
    <row r="160">
      <c r="A160" s="449" t="s">
        <v>632</v>
      </c>
      <c r="B160" s="449" t="s">
        <v>1070</v>
      </c>
      <c r="C160" s="449" t="s">
        <v>1071</v>
      </c>
      <c r="D160" s="450" t="s">
        <v>243</v>
      </c>
      <c r="E160" s="450">
        <v>1.0</v>
      </c>
      <c r="F160" s="450" t="s">
        <v>853</v>
      </c>
      <c r="G160" s="450"/>
      <c r="H160" s="450"/>
      <c r="I160" s="451" t="s">
        <v>1079</v>
      </c>
      <c r="J160" s="454" t="s">
        <v>787</v>
      </c>
      <c r="K160" s="449" t="s">
        <v>788</v>
      </c>
      <c r="L160" s="449">
        <v>60.0</v>
      </c>
    </row>
    <row r="161">
      <c r="A161" s="445" t="s">
        <v>634</v>
      </c>
      <c r="B161" s="445" t="s">
        <v>1070</v>
      </c>
      <c r="C161" s="445" t="s">
        <v>1071</v>
      </c>
      <c r="D161" s="446" t="s">
        <v>241</v>
      </c>
      <c r="E161" s="446">
        <v>2.0</v>
      </c>
      <c r="F161" s="446" t="s">
        <v>929</v>
      </c>
      <c r="G161" s="446"/>
      <c r="H161" s="446"/>
      <c r="I161" s="447" t="s">
        <v>1080</v>
      </c>
      <c r="J161" s="453" t="s">
        <v>829</v>
      </c>
      <c r="K161" s="445" t="s">
        <v>760</v>
      </c>
      <c r="L161" s="445">
        <v>120.0</v>
      </c>
    </row>
    <row r="162">
      <c r="A162" s="449" t="s">
        <v>636</v>
      </c>
      <c r="B162" s="449" t="s">
        <v>1070</v>
      </c>
      <c r="C162" s="449" t="s">
        <v>1071</v>
      </c>
      <c r="D162" s="450" t="s">
        <v>241</v>
      </c>
      <c r="E162" s="450">
        <v>2.0</v>
      </c>
      <c r="F162" s="450" t="s">
        <v>1081</v>
      </c>
      <c r="G162" s="450"/>
      <c r="H162" s="450"/>
      <c r="I162" s="451" t="s">
        <v>1082</v>
      </c>
      <c r="J162" s="452" t="s">
        <v>829</v>
      </c>
      <c r="K162" s="449" t="s">
        <v>760</v>
      </c>
      <c r="L162" s="449">
        <v>200.0</v>
      </c>
    </row>
    <row r="163">
      <c r="A163" s="445" t="s">
        <v>638</v>
      </c>
      <c r="B163" s="445" t="s">
        <v>1070</v>
      </c>
      <c r="C163" s="445" t="s">
        <v>1071</v>
      </c>
      <c r="D163" s="446" t="s">
        <v>339</v>
      </c>
      <c r="E163" s="446">
        <v>3.0</v>
      </c>
      <c r="F163" s="446" t="s">
        <v>929</v>
      </c>
      <c r="G163" s="446"/>
      <c r="H163" s="446"/>
      <c r="I163" s="447" t="s">
        <v>1083</v>
      </c>
      <c r="J163" s="453" t="s">
        <v>829</v>
      </c>
      <c r="K163" s="445" t="s">
        <v>760</v>
      </c>
      <c r="L163" s="445">
        <v>600.0</v>
      </c>
    </row>
    <row r="164">
      <c r="A164" s="449" t="s">
        <v>639</v>
      </c>
      <c r="B164" s="449" t="s">
        <v>1070</v>
      </c>
      <c r="C164" s="449" t="s">
        <v>1071</v>
      </c>
      <c r="D164" s="450" t="s">
        <v>1084</v>
      </c>
      <c r="E164" s="450">
        <v>3.0</v>
      </c>
      <c r="F164" s="450" t="s">
        <v>1085</v>
      </c>
      <c r="G164" s="450"/>
      <c r="H164" s="450"/>
      <c r="I164" s="451" t="s">
        <v>1086</v>
      </c>
      <c r="J164" s="452" t="s">
        <v>829</v>
      </c>
      <c r="K164" s="449" t="s">
        <v>760</v>
      </c>
      <c r="L164" s="449">
        <v>1500.0</v>
      </c>
    </row>
    <row r="165">
      <c r="A165" s="445" t="s">
        <v>641</v>
      </c>
      <c r="B165" s="445" t="s">
        <v>1070</v>
      </c>
      <c r="C165" s="445" t="s">
        <v>1071</v>
      </c>
      <c r="D165" s="445" t="s">
        <v>1087</v>
      </c>
      <c r="E165" s="446">
        <v>0.0</v>
      </c>
      <c r="F165" s="446" t="s">
        <v>802</v>
      </c>
      <c r="G165" s="446"/>
      <c r="H165" s="446"/>
      <c r="I165" s="447" t="s">
        <v>1088</v>
      </c>
      <c r="J165" s="448" t="s">
        <v>759</v>
      </c>
      <c r="K165" s="445" t="s">
        <v>760</v>
      </c>
      <c r="L165" s="445">
        <v>50.0</v>
      </c>
    </row>
    <row r="166">
      <c r="A166" s="449" t="s">
        <v>644</v>
      </c>
      <c r="B166" s="449" t="s">
        <v>1070</v>
      </c>
      <c r="C166" s="449" t="s">
        <v>1071</v>
      </c>
      <c r="D166" s="450" t="s">
        <v>257</v>
      </c>
      <c r="E166" s="450">
        <v>1.0</v>
      </c>
      <c r="F166" s="450" t="s">
        <v>1085</v>
      </c>
      <c r="G166" s="450"/>
      <c r="H166" s="450"/>
      <c r="I166" s="451" t="s">
        <v>1089</v>
      </c>
      <c r="J166" s="452" t="s">
        <v>829</v>
      </c>
      <c r="K166" s="449" t="s">
        <v>760</v>
      </c>
      <c r="L166" s="449">
        <v>500.0</v>
      </c>
    </row>
    <row r="167">
      <c r="A167" s="445" t="s">
        <v>645</v>
      </c>
      <c r="B167" s="445" t="s">
        <v>1070</v>
      </c>
      <c r="C167" s="445" t="s">
        <v>1071</v>
      </c>
      <c r="D167" s="446" t="s">
        <v>282</v>
      </c>
      <c r="E167" s="446">
        <v>2.0</v>
      </c>
      <c r="F167" s="446" t="s">
        <v>1090</v>
      </c>
      <c r="G167" s="446"/>
      <c r="H167" s="446"/>
      <c r="I167" s="447" t="s">
        <v>1091</v>
      </c>
      <c r="J167" s="453" t="s">
        <v>829</v>
      </c>
      <c r="K167" s="445" t="s">
        <v>760</v>
      </c>
      <c r="L167" s="445">
        <v>1000.0</v>
      </c>
    </row>
    <row r="168">
      <c r="A168" s="449" t="s">
        <v>646</v>
      </c>
      <c r="B168" s="449" t="s">
        <v>1070</v>
      </c>
      <c r="C168" s="449" t="s">
        <v>1071</v>
      </c>
      <c r="D168" s="450" t="s">
        <v>332</v>
      </c>
      <c r="E168" s="450">
        <v>3.0</v>
      </c>
      <c r="F168" s="450" t="s">
        <v>1092</v>
      </c>
      <c r="G168" s="450"/>
      <c r="H168" s="450"/>
      <c r="I168" s="451" t="s">
        <v>1093</v>
      </c>
      <c r="J168" s="452" t="s">
        <v>829</v>
      </c>
      <c r="K168" s="449" t="s">
        <v>760</v>
      </c>
      <c r="L168" s="449">
        <v>1500.0</v>
      </c>
    </row>
    <row r="169">
      <c r="A169" s="445" t="s">
        <v>647</v>
      </c>
      <c r="B169" s="445" t="s">
        <v>1070</v>
      </c>
      <c r="C169" s="445" t="s">
        <v>1071</v>
      </c>
      <c r="D169" s="446" t="s">
        <v>360</v>
      </c>
      <c r="E169" s="446">
        <v>4.0</v>
      </c>
      <c r="F169" s="446" t="s">
        <v>1094</v>
      </c>
      <c r="G169" s="446"/>
      <c r="H169" s="446"/>
      <c r="I169" s="447" t="s">
        <v>1095</v>
      </c>
      <c r="J169" s="453" t="s">
        <v>829</v>
      </c>
      <c r="K169" s="445" t="s">
        <v>760</v>
      </c>
      <c r="L169" s="445">
        <v>3000.0</v>
      </c>
    </row>
    <row r="170">
      <c r="A170" s="449" t="s">
        <v>648</v>
      </c>
      <c r="B170" s="449" t="s">
        <v>1070</v>
      </c>
      <c r="C170" s="449" t="s">
        <v>1071</v>
      </c>
      <c r="D170" s="450" t="s">
        <v>341</v>
      </c>
      <c r="E170" s="450">
        <v>3.0</v>
      </c>
      <c r="F170" s="450" t="s">
        <v>1096</v>
      </c>
      <c r="G170" s="450"/>
      <c r="H170" s="450"/>
      <c r="I170" s="451" t="s">
        <v>1097</v>
      </c>
      <c r="J170" s="452" t="s">
        <v>1052</v>
      </c>
      <c r="K170" s="449" t="s">
        <v>788</v>
      </c>
      <c r="L170" s="449">
        <v>5000.0</v>
      </c>
    </row>
    <row r="171">
      <c r="A171" s="445" t="s">
        <v>650</v>
      </c>
      <c r="B171" s="445" t="s">
        <v>1070</v>
      </c>
      <c r="C171" s="445" t="s">
        <v>1071</v>
      </c>
      <c r="D171" s="446" t="s">
        <v>243</v>
      </c>
      <c r="E171" s="446">
        <v>1.0</v>
      </c>
      <c r="F171" s="446" t="s">
        <v>833</v>
      </c>
      <c r="G171" s="446"/>
      <c r="H171" s="446"/>
      <c r="I171" s="447" t="s">
        <v>1098</v>
      </c>
      <c r="J171" s="448" t="s">
        <v>759</v>
      </c>
      <c r="K171" s="445" t="s">
        <v>760</v>
      </c>
      <c r="L171" s="445">
        <v>100.0</v>
      </c>
    </row>
    <row r="172">
      <c r="A172" s="449" t="s">
        <v>651</v>
      </c>
      <c r="B172" s="449" t="s">
        <v>1070</v>
      </c>
      <c r="C172" s="449" t="s">
        <v>1071</v>
      </c>
      <c r="D172" s="450" t="s">
        <v>1099</v>
      </c>
      <c r="E172" s="450">
        <v>1.0</v>
      </c>
      <c r="F172" s="450" t="s">
        <v>809</v>
      </c>
      <c r="G172" s="450"/>
      <c r="H172" s="450"/>
      <c r="I172" s="451" t="s">
        <v>1100</v>
      </c>
      <c r="J172" s="452" t="s">
        <v>829</v>
      </c>
      <c r="K172" s="449" t="s">
        <v>760</v>
      </c>
      <c r="L172" s="449">
        <v>70.0</v>
      </c>
    </row>
    <row r="173">
      <c r="A173" s="445" t="s">
        <v>653</v>
      </c>
      <c r="B173" s="445" t="s">
        <v>1070</v>
      </c>
      <c r="C173" s="445" t="s">
        <v>1071</v>
      </c>
      <c r="D173" s="446" t="s">
        <v>293</v>
      </c>
      <c r="E173" s="446">
        <v>3.0</v>
      </c>
      <c r="F173" s="446" t="s">
        <v>929</v>
      </c>
      <c r="G173" s="446"/>
      <c r="H173" s="446"/>
      <c r="I173" s="447" t="s">
        <v>1101</v>
      </c>
      <c r="J173" s="453" t="s">
        <v>829</v>
      </c>
      <c r="K173" s="445" t="s">
        <v>760</v>
      </c>
      <c r="L173" s="445">
        <v>250.0</v>
      </c>
    </row>
    <row r="174">
      <c r="A174" s="455" t="s">
        <v>656</v>
      </c>
      <c r="B174" s="449" t="s">
        <v>1070</v>
      </c>
      <c r="C174" s="449" t="s">
        <v>1071</v>
      </c>
      <c r="D174" s="450" t="s">
        <v>243</v>
      </c>
      <c r="E174" s="450">
        <v>1.0</v>
      </c>
      <c r="F174" s="450" t="s">
        <v>833</v>
      </c>
      <c r="G174" s="450"/>
      <c r="H174" s="450"/>
      <c r="I174" s="451" t="s">
        <v>1102</v>
      </c>
      <c r="J174" s="452" t="s">
        <v>787</v>
      </c>
      <c r="K174" s="449" t="s">
        <v>907</v>
      </c>
      <c r="L174" s="449">
        <v>20.0</v>
      </c>
    </row>
    <row r="175">
      <c r="A175" s="457" t="s">
        <v>657</v>
      </c>
      <c r="B175" s="445" t="s">
        <v>1070</v>
      </c>
      <c r="C175" s="445" t="s">
        <v>1071</v>
      </c>
      <c r="D175" s="446" t="s">
        <v>235</v>
      </c>
      <c r="E175" s="446">
        <v>2.0</v>
      </c>
      <c r="F175" s="446" t="s">
        <v>856</v>
      </c>
      <c r="G175" s="446"/>
      <c r="H175" s="446"/>
      <c r="I175" s="447" t="s">
        <v>1102</v>
      </c>
      <c r="J175" s="448" t="s">
        <v>787</v>
      </c>
      <c r="K175" s="445" t="s">
        <v>788</v>
      </c>
      <c r="L175" s="445">
        <v>50.0</v>
      </c>
    </row>
    <row r="176">
      <c r="A176" s="455" t="s">
        <v>658</v>
      </c>
      <c r="B176" s="449" t="s">
        <v>1070</v>
      </c>
      <c r="C176" s="449" t="s">
        <v>1071</v>
      </c>
      <c r="D176" s="450" t="s">
        <v>257</v>
      </c>
      <c r="E176" s="450">
        <v>3.0</v>
      </c>
      <c r="F176" s="450" t="s">
        <v>745</v>
      </c>
      <c r="G176" s="450"/>
      <c r="H176" s="450"/>
      <c r="I176" s="451" t="s">
        <v>1103</v>
      </c>
      <c r="J176" s="452" t="s">
        <v>829</v>
      </c>
      <c r="K176" s="449" t="s">
        <v>760</v>
      </c>
      <c r="L176" s="449">
        <v>100.0</v>
      </c>
    </row>
    <row r="177">
      <c r="A177" s="457" t="s">
        <v>660</v>
      </c>
      <c r="B177" s="445" t="s">
        <v>1070</v>
      </c>
      <c r="C177" s="445" t="s">
        <v>1071</v>
      </c>
      <c r="D177" s="446" t="s">
        <v>241</v>
      </c>
      <c r="E177" s="446">
        <v>4.0</v>
      </c>
      <c r="F177" s="446" t="s">
        <v>1072</v>
      </c>
      <c r="G177" s="446"/>
      <c r="H177" s="446"/>
      <c r="I177" s="447" t="s">
        <v>1104</v>
      </c>
      <c r="J177" s="453" t="s">
        <v>829</v>
      </c>
      <c r="K177" s="445" t="s">
        <v>760</v>
      </c>
      <c r="L177" s="445">
        <v>200.0</v>
      </c>
    </row>
    <row r="178">
      <c r="A178" s="455" t="s">
        <v>662</v>
      </c>
      <c r="B178" s="449" t="s">
        <v>1070</v>
      </c>
      <c r="C178" s="449" t="s">
        <v>1071</v>
      </c>
      <c r="D178" s="450" t="s">
        <v>275</v>
      </c>
      <c r="E178" s="450">
        <v>5.0</v>
      </c>
      <c r="F178" s="450" t="s">
        <v>809</v>
      </c>
      <c r="G178" s="450"/>
      <c r="H178" s="450"/>
      <c r="I178" s="451" t="s">
        <v>1105</v>
      </c>
      <c r="J178" s="454" t="s">
        <v>860</v>
      </c>
      <c r="K178" s="449" t="s">
        <v>907</v>
      </c>
      <c r="L178" s="449">
        <v>250.0</v>
      </c>
    </row>
    <row r="179">
      <c r="A179" s="457" t="s">
        <v>664</v>
      </c>
      <c r="B179" s="445" t="s">
        <v>1070</v>
      </c>
      <c r="C179" s="445" t="s">
        <v>1071</v>
      </c>
      <c r="D179" s="446" t="s">
        <v>257</v>
      </c>
      <c r="E179" s="446">
        <v>2.0</v>
      </c>
      <c r="F179" s="446" t="s">
        <v>856</v>
      </c>
      <c r="G179" s="446"/>
      <c r="H179" s="446"/>
      <c r="I179" s="447" t="s">
        <v>1106</v>
      </c>
      <c r="J179" s="453" t="s">
        <v>829</v>
      </c>
      <c r="K179" s="445" t="s">
        <v>760</v>
      </c>
      <c r="L179" s="445">
        <v>400.0</v>
      </c>
    </row>
    <row r="180">
      <c r="A180" s="455" t="s">
        <v>666</v>
      </c>
      <c r="B180" s="449" t="s">
        <v>1070</v>
      </c>
      <c r="C180" s="449" t="s">
        <v>1071</v>
      </c>
      <c r="D180" s="450" t="s">
        <v>267</v>
      </c>
      <c r="E180" s="450">
        <v>3.0</v>
      </c>
      <c r="F180" s="450" t="s">
        <v>1072</v>
      </c>
      <c r="G180" s="450"/>
      <c r="H180" s="450"/>
      <c r="I180" s="451" t="s">
        <v>1107</v>
      </c>
      <c r="J180" s="452" t="s">
        <v>829</v>
      </c>
      <c r="K180" s="449" t="s">
        <v>760</v>
      </c>
      <c r="L180" s="449">
        <v>500.0</v>
      </c>
    </row>
    <row r="181">
      <c r="A181" s="457" t="s">
        <v>668</v>
      </c>
      <c r="B181" s="445" t="s">
        <v>1070</v>
      </c>
      <c r="C181" s="445" t="s">
        <v>1071</v>
      </c>
      <c r="D181" s="446" t="s">
        <v>339</v>
      </c>
      <c r="E181" s="446">
        <v>4.0</v>
      </c>
      <c r="F181" s="446" t="s">
        <v>802</v>
      </c>
      <c r="G181" s="446"/>
      <c r="H181" s="446"/>
      <c r="I181" s="447" t="s">
        <v>1108</v>
      </c>
      <c r="J181" s="453" t="s">
        <v>829</v>
      </c>
      <c r="K181" s="445" t="s">
        <v>760</v>
      </c>
      <c r="L181" s="445">
        <v>800.0</v>
      </c>
    </row>
    <row r="182">
      <c r="A182" s="455" t="s">
        <v>671</v>
      </c>
      <c r="B182" s="449" t="s">
        <v>1070</v>
      </c>
      <c r="C182" s="449" t="s">
        <v>1071</v>
      </c>
      <c r="D182" s="450" t="s">
        <v>322</v>
      </c>
      <c r="E182" s="450">
        <v>3.0</v>
      </c>
      <c r="F182" s="450" t="s">
        <v>1109</v>
      </c>
      <c r="G182" s="450"/>
      <c r="H182" s="450"/>
      <c r="I182" s="451" t="s">
        <v>1110</v>
      </c>
      <c r="J182" s="452" t="s">
        <v>829</v>
      </c>
      <c r="K182" s="449" t="s">
        <v>760</v>
      </c>
      <c r="L182" s="449">
        <v>1200.0</v>
      </c>
    </row>
    <row r="183">
      <c r="A183" s="457" t="s">
        <v>673</v>
      </c>
      <c r="B183" s="445" t="s">
        <v>1070</v>
      </c>
      <c r="C183" s="445" t="s">
        <v>1071</v>
      </c>
      <c r="D183" s="446" t="s">
        <v>360</v>
      </c>
      <c r="E183" s="446">
        <v>4.0</v>
      </c>
      <c r="F183" s="446" t="s">
        <v>802</v>
      </c>
      <c r="G183" s="446"/>
      <c r="H183" s="446"/>
      <c r="I183" s="447" t="s">
        <v>1111</v>
      </c>
      <c r="J183" s="453" t="s">
        <v>829</v>
      </c>
      <c r="K183" s="445" t="s">
        <v>760</v>
      </c>
      <c r="L183" s="445">
        <v>1500.0</v>
      </c>
    </row>
    <row r="184">
      <c r="A184" s="455" t="s">
        <v>675</v>
      </c>
      <c r="B184" s="449" t="s">
        <v>1070</v>
      </c>
      <c r="C184" s="449" t="s">
        <v>1071</v>
      </c>
      <c r="D184" s="450" t="s">
        <v>583</v>
      </c>
      <c r="E184" s="450">
        <v>5.0</v>
      </c>
      <c r="F184" s="450" t="s">
        <v>929</v>
      </c>
      <c r="G184" s="450"/>
      <c r="H184" s="450"/>
      <c r="I184" s="451" t="s">
        <v>1112</v>
      </c>
      <c r="J184" s="452" t="s">
        <v>829</v>
      </c>
      <c r="K184" s="449" t="s">
        <v>760</v>
      </c>
      <c r="L184" s="449">
        <v>5000.0</v>
      </c>
    </row>
    <row r="185">
      <c r="A185" s="457" t="s">
        <v>678</v>
      </c>
      <c r="B185" s="445" t="s">
        <v>1070</v>
      </c>
      <c r="C185" s="445" t="s">
        <v>1071</v>
      </c>
      <c r="D185" s="446" t="s">
        <v>241</v>
      </c>
      <c r="E185" s="446">
        <v>2.0</v>
      </c>
      <c r="F185" s="446" t="s">
        <v>1072</v>
      </c>
      <c r="G185" s="446"/>
      <c r="H185" s="446"/>
      <c r="I185" s="447" t="s">
        <v>1113</v>
      </c>
      <c r="J185" s="453" t="s">
        <v>829</v>
      </c>
      <c r="K185" s="445" t="s">
        <v>760</v>
      </c>
      <c r="L185" s="445">
        <v>500.0</v>
      </c>
    </row>
    <row r="186">
      <c r="A186" s="455" t="s">
        <v>679</v>
      </c>
      <c r="B186" s="449" t="s">
        <v>1070</v>
      </c>
      <c r="C186" s="449" t="s">
        <v>1071</v>
      </c>
      <c r="D186" s="450" t="s">
        <v>293</v>
      </c>
      <c r="E186" s="450">
        <v>3.0</v>
      </c>
      <c r="F186" s="450" t="s">
        <v>853</v>
      </c>
      <c r="G186" s="450"/>
      <c r="H186" s="450"/>
      <c r="I186" s="451" t="s">
        <v>1114</v>
      </c>
      <c r="J186" s="452" t="s">
        <v>829</v>
      </c>
      <c r="K186" s="449" t="s">
        <v>760</v>
      </c>
      <c r="L186" s="449">
        <v>600.0</v>
      </c>
    </row>
    <row r="187">
      <c r="A187" s="445" t="s">
        <v>310</v>
      </c>
      <c r="B187" s="445" t="s">
        <v>1115</v>
      </c>
      <c r="C187" s="445" t="s">
        <v>1116</v>
      </c>
      <c r="D187" s="458" t="s">
        <v>295</v>
      </c>
      <c r="E187" s="445">
        <v>1.0</v>
      </c>
      <c r="F187" s="445" t="s">
        <v>207</v>
      </c>
      <c r="G187" s="446"/>
      <c r="H187" s="446"/>
      <c r="I187" s="447" t="s">
        <v>1117</v>
      </c>
      <c r="J187" s="448" t="s">
        <v>759</v>
      </c>
      <c r="K187" s="445" t="s">
        <v>798</v>
      </c>
      <c r="L187" s="445">
        <v>250.0</v>
      </c>
    </row>
    <row r="188">
      <c r="A188" s="449" t="s">
        <v>129</v>
      </c>
      <c r="B188" s="449" t="s">
        <v>1115</v>
      </c>
      <c r="C188" s="449" t="s">
        <v>1116</v>
      </c>
      <c r="D188" s="456" t="s">
        <v>295</v>
      </c>
      <c r="E188" s="449">
        <v>2.0</v>
      </c>
      <c r="F188" s="449" t="s">
        <v>199</v>
      </c>
      <c r="G188" s="450"/>
      <c r="H188" s="450"/>
      <c r="I188" s="451" t="s">
        <v>1118</v>
      </c>
      <c r="J188" s="454" t="s">
        <v>759</v>
      </c>
      <c r="K188" s="449" t="s">
        <v>798</v>
      </c>
      <c r="L188" s="449">
        <v>250.0</v>
      </c>
    </row>
    <row r="189">
      <c r="A189" s="445" t="s">
        <v>127</v>
      </c>
      <c r="B189" s="445" t="s">
        <v>1115</v>
      </c>
      <c r="C189" s="445" t="s">
        <v>1116</v>
      </c>
      <c r="D189" s="458" t="s">
        <v>293</v>
      </c>
      <c r="E189" s="445">
        <v>2.0</v>
      </c>
      <c r="F189" s="445" t="s">
        <v>191</v>
      </c>
      <c r="G189" s="446"/>
      <c r="H189" s="446"/>
      <c r="I189" s="447" t="s">
        <v>1119</v>
      </c>
      <c r="J189" s="448" t="s">
        <v>759</v>
      </c>
      <c r="K189" s="445" t="s">
        <v>798</v>
      </c>
      <c r="L189" s="445">
        <v>300.0</v>
      </c>
    </row>
    <row r="190">
      <c r="A190" s="449" t="s">
        <v>321</v>
      </c>
      <c r="B190" s="449" t="s">
        <v>1115</v>
      </c>
      <c r="C190" s="449" t="s">
        <v>1116</v>
      </c>
      <c r="D190" s="456" t="s">
        <v>322</v>
      </c>
      <c r="E190" s="449">
        <v>2.0</v>
      </c>
      <c r="F190" s="449" t="s">
        <v>191</v>
      </c>
      <c r="G190" s="450"/>
      <c r="H190" s="450"/>
      <c r="I190" s="451" t="s">
        <v>1120</v>
      </c>
      <c r="J190" s="454" t="s">
        <v>759</v>
      </c>
      <c r="K190" s="449" t="s">
        <v>798</v>
      </c>
      <c r="L190" s="449">
        <v>800.0</v>
      </c>
    </row>
    <row r="191">
      <c r="A191" s="445" t="s">
        <v>126</v>
      </c>
      <c r="B191" s="445" t="s">
        <v>1115</v>
      </c>
      <c r="C191" s="445" t="s">
        <v>1116</v>
      </c>
      <c r="D191" s="458" t="s">
        <v>327</v>
      </c>
      <c r="E191" s="445">
        <v>2.0</v>
      </c>
      <c r="F191" s="445" t="s">
        <v>211</v>
      </c>
      <c r="G191" s="446"/>
      <c r="H191" s="446"/>
      <c r="I191" s="447" t="s">
        <v>1121</v>
      </c>
      <c r="J191" s="448" t="s">
        <v>759</v>
      </c>
      <c r="K191" s="445" t="s">
        <v>798</v>
      </c>
      <c r="L191" s="445">
        <v>500.0</v>
      </c>
    </row>
    <row r="192">
      <c r="A192" s="449" t="s">
        <v>130</v>
      </c>
      <c r="B192" s="449" t="s">
        <v>1115</v>
      </c>
      <c r="C192" s="449" t="s">
        <v>1116</v>
      </c>
      <c r="D192" s="456" t="s">
        <v>332</v>
      </c>
      <c r="E192" s="449">
        <v>2.0</v>
      </c>
      <c r="F192" s="449" t="s">
        <v>333</v>
      </c>
      <c r="G192" s="450"/>
      <c r="H192" s="450"/>
      <c r="I192" s="451" t="s">
        <v>1122</v>
      </c>
      <c r="J192" s="454" t="s">
        <v>759</v>
      </c>
      <c r="K192" s="449" t="s">
        <v>798</v>
      </c>
      <c r="L192" s="449">
        <v>200.0</v>
      </c>
    </row>
    <row r="193">
      <c r="A193" s="445" t="s">
        <v>131</v>
      </c>
      <c r="B193" s="445" t="s">
        <v>1115</v>
      </c>
      <c r="C193" s="445" t="s">
        <v>1116</v>
      </c>
      <c r="D193" s="458" t="s">
        <v>335</v>
      </c>
      <c r="E193" s="445">
        <v>3.0</v>
      </c>
      <c r="F193" s="445" t="s">
        <v>258</v>
      </c>
      <c r="G193" s="446"/>
      <c r="H193" s="446"/>
      <c r="I193" s="447" t="s">
        <v>1123</v>
      </c>
      <c r="J193" s="448" t="s">
        <v>759</v>
      </c>
      <c r="K193" s="445" t="s">
        <v>798</v>
      </c>
      <c r="L193" s="445">
        <v>600.0</v>
      </c>
    </row>
    <row r="194">
      <c r="A194" s="449" t="s">
        <v>134</v>
      </c>
      <c r="B194" s="449" t="s">
        <v>1115</v>
      </c>
      <c r="C194" s="449" t="s">
        <v>1116</v>
      </c>
      <c r="D194" s="456" t="s">
        <v>339</v>
      </c>
      <c r="E194" s="449">
        <v>2.0</v>
      </c>
      <c r="F194" s="449" t="s">
        <v>225</v>
      </c>
      <c r="G194" s="450"/>
      <c r="H194" s="450"/>
      <c r="I194" s="451" t="s">
        <v>1124</v>
      </c>
      <c r="J194" s="454" t="s">
        <v>759</v>
      </c>
      <c r="K194" s="449" t="s">
        <v>798</v>
      </c>
      <c r="L194" s="449">
        <v>400.0</v>
      </c>
    </row>
    <row r="195">
      <c r="A195" s="458" t="s">
        <v>137</v>
      </c>
      <c r="B195" s="445" t="s">
        <v>1115</v>
      </c>
      <c r="C195" s="445" t="s">
        <v>1116</v>
      </c>
      <c r="D195" s="458" t="s">
        <v>341</v>
      </c>
      <c r="E195" s="445">
        <v>3.0</v>
      </c>
      <c r="F195" s="458" t="s">
        <v>199</v>
      </c>
      <c r="G195" s="446"/>
      <c r="H195" s="446"/>
      <c r="I195" s="447" t="s">
        <v>1125</v>
      </c>
      <c r="J195" s="453" t="s">
        <v>829</v>
      </c>
      <c r="K195" s="445" t="s">
        <v>798</v>
      </c>
      <c r="L195" s="445">
        <v>1000.0</v>
      </c>
    </row>
    <row r="196">
      <c r="A196" s="449" t="s">
        <v>141</v>
      </c>
      <c r="B196" s="449" t="s">
        <v>1115</v>
      </c>
      <c r="C196" s="449" t="s">
        <v>1116</v>
      </c>
      <c r="D196" s="456" t="s">
        <v>344</v>
      </c>
      <c r="E196" s="449">
        <v>3.0</v>
      </c>
      <c r="F196" s="456" t="s">
        <v>207</v>
      </c>
      <c r="G196" s="450"/>
      <c r="H196" s="450"/>
      <c r="I196" s="451" t="s">
        <v>1126</v>
      </c>
      <c r="J196" s="452" t="s">
        <v>829</v>
      </c>
      <c r="K196" s="449" t="s">
        <v>798</v>
      </c>
      <c r="L196" s="449">
        <v>1150.0</v>
      </c>
    </row>
    <row r="197">
      <c r="A197" s="445" t="s">
        <v>135</v>
      </c>
      <c r="B197" s="445" t="s">
        <v>1115</v>
      </c>
      <c r="C197" s="445" t="s">
        <v>1116</v>
      </c>
      <c r="D197" s="458" t="s">
        <v>347</v>
      </c>
      <c r="E197" s="445">
        <v>3.0</v>
      </c>
      <c r="F197" s="458" t="s">
        <v>191</v>
      </c>
      <c r="G197" s="446"/>
      <c r="H197" s="446"/>
      <c r="I197" s="447" t="s">
        <v>1127</v>
      </c>
      <c r="J197" s="453" t="s">
        <v>829</v>
      </c>
      <c r="K197" s="445" t="s">
        <v>798</v>
      </c>
      <c r="L197" s="445">
        <v>1200.0</v>
      </c>
    </row>
    <row r="198">
      <c r="A198" s="456" t="s">
        <v>145</v>
      </c>
      <c r="B198" s="449" t="s">
        <v>1115</v>
      </c>
      <c r="C198" s="449" t="s">
        <v>1116</v>
      </c>
      <c r="D198" s="456" t="s">
        <v>351</v>
      </c>
      <c r="E198" s="449">
        <v>3.0</v>
      </c>
      <c r="F198" s="456" t="s">
        <v>207</v>
      </c>
      <c r="G198" s="450"/>
      <c r="H198" s="450"/>
      <c r="I198" s="451" t="s">
        <v>1128</v>
      </c>
      <c r="J198" s="452" t="s">
        <v>829</v>
      </c>
      <c r="K198" s="449" t="s">
        <v>798</v>
      </c>
      <c r="L198" s="449">
        <v>2100.0</v>
      </c>
    </row>
    <row r="199">
      <c r="A199" s="458" t="s">
        <v>148</v>
      </c>
      <c r="B199" s="445" t="s">
        <v>1115</v>
      </c>
      <c r="C199" s="445" t="s">
        <v>1116</v>
      </c>
      <c r="D199" s="458" t="s">
        <v>354</v>
      </c>
      <c r="E199" s="445">
        <v>4.0</v>
      </c>
      <c r="F199" s="458" t="s">
        <v>207</v>
      </c>
      <c r="G199" s="446"/>
      <c r="H199" s="446"/>
      <c r="I199" s="447" t="s">
        <v>1129</v>
      </c>
      <c r="J199" s="453" t="s">
        <v>829</v>
      </c>
      <c r="K199" s="445" t="s">
        <v>798</v>
      </c>
      <c r="L199" s="445">
        <v>1700.0</v>
      </c>
    </row>
    <row r="200">
      <c r="A200" s="449" t="s">
        <v>128</v>
      </c>
      <c r="B200" s="449" t="s">
        <v>1115</v>
      </c>
      <c r="C200" s="449" t="s">
        <v>1116</v>
      </c>
      <c r="D200" s="456" t="s">
        <v>341</v>
      </c>
      <c r="E200" s="449">
        <v>4.0</v>
      </c>
      <c r="F200" s="449" t="s">
        <v>211</v>
      </c>
      <c r="G200" s="450"/>
      <c r="H200" s="450"/>
      <c r="I200" s="451" t="s">
        <v>1130</v>
      </c>
      <c r="J200" s="452" t="s">
        <v>829</v>
      </c>
      <c r="K200" s="449" t="s">
        <v>798</v>
      </c>
      <c r="L200" s="449">
        <v>1000.0</v>
      </c>
    </row>
    <row r="201">
      <c r="A201" s="458" t="s">
        <v>138</v>
      </c>
      <c r="B201" s="445" t="s">
        <v>1115</v>
      </c>
      <c r="C201" s="445" t="s">
        <v>1116</v>
      </c>
      <c r="D201" s="458" t="s">
        <v>360</v>
      </c>
      <c r="E201" s="445">
        <v>5.0</v>
      </c>
      <c r="F201" s="458" t="s">
        <v>211</v>
      </c>
      <c r="G201" s="446"/>
      <c r="H201" s="446"/>
      <c r="I201" s="447" t="s">
        <v>1131</v>
      </c>
      <c r="J201" s="453" t="s">
        <v>829</v>
      </c>
      <c r="K201" s="445" t="s">
        <v>798</v>
      </c>
      <c r="L201" s="445">
        <v>1500.0</v>
      </c>
    </row>
    <row r="202">
      <c r="A202" s="449" t="s">
        <v>142</v>
      </c>
      <c r="B202" s="449" t="s">
        <v>1115</v>
      </c>
      <c r="C202" s="449" t="s">
        <v>1116</v>
      </c>
      <c r="D202" s="456" t="s">
        <v>364</v>
      </c>
      <c r="E202" s="449">
        <v>5.0</v>
      </c>
      <c r="F202" s="456" t="s">
        <v>236</v>
      </c>
      <c r="G202" s="450"/>
      <c r="H202" s="450"/>
      <c r="I202" s="451" t="s">
        <v>1132</v>
      </c>
      <c r="J202" s="452" t="s">
        <v>829</v>
      </c>
      <c r="K202" s="449" t="s">
        <v>798</v>
      </c>
      <c r="L202" s="449">
        <v>1500.0</v>
      </c>
    </row>
    <row r="203">
      <c r="A203" s="445" t="s">
        <v>139</v>
      </c>
      <c r="B203" s="445" t="s">
        <v>1115</v>
      </c>
      <c r="C203" s="445" t="s">
        <v>1116</v>
      </c>
      <c r="D203" s="458" t="s">
        <v>365</v>
      </c>
      <c r="E203" s="445">
        <v>5.0</v>
      </c>
      <c r="F203" s="458" t="s">
        <v>258</v>
      </c>
      <c r="G203" s="446"/>
      <c r="H203" s="446"/>
      <c r="I203" s="447" t="s">
        <v>1133</v>
      </c>
      <c r="J203" s="453" t="s">
        <v>829</v>
      </c>
      <c r="K203" s="445" t="s">
        <v>798</v>
      </c>
      <c r="L203" s="445">
        <v>2500.0</v>
      </c>
    </row>
    <row r="204">
      <c r="A204" s="456" t="s">
        <v>146</v>
      </c>
      <c r="B204" s="449" t="s">
        <v>1115</v>
      </c>
      <c r="C204" s="449" t="s">
        <v>1116</v>
      </c>
      <c r="D204" s="456" t="s">
        <v>368</v>
      </c>
      <c r="E204" s="449">
        <v>4.0</v>
      </c>
      <c r="F204" s="456" t="s">
        <v>253</v>
      </c>
      <c r="G204" s="450"/>
      <c r="H204" s="450"/>
      <c r="I204" s="451" t="s">
        <v>1134</v>
      </c>
      <c r="J204" s="452" t="s">
        <v>829</v>
      </c>
      <c r="K204" s="449" t="s">
        <v>798</v>
      </c>
      <c r="L204" s="449">
        <v>3000.0</v>
      </c>
    </row>
    <row r="205">
      <c r="A205" s="458" t="s">
        <v>149</v>
      </c>
      <c r="B205" s="445" t="s">
        <v>1115</v>
      </c>
      <c r="C205" s="445" t="s">
        <v>1116</v>
      </c>
      <c r="D205" s="458" t="s">
        <v>372</v>
      </c>
      <c r="E205" s="445">
        <v>5.0</v>
      </c>
      <c r="F205" s="458" t="s">
        <v>373</v>
      </c>
      <c r="G205" s="446"/>
      <c r="H205" s="446"/>
      <c r="I205" s="447" t="s">
        <v>1135</v>
      </c>
      <c r="J205" s="453" t="s">
        <v>829</v>
      </c>
      <c r="K205" s="445" t="s">
        <v>798</v>
      </c>
      <c r="L205" s="445">
        <v>3500.0</v>
      </c>
    </row>
    <row r="206">
      <c r="A206" s="456" t="s">
        <v>151</v>
      </c>
      <c r="B206" s="449" t="s">
        <v>1115</v>
      </c>
      <c r="C206" s="449" t="s">
        <v>1116</v>
      </c>
      <c r="D206" s="456" t="s">
        <v>372</v>
      </c>
      <c r="E206" s="449">
        <v>5.0</v>
      </c>
      <c r="F206" s="456" t="s">
        <v>373</v>
      </c>
      <c r="G206" s="450"/>
      <c r="H206" s="450"/>
      <c r="I206" s="451" t="s">
        <v>1136</v>
      </c>
      <c r="J206" s="452" t="s">
        <v>829</v>
      </c>
      <c r="K206" s="449" t="s">
        <v>798</v>
      </c>
      <c r="L206" s="449">
        <v>3500.0</v>
      </c>
    </row>
    <row r="207">
      <c r="A207" s="445" t="s">
        <v>132</v>
      </c>
      <c r="B207" s="445" t="s">
        <v>1115</v>
      </c>
      <c r="C207" s="445" t="s">
        <v>1116</v>
      </c>
      <c r="D207" s="458" t="s">
        <v>381</v>
      </c>
      <c r="E207" s="445">
        <v>5.0</v>
      </c>
      <c r="F207" s="458" t="s">
        <v>382</v>
      </c>
      <c r="G207" s="446"/>
      <c r="H207" s="446"/>
      <c r="I207" s="447" t="s">
        <v>1137</v>
      </c>
      <c r="J207" s="453" t="s">
        <v>829</v>
      </c>
      <c r="K207" s="445" t="s">
        <v>798</v>
      </c>
      <c r="L207" s="445">
        <v>2500.0</v>
      </c>
    </row>
    <row r="208">
      <c r="A208" s="456" t="s">
        <v>143</v>
      </c>
      <c r="B208" s="449" t="s">
        <v>1115</v>
      </c>
      <c r="C208" s="449" t="s">
        <v>1116</v>
      </c>
      <c r="D208" s="456" t="s">
        <v>387</v>
      </c>
      <c r="E208" s="449">
        <v>5.0</v>
      </c>
      <c r="F208" s="456" t="s">
        <v>388</v>
      </c>
      <c r="G208" s="450"/>
      <c r="H208" s="450"/>
      <c r="I208" s="451" t="s">
        <v>1138</v>
      </c>
      <c r="J208" s="452" t="s">
        <v>829</v>
      </c>
      <c r="K208" s="449" t="s">
        <v>798</v>
      </c>
      <c r="L208" s="449">
        <v>2500.0</v>
      </c>
    </row>
    <row r="209">
      <c r="A209" s="458" t="s">
        <v>136</v>
      </c>
      <c r="B209" s="445" t="s">
        <v>1115</v>
      </c>
      <c r="C209" s="445" t="s">
        <v>1116</v>
      </c>
      <c r="D209" s="458" t="s">
        <v>392</v>
      </c>
      <c r="E209" s="445">
        <v>5.0</v>
      </c>
      <c r="F209" s="458" t="s">
        <v>393</v>
      </c>
      <c r="G209" s="446"/>
      <c r="H209" s="446"/>
      <c r="I209" s="447" t="s">
        <v>1139</v>
      </c>
      <c r="J209" s="453" t="s">
        <v>829</v>
      </c>
      <c r="K209" s="445" t="s">
        <v>798</v>
      </c>
      <c r="L209" s="445">
        <v>6500.0</v>
      </c>
    </row>
    <row r="210">
      <c r="A210" s="456" t="s">
        <v>140</v>
      </c>
      <c r="B210" s="449" t="s">
        <v>1115</v>
      </c>
      <c r="C210" s="449" t="s">
        <v>1116</v>
      </c>
      <c r="D210" s="456" t="s">
        <v>372</v>
      </c>
      <c r="E210" s="449">
        <v>6.0</v>
      </c>
      <c r="F210" s="456" t="s">
        <v>373</v>
      </c>
      <c r="G210" s="450"/>
      <c r="H210" s="450"/>
      <c r="I210" s="451" t="s">
        <v>1140</v>
      </c>
      <c r="J210" s="452" t="s">
        <v>829</v>
      </c>
      <c r="K210" s="449" t="s">
        <v>798</v>
      </c>
      <c r="L210" s="449">
        <v>7000.0</v>
      </c>
    </row>
    <row r="211">
      <c r="A211" s="458" t="s">
        <v>144</v>
      </c>
      <c r="B211" s="445" t="s">
        <v>1115</v>
      </c>
      <c r="C211" s="445" t="s">
        <v>1116</v>
      </c>
      <c r="D211" s="458" t="s">
        <v>400</v>
      </c>
      <c r="E211" s="445">
        <v>6.0</v>
      </c>
      <c r="F211" s="458" t="s">
        <v>253</v>
      </c>
      <c r="G211" s="446"/>
      <c r="H211" s="446"/>
      <c r="I211" s="447" t="s">
        <v>1141</v>
      </c>
      <c r="J211" s="453" t="s">
        <v>829</v>
      </c>
      <c r="K211" s="445" t="s">
        <v>798</v>
      </c>
      <c r="L211" s="445">
        <v>16000.0</v>
      </c>
    </row>
    <row r="212">
      <c r="A212" s="456" t="s">
        <v>152</v>
      </c>
      <c r="B212" s="449" t="s">
        <v>1115</v>
      </c>
      <c r="C212" s="449" t="s">
        <v>1116</v>
      </c>
      <c r="D212" s="456" t="s">
        <v>404</v>
      </c>
      <c r="E212" s="449">
        <v>6.0</v>
      </c>
      <c r="F212" s="456" t="s">
        <v>405</v>
      </c>
      <c r="G212" s="450"/>
      <c r="H212" s="450"/>
      <c r="I212" s="451" t="s">
        <v>1142</v>
      </c>
      <c r="J212" s="452" t="s">
        <v>829</v>
      </c>
      <c r="K212" s="449" t="s">
        <v>798</v>
      </c>
      <c r="L212" s="449">
        <v>6000.0</v>
      </c>
    </row>
    <row r="213">
      <c r="A213" s="458" t="s">
        <v>153</v>
      </c>
      <c r="B213" s="445" t="s">
        <v>1115</v>
      </c>
      <c r="C213" s="445" t="s">
        <v>1116</v>
      </c>
      <c r="D213" s="458" t="s">
        <v>409</v>
      </c>
      <c r="E213" s="445">
        <v>7.0</v>
      </c>
      <c r="F213" s="458" t="s">
        <v>410</v>
      </c>
      <c r="G213" s="446"/>
      <c r="H213" s="446"/>
      <c r="I213" s="447" t="s">
        <v>1143</v>
      </c>
      <c r="J213" s="453" t="s">
        <v>829</v>
      </c>
      <c r="K213" s="445" t="s">
        <v>798</v>
      </c>
      <c r="L213" s="445">
        <v>20000.0</v>
      </c>
    </row>
    <row r="214">
      <c r="A214" s="449" t="s">
        <v>154</v>
      </c>
      <c r="B214" s="449" t="s">
        <v>1115</v>
      </c>
      <c r="C214" s="449" t="s">
        <v>1116</v>
      </c>
      <c r="D214" s="456" t="s">
        <v>365</v>
      </c>
      <c r="E214" s="449">
        <v>5.0</v>
      </c>
      <c r="F214" s="449" t="s">
        <v>414</v>
      </c>
      <c r="G214" s="450"/>
      <c r="H214" s="450"/>
      <c r="I214" s="451" t="s">
        <v>1144</v>
      </c>
      <c r="J214" s="452" t="s">
        <v>829</v>
      </c>
      <c r="K214" s="449" t="s">
        <v>798</v>
      </c>
      <c r="L214" s="449">
        <v>5000.0</v>
      </c>
    </row>
    <row r="215">
      <c r="A215" s="445" t="s">
        <v>155</v>
      </c>
      <c r="B215" s="445" t="s">
        <v>1115</v>
      </c>
      <c r="C215" s="445" t="s">
        <v>1116</v>
      </c>
      <c r="D215" s="458" t="s">
        <v>381</v>
      </c>
      <c r="E215" s="445">
        <v>6.0</v>
      </c>
      <c r="F215" s="445" t="s">
        <v>418</v>
      </c>
      <c r="G215" s="446"/>
      <c r="H215" s="446"/>
      <c r="I215" s="447" t="s">
        <v>1145</v>
      </c>
      <c r="J215" s="453" t="s">
        <v>829</v>
      </c>
      <c r="K215" s="445" t="s">
        <v>798</v>
      </c>
      <c r="L215" s="445">
        <v>3000.0</v>
      </c>
    </row>
    <row r="216">
      <c r="A216" s="449" t="s">
        <v>419</v>
      </c>
      <c r="B216" s="449" t="s">
        <v>1115</v>
      </c>
      <c r="C216" s="449" t="s">
        <v>1116</v>
      </c>
      <c r="D216" s="456" t="s">
        <v>409</v>
      </c>
      <c r="E216" s="449">
        <v>6.0</v>
      </c>
      <c r="F216" s="449" t="s">
        <v>393</v>
      </c>
      <c r="G216" s="450"/>
      <c r="H216" s="450"/>
      <c r="I216" s="451" t="s">
        <v>1146</v>
      </c>
      <c r="J216" s="452" t="s">
        <v>829</v>
      </c>
      <c r="K216" s="449" t="s">
        <v>798</v>
      </c>
      <c r="L216" s="449">
        <v>20000.0</v>
      </c>
    </row>
    <row r="217">
      <c r="A217" s="445" t="s">
        <v>543</v>
      </c>
      <c r="B217" s="445" t="s">
        <v>1147</v>
      </c>
      <c r="C217" s="445" t="s">
        <v>1116</v>
      </c>
      <c r="D217" s="458" t="s">
        <v>327</v>
      </c>
      <c r="E217" s="445">
        <v>3.0</v>
      </c>
      <c r="F217" s="445" t="s">
        <v>203</v>
      </c>
      <c r="G217" s="446"/>
      <c r="H217" s="446"/>
      <c r="I217" s="447" t="s">
        <v>1148</v>
      </c>
      <c r="J217" s="453" t="s">
        <v>829</v>
      </c>
      <c r="K217" s="445" t="s">
        <v>798</v>
      </c>
      <c r="L217" s="445">
        <v>1000.0</v>
      </c>
    </row>
    <row r="218">
      <c r="A218" s="449" t="s">
        <v>546</v>
      </c>
      <c r="B218" s="449" t="s">
        <v>1147</v>
      </c>
      <c r="C218" s="449" t="s">
        <v>1116</v>
      </c>
      <c r="D218" s="456" t="s">
        <v>547</v>
      </c>
      <c r="E218" s="449">
        <v>4.0</v>
      </c>
      <c r="F218" s="449" t="s">
        <v>199</v>
      </c>
      <c r="G218" s="450"/>
      <c r="H218" s="450"/>
      <c r="I218" s="451" t="s">
        <v>1149</v>
      </c>
      <c r="J218" s="452" t="s">
        <v>829</v>
      </c>
      <c r="K218" s="449" t="s">
        <v>798</v>
      </c>
      <c r="L218" s="449">
        <v>700.0</v>
      </c>
    </row>
    <row r="219">
      <c r="A219" s="445" t="s">
        <v>549</v>
      </c>
      <c r="B219" s="445" t="s">
        <v>1147</v>
      </c>
      <c r="C219" s="445" t="s">
        <v>1116</v>
      </c>
      <c r="D219" s="458" t="s">
        <v>339</v>
      </c>
      <c r="E219" s="445">
        <v>3.0</v>
      </c>
      <c r="F219" s="445" t="s">
        <v>225</v>
      </c>
      <c r="G219" s="446"/>
      <c r="H219" s="446"/>
      <c r="I219" s="447" t="s">
        <v>1150</v>
      </c>
      <c r="J219" s="453" t="s">
        <v>829</v>
      </c>
      <c r="K219" s="445" t="s">
        <v>798</v>
      </c>
      <c r="L219" s="445">
        <v>500.0</v>
      </c>
    </row>
    <row r="220">
      <c r="A220" s="449" t="s">
        <v>552</v>
      </c>
      <c r="B220" s="449" t="s">
        <v>1147</v>
      </c>
      <c r="C220" s="449" t="s">
        <v>1116</v>
      </c>
      <c r="D220" s="456" t="s">
        <v>293</v>
      </c>
      <c r="E220" s="449">
        <v>3.0</v>
      </c>
      <c r="F220" s="449" t="s">
        <v>203</v>
      </c>
      <c r="G220" s="450"/>
      <c r="H220" s="450"/>
      <c r="I220" s="451" t="s">
        <v>1151</v>
      </c>
      <c r="J220" s="452" t="s">
        <v>829</v>
      </c>
      <c r="K220" s="449" t="s">
        <v>798</v>
      </c>
      <c r="L220" s="449">
        <v>800.0</v>
      </c>
    </row>
    <row r="221">
      <c r="A221" s="445" t="s">
        <v>555</v>
      </c>
      <c r="B221" s="445" t="s">
        <v>1147</v>
      </c>
      <c r="C221" s="445" t="s">
        <v>1116</v>
      </c>
      <c r="D221" s="458" t="s">
        <v>332</v>
      </c>
      <c r="E221" s="445">
        <v>3.0</v>
      </c>
      <c r="F221" s="445" t="s">
        <v>199</v>
      </c>
      <c r="G221" s="446"/>
      <c r="H221" s="446"/>
      <c r="I221" s="447" t="s">
        <v>1152</v>
      </c>
      <c r="J221" s="453" t="s">
        <v>829</v>
      </c>
      <c r="K221" s="445" t="s">
        <v>798</v>
      </c>
      <c r="L221" s="445">
        <v>1000.0</v>
      </c>
    </row>
    <row r="222">
      <c r="A222" s="449" t="s">
        <v>557</v>
      </c>
      <c r="B222" s="449" t="s">
        <v>1147</v>
      </c>
      <c r="C222" s="449" t="s">
        <v>1116</v>
      </c>
      <c r="D222" s="456" t="s">
        <v>267</v>
      </c>
      <c r="E222" s="449">
        <v>2.0</v>
      </c>
      <c r="F222" s="449" t="s">
        <v>199</v>
      </c>
      <c r="G222" s="450"/>
      <c r="H222" s="450"/>
      <c r="I222" s="451" t="s">
        <v>1153</v>
      </c>
      <c r="J222" s="452" t="s">
        <v>829</v>
      </c>
      <c r="K222" s="449" t="s">
        <v>798</v>
      </c>
      <c r="L222" s="449">
        <v>200.0</v>
      </c>
    </row>
    <row r="223">
      <c r="A223" s="445" t="s">
        <v>559</v>
      </c>
      <c r="B223" s="445" t="s">
        <v>1147</v>
      </c>
      <c r="C223" s="445" t="s">
        <v>1116</v>
      </c>
      <c r="D223" s="458" t="s">
        <v>341</v>
      </c>
      <c r="E223" s="445">
        <v>4.0</v>
      </c>
      <c r="F223" s="445" t="s">
        <v>199</v>
      </c>
      <c r="G223" s="446"/>
      <c r="H223" s="446"/>
      <c r="I223" s="447" t="s">
        <v>1154</v>
      </c>
      <c r="J223" s="453" t="s">
        <v>829</v>
      </c>
      <c r="K223" s="445" t="s">
        <v>798</v>
      </c>
      <c r="L223" s="445">
        <v>1000.0</v>
      </c>
    </row>
    <row r="224">
      <c r="A224" s="449" t="s">
        <v>561</v>
      </c>
      <c r="B224" s="449" t="s">
        <v>1147</v>
      </c>
      <c r="C224" s="449" t="s">
        <v>1116</v>
      </c>
      <c r="D224" s="456" t="s">
        <v>327</v>
      </c>
      <c r="E224" s="449">
        <v>3.0</v>
      </c>
      <c r="F224" s="449" t="s">
        <v>203</v>
      </c>
      <c r="G224" s="450"/>
      <c r="H224" s="450"/>
      <c r="I224" s="451" t="s">
        <v>1155</v>
      </c>
      <c r="J224" s="452" t="s">
        <v>829</v>
      </c>
      <c r="K224" s="449" t="s">
        <v>798</v>
      </c>
      <c r="L224" s="449">
        <v>1000.0</v>
      </c>
    </row>
    <row r="225">
      <c r="A225" s="445" t="s">
        <v>564</v>
      </c>
      <c r="B225" s="445" t="s">
        <v>1147</v>
      </c>
      <c r="C225" s="445" t="s">
        <v>1116</v>
      </c>
      <c r="D225" s="458" t="s">
        <v>547</v>
      </c>
      <c r="E225" s="445">
        <v>4.0</v>
      </c>
      <c r="F225" s="445" t="s">
        <v>565</v>
      </c>
      <c r="G225" s="446"/>
      <c r="H225" s="446"/>
      <c r="I225" s="447" t="s">
        <v>1156</v>
      </c>
      <c r="J225" s="453" t="s">
        <v>829</v>
      </c>
      <c r="K225" s="445" t="s">
        <v>798</v>
      </c>
      <c r="L225" s="445">
        <v>1400.0</v>
      </c>
    </row>
    <row r="226">
      <c r="A226" s="449" t="s">
        <v>568</v>
      </c>
      <c r="B226" s="449" t="s">
        <v>1147</v>
      </c>
      <c r="C226" s="449" t="s">
        <v>1116</v>
      </c>
      <c r="D226" s="456" t="s">
        <v>569</v>
      </c>
      <c r="E226" s="449">
        <v>4.0</v>
      </c>
      <c r="F226" s="449" t="s">
        <v>565</v>
      </c>
      <c r="G226" s="450"/>
      <c r="H226" s="450"/>
      <c r="I226" s="451" t="s">
        <v>1157</v>
      </c>
      <c r="J226" s="452" t="s">
        <v>829</v>
      </c>
      <c r="K226" s="449" t="s">
        <v>798</v>
      </c>
      <c r="L226" s="449">
        <v>1500.0</v>
      </c>
    </row>
    <row r="227">
      <c r="A227" s="445" t="s">
        <v>571</v>
      </c>
      <c r="B227" s="445" t="s">
        <v>1147</v>
      </c>
      <c r="C227" s="445" t="s">
        <v>1116</v>
      </c>
      <c r="D227" s="458" t="s">
        <v>572</v>
      </c>
      <c r="E227" s="445">
        <v>6.0</v>
      </c>
      <c r="F227" s="445" t="s">
        <v>199</v>
      </c>
      <c r="G227" s="446"/>
      <c r="H227" s="446"/>
      <c r="I227" s="447" t="s">
        <v>1158</v>
      </c>
      <c r="J227" s="453" t="s">
        <v>829</v>
      </c>
      <c r="K227" s="445" t="s">
        <v>798</v>
      </c>
      <c r="L227" s="445">
        <v>6000.0</v>
      </c>
    </row>
    <row r="228">
      <c r="A228" s="449" t="s">
        <v>574</v>
      </c>
      <c r="B228" s="449" t="s">
        <v>1147</v>
      </c>
      <c r="C228" s="449" t="s">
        <v>1116</v>
      </c>
      <c r="D228" s="456" t="s">
        <v>575</v>
      </c>
      <c r="E228" s="449">
        <v>6.0</v>
      </c>
      <c r="F228" s="449" t="s">
        <v>207</v>
      </c>
      <c r="G228" s="450"/>
      <c r="H228" s="450"/>
      <c r="I228" s="451" t="s">
        <v>1159</v>
      </c>
      <c r="J228" s="452" t="s">
        <v>829</v>
      </c>
      <c r="K228" s="449" t="s">
        <v>798</v>
      </c>
      <c r="L228" s="449">
        <v>8000.0</v>
      </c>
    </row>
    <row r="229">
      <c r="A229" s="445" t="s">
        <v>577</v>
      </c>
      <c r="B229" s="445" t="s">
        <v>1147</v>
      </c>
      <c r="C229" s="445" t="s">
        <v>1116</v>
      </c>
      <c r="D229" s="458" t="s">
        <v>341</v>
      </c>
      <c r="E229" s="445">
        <v>4.0</v>
      </c>
      <c r="F229" s="445" t="s">
        <v>203</v>
      </c>
      <c r="G229" s="446"/>
      <c r="H229" s="446"/>
      <c r="I229" s="447" t="s">
        <v>1160</v>
      </c>
      <c r="J229" s="453" t="s">
        <v>829</v>
      </c>
      <c r="K229" s="445" t="s">
        <v>798</v>
      </c>
      <c r="L229" s="445">
        <v>2000.0</v>
      </c>
    </row>
    <row r="230">
      <c r="A230" s="449" t="s">
        <v>582</v>
      </c>
      <c r="B230" s="449" t="s">
        <v>1147</v>
      </c>
      <c r="C230" s="449" t="s">
        <v>1116</v>
      </c>
      <c r="D230" s="456" t="s">
        <v>583</v>
      </c>
      <c r="E230" s="449">
        <v>5.0</v>
      </c>
      <c r="F230" s="449" t="s">
        <v>225</v>
      </c>
      <c r="G230" s="450"/>
      <c r="H230" s="450"/>
      <c r="I230" s="451" t="s">
        <v>1161</v>
      </c>
      <c r="J230" s="452" t="s">
        <v>829</v>
      </c>
      <c r="K230" s="449" t="s">
        <v>798</v>
      </c>
      <c r="L230" s="449">
        <v>6000.0</v>
      </c>
    </row>
    <row r="231">
      <c r="A231" s="445" t="s">
        <v>586</v>
      </c>
      <c r="B231" s="445" t="s">
        <v>1147</v>
      </c>
      <c r="C231" s="445" t="s">
        <v>1116</v>
      </c>
      <c r="D231" s="458" t="s">
        <v>365</v>
      </c>
      <c r="E231" s="445">
        <v>5.0</v>
      </c>
      <c r="F231" s="445" t="s">
        <v>26</v>
      </c>
      <c r="G231" s="446"/>
      <c r="H231" s="446"/>
      <c r="I231" s="447" t="s">
        <v>1162</v>
      </c>
      <c r="J231" s="453" t="s">
        <v>829</v>
      </c>
      <c r="K231" s="445" t="s">
        <v>798</v>
      </c>
      <c r="L231" s="445">
        <v>2000.0</v>
      </c>
    </row>
    <row r="232">
      <c r="A232" s="449" t="s">
        <v>589</v>
      </c>
      <c r="B232" s="449" t="s">
        <v>1147</v>
      </c>
      <c r="C232" s="449" t="s">
        <v>1116</v>
      </c>
      <c r="D232" s="456" t="s">
        <v>365</v>
      </c>
      <c r="E232" s="449">
        <v>5.0</v>
      </c>
      <c r="F232" s="449" t="s">
        <v>26</v>
      </c>
      <c r="G232" s="450"/>
      <c r="H232" s="450"/>
      <c r="I232" s="451" t="s">
        <v>1163</v>
      </c>
      <c r="J232" s="452" t="s">
        <v>829</v>
      </c>
      <c r="K232" s="449" t="s">
        <v>798</v>
      </c>
      <c r="L232" s="449">
        <v>2000.0</v>
      </c>
    </row>
    <row r="233">
      <c r="A233" s="445" t="s">
        <v>592</v>
      </c>
      <c r="B233" s="445" t="s">
        <v>1147</v>
      </c>
      <c r="C233" s="445" t="s">
        <v>1116</v>
      </c>
      <c r="D233" s="458" t="s">
        <v>593</v>
      </c>
      <c r="E233" s="445">
        <v>5.0</v>
      </c>
      <c r="F233" s="445" t="s">
        <v>594</v>
      </c>
      <c r="G233" s="446"/>
      <c r="H233" s="446"/>
      <c r="I233" s="447" t="s">
        <v>1164</v>
      </c>
      <c r="J233" s="453" t="s">
        <v>829</v>
      </c>
      <c r="K233" s="445" t="s">
        <v>798</v>
      </c>
      <c r="L233" s="445">
        <v>4000.0</v>
      </c>
    </row>
    <row r="234">
      <c r="A234" s="449" t="s">
        <v>596</v>
      </c>
      <c r="B234" s="449" t="s">
        <v>1147</v>
      </c>
      <c r="C234" s="449" t="s">
        <v>1116</v>
      </c>
      <c r="D234" s="456" t="s">
        <v>593</v>
      </c>
      <c r="E234" s="449">
        <v>5.0</v>
      </c>
      <c r="F234" s="449" t="s">
        <v>597</v>
      </c>
      <c r="G234" s="450"/>
      <c r="H234" s="450"/>
      <c r="I234" s="451" t="s">
        <v>1165</v>
      </c>
      <c r="J234" s="452" t="s">
        <v>829</v>
      </c>
      <c r="K234" s="449" t="s">
        <v>798</v>
      </c>
      <c r="L234" s="449">
        <v>4000.0</v>
      </c>
    </row>
    <row r="235">
      <c r="A235" s="445" t="s">
        <v>599</v>
      </c>
      <c r="B235" s="445" t="s">
        <v>1147</v>
      </c>
      <c r="C235" s="445" t="s">
        <v>1116</v>
      </c>
      <c r="D235" s="458" t="s">
        <v>593</v>
      </c>
      <c r="E235" s="445">
        <v>5.0</v>
      </c>
      <c r="F235" s="445" t="s">
        <v>26</v>
      </c>
      <c r="G235" s="446"/>
      <c r="H235" s="446"/>
      <c r="I235" s="447" t="s">
        <v>1166</v>
      </c>
      <c r="J235" s="453" t="s">
        <v>829</v>
      </c>
      <c r="K235" s="445" t="s">
        <v>798</v>
      </c>
      <c r="L235" s="445">
        <v>4000.0</v>
      </c>
    </row>
    <row r="236">
      <c r="A236" s="449" t="s">
        <v>601</v>
      </c>
      <c r="B236" s="449" t="s">
        <v>1147</v>
      </c>
      <c r="C236" s="449" t="s">
        <v>1116</v>
      </c>
      <c r="D236" s="456" t="s">
        <v>593</v>
      </c>
      <c r="E236" s="449">
        <v>5.0</v>
      </c>
      <c r="F236" s="449" t="s">
        <v>26</v>
      </c>
      <c r="G236" s="450"/>
      <c r="H236" s="450"/>
      <c r="I236" s="451" t="s">
        <v>1167</v>
      </c>
      <c r="J236" s="452" t="s">
        <v>829</v>
      </c>
      <c r="K236" s="449" t="s">
        <v>798</v>
      </c>
      <c r="L236" s="449">
        <v>4000.0</v>
      </c>
    </row>
    <row r="237">
      <c r="A237" s="445" t="s">
        <v>603</v>
      </c>
      <c r="B237" s="445" t="s">
        <v>1147</v>
      </c>
      <c r="C237" s="445" t="s">
        <v>1116</v>
      </c>
      <c r="D237" s="445" t="s">
        <v>1087</v>
      </c>
      <c r="E237" s="445">
        <v>0.0</v>
      </c>
      <c r="F237" s="445" t="s">
        <v>604</v>
      </c>
      <c r="G237" s="446"/>
      <c r="H237" s="446"/>
      <c r="I237" s="447" t="s">
        <v>1168</v>
      </c>
      <c r="J237" s="453" t="s">
        <v>829</v>
      </c>
      <c r="K237" s="445" t="s">
        <v>798</v>
      </c>
      <c r="L237" s="445">
        <v>500000.0</v>
      </c>
    </row>
    <row r="238">
      <c r="A238" s="449" t="s">
        <v>606</v>
      </c>
      <c r="B238" s="449" t="s">
        <v>1147</v>
      </c>
      <c r="C238" s="449" t="s">
        <v>1116</v>
      </c>
      <c r="D238" s="456" t="s">
        <v>583</v>
      </c>
      <c r="E238" s="449">
        <v>5.0</v>
      </c>
      <c r="F238" s="449" t="s">
        <v>26</v>
      </c>
      <c r="G238" s="450"/>
      <c r="H238" s="450"/>
      <c r="I238" s="451" t="s">
        <v>1169</v>
      </c>
      <c r="J238" s="452" t="s">
        <v>829</v>
      </c>
      <c r="K238" s="449" t="s">
        <v>798</v>
      </c>
      <c r="L238" s="449">
        <v>3000.0</v>
      </c>
    </row>
    <row r="239">
      <c r="A239" s="445" t="s">
        <v>609</v>
      </c>
      <c r="B239" s="445" t="s">
        <v>1147</v>
      </c>
      <c r="C239" s="445" t="s">
        <v>1116</v>
      </c>
      <c r="D239" s="458" t="s">
        <v>610</v>
      </c>
      <c r="E239" s="445">
        <v>6.0</v>
      </c>
      <c r="F239" s="445" t="s">
        <v>26</v>
      </c>
      <c r="G239" s="446"/>
      <c r="H239" s="446"/>
      <c r="I239" s="447" t="s">
        <v>1170</v>
      </c>
      <c r="J239" s="453" t="s">
        <v>829</v>
      </c>
      <c r="K239" s="445" t="s">
        <v>798</v>
      </c>
      <c r="L239" s="445">
        <v>5000.0</v>
      </c>
    </row>
    <row r="240">
      <c r="A240" s="449" t="s">
        <v>613</v>
      </c>
      <c r="B240" s="449" t="s">
        <v>1147</v>
      </c>
      <c r="C240" s="449" t="s">
        <v>1116</v>
      </c>
      <c r="D240" s="456" t="s">
        <v>341</v>
      </c>
      <c r="E240" s="449">
        <v>4.0</v>
      </c>
      <c r="F240" s="449" t="s">
        <v>203</v>
      </c>
      <c r="G240" s="450"/>
      <c r="H240" s="450"/>
      <c r="I240" s="451" t="s">
        <v>1171</v>
      </c>
      <c r="J240" s="452" t="s">
        <v>829</v>
      </c>
      <c r="K240" s="449" t="s">
        <v>798</v>
      </c>
      <c r="L240" s="449">
        <v>1000.0</v>
      </c>
    </row>
    <row r="241">
      <c r="A241" s="445" t="s">
        <v>616</v>
      </c>
      <c r="B241" s="445" t="s">
        <v>1147</v>
      </c>
      <c r="C241" s="445" t="s">
        <v>1116</v>
      </c>
      <c r="D241" s="458" t="s">
        <v>583</v>
      </c>
      <c r="E241" s="445">
        <v>5.0</v>
      </c>
      <c r="F241" s="445" t="s">
        <v>191</v>
      </c>
      <c r="G241" s="446"/>
      <c r="H241" s="446"/>
      <c r="I241" s="447" t="s">
        <v>1172</v>
      </c>
      <c r="J241" s="453" t="s">
        <v>829</v>
      </c>
      <c r="K241" s="445" t="s">
        <v>798</v>
      </c>
      <c r="L241" s="445">
        <v>3000.0</v>
      </c>
    </row>
    <row r="242">
      <c r="A242" s="450" t="str">
        <f t="shared" ref="A242:A255" si="1">A156 &amp; " для скакуна"</f>
        <v>Стёганый доспех для скакуна</v>
      </c>
      <c r="B242" s="449" t="s">
        <v>1173</v>
      </c>
      <c r="C242" s="449" t="s">
        <v>1071</v>
      </c>
      <c r="D242" s="456" t="str">
        <f>IFERROR(__xludf.DUMMYFUNCTION("REGEXREPLACE(D156, ""[^0-9]"", """")*2 &amp; "" зм"""),"10 зм")</f>
        <v>10 зм</v>
      </c>
      <c r="E242" s="450">
        <f t="shared" ref="E242:E255" si="2">E156+1</f>
        <v>2</v>
      </c>
      <c r="F242" s="456" t="str">
        <f>IFERROR(__xludf.DUMMYFUNCTION("REGEXREPLACE(F156, ""[^0-9]"", """")*2 &amp; "" фнт"""),"16 фнт")</f>
        <v>16 фнт</v>
      </c>
      <c r="G242" s="450"/>
      <c r="H242" s="450"/>
      <c r="I242" s="451" t="s">
        <v>1174</v>
      </c>
      <c r="J242" s="454" t="s">
        <v>860</v>
      </c>
      <c r="K242" s="449" t="s">
        <v>907</v>
      </c>
      <c r="L242" s="449">
        <f t="shared" ref="L242:L255" si="3">L156*4</f>
        <v>100</v>
      </c>
    </row>
    <row r="243">
      <c r="A243" s="446" t="str">
        <f t="shared" si="1"/>
        <v>Кожаный доспех для скакуна</v>
      </c>
      <c r="B243" s="445" t="s">
        <v>1173</v>
      </c>
      <c r="C243" s="445" t="s">
        <v>1071</v>
      </c>
      <c r="D243" s="458" t="str">
        <f>IFERROR(__xludf.DUMMYFUNCTION("REGEXREPLACE(D157, ""[^0-9]"", """")*4 &amp; "" зм"""),"40 зм")</f>
        <v>40 зм</v>
      </c>
      <c r="E243" s="446">
        <f t="shared" si="2"/>
        <v>2</v>
      </c>
      <c r="F243" s="458" t="str">
        <f>IFERROR(__xludf.DUMMYFUNCTION("REGEXREPLACE(F157, ""[^0-9]"", """")*2 &amp; "" фнт"""),"20 фнт")</f>
        <v>20 фнт</v>
      </c>
      <c r="G243" s="446"/>
      <c r="H243" s="446"/>
      <c r="I243" s="447" t="s">
        <v>1174</v>
      </c>
      <c r="J243" s="448" t="s">
        <v>787</v>
      </c>
      <c r="K243" s="445" t="s">
        <v>788</v>
      </c>
      <c r="L243" s="445">
        <f t="shared" si="3"/>
        <v>200</v>
      </c>
    </row>
    <row r="244">
      <c r="A244" s="450" t="str">
        <f t="shared" si="1"/>
        <v>Проклёпанный кожаный доспех для скакуна</v>
      </c>
      <c r="B244" s="449" t="s">
        <v>1173</v>
      </c>
      <c r="C244" s="449" t="s">
        <v>1071</v>
      </c>
      <c r="D244" s="456" t="str">
        <f>IFERROR(__xludf.DUMMYFUNCTION("REGEXREPLACE(D158, ""[^0-9]"", """")*4 &amp; "" зм"""),"180 зм")</f>
        <v>180 зм</v>
      </c>
      <c r="E244" s="450">
        <f t="shared" si="2"/>
        <v>3</v>
      </c>
      <c r="F244" s="456" t="str">
        <f>IFERROR(__xludf.DUMMYFUNCTION("REGEXREPLACE(F158, ""[^0-9]"", """")*2 &amp; "" фнт"""),"26 фнт")</f>
        <v>26 фнт</v>
      </c>
      <c r="G244" s="450"/>
      <c r="H244" s="450"/>
      <c r="I244" s="451" t="s">
        <v>1174</v>
      </c>
      <c r="J244" s="454" t="s">
        <v>787</v>
      </c>
      <c r="K244" s="449" t="s">
        <v>788</v>
      </c>
      <c r="L244" s="449">
        <f t="shared" si="3"/>
        <v>500</v>
      </c>
    </row>
    <row r="245">
      <c r="A245" s="446" t="str">
        <f t="shared" si="1"/>
        <v>Боевая броня шеф-повара для скакуна</v>
      </c>
      <c r="B245" s="445" t="s">
        <v>1173</v>
      </c>
      <c r="C245" s="445" t="s">
        <v>1071</v>
      </c>
      <c r="D245" s="458" t="str">
        <f>IFERROR(__xludf.DUMMYFUNCTION("REGEXREPLACE(D159, ""[^0-9]"", """")*4 &amp; "" зм"""),"60 зм")</f>
        <v>60 зм</v>
      </c>
      <c r="E245" s="446">
        <f t="shared" si="2"/>
        <v>3</v>
      </c>
      <c r="F245" s="458" t="str">
        <f>IFERROR(__xludf.DUMMYFUNCTION("REGEXREPLACE(F159, ""[^0-9]"", """")*2 &amp; "" фнт"""),"10 фнт")</f>
        <v>10 фнт</v>
      </c>
      <c r="G245" s="446"/>
      <c r="H245" s="446"/>
      <c r="I245" s="447" t="s">
        <v>1174</v>
      </c>
      <c r="J245" s="453" t="s">
        <v>829</v>
      </c>
      <c r="K245" s="445" t="s">
        <v>760</v>
      </c>
      <c r="L245" s="445">
        <f t="shared" si="3"/>
        <v>200</v>
      </c>
    </row>
    <row r="246">
      <c r="A246" s="450" t="str">
        <f t="shared" si="1"/>
        <v>Шкурный доспех для скакуна</v>
      </c>
      <c r="B246" s="449" t="s">
        <v>1173</v>
      </c>
      <c r="C246" s="449" t="s">
        <v>1071</v>
      </c>
      <c r="D246" s="456" t="str">
        <f>IFERROR(__xludf.DUMMYFUNCTION("REGEXREPLACE(D160, ""[^0-9]"", """")*4 &amp; "" зм"""),"40 зм")</f>
        <v>40 зм</v>
      </c>
      <c r="E246" s="450">
        <f t="shared" si="2"/>
        <v>2</v>
      </c>
      <c r="F246" s="456" t="str">
        <f>IFERROR(__xludf.DUMMYFUNCTION("REGEXREPLACE(F160, ""[^0-9]"", """")*2 &amp; "" фнт"""),"24 фнт")</f>
        <v>24 фнт</v>
      </c>
      <c r="G246" s="450"/>
      <c r="H246" s="450"/>
      <c r="I246" s="451" t="s">
        <v>1174</v>
      </c>
      <c r="J246" s="454" t="s">
        <v>787</v>
      </c>
      <c r="K246" s="449" t="s">
        <v>788</v>
      </c>
      <c r="L246" s="449">
        <f t="shared" si="3"/>
        <v>240</v>
      </c>
    </row>
    <row r="247">
      <c r="A247" s="446" t="str">
        <f t="shared" si="1"/>
        <v>Кольчужная рубаха для скакуна</v>
      </c>
      <c r="B247" s="445" t="s">
        <v>1173</v>
      </c>
      <c r="C247" s="445" t="s">
        <v>1071</v>
      </c>
      <c r="D247" s="458" t="str">
        <f>IFERROR(__xludf.DUMMYFUNCTION("REGEXREPLACE(D161, ""[^0-9]"", """")*4 &amp; "" зм"""),"200 зм")</f>
        <v>200 зм</v>
      </c>
      <c r="E247" s="446">
        <f t="shared" si="2"/>
        <v>3</v>
      </c>
      <c r="F247" s="458" t="str">
        <f>IFERROR(__xludf.DUMMYFUNCTION("REGEXREPLACE(F161, ""[^0-9]"", """")*2 &amp; "" фнт"""),"40 фнт")</f>
        <v>40 фнт</v>
      </c>
      <c r="G247" s="446"/>
      <c r="H247" s="446"/>
      <c r="I247" s="447" t="s">
        <v>1174</v>
      </c>
      <c r="J247" s="453" t="s">
        <v>759</v>
      </c>
      <c r="K247" s="445" t="s">
        <v>760</v>
      </c>
      <c r="L247" s="445">
        <f t="shared" si="3"/>
        <v>480</v>
      </c>
    </row>
    <row r="248">
      <c r="A248" s="450" t="str">
        <f t="shared" si="1"/>
        <v>Чешуйчатый доспех для скакуна</v>
      </c>
      <c r="B248" s="449" t="s">
        <v>1173</v>
      </c>
      <c r="C248" s="449" t="s">
        <v>1071</v>
      </c>
      <c r="D248" s="456" t="str">
        <f>IFERROR(__xludf.DUMMYFUNCTION("REGEXREPLACE(D162, ""[^0-9]"", """")*4 &amp; "" зм"""),"200 зм")</f>
        <v>200 зм</v>
      </c>
      <c r="E248" s="450">
        <f t="shared" si="2"/>
        <v>3</v>
      </c>
      <c r="F248" s="456" t="str">
        <f>IFERROR(__xludf.DUMMYFUNCTION("REGEXREPLACE(F162, ""[^0-9]"", """")*2 &amp; "" фнт"""),"90 фнт")</f>
        <v>90 фнт</v>
      </c>
      <c r="G248" s="450"/>
      <c r="H248" s="450"/>
      <c r="I248" s="451" t="s">
        <v>1174</v>
      </c>
      <c r="J248" s="452" t="s">
        <v>759</v>
      </c>
      <c r="K248" s="449" t="s">
        <v>760</v>
      </c>
      <c r="L248" s="449">
        <f t="shared" si="3"/>
        <v>800</v>
      </c>
    </row>
    <row r="249">
      <c r="A249" s="446" t="str">
        <f t="shared" si="1"/>
        <v>Кираса для скакуна</v>
      </c>
      <c r="B249" s="445" t="s">
        <v>1173</v>
      </c>
      <c r="C249" s="445" t="s">
        <v>1071</v>
      </c>
      <c r="D249" s="458" t="str">
        <f>IFERROR(__xludf.DUMMYFUNCTION("REGEXREPLACE(D163, ""[^0-9]"", """")*4 &amp; "" зм"""),"1600 зм")</f>
        <v>1600 зм</v>
      </c>
      <c r="E249" s="446">
        <f t="shared" si="2"/>
        <v>4</v>
      </c>
      <c r="F249" s="458" t="str">
        <f>IFERROR(__xludf.DUMMYFUNCTION("REGEXREPLACE(F163, ""[^0-9]"", """")*2 &amp; "" фнт"""),"40 фнт")</f>
        <v>40 фнт</v>
      </c>
      <c r="G249" s="446"/>
      <c r="H249" s="446"/>
      <c r="I249" s="447" t="s">
        <v>1174</v>
      </c>
      <c r="J249" s="453" t="s">
        <v>759</v>
      </c>
      <c r="K249" s="445" t="s">
        <v>760</v>
      </c>
      <c r="L249" s="445">
        <f t="shared" si="3"/>
        <v>2400</v>
      </c>
    </row>
    <row r="250">
      <c r="A250" s="450" t="str">
        <f t="shared" si="1"/>
        <v>Полулаты для скакуна</v>
      </c>
      <c r="B250" s="449" t="s">
        <v>1173</v>
      </c>
      <c r="C250" s="449" t="s">
        <v>1071</v>
      </c>
      <c r="D250" s="456" t="str">
        <f>IFERROR(__xludf.DUMMYFUNCTION("REGEXREPLACE(D164, ""[^0-9]"", """")*4 &amp; "" зм"""),"3000 зм")</f>
        <v>3000 зм</v>
      </c>
      <c r="E250" s="450">
        <f t="shared" si="2"/>
        <v>4</v>
      </c>
      <c r="F250" s="456" t="str">
        <f>IFERROR(__xludf.DUMMYFUNCTION("REGEXREPLACE(F164, ""[^0-9]"", """")*2 &amp; "" фнт"""),"80 фнт")</f>
        <v>80 фнт</v>
      </c>
      <c r="G250" s="450"/>
      <c r="H250" s="450"/>
      <c r="I250" s="451" t="s">
        <v>1174</v>
      </c>
      <c r="J250" s="452" t="s">
        <v>759</v>
      </c>
      <c r="K250" s="449" t="s">
        <v>760</v>
      </c>
      <c r="L250" s="449">
        <f t="shared" si="3"/>
        <v>6000</v>
      </c>
    </row>
    <row r="251">
      <c r="A251" s="446" t="str">
        <f t="shared" si="1"/>
        <v>Импровизированный доспех для скакуна</v>
      </c>
      <c r="B251" s="445" t="s">
        <v>1173</v>
      </c>
      <c r="C251" s="445" t="s">
        <v>1071</v>
      </c>
      <c r="D251" s="445" t="s">
        <v>1087</v>
      </c>
      <c r="E251" s="446">
        <f t="shared" si="2"/>
        <v>1</v>
      </c>
      <c r="F251" s="458" t="str">
        <f>IFERROR(__xludf.DUMMYFUNCTION("REGEXREPLACE(F165, ""[^0-9]"", """")*2 &amp; "" фнт"""),"20 фнт")</f>
        <v>20 фнт</v>
      </c>
      <c r="G251" s="446"/>
      <c r="H251" s="446"/>
      <c r="I251" s="447" t="s">
        <v>1174</v>
      </c>
      <c r="J251" s="453" t="s">
        <v>759</v>
      </c>
      <c r="K251" s="445" t="s">
        <v>760</v>
      </c>
      <c r="L251" s="445">
        <f t="shared" si="3"/>
        <v>200</v>
      </c>
    </row>
    <row r="252">
      <c r="A252" s="450" t="str">
        <f t="shared" si="1"/>
        <v>Колечный доспех для скакуна</v>
      </c>
      <c r="B252" s="449" t="s">
        <v>1173</v>
      </c>
      <c r="C252" s="449" t="s">
        <v>1071</v>
      </c>
      <c r="D252" s="456" t="str">
        <f>IFERROR(__xludf.DUMMYFUNCTION("REGEXREPLACE(D166, ""[^0-9]"", """")*4 &amp; "" зм"""),"120 зм")</f>
        <v>120 зм</v>
      </c>
      <c r="E252" s="450">
        <f t="shared" si="2"/>
        <v>2</v>
      </c>
      <c r="F252" s="456" t="str">
        <f>IFERROR(__xludf.DUMMYFUNCTION("REGEXREPLACE(F166, ""[^0-9]"", """")*2 &amp; "" фнт"""),"80 фнт")</f>
        <v>80 фнт</v>
      </c>
      <c r="G252" s="450"/>
      <c r="H252" s="450"/>
      <c r="I252" s="451" t="s">
        <v>1174</v>
      </c>
      <c r="J252" s="452" t="s">
        <v>759</v>
      </c>
      <c r="K252" s="449" t="s">
        <v>760</v>
      </c>
      <c r="L252" s="449">
        <f t="shared" si="3"/>
        <v>2000</v>
      </c>
    </row>
    <row r="253">
      <c r="A253" s="446" t="str">
        <f t="shared" si="1"/>
        <v>Кольчуга для скакуна</v>
      </c>
      <c r="B253" s="445" t="s">
        <v>1173</v>
      </c>
      <c r="C253" s="445" t="s">
        <v>1071</v>
      </c>
      <c r="D253" s="458" t="str">
        <f>IFERROR(__xludf.DUMMYFUNCTION("REGEXREPLACE(D167, ""[^0-9]"", """")*4 &amp; "" зм"""),"300 зм")</f>
        <v>300 зм</v>
      </c>
      <c r="E253" s="446">
        <f t="shared" si="2"/>
        <v>3</v>
      </c>
      <c r="F253" s="458" t="str">
        <f>IFERROR(__xludf.DUMMYFUNCTION("REGEXREPLACE(F167, ""[^0-9]"", """")*2 &amp; "" фнт"""),"110 фнт")</f>
        <v>110 фнт</v>
      </c>
      <c r="G253" s="446"/>
      <c r="H253" s="446"/>
      <c r="I253" s="447" t="s">
        <v>1174</v>
      </c>
      <c r="J253" s="453" t="s">
        <v>759</v>
      </c>
      <c r="K253" s="445" t="s">
        <v>760</v>
      </c>
      <c r="L253" s="445">
        <f t="shared" si="3"/>
        <v>4000</v>
      </c>
    </row>
    <row r="254">
      <c r="A254" s="450" t="str">
        <f t="shared" si="1"/>
        <v>Наборный доспех для скакуна</v>
      </c>
      <c r="B254" s="449" t="s">
        <v>1173</v>
      </c>
      <c r="C254" s="449" t="s">
        <v>1071</v>
      </c>
      <c r="D254" s="456" t="str">
        <f>IFERROR(__xludf.DUMMYFUNCTION("REGEXREPLACE(D168, ""[^0-9]"", """")*4 &amp; "" зм"""),"800 зм")</f>
        <v>800 зм</v>
      </c>
      <c r="E254" s="450">
        <f t="shared" si="2"/>
        <v>4</v>
      </c>
      <c r="F254" s="456" t="str">
        <f>IFERROR(__xludf.DUMMYFUNCTION("REGEXREPLACE(F168, ""[^0-9]"", """")*2 &amp; "" фнт"""),"120 фнт")</f>
        <v>120 фнт</v>
      </c>
      <c r="G254" s="450"/>
      <c r="H254" s="450"/>
      <c r="I254" s="451" t="s">
        <v>1174</v>
      </c>
      <c r="J254" s="452" t="s">
        <v>759</v>
      </c>
      <c r="K254" s="449" t="s">
        <v>760</v>
      </c>
      <c r="L254" s="449">
        <f t="shared" si="3"/>
        <v>6000</v>
      </c>
    </row>
    <row r="255">
      <c r="A255" s="446" t="str">
        <f t="shared" si="1"/>
        <v>Латы для скакуна</v>
      </c>
      <c r="B255" s="445" t="s">
        <v>1173</v>
      </c>
      <c r="C255" s="445" t="s">
        <v>1071</v>
      </c>
      <c r="D255" s="458" t="str">
        <f>IFERROR(__xludf.DUMMYFUNCTION("REGEXREPLACE(D169, ""[^0-9]"", """")*4 &amp; "" зм"""),"6000 зм")</f>
        <v>6000 зм</v>
      </c>
      <c r="E255" s="446">
        <f t="shared" si="2"/>
        <v>5</v>
      </c>
      <c r="F255" s="458" t="str">
        <f>IFERROR(__xludf.DUMMYFUNCTION("REGEXREPLACE(F169, ""[^0-9]"", """")*2 &amp; "" фнт"""),"130 фнт")</f>
        <v>130 фнт</v>
      </c>
      <c r="G255" s="446"/>
      <c r="H255" s="446"/>
      <c r="I255" s="447" t="s">
        <v>1174</v>
      </c>
      <c r="J255" s="453" t="s">
        <v>759</v>
      </c>
      <c r="K255" s="445" t="s">
        <v>760</v>
      </c>
      <c r="L255" s="445">
        <f t="shared" si="3"/>
        <v>12000</v>
      </c>
    </row>
    <row r="256">
      <c r="A256" s="449" t="s">
        <v>1175</v>
      </c>
      <c r="B256" s="449" t="s">
        <v>1173</v>
      </c>
      <c r="C256" s="449" t="s">
        <v>1176</v>
      </c>
      <c r="D256" s="449" t="s">
        <v>235</v>
      </c>
      <c r="E256" s="449">
        <v>3.0</v>
      </c>
      <c r="F256" s="449" t="s">
        <v>393</v>
      </c>
      <c r="G256" s="450"/>
      <c r="H256" s="450"/>
      <c r="I256" s="451" t="s">
        <v>1177</v>
      </c>
      <c r="J256" s="454" t="s">
        <v>787</v>
      </c>
      <c r="K256" s="449" t="s">
        <v>788</v>
      </c>
      <c r="L256" s="449">
        <v>50.0</v>
      </c>
    </row>
    <row r="257">
      <c r="A257" s="445" t="s">
        <v>1178</v>
      </c>
      <c r="B257" s="445" t="s">
        <v>1173</v>
      </c>
      <c r="C257" s="445" t="s">
        <v>1176</v>
      </c>
      <c r="D257" s="445" t="s">
        <v>194</v>
      </c>
      <c r="E257" s="445">
        <v>2.0</v>
      </c>
      <c r="F257" s="445" t="s">
        <v>499</v>
      </c>
      <c r="G257" s="446"/>
      <c r="H257" s="446"/>
      <c r="I257" s="447" t="s">
        <v>1179</v>
      </c>
      <c r="J257" s="448" t="s">
        <v>787</v>
      </c>
      <c r="K257" s="445" t="s">
        <v>788</v>
      </c>
      <c r="L257" s="445">
        <v>15.0</v>
      </c>
    </row>
    <row r="258">
      <c r="A258" s="449" t="s">
        <v>1180</v>
      </c>
      <c r="B258" s="449" t="s">
        <v>1173</v>
      </c>
      <c r="C258" s="449" t="s">
        <v>1176</v>
      </c>
      <c r="D258" s="449" t="s">
        <v>243</v>
      </c>
      <c r="E258" s="449">
        <v>1.0</v>
      </c>
      <c r="F258" s="449" t="s">
        <v>296</v>
      </c>
      <c r="G258" s="450"/>
      <c r="H258" s="450"/>
      <c r="I258" s="451" t="s">
        <v>1181</v>
      </c>
      <c r="J258" s="454" t="s">
        <v>787</v>
      </c>
      <c r="K258" s="449" t="s">
        <v>788</v>
      </c>
      <c r="L258" s="449">
        <v>20.0</v>
      </c>
    </row>
    <row r="259">
      <c r="A259" s="445" t="s">
        <v>1182</v>
      </c>
      <c r="B259" s="445" t="s">
        <v>1173</v>
      </c>
      <c r="C259" s="445" t="s">
        <v>1176</v>
      </c>
      <c r="D259" s="445" t="s">
        <v>255</v>
      </c>
      <c r="E259" s="445">
        <v>4.0</v>
      </c>
      <c r="F259" s="445" t="s">
        <v>441</v>
      </c>
      <c r="G259" s="446"/>
      <c r="H259" s="446"/>
      <c r="I259" s="447" t="s">
        <v>1183</v>
      </c>
      <c r="J259" s="448" t="s">
        <v>787</v>
      </c>
      <c r="K259" s="445" t="s">
        <v>788</v>
      </c>
      <c r="L259" s="445">
        <v>120.0</v>
      </c>
    </row>
    <row r="260">
      <c r="A260" s="449" t="s">
        <v>1184</v>
      </c>
      <c r="B260" s="449" t="s">
        <v>1173</v>
      </c>
      <c r="C260" s="449" t="s">
        <v>1185</v>
      </c>
      <c r="D260" s="449" t="s">
        <v>246</v>
      </c>
      <c r="E260" s="449">
        <v>1.0</v>
      </c>
      <c r="F260" s="449" t="s">
        <v>1186</v>
      </c>
      <c r="G260" s="450"/>
      <c r="H260" s="450"/>
      <c r="I260" s="451" t="s">
        <v>1187</v>
      </c>
      <c r="J260" s="454" t="s">
        <v>747</v>
      </c>
      <c r="K260" s="449" t="s">
        <v>748</v>
      </c>
      <c r="L260" s="449">
        <v>150.0</v>
      </c>
    </row>
    <row r="261">
      <c r="A261" s="445" t="s">
        <v>1188</v>
      </c>
      <c r="B261" s="445" t="s">
        <v>1173</v>
      </c>
      <c r="C261" s="445" t="s">
        <v>1176</v>
      </c>
      <c r="D261" s="445" t="s">
        <v>202</v>
      </c>
      <c r="E261" s="445">
        <v>1.0</v>
      </c>
      <c r="F261" s="445" t="s">
        <v>203</v>
      </c>
      <c r="G261" s="446"/>
      <c r="H261" s="446"/>
      <c r="I261" s="447" t="s">
        <v>1189</v>
      </c>
      <c r="J261" s="448" t="s">
        <v>787</v>
      </c>
      <c r="K261" s="445" t="s">
        <v>788</v>
      </c>
      <c r="L261" s="445">
        <v>10.0</v>
      </c>
    </row>
    <row r="262">
      <c r="A262" s="449" t="s">
        <v>1190</v>
      </c>
      <c r="B262" s="449" t="s">
        <v>1173</v>
      </c>
      <c r="C262" s="449" t="s">
        <v>1185</v>
      </c>
      <c r="D262" s="449" t="s">
        <v>1191</v>
      </c>
      <c r="E262" s="449">
        <v>1.0</v>
      </c>
      <c r="F262" s="449" t="s">
        <v>1192</v>
      </c>
      <c r="G262" s="450"/>
      <c r="H262" s="450"/>
      <c r="I262" s="451" t="s">
        <v>1193</v>
      </c>
      <c r="J262" s="454" t="s">
        <v>747</v>
      </c>
      <c r="K262" s="449" t="s">
        <v>748</v>
      </c>
      <c r="L262" s="449">
        <v>200.0</v>
      </c>
    </row>
    <row r="263">
      <c r="A263" s="445" t="s">
        <v>1194</v>
      </c>
      <c r="B263" s="445" t="s">
        <v>743</v>
      </c>
      <c r="C263" s="445" t="s">
        <v>756</v>
      </c>
      <c r="D263" s="445" t="s">
        <v>202</v>
      </c>
      <c r="E263" s="445">
        <v>1.0</v>
      </c>
      <c r="F263" s="445" t="s">
        <v>225</v>
      </c>
      <c r="G263" s="446"/>
      <c r="H263" s="446"/>
      <c r="I263" s="447" t="s">
        <v>1195</v>
      </c>
      <c r="J263" s="453" t="s">
        <v>759</v>
      </c>
      <c r="K263" s="445" t="s">
        <v>760</v>
      </c>
      <c r="L263" s="445">
        <v>50.0</v>
      </c>
    </row>
    <row r="264">
      <c r="A264" s="459" t="s">
        <v>1196</v>
      </c>
      <c r="B264" s="449" t="s">
        <v>1197</v>
      </c>
      <c r="C264" s="449" t="s">
        <v>756</v>
      </c>
      <c r="D264" s="449" t="s">
        <v>224</v>
      </c>
      <c r="E264" s="449">
        <v>0.0</v>
      </c>
      <c r="F264" s="449" t="s">
        <v>203</v>
      </c>
      <c r="G264" s="450"/>
      <c r="H264" s="450"/>
      <c r="I264" s="451" t="s">
        <v>26</v>
      </c>
      <c r="J264" s="452" t="s">
        <v>759</v>
      </c>
      <c r="K264" s="449" t="s">
        <v>760</v>
      </c>
      <c r="L264" s="449">
        <v>100.0</v>
      </c>
    </row>
    <row r="265">
      <c r="A265" s="446" t="s">
        <v>1198</v>
      </c>
      <c r="B265" s="445" t="s">
        <v>1197</v>
      </c>
      <c r="C265" s="445" t="s">
        <v>750</v>
      </c>
      <c r="D265" s="445" t="s">
        <v>241</v>
      </c>
      <c r="E265" s="445">
        <v>0.0</v>
      </c>
      <c r="F265" s="445" t="s">
        <v>373</v>
      </c>
      <c r="G265" s="446"/>
      <c r="H265" s="446"/>
      <c r="I265" s="447" t="s">
        <v>26</v>
      </c>
      <c r="J265" s="453" t="s">
        <v>759</v>
      </c>
      <c r="K265" s="445" t="s">
        <v>760</v>
      </c>
      <c r="L265" s="445">
        <v>150.0</v>
      </c>
    </row>
    <row r="266">
      <c r="A266" s="450" t="s">
        <v>1199</v>
      </c>
      <c r="B266" s="449" t="s">
        <v>1197</v>
      </c>
      <c r="C266" s="449" t="s">
        <v>756</v>
      </c>
      <c r="D266" s="449" t="s">
        <v>235</v>
      </c>
      <c r="E266" s="449">
        <v>0.0</v>
      </c>
      <c r="F266" s="449" t="s">
        <v>373</v>
      </c>
      <c r="G266" s="450"/>
      <c r="H266" s="450"/>
      <c r="I266" s="451" t="s">
        <v>26</v>
      </c>
      <c r="J266" s="452" t="s">
        <v>759</v>
      </c>
      <c r="K266" s="449" t="s">
        <v>760</v>
      </c>
      <c r="L266" s="449">
        <v>200.0</v>
      </c>
    </row>
    <row r="267">
      <c r="A267" s="446" t="s">
        <v>1200</v>
      </c>
      <c r="B267" s="445" t="s">
        <v>1197</v>
      </c>
      <c r="C267" s="445" t="s">
        <v>744</v>
      </c>
      <c r="D267" s="445" t="s">
        <v>243</v>
      </c>
      <c r="E267" s="445">
        <v>0.0</v>
      </c>
      <c r="F267" s="445" t="s">
        <v>225</v>
      </c>
      <c r="G267" s="446"/>
      <c r="H267" s="446"/>
      <c r="I267" s="447" t="s">
        <v>26</v>
      </c>
      <c r="J267" s="453" t="s">
        <v>759</v>
      </c>
      <c r="K267" s="445" t="s">
        <v>760</v>
      </c>
      <c r="L267" s="445">
        <v>100.0</v>
      </c>
    </row>
    <row r="268">
      <c r="A268" s="450" t="s">
        <v>1201</v>
      </c>
      <c r="B268" s="449" t="s">
        <v>1197</v>
      </c>
      <c r="C268" s="449" t="s">
        <v>744</v>
      </c>
      <c r="D268" s="449" t="s">
        <v>246</v>
      </c>
      <c r="E268" s="449">
        <v>0.0</v>
      </c>
      <c r="F268" s="449" t="s">
        <v>225</v>
      </c>
      <c r="G268" s="450"/>
      <c r="H268" s="450"/>
      <c r="I268" s="451" t="s">
        <v>26</v>
      </c>
      <c r="J268" s="452" t="s">
        <v>759</v>
      </c>
      <c r="K268" s="449" t="s">
        <v>760</v>
      </c>
      <c r="L268" s="449">
        <v>100.0</v>
      </c>
    </row>
    <row r="269">
      <c r="A269" s="446" t="s">
        <v>1202</v>
      </c>
      <c r="B269" s="445" t="s">
        <v>1197</v>
      </c>
      <c r="C269" s="445" t="s">
        <v>916</v>
      </c>
      <c r="D269" s="445" t="s">
        <v>224</v>
      </c>
      <c r="E269" s="445">
        <v>0.0</v>
      </c>
      <c r="F269" s="445" t="s">
        <v>207</v>
      </c>
      <c r="G269" s="446"/>
      <c r="H269" s="446"/>
      <c r="I269" s="447" t="s">
        <v>26</v>
      </c>
      <c r="J269" s="453" t="s">
        <v>759</v>
      </c>
      <c r="K269" s="445" t="s">
        <v>760</v>
      </c>
      <c r="L269" s="445">
        <v>100.0</v>
      </c>
    </row>
    <row r="270">
      <c r="A270" s="450" t="s">
        <v>1203</v>
      </c>
      <c r="B270" s="449" t="s">
        <v>1197</v>
      </c>
      <c r="C270" s="449" t="s">
        <v>887</v>
      </c>
      <c r="D270" s="449" t="s">
        <v>243</v>
      </c>
      <c r="E270" s="449">
        <v>0.0</v>
      </c>
      <c r="F270" s="449" t="s">
        <v>225</v>
      </c>
      <c r="G270" s="450"/>
      <c r="H270" s="450"/>
      <c r="I270" s="451" t="s">
        <v>26</v>
      </c>
      <c r="J270" s="452" t="s">
        <v>759</v>
      </c>
      <c r="K270" s="449" t="s">
        <v>760</v>
      </c>
      <c r="L270" s="449">
        <v>100.0</v>
      </c>
    </row>
    <row r="271">
      <c r="A271" s="446" t="s">
        <v>1204</v>
      </c>
      <c r="B271" s="445" t="s">
        <v>1197</v>
      </c>
      <c r="C271" s="445" t="s">
        <v>800</v>
      </c>
      <c r="D271" s="445" t="s">
        <v>246</v>
      </c>
      <c r="E271" s="445">
        <v>0.0</v>
      </c>
      <c r="F271" s="445" t="s">
        <v>236</v>
      </c>
      <c r="G271" s="446"/>
      <c r="H271" s="446"/>
      <c r="I271" s="447" t="s">
        <v>26</v>
      </c>
      <c r="J271" s="453" t="s">
        <v>759</v>
      </c>
      <c r="K271" s="445" t="s">
        <v>760</v>
      </c>
      <c r="L271" s="445">
        <v>100.0</v>
      </c>
    </row>
    <row r="272">
      <c r="A272" s="450" t="s">
        <v>1205</v>
      </c>
      <c r="B272" s="449" t="s">
        <v>1197</v>
      </c>
      <c r="C272" s="449" t="s">
        <v>756</v>
      </c>
      <c r="D272" s="449" t="s">
        <v>241</v>
      </c>
      <c r="E272" s="449">
        <v>0.0</v>
      </c>
      <c r="F272" s="449" t="s">
        <v>211</v>
      </c>
      <c r="G272" s="450"/>
      <c r="H272" s="450"/>
      <c r="I272" s="451" t="s">
        <v>26</v>
      </c>
      <c r="J272" s="452" t="s">
        <v>759</v>
      </c>
      <c r="K272" s="449" t="s">
        <v>760</v>
      </c>
      <c r="L272" s="449">
        <v>200.0</v>
      </c>
    </row>
    <row r="273">
      <c r="A273" s="446" t="s">
        <v>1206</v>
      </c>
      <c r="B273" s="445" t="s">
        <v>1197</v>
      </c>
      <c r="C273" s="445" t="s">
        <v>756</v>
      </c>
      <c r="D273" s="445" t="s">
        <v>243</v>
      </c>
      <c r="E273" s="445">
        <v>0.0</v>
      </c>
      <c r="F273" s="445" t="s">
        <v>373</v>
      </c>
      <c r="G273" s="446"/>
      <c r="H273" s="446"/>
      <c r="I273" s="447" t="s">
        <v>26</v>
      </c>
      <c r="J273" s="453" t="s">
        <v>759</v>
      </c>
      <c r="K273" s="445" t="s">
        <v>760</v>
      </c>
      <c r="L273" s="445">
        <v>100.0</v>
      </c>
    </row>
    <row r="274">
      <c r="A274" s="450" t="s">
        <v>1207</v>
      </c>
      <c r="B274" s="449" t="s">
        <v>1197</v>
      </c>
      <c r="C274" s="449" t="s">
        <v>783</v>
      </c>
      <c r="D274" s="449" t="s">
        <v>194</v>
      </c>
      <c r="E274" s="449">
        <v>0.0</v>
      </c>
      <c r="F274" s="449" t="s">
        <v>225</v>
      </c>
      <c r="G274" s="450"/>
      <c r="H274" s="450"/>
      <c r="I274" s="451" t="s">
        <v>26</v>
      </c>
      <c r="J274" s="452" t="s">
        <v>759</v>
      </c>
      <c r="K274" s="449" t="s">
        <v>760</v>
      </c>
      <c r="L274" s="449">
        <v>100.0</v>
      </c>
    </row>
    <row r="275">
      <c r="A275" s="446" t="s">
        <v>1208</v>
      </c>
      <c r="B275" s="445" t="s">
        <v>1197</v>
      </c>
      <c r="C275" s="445" t="s">
        <v>774</v>
      </c>
      <c r="D275" s="445" t="s">
        <v>235</v>
      </c>
      <c r="E275" s="445">
        <v>0.0</v>
      </c>
      <c r="F275" s="445" t="s">
        <v>488</v>
      </c>
      <c r="G275" s="446"/>
      <c r="H275" s="446"/>
      <c r="I275" s="447" t="s">
        <v>26</v>
      </c>
      <c r="J275" s="453" t="s">
        <v>759</v>
      </c>
      <c r="K275" s="445" t="s">
        <v>760</v>
      </c>
      <c r="L275" s="445">
        <v>100.0</v>
      </c>
    </row>
    <row r="276">
      <c r="A276" s="450" t="s">
        <v>1209</v>
      </c>
      <c r="B276" s="449" t="s">
        <v>1197</v>
      </c>
      <c r="C276" s="449" t="s">
        <v>774</v>
      </c>
      <c r="D276" s="449" t="s">
        <v>206</v>
      </c>
      <c r="E276" s="449">
        <v>0.0</v>
      </c>
      <c r="F276" s="449" t="s">
        <v>203</v>
      </c>
      <c r="G276" s="450"/>
      <c r="H276" s="450"/>
      <c r="I276" s="451" t="s">
        <v>26</v>
      </c>
      <c r="J276" s="452" t="s">
        <v>759</v>
      </c>
      <c r="K276" s="449" t="s">
        <v>760</v>
      </c>
      <c r="L276" s="449">
        <v>100.0</v>
      </c>
    </row>
    <row r="277">
      <c r="A277" s="446" t="s">
        <v>1210</v>
      </c>
      <c r="B277" s="445" t="s">
        <v>1197</v>
      </c>
      <c r="C277" s="445" t="s">
        <v>756</v>
      </c>
      <c r="D277" s="445" t="s">
        <v>206</v>
      </c>
      <c r="E277" s="445">
        <v>0.0</v>
      </c>
      <c r="F277" s="445" t="s">
        <v>373</v>
      </c>
      <c r="G277" s="446"/>
      <c r="H277" s="446"/>
      <c r="I277" s="447" t="s">
        <v>26</v>
      </c>
      <c r="J277" s="453" t="s">
        <v>759</v>
      </c>
      <c r="K277" s="445" t="s">
        <v>760</v>
      </c>
      <c r="L277" s="445">
        <v>100.0</v>
      </c>
    </row>
    <row r="278">
      <c r="A278" s="450" t="s">
        <v>1211</v>
      </c>
      <c r="B278" s="449" t="s">
        <v>1197</v>
      </c>
      <c r="C278" s="449" t="s">
        <v>849</v>
      </c>
      <c r="D278" s="449" t="s">
        <v>224</v>
      </c>
      <c r="E278" s="449">
        <v>0.0</v>
      </c>
      <c r="F278" s="449" t="s">
        <v>199</v>
      </c>
      <c r="G278" s="450"/>
      <c r="H278" s="450"/>
      <c r="I278" s="451" t="s">
        <v>26</v>
      </c>
      <c r="J278" s="452" t="s">
        <v>759</v>
      </c>
      <c r="K278" s="449" t="s">
        <v>760</v>
      </c>
      <c r="L278" s="449">
        <v>100.0</v>
      </c>
    </row>
    <row r="279">
      <c r="A279" s="445" t="s">
        <v>1212</v>
      </c>
      <c r="B279" s="445" t="s">
        <v>743</v>
      </c>
      <c r="C279" s="445" t="s">
        <v>887</v>
      </c>
      <c r="D279" s="460" t="s">
        <v>812</v>
      </c>
      <c r="E279" s="445">
        <v>0.0</v>
      </c>
      <c r="F279" s="445" t="s">
        <v>220</v>
      </c>
      <c r="G279" s="446"/>
      <c r="H279" s="446"/>
      <c r="I279" s="447" t="s">
        <v>1213</v>
      </c>
      <c r="J279" s="453" t="s">
        <v>780</v>
      </c>
      <c r="K279" s="445" t="s">
        <v>1053</v>
      </c>
      <c r="L279" s="446">
        <f>IFERROR(__xludf.DUMMYFUNCTION("ROUNDUP(REGEXREPLACE(D279, ""[^0-9]"", """")*0.8)"),4.0)</f>
        <v>4</v>
      </c>
    </row>
    <row r="280">
      <c r="A280" s="449" t="s">
        <v>1214</v>
      </c>
      <c r="B280" s="449" t="s">
        <v>743</v>
      </c>
      <c r="C280" s="459" t="s">
        <v>887</v>
      </c>
      <c r="D280" s="459" t="s">
        <v>202</v>
      </c>
      <c r="E280" s="459">
        <v>1.0</v>
      </c>
      <c r="F280" s="449" t="s">
        <v>220</v>
      </c>
      <c r="G280" s="461"/>
      <c r="H280" s="461"/>
      <c r="I280" s="462" t="s">
        <v>1215</v>
      </c>
      <c r="J280" s="459" t="s">
        <v>780</v>
      </c>
      <c r="K280" s="459" t="s">
        <v>1053</v>
      </c>
      <c r="L280" s="450">
        <f>IFERROR(__xludf.DUMMYFUNCTION("ROUNDUP(REGEXREPLACE(D280, ""[^0-9]"", """")*0.8)"),2.0)</f>
        <v>2</v>
      </c>
    </row>
    <row r="281">
      <c r="A281" s="445" t="s">
        <v>1216</v>
      </c>
      <c r="B281" s="445" t="s">
        <v>743</v>
      </c>
      <c r="C281" s="460" t="s">
        <v>887</v>
      </c>
      <c r="D281" s="460" t="s">
        <v>194</v>
      </c>
      <c r="E281" s="460">
        <v>1.0</v>
      </c>
      <c r="F281" s="445" t="s">
        <v>220</v>
      </c>
      <c r="G281" s="463"/>
      <c r="H281" s="463"/>
      <c r="I281" s="464" t="s">
        <v>1217</v>
      </c>
      <c r="J281" s="460" t="s">
        <v>780</v>
      </c>
      <c r="K281" s="460" t="s">
        <v>1053</v>
      </c>
      <c r="L281" s="446">
        <f>IFERROR(__xludf.DUMMYFUNCTION("ROUNDUP(REGEXREPLACE(D281, ""[^0-9]"", """")*0.8)"),4.0)</f>
        <v>4</v>
      </c>
    </row>
    <row r="282">
      <c r="A282" s="449" t="s">
        <v>1218</v>
      </c>
      <c r="B282" s="449" t="s">
        <v>743</v>
      </c>
      <c r="C282" s="459" t="s">
        <v>887</v>
      </c>
      <c r="D282" s="459" t="s">
        <v>246</v>
      </c>
      <c r="E282" s="459">
        <v>1.0</v>
      </c>
      <c r="F282" s="449" t="s">
        <v>856</v>
      </c>
      <c r="G282" s="461"/>
      <c r="H282" s="461"/>
      <c r="I282" s="462" t="s">
        <v>1219</v>
      </c>
      <c r="J282" s="459" t="s">
        <v>933</v>
      </c>
      <c r="K282" s="459" t="s">
        <v>1053</v>
      </c>
      <c r="L282" s="450">
        <f>IFERROR(__xludf.DUMMYFUNCTION("ROUNDUP(REGEXREPLACE(D282, ""[^0-9]"", """")*0.8)"),12.0)</f>
        <v>12</v>
      </c>
    </row>
    <row r="283">
      <c r="A283" s="445" t="s">
        <v>1220</v>
      </c>
      <c r="B283" s="445" t="s">
        <v>743</v>
      </c>
      <c r="C283" s="460" t="s">
        <v>887</v>
      </c>
      <c r="D283" s="460" t="s">
        <v>257</v>
      </c>
      <c r="E283" s="460">
        <v>2.0</v>
      </c>
      <c r="F283" s="445" t="s">
        <v>757</v>
      </c>
      <c r="G283" s="463"/>
      <c r="H283" s="463"/>
      <c r="I283" s="464" t="s">
        <v>1221</v>
      </c>
      <c r="J283" s="460" t="s">
        <v>933</v>
      </c>
      <c r="K283" s="460" t="s">
        <v>1053</v>
      </c>
      <c r="L283" s="446">
        <f>IFERROR(__xludf.DUMMYFUNCTION("ROUNDUP(REGEXREPLACE(D283, ""[^0-9]"", """")*0.8)"),24.0)</f>
        <v>24</v>
      </c>
    </row>
    <row r="284">
      <c r="A284" s="449" t="s">
        <v>1222</v>
      </c>
      <c r="B284" s="449" t="s">
        <v>743</v>
      </c>
      <c r="C284" s="459" t="s">
        <v>887</v>
      </c>
      <c r="D284" s="459" t="s">
        <v>224</v>
      </c>
      <c r="E284" s="459">
        <v>1.0</v>
      </c>
      <c r="F284" s="449" t="s">
        <v>856</v>
      </c>
      <c r="G284" s="461"/>
      <c r="H284" s="461"/>
      <c r="I284" s="462" t="s">
        <v>1223</v>
      </c>
      <c r="J284" s="459" t="s">
        <v>933</v>
      </c>
      <c r="K284" s="459" t="s">
        <v>1053</v>
      </c>
      <c r="L284" s="450">
        <f>IFERROR(__xludf.DUMMYFUNCTION("ROUNDUP(REGEXREPLACE(D284, ""[^0-9]"", """")*0.8)"),20.0)</f>
        <v>20</v>
      </c>
    </row>
    <row r="285">
      <c r="A285" s="445" t="s">
        <v>1224</v>
      </c>
      <c r="B285" s="445" t="s">
        <v>743</v>
      </c>
      <c r="C285" s="460" t="s">
        <v>887</v>
      </c>
      <c r="D285" s="460" t="s">
        <v>282</v>
      </c>
      <c r="E285" s="460">
        <v>2.0</v>
      </c>
      <c r="F285" s="445" t="s">
        <v>833</v>
      </c>
      <c r="G285" s="463"/>
      <c r="H285" s="463"/>
      <c r="I285" s="464" t="s">
        <v>1225</v>
      </c>
      <c r="J285" s="460" t="s">
        <v>933</v>
      </c>
      <c r="K285" s="460" t="s">
        <v>1053</v>
      </c>
      <c r="L285" s="446">
        <f>IFERROR(__xludf.DUMMYFUNCTION("ROUNDUP(REGEXREPLACE(D285, ""[^0-9]"", """")*0.8)"),60.0)</f>
        <v>60</v>
      </c>
    </row>
    <row r="286">
      <c r="A286" s="449" t="s">
        <v>1226</v>
      </c>
      <c r="B286" s="449" t="s">
        <v>743</v>
      </c>
      <c r="C286" s="459" t="s">
        <v>887</v>
      </c>
      <c r="D286" s="459" t="s">
        <v>255</v>
      </c>
      <c r="E286" s="459">
        <v>2.0</v>
      </c>
      <c r="F286" s="449" t="s">
        <v>757</v>
      </c>
      <c r="G286" s="461"/>
      <c r="H286" s="461"/>
      <c r="I286" s="462" t="s">
        <v>1227</v>
      </c>
      <c r="J286" s="459" t="s">
        <v>933</v>
      </c>
      <c r="K286" s="459" t="s">
        <v>1053</v>
      </c>
      <c r="L286" s="450">
        <f>IFERROR(__xludf.DUMMYFUNCTION("ROUNDUP(REGEXREPLACE(D286, ""[^0-9]"", """")*0.8)"),48.0)</f>
        <v>48</v>
      </c>
    </row>
    <row r="287">
      <c r="A287" s="445" t="s">
        <v>1228</v>
      </c>
      <c r="B287" s="445" t="s">
        <v>743</v>
      </c>
      <c r="C287" s="460" t="s">
        <v>887</v>
      </c>
      <c r="D287" s="460" t="s">
        <v>332</v>
      </c>
      <c r="E287" s="460">
        <v>2.0</v>
      </c>
      <c r="F287" s="445" t="s">
        <v>853</v>
      </c>
      <c r="G287" s="463"/>
      <c r="H287" s="463"/>
      <c r="I287" s="464" t="s">
        <v>1229</v>
      </c>
      <c r="J287" s="460" t="s">
        <v>747</v>
      </c>
      <c r="K287" s="460" t="s">
        <v>1053</v>
      </c>
      <c r="L287" s="446">
        <f>IFERROR(__xludf.DUMMYFUNCTION("ROUNDUP(REGEXREPLACE(D287, ""[^0-9]"", """")*0.8)"),160.0)</f>
        <v>160</v>
      </c>
    </row>
    <row r="288">
      <c r="A288" s="449" t="s">
        <v>1230</v>
      </c>
      <c r="B288" s="449" t="s">
        <v>743</v>
      </c>
      <c r="C288" s="459" t="s">
        <v>887</v>
      </c>
      <c r="D288" s="459" t="s">
        <v>257</v>
      </c>
      <c r="E288" s="459">
        <v>2.0</v>
      </c>
      <c r="F288" s="449" t="s">
        <v>809</v>
      </c>
      <c r="G288" s="461"/>
      <c r="H288" s="461"/>
      <c r="I288" s="462" t="s">
        <v>1231</v>
      </c>
      <c r="J288" s="459" t="s">
        <v>747</v>
      </c>
      <c r="K288" s="459" t="s">
        <v>1053</v>
      </c>
      <c r="L288" s="450">
        <f>IFERROR(__xludf.DUMMYFUNCTION("ROUNDUP(REGEXREPLACE(D288, ""[^0-9]"", """")*0.8)"),24.0)</f>
        <v>24</v>
      </c>
    </row>
    <row r="289">
      <c r="A289" s="445" t="s">
        <v>1232</v>
      </c>
      <c r="B289" s="445" t="s">
        <v>743</v>
      </c>
      <c r="C289" s="460" t="s">
        <v>887</v>
      </c>
      <c r="D289" s="460" t="s">
        <v>246</v>
      </c>
      <c r="E289" s="460">
        <v>1.0</v>
      </c>
      <c r="F289" s="445" t="s">
        <v>1233</v>
      </c>
      <c r="G289" s="463"/>
      <c r="H289" s="463"/>
      <c r="I289" s="464" t="s">
        <v>1234</v>
      </c>
      <c r="J289" s="460" t="s">
        <v>1235</v>
      </c>
      <c r="K289" s="460" t="s">
        <v>851</v>
      </c>
      <c r="L289" s="446">
        <f>IFERROR(__xludf.DUMMYFUNCTION("ROUNDUP(REGEXREPLACE(D289, ""[^0-9]"", """")*0.8)"),12.0)</f>
        <v>12</v>
      </c>
    </row>
    <row r="290">
      <c r="A290" s="449" t="s">
        <v>1236</v>
      </c>
      <c r="B290" s="449" t="s">
        <v>743</v>
      </c>
      <c r="C290" s="459" t="s">
        <v>887</v>
      </c>
      <c r="D290" s="459" t="s">
        <v>235</v>
      </c>
      <c r="E290" s="459">
        <v>1.0</v>
      </c>
      <c r="F290" s="449" t="s">
        <v>833</v>
      </c>
      <c r="G290" s="461"/>
      <c r="H290" s="461"/>
      <c r="I290" s="462" t="s">
        <v>1237</v>
      </c>
      <c r="J290" s="459" t="s">
        <v>860</v>
      </c>
      <c r="K290" s="459" t="s">
        <v>1053</v>
      </c>
      <c r="L290" s="450">
        <f>IFERROR(__xludf.DUMMYFUNCTION("ROUNDUP(REGEXREPLACE(D290, ""[^0-9]"", """")*0.8)"),16.0)</f>
        <v>16</v>
      </c>
    </row>
    <row r="291">
      <c r="A291" s="445" t="s">
        <v>1238</v>
      </c>
      <c r="B291" s="445" t="s">
        <v>743</v>
      </c>
      <c r="C291" s="460" t="s">
        <v>887</v>
      </c>
      <c r="D291" s="460" t="s">
        <v>1239</v>
      </c>
      <c r="E291" s="460">
        <v>2.0</v>
      </c>
      <c r="F291" s="445" t="s">
        <v>929</v>
      </c>
      <c r="G291" s="463"/>
      <c r="H291" s="463"/>
      <c r="I291" s="464" t="s">
        <v>1240</v>
      </c>
      <c r="J291" s="460" t="s">
        <v>860</v>
      </c>
      <c r="K291" s="460" t="s">
        <v>1053</v>
      </c>
      <c r="L291" s="446">
        <f>IFERROR(__xludf.DUMMYFUNCTION("ROUNDUP(REGEXREPLACE(D291, ""[^0-9]"", """")*0.8)"),64.0)</f>
        <v>64</v>
      </c>
    </row>
    <row r="292">
      <c r="A292" s="449" t="s">
        <v>1241</v>
      </c>
      <c r="B292" s="449" t="s">
        <v>743</v>
      </c>
      <c r="C292" s="459" t="s">
        <v>887</v>
      </c>
      <c r="D292" s="459" t="s">
        <v>246</v>
      </c>
      <c r="E292" s="459">
        <v>1.0</v>
      </c>
      <c r="F292" s="449" t="s">
        <v>809</v>
      </c>
      <c r="G292" s="461"/>
      <c r="H292" s="461"/>
      <c r="I292" s="462" t="s">
        <v>1242</v>
      </c>
      <c r="J292" s="459" t="s">
        <v>860</v>
      </c>
      <c r="K292" s="459" t="s">
        <v>1053</v>
      </c>
      <c r="L292" s="450">
        <f>IFERROR(__xludf.DUMMYFUNCTION("ROUNDUP(REGEXREPLACE(D292, ""[^0-9]"", """")*0.8)"),12.0)</f>
        <v>12</v>
      </c>
    </row>
    <row r="293">
      <c r="A293" s="445" t="s">
        <v>1243</v>
      </c>
      <c r="B293" s="445" t="s">
        <v>743</v>
      </c>
      <c r="C293" s="460" t="s">
        <v>887</v>
      </c>
      <c r="D293" s="460" t="s">
        <v>224</v>
      </c>
      <c r="E293" s="460">
        <v>1.0</v>
      </c>
      <c r="F293" s="445" t="s">
        <v>802</v>
      </c>
      <c r="G293" s="463"/>
      <c r="H293" s="463"/>
      <c r="I293" s="464" t="s">
        <v>1244</v>
      </c>
      <c r="J293" s="460" t="s">
        <v>860</v>
      </c>
      <c r="K293" s="460" t="s">
        <v>1053</v>
      </c>
      <c r="L293" s="446">
        <f>IFERROR(__xludf.DUMMYFUNCTION("ROUNDUP(REGEXREPLACE(D293, ""[^0-9]"", """")*0.8)"),20.0)</f>
        <v>20</v>
      </c>
    </row>
    <row r="294">
      <c r="A294" s="449" t="s">
        <v>1245</v>
      </c>
      <c r="B294" s="449" t="s">
        <v>743</v>
      </c>
      <c r="C294" s="459" t="s">
        <v>887</v>
      </c>
      <c r="D294" s="459" t="s">
        <v>243</v>
      </c>
      <c r="E294" s="459">
        <v>1.0</v>
      </c>
      <c r="F294" s="459" t="s">
        <v>809</v>
      </c>
      <c r="G294" s="461"/>
      <c r="H294" s="461"/>
      <c r="I294" s="462" t="s">
        <v>1246</v>
      </c>
      <c r="J294" s="459" t="s">
        <v>1247</v>
      </c>
      <c r="K294" s="459" t="s">
        <v>1053</v>
      </c>
      <c r="L294" s="450">
        <f>IFERROR(__xludf.DUMMYFUNCTION("ROUNDUP(REGEXREPLACE(D294, ""[^0-9]"", """")*0.8)"),8.0)</f>
        <v>8</v>
      </c>
    </row>
    <row r="295">
      <c r="A295" s="445" t="s">
        <v>1248</v>
      </c>
      <c r="B295" s="445" t="s">
        <v>743</v>
      </c>
      <c r="C295" s="460" t="s">
        <v>887</v>
      </c>
      <c r="D295" s="460" t="s">
        <v>695</v>
      </c>
      <c r="E295" s="460">
        <v>2.0</v>
      </c>
      <c r="F295" s="460" t="s">
        <v>745</v>
      </c>
      <c r="G295" s="463"/>
      <c r="H295" s="463"/>
      <c r="I295" s="464" t="s">
        <v>1249</v>
      </c>
      <c r="J295" s="460" t="s">
        <v>1247</v>
      </c>
      <c r="K295" s="460" t="s">
        <v>1053</v>
      </c>
      <c r="L295" s="446">
        <f>IFERROR(__xludf.DUMMYFUNCTION("ROUNDUP(REGEXREPLACE(D295, ""[^0-9]"", """")*0.8)"),32.0)</f>
        <v>32</v>
      </c>
    </row>
    <row r="296">
      <c r="A296" s="449" t="s">
        <v>1250</v>
      </c>
      <c r="B296" s="449" t="s">
        <v>743</v>
      </c>
      <c r="C296" s="459" t="s">
        <v>887</v>
      </c>
      <c r="D296" s="459" t="s">
        <v>224</v>
      </c>
      <c r="E296" s="459">
        <v>1.0</v>
      </c>
      <c r="F296" s="459" t="s">
        <v>751</v>
      </c>
      <c r="G296" s="461"/>
      <c r="H296" s="461"/>
      <c r="I296" s="462" t="s">
        <v>1251</v>
      </c>
      <c r="J296" s="459" t="s">
        <v>1247</v>
      </c>
      <c r="K296" s="459" t="s">
        <v>1053</v>
      </c>
      <c r="L296" s="450">
        <f>IFERROR(__xludf.DUMMYFUNCTION("ROUNDUP(REGEXREPLACE(D296, ""[^0-9]"", """")*0.8)"),20.0)</f>
        <v>20</v>
      </c>
    </row>
    <row r="297">
      <c r="A297" s="445" t="s">
        <v>1252</v>
      </c>
      <c r="B297" s="445" t="s">
        <v>743</v>
      </c>
      <c r="C297" s="460" t="s">
        <v>887</v>
      </c>
      <c r="D297" s="460" t="s">
        <v>246</v>
      </c>
      <c r="E297" s="460">
        <v>1.0</v>
      </c>
      <c r="F297" s="460" t="s">
        <v>757</v>
      </c>
      <c r="G297" s="463"/>
      <c r="H297" s="463"/>
      <c r="I297" s="464" t="s">
        <v>1253</v>
      </c>
      <c r="J297" s="460" t="s">
        <v>770</v>
      </c>
      <c r="K297" s="460" t="s">
        <v>901</v>
      </c>
      <c r="L297" s="446">
        <f>IFERROR(__xludf.DUMMYFUNCTION("ROUNDUP(REGEXREPLACE(D297, ""[^0-9]"", """")*0.8)"),12.0)</f>
        <v>12</v>
      </c>
    </row>
    <row r="298">
      <c r="A298" s="449" t="s">
        <v>1254</v>
      </c>
      <c r="B298" s="449" t="s">
        <v>743</v>
      </c>
      <c r="C298" s="459" t="s">
        <v>887</v>
      </c>
      <c r="D298" s="459" t="s">
        <v>241</v>
      </c>
      <c r="E298" s="459">
        <v>2.0</v>
      </c>
      <c r="F298" s="459" t="s">
        <v>833</v>
      </c>
      <c r="G298" s="461"/>
      <c r="H298" s="461"/>
      <c r="I298" s="462" t="s">
        <v>1255</v>
      </c>
      <c r="J298" s="459" t="s">
        <v>845</v>
      </c>
      <c r="K298" s="459" t="s">
        <v>760</v>
      </c>
      <c r="L298" s="450">
        <f>IFERROR(__xludf.DUMMYFUNCTION("ROUNDUP(REGEXREPLACE(D298, ""[^0-9]"", """")*0.8)"),40.0)</f>
        <v>40</v>
      </c>
    </row>
    <row r="299">
      <c r="A299" s="445" t="s">
        <v>1256</v>
      </c>
      <c r="B299" s="445" t="s">
        <v>743</v>
      </c>
      <c r="C299" s="460" t="s">
        <v>887</v>
      </c>
      <c r="D299" s="460" t="s">
        <v>700</v>
      </c>
      <c r="E299" s="460">
        <v>2.0</v>
      </c>
      <c r="F299" s="460" t="s">
        <v>856</v>
      </c>
      <c r="G299" s="463"/>
      <c r="H299" s="463"/>
      <c r="I299" s="464" t="s">
        <v>1257</v>
      </c>
      <c r="J299" s="460" t="s">
        <v>957</v>
      </c>
      <c r="K299" s="460" t="s">
        <v>851</v>
      </c>
      <c r="L299" s="446">
        <f>IFERROR(__xludf.DUMMYFUNCTION("ROUNDUP(REGEXREPLACE(D299, ""[^0-9]"", """")*0.8)"),120.0)</f>
        <v>120</v>
      </c>
    </row>
    <row r="300">
      <c r="A300" s="449" t="s">
        <v>1258</v>
      </c>
      <c r="B300" s="449" t="s">
        <v>743</v>
      </c>
      <c r="C300" s="459" t="s">
        <v>887</v>
      </c>
      <c r="D300" s="459" t="s">
        <v>1259</v>
      </c>
      <c r="E300" s="459">
        <v>2.0</v>
      </c>
      <c r="F300" s="459" t="s">
        <v>880</v>
      </c>
      <c r="G300" s="461"/>
      <c r="H300" s="461"/>
      <c r="I300" s="462" t="s">
        <v>1260</v>
      </c>
      <c r="J300" s="459" t="s">
        <v>770</v>
      </c>
      <c r="K300" s="459" t="s">
        <v>901</v>
      </c>
      <c r="L300" s="450">
        <f>IFERROR(__xludf.DUMMYFUNCTION("ROUNDUP(REGEXREPLACE(D300, ""[^0-9]"", """")*0.8)"),96.0)</f>
        <v>96</v>
      </c>
    </row>
    <row r="301">
      <c r="A301" s="445" t="s">
        <v>1261</v>
      </c>
      <c r="B301" s="445" t="s">
        <v>743</v>
      </c>
      <c r="C301" s="460" t="s">
        <v>887</v>
      </c>
      <c r="D301" s="460" t="s">
        <v>332</v>
      </c>
      <c r="E301" s="460">
        <v>2.0</v>
      </c>
      <c r="F301" s="460" t="s">
        <v>1262</v>
      </c>
      <c r="G301" s="463"/>
      <c r="H301" s="463"/>
      <c r="I301" s="464" t="s">
        <v>1263</v>
      </c>
      <c r="J301" s="460" t="s">
        <v>845</v>
      </c>
      <c r="K301" s="460" t="s">
        <v>760</v>
      </c>
      <c r="L301" s="446">
        <f>IFERROR(__xludf.DUMMYFUNCTION("ROUNDUP(REGEXREPLACE(D301, ""[^0-9]"", """")*0.8)"),160.0)</f>
        <v>160</v>
      </c>
    </row>
    <row r="302">
      <c r="A302" s="449" t="s">
        <v>1264</v>
      </c>
      <c r="B302" s="449" t="s">
        <v>743</v>
      </c>
      <c r="C302" s="459" t="s">
        <v>887</v>
      </c>
      <c r="D302" s="459" t="s">
        <v>526</v>
      </c>
      <c r="E302" s="459">
        <v>3.0</v>
      </c>
      <c r="F302" s="459" t="s">
        <v>1265</v>
      </c>
      <c r="G302" s="461"/>
      <c r="H302" s="461"/>
      <c r="I302" s="462" t="s">
        <v>1266</v>
      </c>
      <c r="J302" s="459" t="s">
        <v>770</v>
      </c>
      <c r="K302" s="459" t="s">
        <v>901</v>
      </c>
      <c r="L302" s="450">
        <f>IFERROR(__xludf.DUMMYFUNCTION("ROUNDUP(REGEXREPLACE(D302, ""[^0-9]"", """")*0.8)"),280.0)</f>
        <v>280</v>
      </c>
    </row>
    <row r="303">
      <c r="A303" s="445" t="s">
        <v>1267</v>
      </c>
      <c r="B303" s="445" t="s">
        <v>743</v>
      </c>
      <c r="C303" s="460" t="s">
        <v>887</v>
      </c>
      <c r="D303" s="460" t="s">
        <v>327</v>
      </c>
      <c r="E303" s="460">
        <v>3.0</v>
      </c>
      <c r="F303" s="460" t="s">
        <v>1268</v>
      </c>
      <c r="G303" s="463"/>
      <c r="H303" s="463"/>
      <c r="I303" s="464" t="s">
        <v>1269</v>
      </c>
      <c r="J303" s="460" t="s">
        <v>845</v>
      </c>
      <c r="K303" s="460" t="s">
        <v>760</v>
      </c>
      <c r="L303" s="446">
        <f>IFERROR(__xludf.DUMMYFUNCTION("ROUNDUP(REGEXREPLACE(D303, ""[^0-9]"", """")*0.8)"),400.0)</f>
        <v>400</v>
      </c>
    </row>
    <row r="304">
      <c r="A304" s="449" t="s">
        <v>1270</v>
      </c>
      <c r="B304" s="449" t="s">
        <v>743</v>
      </c>
      <c r="C304" s="459" t="s">
        <v>887</v>
      </c>
      <c r="D304" s="459" t="s">
        <v>295</v>
      </c>
      <c r="E304" s="459">
        <v>3.0</v>
      </c>
      <c r="F304" s="459" t="s">
        <v>1271</v>
      </c>
      <c r="G304" s="461"/>
      <c r="H304" s="461"/>
      <c r="I304" s="462" t="s">
        <v>1272</v>
      </c>
      <c r="J304" s="459" t="s">
        <v>770</v>
      </c>
      <c r="K304" s="459" t="s">
        <v>901</v>
      </c>
      <c r="L304" s="450">
        <f>IFERROR(__xludf.DUMMYFUNCTION("ROUNDUP(REGEXREPLACE(D304, ""[^0-9]"", """")*0.8)"),200.0)</f>
        <v>200</v>
      </c>
    </row>
    <row r="305">
      <c r="A305" s="445" t="s">
        <v>1273</v>
      </c>
      <c r="B305" s="445" t="s">
        <v>743</v>
      </c>
      <c r="C305" s="460" t="s">
        <v>887</v>
      </c>
      <c r="D305" s="460" t="s">
        <v>347</v>
      </c>
      <c r="E305" s="460">
        <v>4.0</v>
      </c>
      <c r="F305" s="460" t="s">
        <v>1274</v>
      </c>
      <c r="G305" s="463"/>
      <c r="H305" s="463"/>
      <c r="I305" s="464" t="s">
        <v>1275</v>
      </c>
      <c r="J305" s="460" t="s">
        <v>770</v>
      </c>
      <c r="K305" s="460" t="s">
        <v>901</v>
      </c>
      <c r="L305" s="446">
        <f>IFERROR(__xludf.DUMMYFUNCTION("ROUNDUP(REGEXREPLACE(D305, ""[^0-9]"", """")*0.8)"),960.0)</f>
        <v>960</v>
      </c>
    </row>
    <row r="306">
      <c r="A306" s="449" t="s">
        <v>1276</v>
      </c>
      <c r="B306" s="449" t="s">
        <v>743</v>
      </c>
      <c r="C306" s="459" t="s">
        <v>887</v>
      </c>
      <c r="D306" s="459" t="s">
        <v>194</v>
      </c>
      <c r="E306" s="459">
        <v>1.0</v>
      </c>
      <c r="F306" s="459" t="s">
        <v>751</v>
      </c>
      <c r="G306" s="461"/>
      <c r="H306" s="461"/>
      <c r="I306" s="462" t="s">
        <v>1277</v>
      </c>
      <c r="J306" s="459" t="s">
        <v>747</v>
      </c>
      <c r="K306" s="459" t="s">
        <v>1053</v>
      </c>
      <c r="L306" s="450">
        <f>IFERROR(__xludf.DUMMYFUNCTION("ROUNDUP(REGEXREPLACE(D306, ""[^0-9]"", """")*0.8)"),4.0)</f>
        <v>4</v>
      </c>
    </row>
    <row r="307">
      <c r="A307" s="445" t="s">
        <v>1278</v>
      </c>
      <c r="B307" s="445" t="s">
        <v>743</v>
      </c>
      <c r="C307" s="460" t="s">
        <v>887</v>
      </c>
      <c r="D307" s="460" t="s">
        <v>243</v>
      </c>
      <c r="E307" s="460">
        <v>1.0</v>
      </c>
      <c r="F307" s="460" t="s">
        <v>751</v>
      </c>
      <c r="G307" s="463"/>
      <c r="H307" s="463"/>
      <c r="I307" s="464" t="s">
        <v>1279</v>
      </c>
      <c r="J307" s="460" t="s">
        <v>747</v>
      </c>
      <c r="K307" s="460" t="s">
        <v>1053</v>
      </c>
      <c r="L307" s="446">
        <f>IFERROR(__xludf.DUMMYFUNCTION("ROUNDUP(REGEXREPLACE(D307, ""[^0-9]"", """")*0.8)"),8.0)</f>
        <v>8</v>
      </c>
    </row>
    <row r="308">
      <c r="A308" s="449" t="s">
        <v>1280</v>
      </c>
      <c r="B308" s="449" t="s">
        <v>743</v>
      </c>
      <c r="C308" s="459" t="s">
        <v>887</v>
      </c>
      <c r="D308" s="459" t="s">
        <v>1099</v>
      </c>
      <c r="E308" s="459">
        <v>1.0</v>
      </c>
      <c r="F308" s="459" t="s">
        <v>745</v>
      </c>
      <c r="G308" s="461"/>
      <c r="H308" s="461"/>
      <c r="I308" s="462" t="s">
        <v>1281</v>
      </c>
      <c r="J308" s="459" t="s">
        <v>747</v>
      </c>
      <c r="K308" s="459" t="s">
        <v>1053</v>
      </c>
      <c r="L308" s="450">
        <f>IFERROR(__xludf.DUMMYFUNCTION("ROUNDUP(REGEXREPLACE(D308, ""[^0-9]"", """")*0.8)"),7.0)</f>
        <v>7</v>
      </c>
    </row>
    <row r="309">
      <c r="A309" s="445" t="s">
        <v>1282</v>
      </c>
      <c r="B309" s="445" t="s">
        <v>743</v>
      </c>
      <c r="C309" s="460" t="s">
        <v>887</v>
      </c>
      <c r="D309" s="460" t="s">
        <v>259</v>
      </c>
      <c r="E309" s="460">
        <v>1.0</v>
      </c>
      <c r="F309" s="460" t="s">
        <v>745</v>
      </c>
      <c r="G309" s="463"/>
      <c r="H309" s="463"/>
      <c r="I309" s="464" t="s">
        <v>1283</v>
      </c>
      <c r="J309" s="460" t="s">
        <v>1247</v>
      </c>
      <c r="K309" s="460" t="s">
        <v>1053</v>
      </c>
      <c r="L309" s="446">
        <f>IFERROR(__xludf.DUMMYFUNCTION("ROUNDUP(REGEXREPLACE(D309, ""[^0-9]"", """")*0.8)"),10.0)</f>
        <v>10</v>
      </c>
    </row>
    <row r="310">
      <c r="A310" s="459" t="s">
        <v>1284</v>
      </c>
      <c r="B310" s="449" t="s">
        <v>743</v>
      </c>
      <c r="C310" s="459" t="s">
        <v>849</v>
      </c>
      <c r="D310" s="459" t="s">
        <v>1191</v>
      </c>
      <c r="E310" s="459">
        <v>2.0</v>
      </c>
      <c r="F310" s="459" t="s">
        <v>809</v>
      </c>
      <c r="G310" s="461"/>
      <c r="H310" s="461"/>
      <c r="I310" s="462" t="s">
        <v>1285</v>
      </c>
      <c r="J310" s="459" t="s">
        <v>747</v>
      </c>
      <c r="K310" s="459" t="s">
        <v>851</v>
      </c>
      <c r="L310" s="450">
        <f>IFERROR(__xludf.DUMMYFUNCTION("ROUNDUP(REGEXREPLACE(D310, ""[^0-9]"", """")*0.8)"),28.0)</f>
        <v>28</v>
      </c>
    </row>
    <row r="311">
      <c r="A311" s="460" t="s">
        <v>1286</v>
      </c>
      <c r="B311" s="445" t="s">
        <v>743</v>
      </c>
      <c r="C311" s="460" t="s">
        <v>849</v>
      </c>
      <c r="D311" s="460" t="s">
        <v>1259</v>
      </c>
      <c r="E311" s="460">
        <v>2.0</v>
      </c>
      <c r="F311" s="460" t="s">
        <v>757</v>
      </c>
      <c r="G311" s="463"/>
      <c r="H311" s="463"/>
      <c r="I311" s="464" t="s">
        <v>1287</v>
      </c>
      <c r="J311" s="460" t="s">
        <v>747</v>
      </c>
      <c r="K311" s="460" t="s">
        <v>851</v>
      </c>
      <c r="L311" s="446">
        <f>IFERROR(__xludf.DUMMYFUNCTION("ROUNDUP(REGEXREPLACE(D311, ""[^0-9]"", """")*0.8)"),96.0)</f>
        <v>96</v>
      </c>
    </row>
    <row r="312">
      <c r="A312" s="459" t="s">
        <v>1288</v>
      </c>
      <c r="B312" s="449" t="s">
        <v>743</v>
      </c>
      <c r="C312" s="459" t="s">
        <v>849</v>
      </c>
      <c r="D312" s="459" t="s">
        <v>255</v>
      </c>
      <c r="E312" s="459">
        <v>2.0</v>
      </c>
      <c r="F312" s="459" t="s">
        <v>1072</v>
      </c>
      <c r="G312" s="461"/>
      <c r="H312" s="461"/>
      <c r="I312" s="462" t="s">
        <v>1289</v>
      </c>
      <c r="J312" s="459" t="s">
        <v>845</v>
      </c>
      <c r="K312" s="459" t="s">
        <v>851</v>
      </c>
      <c r="L312" s="450">
        <f>IFERROR(__xludf.DUMMYFUNCTION("ROUNDUP(REGEXREPLACE(D312, ""[^0-9]"", """")*0.8)"),48.0)</f>
        <v>48</v>
      </c>
    </row>
    <row r="313">
      <c r="A313" s="460" t="s">
        <v>1290</v>
      </c>
      <c r="B313" s="445" t="s">
        <v>743</v>
      </c>
      <c r="C313" s="460" t="s">
        <v>849</v>
      </c>
      <c r="D313" s="460" t="s">
        <v>1075</v>
      </c>
      <c r="E313" s="460">
        <v>2.0</v>
      </c>
      <c r="F313" s="460" t="s">
        <v>856</v>
      </c>
      <c r="G313" s="463"/>
      <c r="H313" s="463"/>
      <c r="I313" s="464" t="s">
        <v>1291</v>
      </c>
      <c r="J313" s="460" t="s">
        <v>845</v>
      </c>
      <c r="K313" s="460" t="s">
        <v>851</v>
      </c>
      <c r="L313" s="446">
        <f>IFERROR(__xludf.DUMMYFUNCTION("ROUNDUP(REGEXREPLACE(D313, ""[^0-9]"", """")*0.8)"),36.0)</f>
        <v>36</v>
      </c>
    </row>
    <row r="314">
      <c r="A314" s="459" t="s">
        <v>1292</v>
      </c>
      <c r="B314" s="449" t="s">
        <v>743</v>
      </c>
      <c r="C314" s="459" t="s">
        <v>849</v>
      </c>
      <c r="D314" s="459" t="s">
        <v>224</v>
      </c>
      <c r="E314" s="459">
        <v>1.0</v>
      </c>
      <c r="F314" s="459" t="s">
        <v>1233</v>
      </c>
      <c r="G314" s="461"/>
      <c r="H314" s="461"/>
      <c r="I314" s="462" t="s">
        <v>1293</v>
      </c>
      <c r="J314" s="459" t="s">
        <v>845</v>
      </c>
      <c r="K314" s="459" t="s">
        <v>851</v>
      </c>
      <c r="L314" s="450">
        <f>IFERROR(__xludf.DUMMYFUNCTION("ROUNDUP(REGEXREPLACE(D314, ""[^0-9]"", """")*0.8)"),20.0)</f>
        <v>20</v>
      </c>
    </row>
    <row r="315">
      <c r="A315" s="460" t="s">
        <v>1294</v>
      </c>
      <c r="B315" s="445" t="s">
        <v>743</v>
      </c>
      <c r="C315" s="460" t="s">
        <v>849</v>
      </c>
      <c r="D315" s="460" t="s">
        <v>1239</v>
      </c>
      <c r="E315" s="460">
        <v>2.0</v>
      </c>
      <c r="F315" s="460" t="s">
        <v>1233</v>
      </c>
      <c r="G315" s="463"/>
      <c r="H315" s="463"/>
      <c r="I315" s="464" t="s">
        <v>1295</v>
      </c>
      <c r="J315" s="460" t="s">
        <v>957</v>
      </c>
      <c r="K315" s="460" t="s">
        <v>851</v>
      </c>
      <c r="L315" s="446">
        <f>IFERROR(__xludf.DUMMYFUNCTION("ROUNDUP(REGEXREPLACE(D315, ""[^0-9]"", """")*0.8)"),64.0)</f>
        <v>64</v>
      </c>
    </row>
    <row r="316">
      <c r="A316" s="459" t="s">
        <v>1296</v>
      </c>
      <c r="B316" s="449" t="s">
        <v>743</v>
      </c>
      <c r="C316" s="459" t="s">
        <v>849</v>
      </c>
      <c r="D316" s="459" t="s">
        <v>295</v>
      </c>
      <c r="E316" s="459">
        <v>3.0</v>
      </c>
      <c r="F316" s="459" t="s">
        <v>1233</v>
      </c>
      <c r="G316" s="461"/>
      <c r="H316" s="461"/>
      <c r="I316" s="462" t="s">
        <v>1297</v>
      </c>
      <c r="J316" s="459" t="s">
        <v>1235</v>
      </c>
      <c r="K316" s="459" t="s">
        <v>851</v>
      </c>
      <c r="L316" s="450">
        <f>IFERROR(__xludf.DUMMYFUNCTION("ROUNDUP(REGEXREPLACE(D316, ""[^0-9]"", """")*0.8)"),200.0)</f>
        <v>200</v>
      </c>
    </row>
    <row r="317">
      <c r="A317" s="460" t="s">
        <v>1298</v>
      </c>
      <c r="B317" s="445" t="s">
        <v>743</v>
      </c>
      <c r="C317" s="460" t="s">
        <v>849</v>
      </c>
      <c r="D317" s="460" t="s">
        <v>341</v>
      </c>
      <c r="E317" s="460">
        <v>4.0</v>
      </c>
      <c r="F317" s="460" t="s">
        <v>1233</v>
      </c>
      <c r="G317" s="463"/>
      <c r="H317" s="463"/>
      <c r="I317" s="464" t="s">
        <v>1299</v>
      </c>
      <c r="J317" s="460" t="s">
        <v>1235</v>
      </c>
      <c r="K317" s="460" t="s">
        <v>851</v>
      </c>
      <c r="L317" s="446">
        <f>IFERROR(__xludf.DUMMYFUNCTION("ROUNDUP(REGEXREPLACE(D317, ""[^0-9]"", """")*0.8)"),800.0)</f>
        <v>800</v>
      </c>
    </row>
    <row r="318">
      <c r="A318" s="459" t="s">
        <v>1300</v>
      </c>
      <c r="B318" s="449" t="s">
        <v>743</v>
      </c>
      <c r="C318" s="459" t="s">
        <v>849</v>
      </c>
      <c r="D318" s="459" t="s">
        <v>257</v>
      </c>
      <c r="E318" s="459">
        <v>2.0</v>
      </c>
      <c r="F318" s="459" t="s">
        <v>26</v>
      </c>
      <c r="G318" s="461"/>
      <c r="H318" s="461"/>
      <c r="I318" s="462" t="s">
        <v>1301</v>
      </c>
      <c r="J318" s="459" t="s">
        <v>770</v>
      </c>
      <c r="K318" s="459" t="s">
        <v>851</v>
      </c>
      <c r="L318" s="450">
        <f>IFERROR(__xludf.DUMMYFUNCTION("ROUNDUP(REGEXREPLACE(D318, ""[^0-9]"", """")*0.8)"),24.0)</f>
        <v>24</v>
      </c>
    </row>
    <row r="319">
      <c r="A319" s="460" t="s">
        <v>1302</v>
      </c>
      <c r="B319" s="445" t="s">
        <v>743</v>
      </c>
      <c r="C319" s="460" t="s">
        <v>849</v>
      </c>
      <c r="D319" s="460" t="s">
        <v>235</v>
      </c>
      <c r="E319" s="460">
        <v>1.0</v>
      </c>
      <c r="F319" s="460" t="s">
        <v>26</v>
      </c>
      <c r="G319" s="463"/>
      <c r="H319" s="463"/>
      <c r="I319" s="464" t="s">
        <v>1303</v>
      </c>
      <c r="J319" s="460" t="s">
        <v>957</v>
      </c>
      <c r="K319" s="460" t="s">
        <v>851</v>
      </c>
      <c r="L319" s="446">
        <f>IFERROR(__xludf.DUMMYFUNCTION("ROUNDUP(REGEXREPLACE(D319, ""[^0-9]"", """")*0.8)"),16.0)</f>
        <v>16</v>
      </c>
    </row>
    <row r="320">
      <c r="A320" s="459" t="s">
        <v>1304</v>
      </c>
      <c r="B320" s="449" t="s">
        <v>743</v>
      </c>
      <c r="C320" s="459" t="s">
        <v>849</v>
      </c>
      <c r="D320" s="459" t="s">
        <v>224</v>
      </c>
      <c r="E320" s="459">
        <v>1.0</v>
      </c>
      <c r="F320" s="459" t="s">
        <v>26</v>
      </c>
      <c r="G320" s="461"/>
      <c r="H320" s="461"/>
      <c r="I320" s="462" t="s">
        <v>1305</v>
      </c>
      <c r="J320" s="459" t="s">
        <v>957</v>
      </c>
      <c r="K320" s="459" t="s">
        <v>851</v>
      </c>
      <c r="L320" s="450">
        <f>IFERROR(__xludf.DUMMYFUNCTION("ROUNDUP(REGEXREPLACE(D320, ""[^0-9]"", """")*0.8)"),20.0)</f>
        <v>20</v>
      </c>
    </row>
    <row r="321">
      <c r="A321" s="460" t="s">
        <v>1306</v>
      </c>
      <c r="B321" s="445" t="s">
        <v>743</v>
      </c>
      <c r="C321" s="460" t="s">
        <v>849</v>
      </c>
      <c r="D321" s="460" t="s">
        <v>1191</v>
      </c>
      <c r="E321" s="460">
        <v>2.0</v>
      </c>
      <c r="F321" s="460" t="s">
        <v>26</v>
      </c>
      <c r="G321" s="463"/>
      <c r="H321" s="463"/>
      <c r="I321" s="464" t="s">
        <v>1307</v>
      </c>
      <c r="J321" s="460" t="s">
        <v>1235</v>
      </c>
      <c r="K321" s="460" t="s">
        <v>851</v>
      </c>
      <c r="L321" s="446">
        <f>IFERROR(__xludf.DUMMYFUNCTION("ROUNDUP(REGEXREPLACE(D321, ""[^0-9]"", """")*0.8)"),28.0)</f>
        <v>28</v>
      </c>
    </row>
    <row r="322">
      <c r="A322" s="459" t="s">
        <v>1308</v>
      </c>
      <c r="B322" s="449" t="s">
        <v>743</v>
      </c>
      <c r="C322" s="459" t="s">
        <v>849</v>
      </c>
      <c r="D322" s="459" t="s">
        <v>700</v>
      </c>
      <c r="E322" s="459">
        <v>2.0</v>
      </c>
      <c r="F322" s="459" t="s">
        <v>26</v>
      </c>
      <c r="G322" s="461"/>
      <c r="H322" s="461"/>
      <c r="I322" s="462" t="s">
        <v>1309</v>
      </c>
      <c r="J322" s="459" t="s">
        <v>1052</v>
      </c>
      <c r="K322" s="459" t="s">
        <v>851</v>
      </c>
      <c r="L322" s="450">
        <f>IFERROR(__xludf.DUMMYFUNCTION("ROUNDUP(REGEXREPLACE(D322, ""[^0-9]"", """")*0.8)"),120.0)</f>
        <v>120</v>
      </c>
    </row>
    <row r="323">
      <c r="A323" s="460" t="s">
        <v>1310</v>
      </c>
      <c r="B323" s="445" t="s">
        <v>743</v>
      </c>
      <c r="C323" s="460" t="s">
        <v>849</v>
      </c>
      <c r="D323" s="460" t="s">
        <v>241</v>
      </c>
      <c r="E323" s="460">
        <v>2.0</v>
      </c>
      <c r="F323" s="460" t="s">
        <v>751</v>
      </c>
      <c r="G323" s="463"/>
      <c r="H323" s="463"/>
      <c r="I323" s="464" t="s">
        <v>1311</v>
      </c>
      <c r="J323" s="460" t="s">
        <v>957</v>
      </c>
      <c r="K323" s="460" t="s">
        <v>851</v>
      </c>
      <c r="L323" s="446">
        <f>IFERROR(__xludf.DUMMYFUNCTION("ROUNDUP(REGEXREPLACE(D323, ""[^0-9]"", """")*0.8)"),40.0)</f>
        <v>40</v>
      </c>
    </row>
    <row r="324">
      <c r="A324" s="459" t="s">
        <v>1312</v>
      </c>
      <c r="B324" s="449" t="s">
        <v>743</v>
      </c>
      <c r="C324" s="459" t="s">
        <v>849</v>
      </c>
      <c r="D324" s="459" t="s">
        <v>295</v>
      </c>
      <c r="E324" s="459">
        <v>3.0</v>
      </c>
      <c r="F324" s="459" t="s">
        <v>751</v>
      </c>
      <c r="G324" s="461"/>
      <c r="H324" s="461"/>
      <c r="I324" s="462" t="s">
        <v>1313</v>
      </c>
      <c r="J324" s="459" t="s">
        <v>1235</v>
      </c>
      <c r="K324" s="459" t="s">
        <v>851</v>
      </c>
      <c r="L324" s="450">
        <f>IFERROR(__xludf.DUMMYFUNCTION("ROUNDUP(REGEXREPLACE(D324, ""[^0-9]"", """")*0.8)"),200.0)</f>
        <v>200</v>
      </c>
    </row>
    <row r="325">
      <c r="A325" s="460" t="s">
        <v>1314</v>
      </c>
      <c r="B325" s="445" t="s">
        <v>743</v>
      </c>
      <c r="C325" s="460" t="s">
        <v>744</v>
      </c>
      <c r="D325" s="460" t="s">
        <v>695</v>
      </c>
      <c r="E325" s="460">
        <v>2.0</v>
      </c>
      <c r="F325" s="460" t="s">
        <v>809</v>
      </c>
      <c r="G325" s="463"/>
      <c r="H325" s="463"/>
      <c r="I325" s="464" t="s">
        <v>1315</v>
      </c>
      <c r="J325" s="460" t="s">
        <v>747</v>
      </c>
      <c r="K325" s="460" t="s">
        <v>1053</v>
      </c>
      <c r="L325" s="446">
        <f>IFERROR(__xludf.DUMMYFUNCTION("ROUNDUP(REGEXREPLACE(D325, ""[^0-9]"", """")*0.8)"),32.0)</f>
        <v>32</v>
      </c>
    </row>
    <row r="326">
      <c r="A326" s="459" t="s">
        <v>1316</v>
      </c>
      <c r="B326" s="449" t="s">
        <v>743</v>
      </c>
      <c r="C326" s="459" t="s">
        <v>849</v>
      </c>
      <c r="D326" s="459" t="s">
        <v>246</v>
      </c>
      <c r="E326" s="459">
        <v>1.0</v>
      </c>
      <c r="F326" s="459" t="s">
        <v>745</v>
      </c>
      <c r="G326" s="461"/>
      <c r="H326" s="461"/>
      <c r="I326" s="462" t="s">
        <v>1317</v>
      </c>
      <c r="J326" s="459" t="s">
        <v>747</v>
      </c>
      <c r="K326" s="459" t="s">
        <v>748</v>
      </c>
      <c r="L326" s="450">
        <f>IFERROR(__xludf.DUMMYFUNCTION("ROUNDUP(REGEXREPLACE(D326, ""[^0-9]"", """")*0.8)"),12.0)</f>
        <v>12</v>
      </c>
    </row>
    <row r="327">
      <c r="A327" s="460" t="s">
        <v>1318</v>
      </c>
      <c r="B327" s="445" t="s">
        <v>743</v>
      </c>
      <c r="C327" s="460" t="s">
        <v>790</v>
      </c>
      <c r="D327" s="460" t="s">
        <v>695</v>
      </c>
      <c r="E327" s="460">
        <v>2.0</v>
      </c>
      <c r="F327" s="460" t="s">
        <v>809</v>
      </c>
      <c r="G327" s="463"/>
      <c r="H327" s="463"/>
      <c r="I327" s="464" t="s">
        <v>1319</v>
      </c>
      <c r="J327" s="460" t="s">
        <v>957</v>
      </c>
      <c r="K327" s="460" t="s">
        <v>851</v>
      </c>
      <c r="L327" s="446">
        <f>IFERROR(__xludf.DUMMYFUNCTION("ROUNDUP(REGEXREPLACE(D327, ""[^0-9]"", """")*0.8)"),32.0)</f>
        <v>32</v>
      </c>
    </row>
    <row r="328">
      <c r="A328" s="459" t="s">
        <v>1320</v>
      </c>
      <c r="B328" s="449" t="s">
        <v>743</v>
      </c>
      <c r="C328" s="459" t="s">
        <v>887</v>
      </c>
      <c r="D328" s="459" t="s">
        <v>1321</v>
      </c>
      <c r="E328" s="459">
        <v>2.0</v>
      </c>
      <c r="F328" s="459" t="s">
        <v>1109</v>
      </c>
      <c r="G328" s="461"/>
      <c r="H328" s="461"/>
      <c r="I328" s="462" t="s">
        <v>1322</v>
      </c>
      <c r="J328" s="459" t="s">
        <v>747</v>
      </c>
      <c r="K328" s="459" t="s">
        <v>1053</v>
      </c>
      <c r="L328" s="450">
        <f>IFERROR(__xludf.DUMMYFUNCTION("ROUNDUP(REGEXREPLACE(D328, ""[^0-9]"", """")*0.8)"),72.0)</f>
        <v>72</v>
      </c>
    </row>
    <row r="329">
      <c r="A329" s="460" t="s">
        <v>1323</v>
      </c>
      <c r="B329" s="445" t="s">
        <v>743</v>
      </c>
      <c r="C329" s="460" t="s">
        <v>887</v>
      </c>
      <c r="D329" s="460" t="s">
        <v>1191</v>
      </c>
      <c r="E329" s="460">
        <v>2.0</v>
      </c>
      <c r="F329" s="460" t="s">
        <v>856</v>
      </c>
      <c r="G329" s="463"/>
      <c r="H329" s="463"/>
      <c r="I329" s="464" t="s">
        <v>1324</v>
      </c>
      <c r="J329" s="460" t="s">
        <v>747</v>
      </c>
      <c r="K329" s="460" t="s">
        <v>1053</v>
      </c>
      <c r="L329" s="446">
        <f>IFERROR(__xludf.DUMMYFUNCTION("ROUNDUP(REGEXREPLACE(D329, ""[^0-9]"", """")*0.8)"),28.0)</f>
        <v>28</v>
      </c>
    </row>
    <row r="330">
      <c r="A330" s="459" t="s">
        <v>1325</v>
      </c>
      <c r="B330" s="449" t="s">
        <v>743</v>
      </c>
      <c r="C330" s="459" t="s">
        <v>849</v>
      </c>
      <c r="D330" s="459" t="s">
        <v>1326</v>
      </c>
      <c r="E330" s="459">
        <v>1.0</v>
      </c>
      <c r="F330" s="459" t="s">
        <v>1233</v>
      </c>
      <c r="G330" s="461"/>
      <c r="H330" s="461"/>
      <c r="I330" s="462" t="s">
        <v>1327</v>
      </c>
      <c r="J330" s="459" t="s">
        <v>957</v>
      </c>
      <c r="K330" s="459" t="s">
        <v>851</v>
      </c>
      <c r="L330" s="450">
        <f>IFERROR(__xludf.DUMMYFUNCTION("ROUNDUP(REGEXREPLACE(D330, ""[^0-9]"", """")*0.8)"),15.0)</f>
        <v>15</v>
      </c>
    </row>
    <row r="331">
      <c r="A331" s="460" t="s">
        <v>1328</v>
      </c>
      <c r="B331" s="445" t="s">
        <v>743</v>
      </c>
      <c r="C331" s="460" t="s">
        <v>887</v>
      </c>
      <c r="D331" s="460" t="s">
        <v>1329</v>
      </c>
      <c r="E331" s="460">
        <v>2.0</v>
      </c>
      <c r="F331" s="460" t="s">
        <v>833</v>
      </c>
      <c r="G331" s="463"/>
      <c r="H331" s="463"/>
      <c r="I331" s="464" t="s">
        <v>1330</v>
      </c>
      <c r="J331" s="460" t="s">
        <v>793</v>
      </c>
      <c r="K331" s="460" t="s">
        <v>1053</v>
      </c>
      <c r="L331" s="446">
        <f>IFERROR(__xludf.DUMMYFUNCTION("ROUNDUP(REGEXREPLACE(D331, ""[^0-9]"", """")*0.8)"),44.0)</f>
        <v>44</v>
      </c>
    </row>
    <row r="332">
      <c r="A332" s="459" t="s">
        <v>1331</v>
      </c>
      <c r="B332" s="449" t="s">
        <v>743</v>
      </c>
      <c r="C332" s="459" t="s">
        <v>916</v>
      </c>
      <c r="D332" s="459" t="s">
        <v>1332</v>
      </c>
      <c r="E332" s="459">
        <v>4.0</v>
      </c>
      <c r="F332" s="459" t="s">
        <v>757</v>
      </c>
      <c r="G332" s="461"/>
      <c r="H332" s="461"/>
      <c r="I332" s="465" t="s">
        <v>1333</v>
      </c>
      <c r="J332" s="459" t="s">
        <v>807</v>
      </c>
      <c r="K332" s="459" t="s">
        <v>788</v>
      </c>
      <c r="L332" s="450">
        <f>IFERROR(__xludf.DUMMYFUNCTION("ROUNDUP(REGEXREPLACE(D332, ""[^0-9]"", """")*0.8)"),960.0)</f>
        <v>960</v>
      </c>
    </row>
    <row r="333">
      <c r="A333" s="460" t="s">
        <v>1334</v>
      </c>
      <c r="B333" s="445" t="s">
        <v>743</v>
      </c>
      <c r="C333" s="460" t="s">
        <v>916</v>
      </c>
      <c r="D333" s="460" t="s">
        <v>1335</v>
      </c>
      <c r="E333" s="460">
        <v>4.0</v>
      </c>
      <c r="F333" s="460" t="s">
        <v>757</v>
      </c>
      <c r="G333" s="463"/>
      <c r="H333" s="463"/>
      <c r="I333" s="466" t="s">
        <v>1336</v>
      </c>
      <c r="J333" s="460" t="s">
        <v>807</v>
      </c>
      <c r="K333" s="460" t="s">
        <v>788</v>
      </c>
      <c r="L333" s="446">
        <f>IFERROR(__xludf.DUMMYFUNCTION("ROUNDUP(REGEXREPLACE(D333, ""[^0-9]"", """")*0.8)"),1120.0)</f>
        <v>1120</v>
      </c>
    </row>
    <row r="334">
      <c r="A334" s="459" t="s">
        <v>1337</v>
      </c>
      <c r="B334" s="449" t="s">
        <v>743</v>
      </c>
      <c r="C334" s="459" t="s">
        <v>916</v>
      </c>
      <c r="D334" s="459" t="s">
        <v>1338</v>
      </c>
      <c r="E334" s="459">
        <v>4.0</v>
      </c>
      <c r="F334" s="459" t="s">
        <v>833</v>
      </c>
      <c r="G334" s="461"/>
      <c r="H334" s="461"/>
      <c r="I334" s="465" t="s">
        <v>1339</v>
      </c>
      <c r="J334" s="459" t="s">
        <v>860</v>
      </c>
      <c r="K334" s="459" t="s">
        <v>788</v>
      </c>
      <c r="L334" s="450">
        <f>IFERROR(__xludf.DUMMYFUNCTION("ROUNDUP(REGEXREPLACE(D334, ""[^0-9]"", """")*0.8)"),1440.0)</f>
        <v>1440</v>
      </c>
    </row>
    <row r="335">
      <c r="A335" s="460" t="s">
        <v>1340</v>
      </c>
      <c r="B335" s="445" t="s">
        <v>743</v>
      </c>
      <c r="C335" s="460" t="s">
        <v>916</v>
      </c>
      <c r="D335" s="460" t="s">
        <v>940</v>
      </c>
      <c r="E335" s="460">
        <v>4.0</v>
      </c>
      <c r="F335" s="460" t="s">
        <v>965</v>
      </c>
      <c r="G335" s="463"/>
      <c r="H335" s="463"/>
      <c r="I335" s="466" t="s">
        <v>1341</v>
      </c>
      <c r="J335" s="460" t="s">
        <v>787</v>
      </c>
      <c r="K335" s="460" t="s">
        <v>788</v>
      </c>
      <c r="L335" s="446">
        <f>IFERROR(__xludf.DUMMYFUNCTION("ROUNDUP(REGEXREPLACE(D335, ""[^0-9]"", """")*0.8)"),800.0)</f>
        <v>800</v>
      </c>
    </row>
    <row r="336">
      <c r="A336" s="459" t="s">
        <v>1342</v>
      </c>
      <c r="B336" s="449" t="s">
        <v>743</v>
      </c>
      <c r="C336" s="459" t="s">
        <v>916</v>
      </c>
      <c r="D336" s="459" t="s">
        <v>1343</v>
      </c>
      <c r="E336" s="459">
        <v>4.0</v>
      </c>
      <c r="F336" s="459" t="s">
        <v>757</v>
      </c>
      <c r="G336" s="461"/>
      <c r="H336" s="461"/>
      <c r="I336" s="465" t="s">
        <v>1344</v>
      </c>
      <c r="J336" s="459" t="s">
        <v>1345</v>
      </c>
      <c r="K336" s="459" t="s">
        <v>788</v>
      </c>
      <c r="L336" s="450">
        <f>IFERROR(__xludf.DUMMYFUNCTION("ROUNDUP(REGEXREPLACE(D336, ""[^0-9]"", """")*0.8)"),1280.0)</f>
        <v>1280</v>
      </c>
    </row>
    <row r="337">
      <c r="A337" s="460" t="s">
        <v>1346</v>
      </c>
      <c r="B337" s="445" t="s">
        <v>743</v>
      </c>
      <c r="C337" s="460" t="s">
        <v>916</v>
      </c>
      <c r="D337" s="460" t="s">
        <v>1347</v>
      </c>
      <c r="E337" s="460">
        <v>5.0</v>
      </c>
      <c r="F337" s="460" t="s">
        <v>833</v>
      </c>
      <c r="G337" s="463"/>
      <c r="H337" s="463"/>
      <c r="I337" s="466" t="s">
        <v>1348</v>
      </c>
      <c r="J337" s="460" t="s">
        <v>1345</v>
      </c>
      <c r="K337" s="460" t="s">
        <v>788</v>
      </c>
      <c r="L337" s="446">
        <f>IFERROR(__xludf.DUMMYFUNCTION("ROUNDUP(REGEXREPLACE(D337, ""[^0-9]"", """")*0.8)"),1760.0)</f>
        <v>1760</v>
      </c>
    </row>
    <row r="338">
      <c r="A338" s="459" t="s">
        <v>1349</v>
      </c>
      <c r="B338" s="449" t="s">
        <v>743</v>
      </c>
      <c r="C338" s="459" t="s">
        <v>916</v>
      </c>
      <c r="D338" s="459" t="s">
        <v>1350</v>
      </c>
      <c r="E338" s="459">
        <v>5.0</v>
      </c>
      <c r="F338" s="459" t="s">
        <v>757</v>
      </c>
      <c r="G338" s="461"/>
      <c r="H338" s="461"/>
      <c r="I338" s="465" t="s">
        <v>1351</v>
      </c>
      <c r="J338" s="459" t="s">
        <v>807</v>
      </c>
      <c r="K338" s="459" t="s">
        <v>788</v>
      </c>
      <c r="L338" s="450">
        <f>IFERROR(__xludf.DUMMYFUNCTION("ROUNDUP(REGEXREPLACE(D338, ""[^0-9]"", """")*0.8)"),2240.0)</f>
        <v>2240</v>
      </c>
    </row>
    <row r="339">
      <c r="A339" s="460" t="s">
        <v>1352</v>
      </c>
      <c r="B339" s="445" t="s">
        <v>743</v>
      </c>
      <c r="C339" s="460" t="s">
        <v>916</v>
      </c>
      <c r="D339" s="460" t="s">
        <v>1353</v>
      </c>
      <c r="E339" s="460">
        <v>5.0</v>
      </c>
      <c r="F339" s="460" t="s">
        <v>833</v>
      </c>
      <c r="G339" s="463"/>
      <c r="H339" s="463"/>
      <c r="I339" s="466" t="s">
        <v>1354</v>
      </c>
      <c r="J339" s="460" t="s">
        <v>860</v>
      </c>
      <c r="K339" s="460" t="s">
        <v>788</v>
      </c>
      <c r="L339" s="446">
        <f>IFERROR(__xludf.DUMMYFUNCTION("ROUNDUP(REGEXREPLACE(D339, ""[^0-9]"", """")*0.8)"),1920.0)</f>
        <v>1920</v>
      </c>
    </row>
    <row r="340">
      <c r="A340" s="459" t="s">
        <v>1355</v>
      </c>
      <c r="B340" s="449" t="s">
        <v>743</v>
      </c>
      <c r="C340" s="459" t="s">
        <v>916</v>
      </c>
      <c r="D340" s="459" t="s">
        <v>1356</v>
      </c>
      <c r="E340" s="459">
        <v>5.0</v>
      </c>
      <c r="F340" s="459" t="s">
        <v>856</v>
      </c>
      <c r="G340" s="461"/>
      <c r="H340" s="461"/>
      <c r="I340" s="465" t="s">
        <v>1357</v>
      </c>
      <c r="J340" s="459" t="s">
        <v>807</v>
      </c>
      <c r="K340" s="459" t="s">
        <v>788</v>
      </c>
      <c r="L340" s="450">
        <f>IFERROR(__xludf.DUMMYFUNCTION("ROUNDUP(REGEXREPLACE(D340, ""[^0-9]"", """")*0.8)"),2560.0)</f>
        <v>2560</v>
      </c>
    </row>
    <row r="341">
      <c r="A341" s="460" t="s">
        <v>1358</v>
      </c>
      <c r="B341" s="445" t="s">
        <v>743</v>
      </c>
      <c r="C341" s="460" t="s">
        <v>916</v>
      </c>
      <c r="D341" s="460" t="s">
        <v>1359</v>
      </c>
      <c r="E341" s="460">
        <v>5.0</v>
      </c>
      <c r="F341" s="460" t="s">
        <v>833</v>
      </c>
      <c r="G341" s="463"/>
      <c r="H341" s="463"/>
      <c r="I341" s="466" t="s">
        <v>1360</v>
      </c>
      <c r="J341" s="460" t="s">
        <v>807</v>
      </c>
      <c r="K341" s="460" t="s">
        <v>788</v>
      </c>
      <c r="L341" s="446">
        <f>IFERROR(__xludf.DUMMYFUNCTION("ROUNDUP(REGEXREPLACE(D341, ""[^0-9]"", """")*0.8)"),2800.0)</f>
        <v>2800</v>
      </c>
    </row>
    <row r="342">
      <c r="A342" s="459" t="s">
        <v>1361</v>
      </c>
      <c r="B342" s="449" t="s">
        <v>743</v>
      </c>
      <c r="C342" s="459" t="s">
        <v>916</v>
      </c>
      <c r="D342" s="459" t="s">
        <v>1362</v>
      </c>
      <c r="E342" s="459">
        <v>6.0</v>
      </c>
      <c r="F342" s="459" t="s">
        <v>1072</v>
      </c>
      <c r="G342" s="461"/>
      <c r="H342" s="461"/>
      <c r="I342" s="465" t="s">
        <v>1363</v>
      </c>
      <c r="J342" s="459" t="s">
        <v>807</v>
      </c>
      <c r="K342" s="459" t="s">
        <v>788</v>
      </c>
      <c r="L342" s="450">
        <f>IFERROR(__xludf.DUMMYFUNCTION("ROUNDUP(REGEXREPLACE(D342, ""[^0-9]"", """")*0.8)"),3600.0)</f>
        <v>3600</v>
      </c>
    </row>
    <row r="343">
      <c r="A343" s="460" t="s">
        <v>1364</v>
      </c>
      <c r="B343" s="445" t="s">
        <v>743</v>
      </c>
      <c r="C343" s="460" t="s">
        <v>916</v>
      </c>
      <c r="D343" s="460" t="s">
        <v>1365</v>
      </c>
      <c r="E343" s="460">
        <v>6.0</v>
      </c>
      <c r="F343" s="460" t="s">
        <v>965</v>
      </c>
      <c r="G343" s="463"/>
      <c r="H343" s="463"/>
      <c r="I343" s="466" t="s">
        <v>1366</v>
      </c>
      <c r="J343" s="460" t="s">
        <v>1345</v>
      </c>
      <c r="K343" s="460" t="s">
        <v>788</v>
      </c>
      <c r="L343" s="446">
        <f>IFERROR(__xludf.DUMMYFUNCTION("ROUNDUP(REGEXREPLACE(D343, ""[^0-9]"", """")*0.8)"),4000.0)</f>
        <v>4000</v>
      </c>
    </row>
    <row r="344">
      <c r="A344" s="459" t="s">
        <v>1367</v>
      </c>
      <c r="B344" s="449" t="s">
        <v>743</v>
      </c>
      <c r="C344" s="459" t="s">
        <v>849</v>
      </c>
      <c r="D344" s="459" t="s">
        <v>1368</v>
      </c>
      <c r="E344" s="459">
        <v>6.0</v>
      </c>
      <c r="F344" s="459" t="s">
        <v>1369</v>
      </c>
      <c r="G344" s="461"/>
      <c r="H344" s="461"/>
      <c r="I344" s="465" t="s">
        <v>1370</v>
      </c>
      <c r="J344" s="459" t="s">
        <v>807</v>
      </c>
      <c r="K344" s="459" t="s">
        <v>788</v>
      </c>
      <c r="L344" s="450">
        <f>IFERROR(__xludf.DUMMYFUNCTION("ROUNDUP(REGEXREPLACE(D344, ""[^0-9]"", """")*0.8)"),4800.0)</f>
        <v>4800</v>
      </c>
    </row>
    <row r="345">
      <c r="A345" s="460" t="s">
        <v>1371</v>
      </c>
      <c r="B345" s="445" t="s">
        <v>743</v>
      </c>
      <c r="C345" s="460" t="s">
        <v>916</v>
      </c>
      <c r="D345" s="460" t="s">
        <v>1372</v>
      </c>
      <c r="E345" s="460">
        <v>6.0</v>
      </c>
      <c r="F345" s="460" t="s">
        <v>856</v>
      </c>
      <c r="G345" s="463"/>
      <c r="H345" s="463"/>
      <c r="I345" s="466" t="s">
        <v>1373</v>
      </c>
      <c r="J345" s="460" t="s">
        <v>807</v>
      </c>
      <c r="K345" s="460" t="s">
        <v>788</v>
      </c>
      <c r="L345" s="446">
        <f>IFERROR(__xludf.DUMMYFUNCTION("ROUNDUP(REGEXREPLACE(D345, ""[^0-9]"", """")*0.8)"),4400.0)</f>
        <v>4400</v>
      </c>
    </row>
    <row r="346">
      <c r="A346" s="459" t="s">
        <v>1374</v>
      </c>
      <c r="B346" s="449" t="s">
        <v>743</v>
      </c>
      <c r="C346" s="459" t="s">
        <v>916</v>
      </c>
      <c r="D346" s="459" t="s">
        <v>1375</v>
      </c>
      <c r="E346" s="459">
        <v>6.0</v>
      </c>
      <c r="F346" s="459" t="s">
        <v>965</v>
      </c>
      <c r="G346" s="461"/>
      <c r="H346" s="461"/>
      <c r="I346" s="465" t="s">
        <v>1376</v>
      </c>
      <c r="J346" s="459" t="s">
        <v>860</v>
      </c>
      <c r="K346" s="459" t="s">
        <v>788</v>
      </c>
      <c r="L346" s="450">
        <f>IFERROR(__xludf.DUMMYFUNCTION("ROUNDUP(REGEXREPLACE(D346, ""[^0-9]"", """")*0.8)"),6000.0)</f>
        <v>6000</v>
      </c>
    </row>
    <row r="347">
      <c r="A347" s="460" t="s">
        <v>1377</v>
      </c>
      <c r="B347" s="445" t="s">
        <v>743</v>
      </c>
      <c r="C347" s="460" t="s">
        <v>916</v>
      </c>
      <c r="D347" s="460" t="s">
        <v>1378</v>
      </c>
      <c r="E347" s="460">
        <v>6.0</v>
      </c>
      <c r="F347" s="460" t="s">
        <v>833</v>
      </c>
      <c r="G347" s="463"/>
      <c r="H347" s="463"/>
      <c r="I347" s="466" t="s">
        <v>1379</v>
      </c>
      <c r="J347" s="460" t="s">
        <v>807</v>
      </c>
      <c r="K347" s="460" t="s">
        <v>788</v>
      </c>
      <c r="L347" s="446">
        <f>IFERROR(__xludf.DUMMYFUNCTION("ROUNDUP(REGEXREPLACE(D347, ""[^0-9]"", """")*0.8)"),5200.0)</f>
        <v>5200</v>
      </c>
    </row>
    <row r="348">
      <c r="A348" s="459" t="s">
        <v>1380</v>
      </c>
      <c r="B348" s="449" t="s">
        <v>743</v>
      </c>
      <c r="C348" s="459" t="s">
        <v>916</v>
      </c>
      <c r="D348" s="459" t="s">
        <v>1381</v>
      </c>
      <c r="E348" s="459">
        <v>6.0</v>
      </c>
      <c r="F348" s="459" t="s">
        <v>833</v>
      </c>
      <c r="G348" s="461"/>
      <c r="H348" s="461"/>
      <c r="I348" s="465" t="s">
        <v>1382</v>
      </c>
      <c r="J348" s="459" t="s">
        <v>807</v>
      </c>
      <c r="K348" s="459" t="s">
        <v>788</v>
      </c>
      <c r="L348" s="450">
        <f>IFERROR(__xludf.DUMMYFUNCTION("ROUNDUP(REGEXREPLACE(D348, ""[^0-9]"", """")*0.8)"),6400.0)</f>
        <v>6400</v>
      </c>
    </row>
    <row r="349">
      <c r="A349" s="460" t="s">
        <v>1383</v>
      </c>
      <c r="B349" s="445" t="s">
        <v>743</v>
      </c>
      <c r="C349" s="460" t="s">
        <v>916</v>
      </c>
      <c r="D349" s="460" t="s">
        <v>1384</v>
      </c>
      <c r="E349" s="460">
        <v>7.0</v>
      </c>
      <c r="F349" s="460" t="s">
        <v>1072</v>
      </c>
      <c r="G349" s="463"/>
      <c r="H349" s="463"/>
      <c r="I349" s="466" t="s">
        <v>1385</v>
      </c>
      <c r="J349" s="460" t="s">
        <v>807</v>
      </c>
      <c r="K349" s="460" t="s">
        <v>788</v>
      </c>
      <c r="L349" s="446">
        <f>IFERROR(__xludf.DUMMYFUNCTION("ROUNDUP(REGEXREPLACE(D349, ""[^0-9]"", """")*0.8)"),9600.0)</f>
        <v>9600</v>
      </c>
    </row>
    <row r="350">
      <c r="A350" s="459" t="s">
        <v>1386</v>
      </c>
      <c r="B350" s="449" t="s">
        <v>743</v>
      </c>
      <c r="C350" s="459" t="s">
        <v>916</v>
      </c>
      <c r="D350" s="459" t="s">
        <v>501</v>
      </c>
      <c r="E350" s="459">
        <v>7.0</v>
      </c>
      <c r="F350" s="459" t="s">
        <v>802</v>
      </c>
      <c r="G350" s="461"/>
      <c r="H350" s="461"/>
      <c r="I350" s="465" t="s">
        <v>1387</v>
      </c>
      <c r="J350" s="459" t="s">
        <v>807</v>
      </c>
      <c r="K350" s="459" t="s">
        <v>788</v>
      </c>
      <c r="L350" s="450">
        <f>IFERROR(__xludf.DUMMYFUNCTION("ROUNDUP(REGEXREPLACE(D350, ""[^0-9]"", """")*0.8)"),12000.0)</f>
        <v>12000</v>
      </c>
    </row>
    <row r="351">
      <c r="A351" s="460" t="s">
        <v>1388</v>
      </c>
      <c r="B351" s="445" t="s">
        <v>743</v>
      </c>
      <c r="C351" s="460" t="s">
        <v>916</v>
      </c>
      <c r="D351" s="460" t="s">
        <v>1389</v>
      </c>
      <c r="E351" s="460">
        <v>7.0</v>
      </c>
      <c r="F351" s="460" t="s">
        <v>1072</v>
      </c>
      <c r="G351" s="463"/>
      <c r="H351" s="463"/>
      <c r="I351" s="466" t="s">
        <v>1390</v>
      </c>
      <c r="J351" s="460" t="s">
        <v>807</v>
      </c>
      <c r="K351" s="460" t="s">
        <v>788</v>
      </c>
      <c r="L351" s="446">
        <f>IFERROR(__xludf.DUMMYFUNCTION("ROUNDUP(REGEXREPLACE(D351, ""[^0-9]"", """")*0.8)"),14400.0)</f>
        <v>14400</v>
      </c>
    </row>
    <row r="352">
      <c r="A352" s="459" t="s">
        <v>1391</v>
      </c>
      <c r="B352" s="449" t="s">
        <v>743</v>
      </c>
      <c r="C352" s="459" t="s">
        <v>916</v>
      </c>
      <c r="D352" s="459" t="s">
        <v>1392</v>
      </c>
      <c r="E352" s="459">
        <v>7.0</v>
      </c>
      <c r="F352" s="459" t="s">
        <v>965</v>
      </c>
      <c r="G352" s="461"/>
      <c r="H352" s="461"/>
      <c r="I352" s="465" t="s">
        <v>1393</v>
      </c>
      <c r="J352" s="459" t="s">
        <v>807</v>
      </c>
      <c r="K352" s="459" t="s">
        <v>788</v>
      </c>
      <c r="L352" s="450">
        <f>IFERROR(__xludf.DUMMYFUNCTION("ROUNDUP(REGEXREPLACE(D352, ""[^0-9]"", """")*0.8)"),11200.0)</f>
        <v>11200</v>
      </c>
    </row>
    <row r="353">
      <c r="A353" s="460" t="s">
        <v>1394</v>
      </c>
      <c r="B353" s="445" t="s">
        <v>743</v>
      </c>
      <c r="C353" s="460" t="s">
        <v>916</v>
      </c>
      <c r="D353" s="460" t="s">
        <v>1395</v>
      </c>
      <c r="E353" s="460">
        <v>7.0</v>
      </c>
      <c r="F353" s="460" t="s">
        <v>1369</v>
      </c>
      <c r="G353" s="463"/>
      <c r="H353" s="463"/>
      <c r="I353" s="466" t="s">
        <v>1396</v>
      </c>
      <c r="J353" s="460" t="s">
        <v>807</v>
      </c>
      <c r="K353" s="460" t="s">
        <v>788</v>
      </c>
      <c r="L353" s="446">
        <f>IFERROR(__xludf.DUMMYFUNCTION("ROUNDUP(REGEXREPLACE(D353, ""[^0-9]"", """")*0.8)"),17600.0)</f>
        <v>17600</v>
      </c>
    </row>
    <row r="354">
      <c r="A354" s="459" t="s">
        <v>1397</v>
      </c>
      <c r="B354" s="449" t="s">
        <v>743</v>
      </c>
      <c r="C354" s="459" t="s">
        <v>916</v>
      </c>
      <c r="D354" s="459" t="s">
        <v>1398</v>
      </c>
      <c r="E354" s="459">
        <v>8.0</v>
      </c>
      <c r="F354" s="459" t="s">
        <v>1399</v>
      </c>
      <c r="G354" s="461"/>
      <c r="H354" s="461"/>
      <c r="I354" s="465" t="s">
        <v>1400</v>
      </c>
      <c r="J354" s="459" t="s">
        <v>807</v>
      </c>
      <c r="K354" s="459" t="s">
        <v>788</v>
      </c>
      <c r="L354" s="450">
        <f>IFERROR(__xludf.DUMMYFUNCTION("ROUNDUP(REGEXREPLACE(D354, ""[^0-9]"", """")*0.8)"),22400.0)</f>
        <v>22400</v>
      </c>
    </row>
    <row r="355">
      <c r="A355" s="460" t="s">
        <v>1401</v>
      </c>
      <c r="B355" s="445" t="s">
        <v>743</v>
      </c>
      <c r="C355" s="460" t="s">
        <v>849</v>
      </c>
      <c r="D355" s="460" t="s">
        <v>1402</v>
      </c>
      <c r="E355" s="460">
        <v>8.0</v>
      </c>
      <c r="F355" s="460" t="s">
        <v>853</v>
      </c>
      <c r="G355" s="463"/>
      <c r="H355" s="463"/>
      <c r="I355" s="466" t="s">
        <v>1403</v>
      </c>
      <c r="J355" s="460" t="s">
        <v>807</v>
      </c>
      <c r="K355" s="460" t="s">
        <v>788</v>
      </c>
      <c r="L355" s="446">
        <f>IFERROR(__xludf.DUMMYFUNCTION("ROUNDUP(REGEXREPLACE(D355, ""[^0-9]"", """")*0.8)"),36000.0)</f>
        <v>36000</v>
      </c>
    </row>
    <row r="356">
      <c r="A356" s="459" t="s">
        <v>1404</v>
      </c>
      <c r="B356" s="449" t="s">
        <v>743</v>
      </c>
      <c r="C356" s="459" t="s">
        <v>916</v>
      </c>
      <c r="D356" s="459" t="s">
        <v>1405</v>
      </c>
      <c r="E356" s="459">
        <v>9.0</v>
      </c>
      <c r="F356" s="459" t="s">
        <v>1406</v>
      </c>
      <c r="G356" s="461"/>
      <c r="H356" s="461"/>
      <c r="I356" s="465" t="s">
        <v>1407</v>
      </c>
      <c r="J356" s="459" t="s">
        <v>807</v>
      </c>
      <c r="K356" s="459" t="s">
        <v>788</v>
      </c>
      <c r="L356" s="450">
        <f>IFERROR(__xludf.DUMMYFUNCTION("ROUNDUP(REGEXREPLACE(D356, ""[^0-9]"", """")*0.8)"),56000.0)</f>
        <v>56000</v>
      </c>
    </row>
    <row r="357">
      <c r="A357" s="460" t="s">
        <v>1408</v>
      </c>
      <c r="B357" s="445" t="s">
        <v>743</v>
      </c>
      <c r="C357" s="460" t="s">
        <v>849</v>
      </c>
      <c r="D357" s="460" t="s">
        <v>1409</v>
      </c>
      <c r="E357" s="460">
        <v>9.0</v>
      </c>
      <c r="F357" s="460" t="s">
        <v>1406</v>
      </c>
      <c r="G357" s="463"/>
      <c r="H357" s="463"/>
      <c r="I357" s="466" t="s">
        <v>1410</v>
      </c>
      <c r="J357" s="460" t="s">
        <v>1235</v>
      </c>
      <c r="K357" s="460" t="s">
        <v>851</v>
      </c>
      <c r="L357" s="446">
        <f>IFERROR(__xludf.DUMMYFUNCTION("ROUNDUP(REGEXREPLACE(D357, ""[^0-9]"", """")*0.8)"),48000.0)</f>
        <v>48000</v>
      </c>
    </row>
    <row r="358">
      <c r="A358" s="459" t="s">
        <v>1411</v>
      </c>
      <c r="B358" s="449" t="s">
        <v>743</v>
      </c>
      <c r="C358" s="459" t="s">
        <v>887</v>
      </c>
      <c r="D358" s="459" t="s">
        <v>1412</v>
      </c>
      <c r="E358" s="459">
        <v>4.0</v>
      </c>
      <c r="F358" s="459" t="s">
        <v>1085</v>
      </c>
      <c r="G358" s="461"/>
      <c r="H358" s="461"/>
      <c r="I358" s="465" t="s">
        <v>1413</v>
      </c>
      <c r="J358" s="459" t="s">
        <v>957</v>
      </c>
      <c r="K358" s="459" t="s">
        <v>851</v>
      </c>
      <c r="L358" s="450">
        <f>IFERROR(__xludf.DUMMYFUNCTION("ROUNDUP(REGEXREPLACE(D358, ""[^0-9]"", """")*0.8)"),1200.0)</f>
        <v>1200</v>
      </c>
    </row>
    <row r="359">
      <c r="A359" s="460" t="s">
        <v>1414</v>
      </c>
      <c r="B359" s="445" t="s">
        <v>743</v>
      </c>
      <c r="C359" s="460" t="s">
        <v>887</v>
      </c>
      <c r="D359" s="460" t="s">
        <v>1332</v>
      </c>
      <c r="E359" s="460">
        <v>4.0</v>
      </c>
      <c r="F359" s="460" t="s">
        <v>1092</v>
      </c>
      <c r="G359" s="463"/>
      <c r="H359" s="463"/>
      <c r="I359" s="466" t="s">
        <v>1415</v>
      </c>
      <c r="J359" s="460" t="s">
        <v>770</v>
      </c>
      <c r="K359" s="460" t="s">
        <v>901</v>
      </c>
      <c r="L359" s="446">
        <f>IFERROR(__xludf.DUMMYFUNCTION("ROUNDUP(REGEXREPLACE(D359, ""[^0-9]"", """")*0.8)"),960.0)</f>
        <v>960</v>
      </c>
    </row>
    <row r="360">
      <c r="A360" s="459" t="s">
        <v>1416</v>
      </c>
      <c r="B360" s="449" t="s">
        <v>743</v>
      </c>
      <c r="C360" s="459" t="s">
        <v>887</v>
      </c>
      <c r="D360" s="459" t="s">
        <v>1338</v>
      </c>
      <c r="E360" s="459">
        <v>4.0</v>
      </c>
      <c r="F360" s="459" t="s">
        <v>853</v>
      </c>
      <c r="G360" s="461"/>
      <c r="H360" s="461"/>
      <c r="I360" s="465" t="s">
        <v>1417</v>
      </c>
      <c r="J360" s="459" t="s">
        <v>804</v>
      </c>
      <c r="K360" s="459" t="s">
        <v>1053</v>
      </c>
      <c r="L360" s="450">
        <f>IFERROR(__xludf.DUMMYFUNCTION("ROUNDUP(REGEXREPLACE(D360, ""[^0-9]"", """")*0.8)"),1440.0)</f>
        <v>1440</v>
      </c>
    </row>
    <row r="361">
      <c r="A361" s="460" t="s">
        <v>1418</v>
      </c>
      <c r="B361" s="445" t="s">
        <v>743</v>
      </c>
      <c r="C361" s="460" t="s">
        <v>887</v>
      </c>
      <c r="D361" s="460" t="s">
        <v>1343</v>
      </c>
      <c r="E361" s="460">
        <v>4.0</v>
      </c>
      <c r="F361" s="460" t="s">
        <v>1406</v>
      </c>
      <c r="G361" s="463"/>
      <c r="H361" s="463"/>
      <c r="I361" s="466" t="s">
        <v>1419</v>
      </c>
      <c r="J361" s="460" t="s">
        <v>807</v>
      </c>
      <c r="K361" s="460" t="s">
        <v>1053</v>
      </c>
      <c r="L361" s="446">
        <f>IFERROR(__xludf.DUMMYFUNCTION("ROUNDUP(REGEXREPLACE(D361, ""[^0-9]"", """")*0.8)"),1280.0)</f>
        <v>1280</v>
      </c>
    </row>
    <row r="362">
      <c r="A362" s="459" t="s">
        <v>1420</v>
      </c>
      <c r="B362" s="449" t="s">
        <v>743</v>
      </c>
      <c r="C362" s="459" t="s">
        <v>849</v>
      </c>
      <c r="D362" s="459" t="s">
        <v>1421</v>
      </c>
      <c r="E362" s="459">
        <v>5.0</v>
      </c>
      <c r="F362" s="459" t="s">
        <v>974</v>
      </c>
      <c r="G362" s="461"/>
      <c r="H362" s="461"/>
      <c r="I362" s="465" t="s">
        <v>1422</v>
      </c>
      <c r="J362" s="459" t="s">
        <v>845</v>
      </c>
      <c r="K362" s="459" t="s">
        <v>851</v>
      </c>
      <c r="L362" s="450">
        <f>IFERROR(__xludf.DUMMYFUNCTION("ROUNDUP(REGEXREPLACE(D362, ""[^0-9]"", """")*0.8)"),2000.0)</f>
        <v>2000</v>
      </c>
    </row>
    <row r="363">
      <c r="A363" s="460" t="s">
        <v>1423</v>
      </c>
      <c r="B363" s="445" t="s">
        <v>743</v>
      </c>
      <c r="C363" s="460" t="s">
        <v>887</v>
      </c>
      <c r="D363" s="460" t="s">
        <v>1347</v>
      </c>
      <c r="E363" s="460">
        <v>5.0</v>
      </c>
      <c r="F363" s="460" t="s">
        <v>929</v>
      </c>
      <c r="G363" s="463"/>
      <c r="H363" s="463"/>
      <c r="I363" s="466" t="s">
        <v>1424</v>
      </c>
      <c r="J363" s="460" t="s">
        <v>770</v>
      </c>
      <c r="K363" s="460" t="s">
        <v>1053</v>
      </c>
      <c r="L363" s="446">
        <f>IFERROR(__xludf.DUMMYFUNCTION("ROUNDUP(REGEXREPLACE(D363, ""[^0-9]"", """")*0.8)"),1760.0)</f>
        <v>1760</v>
      </c>
    </row>
    <row r="364">
      <c r="A364" s="459" t="s">
        <v>1425</v>
      </c>
      <c r="B364" s="449" t="s">
        <v>743</v>
      </c>
      <c r="C364" s="459" t="s">
        <v>887</v>
      </c>
      <c r="D364" s="459" t="s">
        <v>1426</v>
      </c>
      <c r="E364" s="459">
        <v>5.0</v>
      </c>
      <c r="F364" s="459" t="s">
        <v>880</v>
      </c>
      <c r="G364" s="461"/>
      <c r="H364" s="461"/>
      <c r="I364" s="465" t="s">
        <v>1427</v>
      </c>
      <c r="J364" s="459" t="s">
        <v>793</v>
      </c>
      <c r="K364" s="459" t="s">
        <v>1053</v>
      </c>
      <c r="L364" s="450">
        <f>IFERROR(__xludf.DUMMYFUNCTION("ROUNDUP(REGEXREPLACE(D364, ""[^0-9]"", """")*0.8)"),2400.0)</f>
        <v>2400</v>
      </c>
    </row>
    <row r="365">
      <c r="A365" s="460" t="s">
        <v>1428</v>
      </c>
      <c r="B365" s="445" t="s">
        <v>743</v>
      </c>
      <c r="C365" s="460" t="s">
        <v>849</v>
      </c>
      <c r="D365" s="460" t="s">
        <v>1359</v>
      </c>
      <c r="E365" s="460">
        <v>5.0</v>
      </c>
      <c r="F365" s="460" t="s">
        <v>1399</v>
      </c>
      <c r="G365" s="463"/>
      <c r="H365" s="463"/>
      <c r="I365" s="466" t="s">
        <v>1429</v>
      </c>
      <c r="J365" s="460" t="s">
        <v>845</v>
      </c>
      <c r="K365" s="460" t="s">
        <v>851</v>
      </c>
      <c r="L365" s="446">
        <f>IFERROR(__xludf.DUMMYFUNCTION("ROUNDUP(REGEXREPLACE(D365, ""[^0-9]"", """")*0.8)"),2800.0)</f>
        <v>2800</v>
      </c>
    </row>
    <row r="366">
      <c r="A366" s="459" t="s">
        <v>1430</v>
      </c>
      <c r="B366" s="449" t="s">
        <v>743</v>
      </c>
      <c r="C366" s="459" t="s">
        <v>887</v>
      </c>
      <c r="D366" s="459" t="s">
        <v>1362</v>
      </c>
      <c r="E366" s="459">
        <v>6.0</v>
      </c>
      <c r="F366" s="459" t="s">
        <v>1072</v>
      </c>
      <c r="G366" s="461"/>
      <c r="H366" s="461"/>
      <c r="I366" s="465" t="s">
        <v>1431</v>
      </c>
      <c r="J366" s="459" t="s">
        <v>1235</v>
      </c>
      <c r="K366" s="459" t="s">
        <v>851</v>
      </c>
      <c r="L366" s="450">
        <f>IFERROR(__xludf.DUMMYFUNCTION("ROUNDUP(REGEXREPLACE(D366, ""[^0-9]"", """")*0.8)"),3600.0)</f>
        <v>3600</v>
      </c>
    </row>
    <row r="367">
      <c r="A367" s="460" t="s">
        <v>1432</v>
      </c>
      <c r="B367" s="445" t="s">
        <v>743</v>
      </c>
      <c r="C367" s="460" t="s">
        <v>887</v>
      </c>
      <c r="D367" s="460" t="s">
        <v>1365</v>
      </c>
      <c r="E367" s="460">
        <v>6.0</v>
      </c>
      <c r="F367" s="460" t="s">
        <v>1433</v>
      </c>
      <c r="G367" s="463"/>
      <c r="H367" s="463"/>
      <c r="I367" s="466" t="s">
        <v>1434</v>
      </c>
      <c r="J367" s="460" t="s">
        <v>747</v>
      </c>
      <c r="K367" s="460" t="s">
        <v>1053</v>
      </c>
      <c r="L367" s="446">
        <f>IFERROR(__xludf.DUMMYFUNCTION("ROUNDUP(REGEXREPLACE(D367, ""[^0-9]"", """")*0.8)"),4000.0)</f>
        <v>4000</v>
      </c>
    </row>
    <row r="368">
      <c r="A368" s="459" t="s">
        <v>1435</v>
      </c>
      <c r="B368" s="449" t="s">
        <v>743</v>
      </c>
      <c r="C368" s="459" t="s">
        <v>887</v>
      </c>
      <c r="D368" s="459" t="s">
        <v>1378</v>
      </c>
      <c r="E368" s="459">
        <v>6.0</v>
      </c>
      <c r="F368" s="459" t="s">
        <v>1436</v>
      </c>
      <c r="G368" s="461"/>
      <c r="H368" s="461"/>
      <c r="I368" s="465" t="s">
        <v>1437</v>
      </c>
      <c r="J368" s="459" t="s">
        <v>807</v>
      </c>
      <c r="K368" s="459" t="s">
        <v>1053</v>
      </c>
      <c r="L368" s="450">
        <f>IFERROR(__xludf.DUMMYFUNCTION("ROUNDUP(REGEXREPLACE(D368, ""[^0-9]"", """")*0.8)"),5200.0)</f>
        <v>5200</v>
      </c>
    </row>
    <row r="369">
      <c r="A369" s="460" t="s">
        <v>1438</v>
      </c>
      <c r="B369" s="445" t="s">
        <v>743</v>
      </c>
      <c r="C369" s="460" t="s">
        <v>887</v>
      </c>
      <c r="D369" s="460" t="s">
        <v>1439</v>
      </c>
      <c r="E369" s="460">
        <v>6.0</v>
      </c>
      <c r="F369" s="460" t="s">
        <v>929</v>
      </c>
      <c r="G369" s="463"/>
      <c r="H369" s="463"/>
      <c r="I369" s="466" t="s">
        <v>1440</v>
      </c>
      <c r="J369" s="460" t="s">
        <v>957</v>
      </c>
      <c r="K369" s="460" t="s">
        <v>851</v>
      </c>
      <c r="L369" s="446">
        <f>IFERROR(__xludf.DUMMYFUNCTION("ROUNDUP(REGEXREPLACE(D369, ""[^0-9]"", """")*0.8)"),5600.0)</f>
        <v>5600</v>
      </c>
    </row>
    <row r="370">
      <c r="A370" s="459" t="s">
        <v>1441</v>
      </c>
      <c r="B370" s="449" t="s">
        <v>743</v>
      </c>
      <c r="C370" s="459" t="s">
        <v>849</v>
      </c>
      <c r="D370" s="459" t="s">
        <v>1381</v>
      </c>
      <c r="E370" s="459">
        <v>6.0</v>
      </c>
      <c r="F370" s="459" t="s">
        <v>751</v>
      </c>
      <c r="G370" s="461"/>
      <c r="H370" s="461"/>
      <c r="I370" s="465" t="s">
        <v>1442</v>
      </c>
      <c r="J370" s="459" t="s">
        <v>957</v>
      </c>
      <c r="K370" s="459" t="s">
        <v>851</v>
      </c>
      <c r="L370" s="450">
        <f>IFERROR(__xludf.DUMMYFUNCTION("ROUNDUP(REGEXREPLACE(D370, ""[^0-9]"", """")*0.8)"),6400.0)</f>
        <v>6400</v>
      </c>
    </row>
    <row r="371">
      <c r="A371" s="460" t="s">
        <v>1443</v>
      </c>
      <c r="B371" s="445" t="s">
        <v>743</v>
      </c>
      <c r="C371" s="460" t="s">
        <v>887</v>
      </c>
      <c r="D371" s="460" t="s">
        <v>1384</v>
      </c>
      <c r="E371" s="460">
        <v>7.0</v>
      </c>
      <c r="F371" s="460" t="s">
        <v>1444</v>
      </c>
      <c r="G371" s="463"/>
      <c r="H371" s="463"/>
      <c r="I371" s="466" t="s">
        <v>1445</v>
      </c>
      <c r="J371" s="460" t="s">
        <v>770</v>
      </c>
      <c r="K371" s="460" t="s">
        <v>901</v>
      </c>
      <c r="L371" s="446">
        <f>IFERROR(__xludf.DUMMYFUNCTION("ROUNDUP(REGEXREPLACE(D371, ""[^0-9]"", """")*0.8)"),9600.0)</f>
        <v>9600</v>
      </c>
    </row>
    <row r="372">
      <c r="A372" s="459" t="s">
        <v>1446</v>
      </c>
      <c r="B372" s="449" t="s">
        <v>743</v>
      </c>
      <c r="C372" s="459" t="s">
        <v>849</v>
      </c>
      <c r="D372" s="459" t="s">
        <v>501</v>
      </c>
      <c r="E372" s="459">
        <v>7.0</v>
      </c>
      <c r="F372" s="459" t="s">
        <v>856</v>
      </c>
      <c r="G372" s="461"/>
      <c r="H372" s="461"/>
      <c r="I372" s="465" t="s">
        <v>1447</v>
      </c>
      <c r="J372" s="459" t="s">
        <v>1235</v>
      </c>
      <c r="K372" s="459" t="s">
        <v>851</v>
      </c>
      <c r="L372" s="450">
        <f>IFERROR(__xludf.DUMMYFUNCTION("ROUNDUP(REGEXREPLACE(D372, ""[^0-9]"", """")*0.8)"),12000.0)</f>
        <v>12000</v>
      </c>
    </row>
    <row r="373">
      <c r="A373" s="460" t="s">
        <v>1448</v>
      </c>
      <c r="B373" s="445" t="s">
        <v>743</v>
      </c>
      <c r="C373" s="460" t="s">
        <v>887</v>
      </c>
      <c r="D373" s="460" t="s">
        <v>1392</v>
      </c>
      <c r="E373" s="460">
        <v>7.0</v>
      </c>
      <c r="F373" s="460" t="s">
        <v>929</v>
      </c>
      <c r="G373" s="463"/>
      <c r="H373" s="463"/>
      <c r="I373" s="466" t="s">
        <v>1449</v>
      </c>
      <c r="J373" s="460" t="s">
        <v>804</v>
      </c>
      <c r="K373" s="460" t="s">
        <v>1053</v>
      </c>
      <c r="L373" s="446">
        <f>IFERROR(__xludf.DUMMYFUNCTION("ROUNDUP(REGEXREPLACE(D373, ""[^0-9]"", """")*0.8)"),11200.0)</f>
        <v>11200</v>
      </c>
    </row>
    <row r="374">
      <c r="A374" s="459" t="s">
        <v>1450</v>
      </c>
      <c r="B374" s="449" t="s">
        <v>743</v>
      </c>
      <c r="C374" s="459" t="s">
        <v>849</v>
      </c>
      <c r="D374" s="459" t="s">
        <v>1389</v>
      </c>
      <c r="E374" s="459">
        <v>7.0</v>
      </c>
      <c r="F374" s="459" t="s">
        <v>1233</v>
      </c>
      <c r="G374" s="461"/>
      <c r="H374" s="461"/>
      <c r="I374" s="465" t="s">
        <v>1451</v>
      </c>
      <c r="J374" s="459" t="s">
        <v>1452</v>
      </c>
      <c r="K374" s="459" t="s">
        <v>851</v>
      </c>
      <c r="L374" s="450">
        <f>IFERROR(__xludf.DUMMYFUNCTION("ROUNDUP(REGEXREPLACE(D374, ""[^0-9]"", """")*0.8)"),14400.0)</f>
        <v>14400</v>
      </c>
    </row>
    <row r="375">
      <c r="A375" s="460" t="s">
        <v>1453</v>
      </c>
      <c r="B375" s="445" t="s">
        <v>743</v>
      </c>
      <c r="C375" s="460" t="s">
        <v>887</v>
      </c>
      <c r="D375" s="460" t="s">
        <v>1395</v>
      </c>
      <c r="E375" s="460">
        <v>7.0</v>
      </c>
      <c r="F375" s="460" t="s">
        <v>1265</v>
      </c>
      <c r="G375" s="463"/>
      <c r="H375" s="463"/>
      <c r="I375" s="466" t="s">
        <v>1454</v>
      </c>
      <c r="J375" s="460" t="s">
        <v>793</v>
      </c>
      <c r="K375" s="460" t="s">
        <v>1053</v>
      </c>
      <c r="L375" s="446">
        <f>IFERROR(__xludf.DUMMYFUNCTION("ROUNDUP(REGEXREPLACE(D375, ""[^0-9]"", """")*0.8)"),17600.0)</f>
        <v>17600</v>
      </c>
    </row>
    <row r="376">
      <c r="A376" s="459" t="s">
        <v>1455</v>
      </c>
      <c r="B376" s="449" t="s">
        <v>743</v>
      </c>
      <c r="C376" s="459" t="s">
        <v>887</v>
      </c>
      <c r="D376" s="459" t="s">
        <v>1402</v>
      </c>
      <c r="E376" s="459">
        <v>8.0</v>
      </c>
      <c r="F376" s="459" t="s">
        <v>1090</v>
      </c>
      <c r="G376" s="461"/>
      <c r="H376" s="461"/>
      <c r="I376" s="465" t="s">
        <v>1456</v>
      </c>
      <c r="J376" s="459" t="s">
        <v>1235</v>
      </c>
      <c r="K376" s="459" t="s">
        <v>851</v>
      </c>
      <c r="L376" s="450">
        <f>IFERROR(__xludf.DUMMYFUNCTION("ROUNDUP(REGEXREPLACE(D376, ""[^0-9]"", """")*0.8)"),36000.0)</f>
        <v>36000</v>
      </c>
    </row>
    <row r="377">
      <c r="A377" s="460" t="s">
        <v>1457</v>
      </c>
      <c r="B377" s="445" t="s">
        <v>743</v>
      </c>
      <c r="C377" s="460" t="s">
        <v>887</v>
      </c>
      <c r="D377" s="460" t="s">
        <v>1458</v>
      </c>
      <c r="E377" s="460">
        <v>8.0</v>
      </c>
      <c r="F377" s="460" t="s">
        <v>1459</v>
      </c>
      <c r="G377" s="463"/>
      <c r="H377" s="463"/>
      <c r="I377" s="466" t="s">
        <v>1460</v>
      </c>
      <c r="J377" s="460" t="s">
        <v>770</v>
      </c>
      <c r="K377" s="460" t="s">
        <v>901</v>
      </c>
      <c r="L377" s="446">
        <f>IFERROR(__xludf.DUMMYFUNCTION("ROUNDUP(REGEXREPLACE(D377, ""[^0-9]"", """")*0.8)"),24000.0)</f>
        <v>24000</v>
      </c>
    </row>
    <row r="378">
      <c r="A378" s="459" t="s">
        <v>1461</v>
      </c>
      <c r="B378" s="449" t="s">
        <v>743</v>
      </c>
      <c r="C378" s="459" t="s">
        <v>887</v>
      </c>
      <c r="D378" s="459" t="s">
        <v>1462</v>
      </c>
      <c r="E378" s="459">
        <v>8.0</v>
      </c>
      <c r="F378" s="459" t="s">
        <v>1463</v>
      </c>
      <c r="G378" s="461"/>
      <c r="H378" s="461"/>
      <c r="I378" s="465" t="s">
        <v>1464</v>
      </c>
      <c r="J378" s="459" t="s">
        <v>793</v>
      </c>
      <c r="K378" s="459" t="s">
        <v>1053</v>
      </c>
      <c r="L378" s="450">
        <f>IFERROR(__xludf.DUMMYFUNCTION("ROUNDUP(REGEXREPLACE(D378, ""[^0-9]"", """")*0.8)"),32000.0)</f>
        <v>32000</v>
      </c>
    </row>
    <row r="379">
      <c r="A379" s="460" t="s">
        <v>1465</v>
      </c>
      <c r="B379" s="445" t="s">
        <v>743</v>
      </c>
      <c r="C379" s="460" t="s">
        <v>887</v>
      </c>
      <c r="D379" s="460" t="s">
        <v>1466</v>
      </c>
      <c r="E379" s="460">
        <v>8.0</v>
      </c>
      <c r="F379" s="460" t="s">
        <v>1274</v>
      </c>
      <c r="G379" s="463"/>
      <c r="H379" s="463"/>
      <c r="I379" s="466" t="s">
        <v>1467</v>
      </c>
      <c r="J379" s="460" t="s">
        <v>770</v>
      </c>
      <c r="K379" s="460" t="s">
        <v>1053</v>
      </c>
      <c r="L379" s="446">
        <f>IFERROR(__xludf.DUMMYFUNCTION("ROUNDUP(REGEXREPLACE(D379, ""[^0-9]"", """")*0.8)"),40000.0)</f>
        <v>40000</v>
      </c>
    </row>
    <row r="380">
      <c r="A380" s="459" t="s">
        <v>1468</v>
      </c>
      <c r="B380" s="449" t="s">
        <v>743</v>
      </c>
      <c r="C380" s="459" t="s">
        <v>849</v>
      </c>
      <c r="D380" s="459" t="s">
        <v>1469</v>
      </c>
      <c r="E380" s="459">
        <v>9.0</v>
      </c>
      <c r="F380" s="459" t="s">
        <v>745</v>
      </c>
      <c r="G380" s="461"/>
      <c r="H380" s="461"/>
      <c r="I380" s="465" t="s">
        <v>1470</v>
      </c>
      <c r="J380" s="459" t="s">
        <v>1452</v>
      </c>
      <c r="K380" s="459" t="s">
        <v>851</v>
      </c>
      <c r="L380" s="450">
        <f>IFERROR(__xludf.DUMMYFUNCTION("ROUNDUP(REGEXREPLACE(D380, ""[^0-9]"", """")*0.8)"),60000.0)</f>
        <v>60000</v>
      </c>
    </row>
    <row r="381">
      <c r="A381" s="460" t="s">
        <v>1471</v>
      </c>
      <c r="B381" s="445" t="s">
        <v>743</v>
      </c>
      <c r="C381" s="460" t="s">
        <v>887</v>
      </c>
      <c r="D381" s="460" t="s">
        <v>1472</v>
      </c>
      <c r="E381" s="460">
        <v>9.0</v>
      </c>
      <c r="F381" s="460" t="s">
        <v>1473</v>
      </c>
      <c r="G381" s="463"/>
      <c r="H381" s="463"/>
      <c r="I381" s="466" t="s">
        <v>1474</v>
      </c>
      <c r="J381" s="460" t="s">
        <v>770</v>
      </c>
      <c r="K381" s="460" t="s">
        <v>901</v>
      </c>
      <c r="L381" s="446">
        <f>IFERROR(__xludf.DUMMYFUNCTION("ROUNDUP(REGEXREPLACE(D381, ""[^0-9]"", """")*0.8)"),80000.0)</f>
        <v>80000</v>
      </c>
    </row>
    <row r="382">
      <c r="A382" s="459" t="s">
        <v>1475</v>
      </c>
      <c r="B382" s="449" t="s">
        <v>1476</v>
      </c>
      <c r="C382" s="459" t="s">
        <v>1477</v>
      </c>
      <c r="D382" s="459" t="s">
        <v>267</v>
      </c>
      <c r="E382" s="459">
        <v>2.0</v>
      </c>
      <c r="F382" s="459" t="s">
        <v>26</v>
      </c>
      <c r="G382" s="461"/>
      <c r="H382" s="461"/>
      <c r="I382" s="465" t="s">
        <v>1478</v>
      </c>
      <c r="J382" s="459" t="s">
        <v>759</v>
      </c>
      <c r="K382" s="459" t="s">
        <v>798</v>
      </c>
      <c r="L382" s="450">
        <f>IFERROR(__xludf.DUMMYFUNCTION("ROUNDUP(REGEXREPLACE(D382, ""[^0-9]"", """")*1.1)"),110.0)</f>
        <v>110</v>
      </c>
    </row>
    <row r="383">
      <c r="A383" s="460" t="s">
        <v>1479</v>
      </c>
      <c r="B383" s="445" t="s">
        <v>1476</v>
      </c>
      <c r="C383" s="460" t="s">
        <v>1477</v>
      </c>
      <c r="D383" s="460" t="s">
        <v>332</v>
      </c>
      <c r="E383" s="460">
        <v>4.0</v>
      </c>
      <c r="F383" s="460" t="s">
        <v>26</v>
      </c>
      <c r="G383" s="463"/>
      <c r="H383" s="463"/>
      <c r="I383" s="466" t="s">
        <v>1480</v>
      </c>
      <c r="J383" s="460" t="s">
        <v>829</v>
      </c>
      <c r="K383" s="460" t="s">
        <v>798</v>
      </c>
      <c r="L383" s="446">
        <f>IFERROR(__xludf.DUMMYFUNCTION("ROUNDUP(REGEXREPLACE(D383, ""[^0-9]"", """")*1.1)"),220.0)</f>
        <v>220</v>
      </c>
    </row>
    <row r="384">
      <c r="A384" s="459" t="s">
        <v>1481</v>
      </c>
      <c r="B384" s="449" t="s">
        <v>1476</v>
      </c>
      <c r="C384" s="459" t="s">
        <v>1477</v>
      </c>
      <c r="D384" s="459" t="s">
        <v>341</v>
      </c>
      <c r="E384" s="459">
        <v>6.0</v>
      </c>
      <c r="F384" s="459" t="s">
        <v>26</v>
      </c>
      <c r="G384" s="461"/>
      <c r="H384" s="461"/>
      <c r="I384" s="465" t="s">
        <v>1482</v>
      </c>
      <c r="J384" s="459" t="s">
        <v>1483</v>
      </c>
      <c r="K384" s="459" t="s">
        <v>798</v>
      </c>
      <c r="L384" s="450">
        <f>IFERROR(__xludf.DUMMYFUNCTION("ROUNDUP(REGEXREPLACE(D384, ""[^0-9]"", """")*1.1)"),1100.0)</f>
        <v>1100</v>
      </c>
    </row>
    <row r="385">
      <c r="A385" s="460" t="s">
        <v>1484</v>
      </c>
      <c r="B385" s="445" t="s">
        <v>1476</v>
      </c>
      <c r="C385" s="460" t="s">
        <v>1477</v>
      </c>
      <c r="D385" s="460" t="s">
        <v>610</v>
      </c>
      <c r="E385" s="460">
        <v>8.0</v>
      </c>
      <c r="F385" s="460" t="s">
        <v>26</v>
      </c>
      <c r="G385" s="463"/>
      <c r="H385" s="463"/>
      <c r="I385" s="466" t="s">
        <v>1485</v>
      </c>
      <c r="J385" s="460" t="s">
        <v>1486</v>
      </c>
      <c r="K385" s="460" t="s">
        <v>798</v>
      </c>
      <c r="L385" s="446">
        <f>IFERROR(__xludf.DUMMYFUNCTION("ROUNDUP(REGEXREPLACE(D385, ""[^0-9]"", """")*1.1)"),5500.0)</f>
        <v>5500</v>
      </c>
    </row>
    <row r="386">
      <c r="A386" s="459" t="s">
        <v>1487</v>
      </c>
      <c r="B386" s="449" t="s">
        <v>1476</v>
      </c>
      <c r="C386" s="459" t="s">
        <v>1477</v>
      </c>
      <c r="D386" s="459" t="s">
        <v>1488</v>
      </c>
      <c r="E386" s="459">
        <v>9.0</v>
      </c>
      <c r="F386" s="459" t="s">
        <v>26</v>
      </c>
      <c r="G386" s="461"/>
      <c r="H386" s="461"/>
      <c r="I386" s="465" t="s">
        <v>1489</v>
      </c>
      <c r="J386" s="459" t="s">
        <v>829</v>
      </c>
      <c r="K386" s="459" t="s">
        <v>798</v>
      </c>
      <c r="L386" s="450">
        <f>IFERROR(__xludf.DUMMYFUNCTION("ROUNDUP(REGEXREPLACE(D386, ""[^0-9]"", """")*1.1)"),16500.0)</f>
        <v>16500</v>
      </c>
    </row>
    <row r="387">
      <c r="A387" s="460" t="s">
        <v>1490</v>
      </c>
      <c r="B387" s="445" t="s">
        <v>1476</v>
      </c>
      <c r="C387" s="460" t="s">
        <v>1477</v>
      </c>
      <c r="D387" s="460" t="s">
        <v>400</v>
      </c>
      <c r="E387" s="460">
        <v>6.0</v>
      </c>
      <c r="F387" s="460" t="s">
        <v>26</v>
      </c>
      <c r="G387" s="463"/>
      <c r="H387" s="463"/>
      <c r="I387" s="466" t="s">
        <v>1491</v>
      </c>
      <c r="J387" s="460" t="s">
        <v>829</v>
      </c>
      <c r="K387" s="460" t="s">
        <v>798</v>
      </c>
      <c r="L387" s="446">
        <f>IFERROR(__xludf.DUMMYFUNCTION("ROUNDUP(REGEXREPLACE(D387, ""[^0-9]"", """")*1.1)"),8800.0)</f>
        <v>8800</v>
      </c>
    </row>
    <row r="388">
      <c r="A388" s="459" t="s">
        <v>1492</v>
      </c>
      <c r="B388" s="449" t="s">
        <v>1476</v>
      </c>
      <c r="C388" s="459" t="s">
        <v>1477</v>
      </c>
      <c r="D388" s="459" t="s">
        <v>339</v>
      </c>
      <c r="E388" s="459">
        <v>5.0</v>
      </c>
      <c r="F388" s="459" t="s">
        <v>26</v>
      </c>
      <c r="G388" s="461"/>
      <c r="H388" s="461"/>
      <c r="I388" s="465" t="s">
        <v>1493</v>
      </c>
      <c r="J388" s="459" t="s">
        <v>829</v>
      </c>
      <c r="K388" s="459" t="s">
        <v>798</v>
      </c>
      <c r="L388" s="450">
        <f>IFERROR(__xludf.DUMMYFUNCTION("ROUNDUP(REGEXREPLACE(D388, ""[^0-9]"", """")*1.1)"),440.0)</f>
        <v>440</v>
      </c>
    </row>
    <row r="389">
      <c r="A389" s="460" t="s">
        <v>1494</v>
      </c>
      <c r="B389" s="445" t="s">
        <v>1476</v>
      </c>
      <c r="C389" s="460" t="s">
        <v>1477</v>
      </c>
      <c r="D389" s="460" t="s">
        <v>341</v>
      </c>
      <c r="E389" s="460">
        <v>5.0</v>
      </c>
      <c r="F389" s="460" t="s">
        <v>26</v>
      </c>
      <c r="G389" s="463"/>
      <c r="H389" s="463"/>
      <c r="I389" s="466" t="s">
        <v>1495</v>
      </c>
      <c r="J389" s="460" t="s">
        <v>845</v>
      </c>
      <c r="K389" s="460" t="s">
        <v>798</v>
      </c>
      <c r="L389" s="446">
        <f>IFERROR(__xludf.DUMMYFUNCTION("ROUNDUP(REGEXREPLACE(D389, ""[^0-9]"", """")*1.1)"),1100.0)</f>
        <v>1100</v>
      </c>
    </row>
    <row r="390">
      <c r="A390" s="459" t="s">
        <v>1496</v>
      </c>
      <c r="B390" s="449" t="s">
        <v>1476</v>
      </c>
      <c r="C390" s="459" t="s">
        <v>1477</v>
      </c>
      <c r="D390" s="459" t="s">
        <v>332</v>
      </c>
      <c r="E390" s="459">
        <v>4.0</v>
      </c>
      <c r="F390" s="459" t="s">
        <v>26</v>
      </c>
      <c r="G390" s="461"/>
      <c r="H390" s="461"/>
      <c r="I390" s="465" t="s">
        <v>1497</v>
      </c>
      <c r="J390" s="459" t="s">
        <v>829</v>
      </c>
      <c r="K390" s="459" t="s">
        <v>798</v>
      </c>
      <c r="L390" s="450">
        <f>IFERROR(__xludf.DUMMYFUNCTION("ROUNDUP(REGEXREPLACE(D390, ""[^0-9]"", """")*1.1)"),220.0)</f>
        <v>220</v>
      </c>
    </row>
    <row r="391">
      <c r="A391" s="460" t="s">
        <v>1498</v>
      </c>
      <c r="B391" s="445" t="s">
        <v>1476</v>
      </c>
      <c r="C391" s="460" t="s">
        <v>1477</v>
      </c>
      <c r="D391" s="460" t="s">
        <v>365</v>
      </c>
      <c r="E391" s="460">
        <v>4.0</v>
      </c>
      <c r="F391" s="460" t="s">
        <v>26</v>
      </c>
      <c r="G391" s="463"/>
      <c r="H391" s="463"/>
      <c r="I391" s="466" t="s">
        <v>1499</v>
      </c>
      <c r="J391" s="460" t="s">
        <v>1500</v>
      </c>
      <c r="K391" s="460" t="s">
        <v>798</v>
      </c>
      <c r="L391" s="446">
        <f>IFERROR(__xludf.DUMMYFUNCTION("ROUNDUP(REGEXREPLACE(D391, ""[^0-9]"", """")*1.1)"),2200.0)</f>
        <v>2200</v>
      </c>
    </row>
    <row r="392">
      <c r="A392" s="459" t="s">
        <v>1501</v>
      </c>
      <c r="B392" s="449" t="s">
        <v>1476</v>
      </c>
      <c r="C392" s="459" t="s">
        <v>1477</v>
      </c>
      <c r="D392" s="459" t="s">
        <v>341</v>
      </c>
      <c r="E392" s="459">
        <v>5.0</v>
      </c>
      <c r="F392" s="459" t="s">
        <v>26</v>
      </c>
      <c r="G392" s="461"/>
      <c r="H392" s="461"/>
      <c r="I392" s="465" t="s">
        <v>1502</v>
      </c>
      <c r="J392" s="459" t="s">
        <v>829</v>
      </c>
      <c r="K392" s="459" t="s">
        <v>798</v>
      </c>
      <c r="L392" s="450">
        <f>IFERROR(__xludf.DUMMYFUNCTION("ROUNDUP(REGEXREPLACE(D392, ""[^0-9]"", """")*1.1)"),1100.0)</f>
        <v>1100</v>
      </c>
    </row>
    <row r="393">
      <c r="A393" s="460" t="s">
        <v>1503</v>
      </c>
      <c r="B393" s="445" t="s">
        <v>1476</v>
      </c>
      <c r="C393" s="460" t="s">
        <v>1477</v>
      </c>
      <c r="D393" s="460" t="s">
        <v>381</v>
      </c>
      <c r="E393" s="460">
        <v>6.0</v>
      </c>
      <c r="F393" s="460" t="s">
        <v>26</v>
      </c>
      <c r="G393" s="463"/>
      <c r="H393" s="463"/>
      <c r="I393" s="466" t="s">
        <v>1504</v>
      </c>
      <c r="J393" s="460" t="s">
        <v>1500</v>
      </c>
      <c r="K393" s="460" t="s">
        <v>798</v>
      </c>
      <c r="L393" s="446">
        <f>IFERROR(__xludf.DUMMYFUNCTION("ROUNDUP(REGEXREPLACE(D393, ""[^0-9]"", """")*1.1)"),2750.0)</f>
        <v>2750</v>
      </c>
    </row>
    <row r="394">
      <c r="A394" s="459" t="s">
        <v>1505</v>
      </c>
      <c r="B394" s="449" t="s">
        <v>1476</v>
      </c>
      <c r="C394" s="459" t="s">
        <v>1477</v>
      </c>
      <c r="D394" s="459" t="s">
        <v>341</v>
      </c>
      <c r="E394" s="459">
        <v>7.0</v>
      </c>
      <c r="F394" s="459" t="s">
        <v>26</v>
      </c>
      <c r="G394" s="461"/>
      <c r="H394" s="461"/>
      <c r="I394" s="465" t="s">
        <v>1506</v>
      </c>
      <c r="J394" s="459" t="s">
        <v>829</v>
      </c>
      <c r="K394" s="459" t="s">
        <v>798</v>
      </c>
      <c r="L394" s="450">
        <f>IFERROR(__xludf.DUMMYFUNCTION("ROUNDUP(REGEXREPLACE(D394, ""[^0-9]"", """")*1.1)"),1100.0)</f>
        <v>1100</v>
      </c>
    </row>
    <row r="395">
      <c r="A395" s="460" t="s">
        <v>1507</v>
      </c>
      <c r="B395" s="445" t="s">
        <v>1476</v>
      </c>
      <c r="C395" s="460" t="s">
        <v>1477</v>
      </c>
      <c r="D395" s="460" t="s">
        <v>347</v>
      </c>
      <c r="E395" s="460">
        <v>4.0</v>
      </c>
      <c r="F395" s="460" t="s">
        <v>26</v>
      </c>
      <c r="G395" s="463"/>
      <c r="H395" s="463"/>
      <c r="I395" s="466" t="s">
        <v>1508</v>
      </c>
      <c r="J395" s="460" t="s">
        <v>1483</v>
      </c>
      <c r="K395" s="460" t="s">
        <v>798</v>
      </c>
      <c r="L395" s="446">
        <f>IFERROR(__xludf.DUMMYFUNCTION("ROUNDUP(REGEXREPLACE(D395, ""[^0-9]"", """")*1.1)"),1320.0)</f>
        <v>1320</v>
      </c>
    </row>
    <row r="396">
      <c r="A396" s="459" t="s">
        <v>1509</v>
      </c>
      <c r="B396" s="449" t="s">
        <v>1476</v>
      </c>
      <c r="C396" s="459" t="s">
        <v>1477</v>
      </c>
      <c r="D396" s="459" t="s">
        <v>332</v>
      </c>
      <c r="E396" s="459">
        <v>4.0</v>
      </c>
      <c r="F396" s="459" t="s">
        <v>26</v>
      </c>
      <c r="G396" s="461"/>
      <c r="H396" s="461"/>
      <c r="I396" s="465" t="s">
        <v>1510</v>
      </c>
      <c r="J396" s="459" t="s">
        <v>1500</v>
      </c>
      <c r="K396" s="459" t="s">
        <v>798</v>
      </c>
      <c r="L396" s="450">
        <f>IFERROR(__xludf.DUMMYFUNCTION("ROUNDUP(REGEXREPLACE(D396, ""[^0-9]"", """")*1.1)"),220.0)</f>
        <v>220</v>
      </c>
    </row>
    <row r="397">
      <c r="A397" s="460" t="s">
        <v>1511</v>
      </c>
      <c r="B397" s="445" t="s">
        <v>1476</v>
      </c>
      <c r="C397" s="460" t="s">
        <v>1477</v>
      </c>
      <c r="D397" s="460" t="s">
        <v>339</v>
      </c>
      <c r="E397" s="460">
        <v>3.0</v>
      </c>
      <c r="F397" s="460" t="s">
        <v>26</v>
      </c>
      <c r="G397" s="463"/>
      <c r="H397" s="463"/>
      <c r="I397" s="466" t="s">
        <v>1512</v>
      </c>
      <c r="J397" s="460" t="s">
        <v>829</v>
      </c>
      <c r="K397" s="460" t="s">
        <v>798</v>
      </c>
      <c r="L397" s="446">
        <f>IFERROR(__xludf.DUMMYFUNCTION("ROUNDUP(REGEXREPLACE(D397, ""[^0-9]"", """")*1.1)"),440.0)</f>
        <v>440</v>
      </c>
    </row>
    <row r="398">
      <c r="A398" s="459" t="s">
        <v>1513</v>
      </c>
      <c r="B398" s="449" t="s">
        <v>1476</v>
      </c>
      <c r="C398" s="459" t="s">
        <v>1477</v>
      </c>
      <c r="D398" s="459" t="s">
        <v>347</v>
      </c>
      <c r="E398" s="459">
        <v>3.0</v>
      </c>
      <c r="F398" s="459" t="s">
        <v>26</v>
      </c>
      <c r="G398" s="461"/>
      <c r="H398" s="461"/>
      <c r="I398" s="465" t="s">
        <v>1514</v>
      </c>
      <c r="J398" s="459" t="s">
        <v>829</v>
      </c>
      <c r="K398" s="459" t="s">
        <v>798</v>
      </c>
      <c r="L398" s="450">
        <f>IFERROR(__xludf.DUMMYFUNCTION("ROUNDUP(REGEXREPLACE(D398, ""[^0-9]"", """")*1.1)"),1320.0)</f>
        <v>1320</v>
      </c>
    </row>
    <row r="399">
      <c r="A399" s="460" t="s">
        <v>1515</v>
      </c>
      <c r="B399" s="445" t="s">
        <v>1476</v>
      </c>
      <c r="C399" s="460" t="s">
        <v>1477</v>
      </c>
      <c r="D399" s="460" t="s">
        <v>341</v>
      </c>
      <c r="E399" s="460">
        <v>6.0</v>
      </c>
      <c r="F399" s="460" t="s">
        <v>26</v>
      </c>
      <c r="G399" s="463"/>
      <c r="H399" s="463"/>
      <c r="I399" s="466" t="s">
        <v>1516</v>
      </c>
      <c r="J399" s="460" t="s">
        <v>845</v>
      </c>
      <c r="K399" s="460" t="s">
        <v>798</v>
      </c>
      <c r="L399" s="446">
        <f>IFERROR(__xludf.DUMMYFUNCTION("ROUNDUP(REGEXREPLACE(D399, ""[^0-9]"", """")*1.1)"),1100.0)</f>
        <v>1100</v>
      </c>
    </row>
    <row r="400">
      <c r="A400" s="459" t="s">
        <v>1517</v>
      </c>
      <c r="B400" s="449" t="s">
        <v>1476</v>
      </c>
      <c r="C400" s="459" t="s">
        <v>1477</v>
      </c>
      <c r="D400" s="459" t="s">
        <v>409</v>
      </c>
      <c r="E400" s="459">
        <v>6.0</v>
      </c>
      <c r="F400" s="459" t="s">
        <v>26</v>
      </c>
      <c r="G400" s="461"/>
      <c r="H400" s="461"/>
      <c r="I400" s="465" t="s">
        <v>1518</v>
      </c>
      <c r="J400" s="459" t="s">
        <v>1519</v>
      </c>
      <c r="K400" s="459" t="s">
        <v>798</v>
      </c>
      <c r="L400" s="450">
        <f>IFERROR(__xludf.DUMMYFUNCTION("ROUNDUP(REGEXREPLACE(D400, ""[^0-9]"", """")*1.1)"),11000.0)</f>
        <v>11000</v>
      </c>
    </row>
    <row r="401">
      <c r="A401" s="460" t="s">
        <v>1520</v>
      </c>
      <c r="B401" s="445" t="s">
        <v>1476</v>
      </c>
      <c r="C401" s="460" t="s">
        <v>1477</v>
      </c>
      <c r="D401" s="460" t="s">
        <v>332</v>
      </c>
      <c r="E401" s="460">
        <v>3.0</v>
      </c>
      <c r="F401" s="460" t="s">
        <v>26</v>
      </c>
      <c r="G401" s="463"/>
      <c r="H401" s="463"/>
      <c r="I401" s="466" t="s">
        <v>1521</v>
      </c>
      <c r="J401" s="460" t="s">
        <v>1522</v>
      </c>
      <c r="K401" s="460" t="s">
        <v>851</v>
      </c>
      <c r="L401" s="446">
        <f>IFERROR(__xludf.DUMMYFUNCTION("ROUNDUP(REGEXREPLACE(D401, ""[^0-9]"", """")*1.1)"),220.0)</f>
        <v>220</v>
      </c>
    </row>
    <row r="402">
      <c r="A402" s="459" t="s">
        <v>1523</v>
      </c>
      <c r="B402" s="449" t="s">
        <v>1476</v>
      </c>
      <c r="C402" s="459" t="s">
        <v>1477</v>
      </c>
      <c r="D402" s="459" t="s">
        <v>1524</v>
      </c>
      <c r="E402" s="459">
        <v>1.0</v>
      </c>
      <c r="F402" s="459" t="s">
        <v>26</v>
      </c>
      <c r="G402" s="461"/>
      <c r="H402" s="461"/>
      <c r="I402" s="465" t="s">
        <v>1525</v>
      </c>
      <c r="J402" s="459" t="s">
        <v>1523</v>
      </c>
      <c r="K402" s="459" t="s">
        <v>851</v>
      </c>
      <c r="L402" s="450">
        <f>IFERROR(__xludf.DUMMYFUNCTION("ROUNDUP(REGEXREPLACE(D402, ""[^0-9]"", """")*1.1)"),138.0)</f>
        <v>138</v>
      </c>
    </row>
    <row r="403">
      <c r="A403" s="460" t="s">
        <v>1526</v>
      </c>
      <c r="B403" s="445" t="s">
        <v>1476</v>
      </c>
      <c r="C403" s="460" t="s">
        <v>1477</v>
      </c>
      <c r="D403" s="460" t="s">
        <v>241</v>
      </c>
      <c r="E403" s="460">
        <v>2.0</v>
      </c>
      <c r="F403" s="460" t="s">
        <v>26</v>
      </c>
      <c r="G403" s="463"/>
      <c r="H403" s="463"/>
      <c r="I403" s="466" t="s">
        <v>1527</v>
      </c>
      <c r="J403" s="460" t="s">
        <v>1526</v>
      </c>
      <c r="K403" s="460" t="s">
        <v>851</v>
      </c>
      <c r="L403" s="446">
        <f>IFERROR(__xludf.DUMMYFUNCTION("ROUNDUP(REGEXREPLACE(D403, ""[^0-9]"", """")*1.1)"),55.0)</f>
        <v>55</v>
      </c>
    </row>
    <row r="404">
      <c r="A404" s="459" t="s">
        <v>1528</v>
      </c>
      <c r="B404" s="449" t="s">
        <v>1476</v>
      </c>
      <c r="C404" s="459" t="s">
        <v>1477</v>
      </c>
      <c r="D404" s="459" t="s">
        <v>700</v>
      </c>
      <c r="E404" s="459">
        <v>2.0</v>
      </c>
      <c r="F404" s="459" t="s">
        <v>26</v>
      </c>
      <c r="G404" s="461"/>
      <c r="H404" s="461"/>
      <c r="I404" s="465" t="s">
        <v>1529</v>
      </c>
      <c r="J404" s="459" t="s">
        <v>1528</v>
      </c>
      <c r="K404" s="459" t="s">
        <v>851</v>
      </c>
      <c r="L404" s="450">
        <f>IFERROR(__xludf.DUMMYFUNCTION("ROUNDUP(REGEXREPLACE(D404, ""[^0-9]"", """")*1.1)"),165.0)</f>
        <v>165</v>
      </c>
    </row>
    <row r="405">
      <c r="A405" s="460" t="s">
        <v>1530</v>
      </c>
      <c r="B405" s="445" t="s">
        <v>1476</v>
      </c>
      <c r="C405" s="460" t="s">
        <v>1477</v>
      </c>
      <c r="D405" s="460" t="s">
        <v>267</v>
      </c>
      <c r="E405" s="460">
        <v>2.0</v>
      </c>
      <c r="F405" s="460" t="s">
        <v>26</v>
      </c>
      <c r="G405" s="463"/>
      <c r="H405" s="463"/>
      <c r="I405" s="466" t="s">
        <v>1531</v>
      </c>
      <c r="J405" s="460" t="s">
        <v>1530</v>
      </c>
      <c r="K405" s="460" t="s">
        <v>851</v>
      </c>
      <c r="L405" s="446">
        <f>IFERROR(__xludf.DUMMYFUNCTION("ROUNDUP(REGEXREPLACE(D405, ""[^0-9]"", """")*1.1)"),110.0)</f>
        <v>110</v>
      </c>
    </row>
    <row r="406">
      <c r="A406" s="459" t="s">
        <v>1532</v>
      </c>
      <c r="B406" s="449" t="s">
        <v>1476</v>
      </c>
      <c r="C406" s="459" t="s">
        <v>1477</v>
      </c>
      <c r="D406" s="459" t="s">
        <v>327</v>
      </c>
      <c r="E406" s="459">
        <v>3.0</v>
      </c>
      <c r="F406" s="459" t="s">
        <v>26</v>
      </c>
      <c r="G406" s="461"/>
      <c r="H406" s="461"/>
      <c r="I406" s="465" t="s">
        <v>1533</v>
      </c>
      <c r="J406" s="459" t="s">
        <v>1532</v>
      </c>
      <c r="K406" s="459" t="s">
        <v>851</v>
      </c>
      <c r="L406" s="450">
        <f>IFERROR(__xludf.DUMMYFUNCTION("ROUNDUP(REGEXREPLACE(D406, ""[^0-9]"", """")*1.1)"),550.0)</f>
        <v>550</v>
      </c>
    </row>
    <row r="407">
      <c r="A407" s="460" t="s">
        <v>1534</v>
      </c>
      <c r="B407" s="445" t="s">
        <v>1476</v>
      </c>
      <c r="C407" s="460" t="s">
        <v>1477</v>
      </c>
      <c r="D407" s="460" t="s">
        <v>327</v>
      </c>
      <c r="E407" s="460">
        <v>3.0</v>
      </c>
      <c r="F407" s="460" t="s">
        <v>26</v>
      </c>
      <c r="G407" s="463"/>
      <c r="H407" s="463"/>
      <c r="I407" s="466" t="s">
        <v>1535</v>
      </c>
      <c r="J407" s="460" t="s">
        <v>1534</v>
      </c>
      <c r="K407" s="460" t="s">
        <v>851</v>
      </c>
      <c r="L407" s="446">
        <f>IFERROR(__xludf.DUMMYFUNCTION("ROUNDUP(REGEXREPLACE(D407, ""[^0-9]"", """")*1.1)"),550.0)</f>
        <v>550</v>
      </c>
    </row>
    <row r="408">
      <c r="A408" s="459" t="s">
        <v>1536</v>
      </c>
      <c r="B408" s="449" t="s">
        <v>1476</v>
      </c>
      <c r="C408" s="459" t="s">
        <v>1477</v>
      </c>
      <c r="D408" s="459" t="s">
        <v>295</v>
      </c>
      <c r="E408" s="459">
        <v>3.0</v>
      </c>
      <c r="F408" s="459" t="s">
        <v>26</v>
      </c>
      <c r="G408" s="461"/>
      <c r="H408" s="461"/>
      <c r="I408" s="465" t="s">
        <v>1537</v>
      </c>
      <c r="J408" s="459" t="s">
        <v>1536</v>
      </c>
      <c r="K408" s="459" t="s">
        <v>851</v>
      </c>
      <c r="L408" s="450">
        <f>IFERROR(__xludf.DUMMYFUNCTION("ROUNDUP(REGEXREPLACE(D408, ""[^0-9]"", """")*1.1)"),275.0)</f>
        <v>275</v>
      </c>
    </row>
    <row r="409">
      <c r="A409" s="460" t="s">
        <v>1538</v>
      </c>
      <c r="B409" s="445" t="s">
        <v>1476</v>
      </c>
      <c r="C409" s="460" t="s">
        <v>1477</v>
      </c>
      <c r="D409" s="460" t="s">
        <v>327</v>
      </c>
      <c r="E409" s="460">
        <v>3.0</v>
      </c>
      <c r="F409" s="460" t="s">
        <v>26</v>
      </c>
      <c r="G409" s="463"/>
      <c r="H409" s="463"/>
      <c r="I409" s="466" t="s">
        <v>1539</v>
      </c>
      <c r="J409" s="460" t="s">
        <v>1538</v>
      </c>
      <c r="K409" s="460" t="s">
        <v>851</v>
      </c>
      <c r="L409" s="446">
        <f>IFERROR(__xludf.DUMMYFUNCTION("ROUNDUP(REGEXREPLACE(D409, ""[^0-9]"", """")*1.1)"),550.0)</f>
        <v>550</v>
      </c>
    </row>
    <row r="410">
      <c r="A410" s="459" t="s">
        <v>1540</v>
      </c>
      <c r="B410" s="449" t="s">
        <v>1476</v>
      </c>
      <c r="C410" s="459" t="s">
        <v>1477</v>
      </c>
      <c r="D410" s="459" t="s">
        <v>267</v>
      </c>
      <c r="E410" s="459">
        <v>5.0</v>
      </c>
      <c r="F410" s="459" t="s">
        <v>26</v>
      </c>
      <c r="G410" s="461"/>
      <c r="H410" s="461"/>
      <c r="I410" s="465" t="s">
        <v>1541</v>
      </c>
      <c r="J410" s="459" t="s">
        <v>1540</v>
      </c>
      <c r="K410" s="459" t="s">
        <v>851</v>
      </c>
      <c r="L410" s="450">
        <f>IFERROR(__xludf.DUMMYFUNCTION("ROUNDUP(REGEXREPLACE(D410, ""[^0-9]"", """")*1.1)"),110.0)</f>
        <v>110</v>
      </c>
    </row>
    <row r="411">
      <c r="A411" s="460" t="s">
        <v>1542</v>
      </c>
      <c r="B411" s="445" t="s">
        <v>1476</v>
      </c>
      <c r="C411" s="460" t="s">
        <v>1477</v>
      </c>
      <c r="D411" s="460" t="s">
        <v>243</v>
      </c>
      <c r="E411" s="460">
        <v>1.0</v>
      </c>
      <c r="F411" s="460" t="s">
        <v>26</v>
      </c>
      <c r="G411" s="463"/>
      <c r="H411" s="463"/>
      <c r="I411" s="466" t="s">
        <v>1543</v>
      </c>
      <c r="J411" s="460" t="s">
        <v>747</v>
      </c>
      <c r="K411" s="460" t="s">
        <v>798</v>
      </c>
      <c r="L411" s="446">
        <f>IFERROR(__xludf.DUMMYFUNCTION("ROUNDUP(REGEXREPLACE(D411, ""[^0-9]"", """")*1.1)"),11.0)</f>
        <v>11</v>
      </c>
    </row>
    <row r="412">
      <c r="A412" s="459" t="s">
        <v>1544</v>
      </c>
      <c r="B412" s="449" t="s">
        <v>1476</v>
      </c>
      <c r="C412" s="459" t="s">
        <v>1477</v>
      </c>
      <c r="D412" s="459" t="s">
        <v>246</v>
      </c>
      <c r="E412" s="459">
        <v>1.0</v>
      </c>
      <c r="F412" s="459" t="s">
        <v>26</v>
      </c>
      <c r="G412" s="461"/>
      <c r="H412" s="461"/>
      <c r="I412" s="465" t="s">
        <v>1545</v>
      </c>
      <c r="J412" s="459" t="s">
        <v>747</v>
      </c>
      <c r="K412" s="459" t="s">
        <v>798</v>
      </c>
      <c r="L412" s="450">
        <f>IFERROR(__xludf.DUMMYFUNCTION("ROUNDUP(REGEXREPLACE(D412, ""[^0-9]"", """")*1.1)"),17.0)</f>
        <v>17</v>
      </c>
    </row>
    <row r="413">
      <c r="A413" s="460" t="s">
        <v>1546</v>
      </c>
      <c r="B413" s="445" t="s">
        <v>1476</v>
      </c>
      <c r="C413" s="460" t="s">
        <v>1477</v>
      </c>
      <c r="D413" s="460" t="s">
        <v>257</v>
      </c>
      <c r="E413" s="460">
        <v>2.0</v>
      </c>
      <c r="F413" s="460" t="s">
        <v>26</v>
      </c>
      <c r="G413" s="463"/>
      <c r="H413" s="463"/>
      <c r="I413" s="466" t="s">
        <v>1547</v>
      </c>
      <c r="J413" s="460" t="s">
        <v>793</v>
      </c>
      <c r="K413" s="460" t="s">
        <v>798</v>
      </c>
      <c r="L413" s="446">
        <f>IFERROR(__xludf.DUMMYFUNCTION("ROUNDUP(REGEXREPLACE(D413, ""[^0-9]"", """")*1.1)"),33.0)</f>
        <v>33</v>
      </c>
    </row>
    <row r="414">
      <c r="A414" s="459" t="s">
        <v>1548</v>
      </c>
      <c r="B414" s="449" t="s">
        <v>1476</v>
      </c>
      <c r="C414" s="459" t="s">
        <v>1477</v>
      </c>
      <c r="D414" s="459" t="s">
        <v>259</v>
      </c>
      <c r="E414" s="459">
        <v>1.0</v>
      </c>
      <c r="F414" s="459" t="s">
        <v>26</v>
      </c>
      <c r="G414" s="461"/>
      <c r="H414" s="461"/>
      <c r="I414" s="465" t="s">
        <v>1549</v>
      </c>
      <c r="J414" s="459" t="s">
        <v>759</v>
      </c>
      <c r="K414" s="459" t="s">
        <v>798</v>
      </c>
      <c r="L414" s="450">
        <f>IFERROR(__xludf.DUMMYFUNCTION("ROUNDUP(REGEXREPLACE(D414, ""[^0-9]"", """")*1.1)"),14.0)</f>
        <v>14</v>
      </c>
    </row>
    <row r="415">
      <c r="A415" s="460" t="s">
        <v>1550</v>
      </c>
      <c r="B415" s="445" t="s">
        <v>1476</v>
      </c>
      <c r="C415" s="460" t="s">
        <v>1477</v>
      </c>
      <c r="D415" s="460" t="s">
        <v>255</v>
      </c>
      <c r="E415" s="460">
        <v>1.0</v>
      </c>
      <c r="F415" s="460" t="s">
        <v>26</v>
      </c>
      <c r="G415" s="463"/>
      <c r="H415" s="463"/>
      <c r="I415" s="466" t="s">
        <v>1551</v>
      </c>
      <c r="J415" s="460" t="s">
        <v>829</v>
      </c>
      <c r="K415" s="460" t="s">
        <v>798</v>
      </c>
      <c r="L415" s="446">
        <f>IFERROR(__xludf.DUMMYFUNCTION("ROUNDUP(REGEXREPLACE(D415, ""[^0-9]"", """")*1.1)"),66.0)</f>
        <v>66</v>
      </c>
    </row>
    <row r="416">
      <c r="A416" s="459" t="s">
        <v>1552</v>
      </c>
      <c r="B416" s="449" t="s">
        <v>1476</v>
      </c>
      <c r="C416" s="459" t="s">
        <v>1477</v>
      </c>
      <c r="D416" s="459" t="s">
        <v>1259</v>
      </c>
      <c r="E416" s="459">
        <v>3.0</v>
      </c>
      <c r="F416" s="459" t="s">
        <v>26</v>
      </c>
      <c r="G416" s="461"/>
      <c r="H416" s="461"/>
      <c r="I416" s="465" t="s">
        <v>1553</v>
      </c>
      <c r="J416" s="459" t="s">
        <v>1500</v>
      </c>
      <c r="K416" s="459" t="s">
        <v>851</v>
      </c>
      <c r="L416" s="450">
        <f>IFERROR(__xludf.DUMMYFUNCTION("ROUNDUP(REGEXREPLACE(D416, ""[^0-9]"", """")*1.1)"),132.0)</f>
        <v>132</v>
      </c>
    </row>
    <row r="417">
      <c r="A417" s="460" t="s">
        <v>1554</v>
      </c>
      <c r="B417" s="445" t="s">
        <v>1476</v>
      </c>
      <c r="C417" s="460" t="s">
        <v>1477</v>
      </c>
      <c r="D417" s="460" t="s">
        <v>1099</v>
      </c>
      <c r="E417" s="460">
        <v>1.0</v>
      </c>
      <c r="F417" s="460" t="s">
        <v>26</v>
      </c>
      <c r="G417" s="463"/>
      <c r="H417" s="463"/>
      <c r="I417" s="466" t="s">
        <v>1555</v>
      </c>
      <c r="J417" s="460" t="s">
        <v>759</v>
      </c>
      <c r="K417" s="460" t="s">
        <v>798</v>
      </c>
      <c r="L417" s="446">
        <f>IFERROR(__xludf.DUMMYFUNCTION("ROUNDUP(REGEXREPLACE(D417, ""[^0-9]"", """")*1.1)"),9.0)</f>
        <v>9</v>
      </c>
    </row>
    <row r="418">
      <c r="A418" s="459" t="s">
        <v>1556</v>
      </c>
      <c r="B418" s="449" t="s">
        <v>1476</v>
      </c>
      <c r="C418" s="459" t="s">
        <v>1477</v>
      </c>
      <c r="D418" s="459" t="s">
        <v>1075</v>
      </c>
      <c r="E418" s="459">
        <v>2.0</v>
      </c>
      <c r="F418" s="459" t="s">
        <v>26</v>
      </c>
      <c r="G418" s="461"/>
      <c r="H418" s="461"/>
      <c r="I418" s="465" t="s">
        <v>1557</v>
      </c>
      <c r="J418" s="459" t="s">
        <v>829</v>
      </c>
      <c r="K418" s="459" t="s">
        <v>798</v>
      </c>
      <c r="L418" s="450">
        <f>IFERROR(__xludf.DUMMYFUNCTION("ROUNDUP(REGEXREPLACE(D418, ""[^0-9]"", """")*1.1)"),50.0)</f>
        <v>50</v>
      </c>
    </row>
    <row r="419">
      <c r="A419" s="460" t="s">
        <v>1558</v>
      </c>
      <c r="B419" s="445" t="s">
        <v>1476</v>
      </c>
      <c r="C419" s="460" t="s">
        <v>1477</v>
      </c>
      <c r="D419" s="460" t="s">
        <v>1239</v>
      </c>
      <c r="E419" s="460">
        <v>2.0</v>
      </c>
      <c r="F419" s="460" t="s">
        <v>26</v>
      </c>
      <c r="G419" s="463"/>
      <c r="H419" s="463"/>
      <c r="I419" s="466" t="s">
        <v>1559</v>
      </c>
      <c r="J419" s="460" t="s">
        <v>829</v>
      </c>
      <c r="K419" s="460" t="s">
        <v>798</v>
      </c>
      <c r="L419" s="446">
        <f>IFERROR(__xludf.DUMMYFUNCTION("ROUNDUP(REGEXREPLACE(D419, ""[^0-9]"", """")*1.1)"),88.0)</f>
        <v>88</v>
      </c>
    </row>
    <row r="420">
      <c r="A420" s="459" t="s">
        <v>1560</v>
      </c>
      <c r="B420" s="449" t="s">
        <v>1476</v>
      </c>
      <c r="C420" s="459" t="s">
        <v>1477</v>
      </c>
      <c r="D420" s="459" t="s">
        <v>267</v>
      </c>
      <c r="E420" s="459">
        <v>4.0</v>
      </c>
      <c r="F420" s="459" t="s">
        <v>26</v>
      </c>
      <c r="G420" s="461"/>
      <c r="H420" s="461"/>
      <c r="I420" s="465" t="s">
        <v>1561</v>
      </c>
      <c r="J420" s="459" t="s">
        <v>770</v>
      </c>
      <c r="K420" s="459" t="s">
        <v>798</v>
      </c>
      <c r="L420" s="450">
        <f>IFERROR(__xludf.DUMMYFUNCTION("ROUNDUP(REGEXREPLACE(D420, ""[^0-9]"", """")*1.1)"),110.0)</f>
        <v>110</v>
      </c>
    </row>
    <row r="421">
      <c r="A421" s="460" t="s">
        <v>1562</v>
      </c>
      <c r="B421" s="445" t="s">
        <v>1476</v>
      </c>
      <c r="C421" s="460" t="s">
        <v>1477</v>
      </c>
      <c r="D421" s="460" t="s">
        <v>332</v>
      </c>
      <c r="E421" s="460">
        <v>3.0</v>
      </c>
      <c r="F421" s="460" t="s">
        <v>26</v>
      </c>
      <c r="G421" s="463"/>
      <c r="H421" s="463"/>
      <c r="I421" s="466" t="s">
        <v>1563</v>
      </c>
      <c r="J421" s="460" t="s">
        <v>829</v>
      </c>
      <c r="K421" s="460" t="s">
        <v>798</v>
      </c>
      <c r="L421" s="446">
        <f>IFERROR(__xludf.DUMMYFUNCTION("ROUNDUP(REGEXREPLACE(D421, ""[^0-9]"", """")*1.1)"),220.0)</f>
        <v>220</v>
      </c>
    </row>
    <row r="422">
      <c r="A422" s="459" t="s">
        <v>1564</v>
      </c>
      <c r="B422" s="449" t="s">
        <v>1476</v>
      </c>
      <c r="C422" s="459" t="s">
        <v>1477</v>
      </c>
      <c r="D422" s="459" t="s">
        <v>26</v>
      </c>
      <c r="E422" s="459">
        <v>7.0</v>
      </c>
      <c r="F422" s="459" t="s">
        <v>26</v>
      </c>
      <c r="G422" s="461"/>
      <c r="H422" s="461"/>
      <c r="I422" s="465" t="s">
        <v>1565</v>
      </c>
      <c r="J422" s="459" t="s">
        <v>1566</v>
      </c>
      <c r="K422" s="459" t="s">
        <v>851</v>
      </c>
      <c r="L422" s="450">
        <f>IFERROR(__xludf.DUMMYFUNCTION("ROUNDUP(REGEXREPLACE(D422, ""[^0-9]"", """")*1.1)"),0.0)</f>
        <v>0</v>
      </c>
    </row>
    <row r="423">
      <c r="A423" s="460" t="s">
        <v>1567</v>
      </c>
      <c r="B423" s="445" t="s">
        <v>1476</v>
      </c>
      <c r="C423" s="460" t="s">
        <v>1477</v>
      </c>
      <c r="D423" s="460" t="s">
        <v>1568</v>
      </c>
      <c r="E423" s="460">
        <v>7.0</v>
      </c>
      <c r="F423" s="460" t="s">
        <v>26</v>
      </c>
      <c r="G423" s="463"/>
      <c r="H423" s="463"/>
      <c r="I423" s="466" t="s">
        <v>1569</v>
      </c>
      <c r="J423" s="460" t="s">
        <v>1570</v>
      </c>
      <c r="K423" s="460" t="s">
        <v>851</v>
      </c>
      <c r="L423" s="446">
        <f>IFERROR(__xludf.DUMMYFUNCTION("ROUNDUP(REGEXREPLACE(D423, ""[^0-9]"", """")*1.1)"),13750.0)</f>
        <v>13750</v>
      </c>
    </row>
    <row r="424">
      <c r="A424" s="459" t="s">
        <v>1571</v>
      </c>
      <c r="B424" s="449" t="s">
        <v>1476</v>
      </c>
      <c r="C424" s="459" t="s">
        <v>1477</v>
      </c>
      <c r="D424" s="459" t="s">
        <v>347</v>
      </c>
      <c r="E424" s="459">
        <v>4.0</v>
      </c>
      <c r="F424" s="459" t="s">
        <v>26</v>
      </c>
      <c r="G424" s="461"/>
      <c r="H424" s="461"/>
      <c r="I424" s="465" t="s">
        <v>1572</v>
      </c>
      <c r="J424" s="459" t="s">
        <v>1571</v>
      </c>
      <c r="K424" s="459" t="s">
        <v>851</v>
      </c>
      <c r="L424" s="450">
        <f>IFERROR(__xludf.DUMMYFUNCTION("ROUNDUP(REGEXREPLACE(D424, ""[^0-9]"", """")*1.1)"),1320.0)</f>
        <v>1320</v>
      </c>
    </row>
    <row r="425">
      <c r="A425" s="460" t="s">
        <v>1573</v>
      </c>
      <c r="B425" s="445" t="s">
        <v>1476</v>
      </c>
      <c r="C425" s="460" t="s">
        <v>1477</v>
      </c>
      <c r="D425" s="460" t="s">
        <v>360</v>
      </c>
      <c r="E425" s="460">
        <v>4.0</v>
      </c>
      <c r="F425" s="460" t="s">
        <v>26</v>
      </c>
      <c r="G425" s="463"/>
      <c r="H425" s="463"/>
      <c r="I425" s="466" t="s">
        <v>1574</v>
      </c>
      <c r="J425" s="460" t="s">
        <v>1573</v>
      </c>
      <c r="K425" s="460" t="s">
        <v>851</v>
      </c>
      <c r="L425" s="446">
        <f>IFERROR(__xludf.DUMMYFUNCTION("ROUNDUP(REGEXREPLACE(D425, ""[^0-9]"", """")*1.1)"),1650.0)</f>
        <v>1650</v>
      </c>
    </row>
    <row r="426">
      <c r="A426" s="459" t="s">
        <v>1575</v>
      </c>
      <c r="B426" s="449" t="s">
        <v>1476</v>
      </c>
      <c r="C426" s="459" t="s">
        <v>1477</v>
      </c>
      <c r="D426" s="459" t="s">
        <v>1576</v>
      </c>
      <c r="E426" s="459">
        <v>5.0</v>
      </c>
      <c r="F426" s="459" t="s">
        <v>26</v>
      </c>
      <c r="G426" s="461"/>
      <c r="H426" s="461"/>
      <c r="I426" s="465" t="s">
        <v>1577</v>
      </c>
      <c r="J426" s="459" t="s">
        <v>1575</v>
      </c>
      <c r="K426" s="459" t="s">
        <v>851</v>
      </c>
      <c r="L426" s="450">
        <f>IFERROR(__xludf.DUMMYFUNCTION("ROUNDUP(REGEXREPLACE(D426, ""[^0-9]"", """")*1.1)"),1980.0)</f>
        <v>1980</v>
      </c>
    </row>
    <row r="427">
      <c r="A427" s="460" t="s">
        <v>1578</v>
      </c>
      <c r="B427" s="445" t="s">
        <v>1476</v>
      </c>
      <c r="C427" s="460" t="s">
        <v>1477</v>
      </c>
      <c r="D427" s="460" t="s">
        <v>322</v>
      </c>
      <c r="E427" s="460">
        <v>3.0</v>
      </c>
      <c r="F427" s="460" t="s">
        <v>26</v>
      </c>
      <c r="G427" s="463"/>
      <c r="H427" s="463"/>
      <c r="I427" s="466" t="s">
        <v>1579</v>
      </c>
      <c r="J427" s="460" t="s">
        <v>829</v>
      </c>
      <c r="K427" s="460" t="s">
        <v>798</v>
      </c>
      <c r="L427" s="446">
        <f>IFERROR(__xludf.DUMMYFUNCTION("ROUNDUP(REGEXREPLACE(D427, ""[^0-9]"", """")*1.1)"),880.0)</f>
        <v>880</v>
      </c>
    </row>
    <row r="428">
      <c r="A428" s="459" t="s">
        <v>1580</v>
      </c>
      <c r="B428" s="449" t="s">
        <v>1476</v>
      </c>
      <c r="C428" s="459" t="s">
        <v>1477</v>
      </c>
      <c r="D428" s="459" t="s">
        <v>360</v>
      </c>
      <c r="E428" s="459">
        <v>5.0</v>
      </c>
      <c r="F428" s="459" t="s">
        <v>26</v>
      </c>
      <c r="G428" s="461"/>
      <c r="H428" s="461"/>
      <c r="I428" s="465" t="s">
        <v>1581</v>
      </c>
      <c r="J428" s="459" t="s">
        <v>829</v>
      </c>
      <c r="K428" s="459" t="s">
        <v>798</v>
      </c>
      <c r="L428" s="450">
        <f>IFERROR(__xludf.DUMMYFUNCTION("ROUNDUP(REGEXREPLACE(D428, ""[^0-9]"", """")*1.1)"),1650.0)</f>
        <v>1650</v>
      </c>
    </row>
    <row r="429">
      <c r="A429" s="460" t="s">
        <v>1582</v>
      </c>
      <c r="B429" s="445" t="s">
        <v>1476</v>
      </c>
      <c r="C429" s="460" t="s">
        <v>1477</v>
      </c>
      <c r="D429" s="460" t="s">
        <v>267</v>
      </c>
      <c r="E429" s="460">
        <v>3.0</v>
      </c>
      <c r="F429" s="460" t="s">
        <v>26</v>
      </c>
      <c r="G429" s="463"/>
      <c r="H429" s="463"/>
      <c r="I429" s="466" t="s">
        <v>1583</v>
      </c>
      <c r="J429" s="460" t="s">
        <v>829</v>
      </c>
      <c r="K429" s="460" t="s">
        <v>798</v>
      </c>
      <c r="L429" s="446">
        <f>IFERROR(__xludf.DUMMYFUNCTION("ROUNDUP(REGEXREPLACE(D429, ""[^0-9]"", """")*1.1)"),110.0)</f>
        <v>110</v>
      </c>
    </row>
    <row r="430">
      <c r="A430" s="459" t="s">
        <v>1584</v>
      </c>
      <c r="B430" s="449" t="s">
        <v>1476</v>
      </c>
      <c r="C430" s="459" t="s">
        <v>1477</v>
      </c>
      <c r="D430" s="459" t="s">
        <v>327</v>
      </c>
      <c r="E430" s="459">
        <v>3.0</v>
      </c>
      <c r="F430" s="459" t="s">
        <v>26</v>
      </c>
      <c r="G430" s="461"/>
      <c r="H430" s="461"/>
      <c r="I430" s="465" t="s">
        <v>1585</v>
      </c>
      <c r="J430" s="459" t="s">
        <v>829</v>
      </c>
      <c r="K430" s="459" t="s">
        <v>798</v>
      </c>
      <c r="L430" s="450">
        <f>IFERROR(__xludf.DUMMYFUNCTION("ROUNDUP(REGEXREPLACE(D430, ""[^0-9]"", """")*1.1)"),550.0)</f>
        <v>550</v>
      </c>
    </row>
    <row r="431">
      <c r="A431" s="460" t="s">
        <v>1586</v>
      </c>
      <c r="B431" s="445" t="s">
        <v>1476</v>
      </c>
      <c r="C431" s="460" t="s">
        <v>1477</v>
      </c>
      <c r="D431" s="460" t="s">
        <v>282</v>
      </c>
      <c r="E431" s="460">
        <v>3.0</v>
      </c>
      <c r="F431" s="460" t="s">
        <v>26</v>
      </c>
      <c r="G431" s="463"/>
      <c r="H431" s="463"/>
      <c r="I431" s="466" t="s">
        <v>1587</v>
      </c>
      <c r="J431" s="460" t="s">
        <v>793</v>
      </c>
      <c r="K431" s="460" t="s">
        <v>798</v>
      </c>
      <c r="L431" s="446">
        <f>IFERROR(__xludf.DUMMYFUNCTION("ROUNDUP(REGEXREPLACE(D431, ""[^0-9]"", """")*1.1)"),83.0)</f>
        <v>83</v>
      </c>
    </row>
    <row r="432">
      <c r="A432" s="459" t="s">
        <v>1588</v>
      </c>
      <c r="B432" s="449" t="s">
        <v>1476</v>
      </c>
      <c r="C432" s="459" t="s">
        <v>1477</v>
      </c>
      <c r="D432" s="459" t="s">
        <v>293</v>
      </c>
      <c r="E432" s="459">
        <v>3.0</v>
      </c>
      <c r="F432" s="459" t="s">
        <v>26</v>
      </c>
      <c r="G432" s="461"/>
      <c r="H432" s="461"/>
      <c r="I432" s="465" t="s">
        <v>1589</v>
      </c>
      <c r="J432" s="459" t="s">
        <v>829</v>
      </c>
      <c r="K432" s="459" t="s">
        <v>798</v>
      </c>
      <c r="L432" s="450">
        <f>IFERROR(__xludf.DUMMYFUNCTION("ROUNDUP(REGEXREPLACE(D432, ""[^0-9]"", """")*1.1)"),330.0)</f>
        <v>330</v>
      </c>
    </row>
    <row r="433">
      <c r="A433" s="460" t="s">
        <v>1590</v>
      </c>
      <c r="B433" s="445" t="s">
        <v>1476</v>
      </c>
      <c r="C433" s="460" t="s">
        <v>1477</v>
      </c>
      <c r="D433" s="460" t="s">
        <v>341</v>
      </c>
      <c r="E433" s="460">
        <v>4.0</v>
      </c>
      <c r="F433" s="460" t="s">
        <v>26</v>
      </c>
      <c r="G433" s="463"/>
      <c r="H433" s="463"/>
      <c r="I433" s="466" t="s">
        <v>1591</v>
      </c>
      <c r="J433" s="460" t="s">
        <v>829</v>
      </c>
      <c r="K433" s="460" t="s">
        <v>798</v>
      </c>
      <c r="L433" s="446">
        <f>IFERROR(__xludf.DUMMYFUNCTION("ROUNDUP(REGEXREPLACE(D433, ""[^0-9]"", """")*1.1)"),1100.0)</f>
        <v>1100</v>
      </c>
    </row>
    <row r="434">
      <c r="A434" s="459" t="s">
        <v>1592</v>
      </c>
      <c r="B434" s="459" t="s">
        <v>21</v>
      </c>
      <c r="C434" s="467" t="s">
        <v>1593</v>
      </c>
      <c r="D434" s="459" t="s">
        <v>1524</v>
      </c>
      <c r="E434" s="459">
        <v>2.0</v>
      </c>
      <c r="F434" s="459" t="s">
        <v>26</v>
      </c>
      <c r="G434" s="461"/>
      <c r="H434" s="461"/>
      <c r="I434" s="465" t="s">
        <v>1594</v>
      </c>
      <c r="J434" s="459" t="s">
        <v>957</v>
      </c>
      <c r="K434" s="459" t="s">
        <v>760</v>
      </c>
      <c r="L434" s="450">
        <f>IFERROR(__xludf.DUMMYFUNCTION("ROUNDUP(REGEXREPLACE(D434, ""[^0-9]"", """")*1.25)"),157.0)</f>
        <v>157</v>
      </c>
    </row>
    <row r="435">
      <c r="A435" s="460" t="s">
        <v>1595</v>
      </c>
      <c r="B435" s="460" t="s">
        <v>21</v>
      </c>
      <c r="C435" s="460" t="s">
        <v>1596</v>
      </c>
      <c r="D435" s="460" t="s">
        <v>327</v>
      </c>
      <c r="E435" s="460">
        <v>4.0</v>
      </c>
      <c r="F435" s="460" t="s">
        <v>26</v>
      </c>
      <c r="G435" s="463"/>
      <c r="H435" s="463"/>
      <c r="I435" s="466" t="s">
        <v>1597</v>
      </c>
      <c r="J435" s="460" t="s">
        <v>1486</v>
      </c>
      <c r="K435" s="460" t="s">
        <v>760</v>
      </c>
      <c r="L435" s="446">
        <f>IFERROR(__xludf.DUMMYFUNCTION("ROUNDUP(REGEXREPLACE(D435, ""[^0-9]"", """")*1.25)"),625.0)</f>
        <v>625</v>
      </c>
    </row>
    <row r="436">
      <c r="A436" s="459" t="s">
        <v>1598</v>
      </c>
      <c r="B436" s="459" t="s">
        <v>21</v>
      </c>
      <c r="C436" s="459" t="s">
        <v>1596</v>
      </c>
      <c r="D436" s="459" t="s">
        <v>295</v>
      </c>
      <c r="E436" s="459">
        <v>3.0</v>
      </c>
      <c r="F436" s="459" t="s">
        <v>26</v>
      </c>
      <c r="G436" s="461"/>
      <c r="H436" s="461"/>
      <c r="I436" s="465" t="s">
        <v>1599</v>
      </c>
      <c r="J436" s="459" t="s">
        <v>1598</v>
      </c>
      <c r="K436" s="459" t="s">
        <v>760</v>
      </c>
      <c r="L436" s="450">
        <f>IFERROR(__xludf.DUMMYFUNCTION("ROUNDUP(REGEXREPLACE(D436, ""[^0-9]"", """")*1.25)"),313.0)</f>
        <v>313</v>
      </c>
    </row>
    <row r="437">
      <c r="A437" s="460" t="s">
        <v>1600</v>
      </c>
      <c r="B437" s="460" t="s">
        <v>21</v>
      </c>
      <c r="C437" s="460" t="s">
        <v>1596</v>
      </c>
      <c r="D437" s="460" t="s">
        <v>327</v>
      </c>
      <c r="E437" s="460">
        <v>5.0</v>
      </c>
      <c r="F437" s="460" t="s">
        <v>26</v>
      </c>
      <c r="G437" s="463"/>
      <c r="H437" s="463"/>
      <c r="I437" s="466" t="s">
        <v>1601</v>
      </c>
      <c r="J437" s="460" t="s">
        <v>1602</v>
      </c>
      <c r="K437" s="460" t="s">
        <v>760</v>
      </c>
      <c r="L437" s="446">
        <f>IFERROR(__xludf.DUMMYFUNCTION("ROUNDUP(REGEXREPLACE(D437, ""[^0-9]"", """")*1.25)"),625.0)</f>
        <v>625</v>
      </c>
    </row>
    <row r="438">
      <c r="A438" s="459" t="s">
        <v>1603</v>
      </c>
      <c r="B438" s="459" t="s">
        <v>21</v>
      </c>
      <c r="C438" s="459" t="s">
        <v>1596</v>
      </c>
      <c r="D438" s="459" t="s">
        <v>1604</v>
      </c>
      <c r="E438" s="459">
        <v>3.0</v>
      </c>
      <c r="F438" s="459" t="s">
        <v>26</v>
      </c>
      <c r="G438" s="461"/>
      <c r="H438" s="461"/>
      <c r="I438" s="465" t="s">
        <v>1605</v>
      </c>
      <c r="J438" s="459" t="s">
        <v>1603</v>
      </c>
      <c r="K438" s="459" t="s">
        <v>760</v>
      </c>
      <c r="L438" s="450">
        <f>IFERROR(__xludf.DUMMYFUNCTION("ROUNDUP(REGEXREPLACE(D438, ""[^0-9]"", """")*1.25)"),469.0)</f>
        <v>469</v>
      </c>
    </row>
    <row r="439">
      <c r="A439" s="460" t="s">
        <v>1606</v>
      </c>
      <c r="B439" s="460" t="s">
        <v>21</v>
      </c>
      <c r="C439" s="460" t="s">
        <v>1596</v>
      </c>
      <c r="D439" s="460" t="s">
        <v>1607</v>
      </c>
      <c r="E439" s="460">
        <v>5.0</v>
      </c>
      <c r="F439" s="460" t="s">
        <v>26</v>
      </c>
      <c r="G439" s="463"/>
      <c r="H439" s="463"/>
      <c r="I439" s="466" t="s">
        <v>1608</v>
      </c>
      <c r="J439" s="460" t="s">
        <v>1606</v>
      </c>
      <c r="K439" s="460" t="s">
        <v>760</v>
      </c>
      <c r="L439" s="446">
        <f>IFERROR(__xludf.DUMMYFUNCTION("ROUNDUP(REGEXREPLACE(D439, ""[^0-9]"", """")*1.25)"),1563.0)</f>
        <v>1563</v>
      </c>
    </row>
    <row r="440">
      <c r="A440" s="459" t="s">
        <v>1609</v>
      </c>
      <c r="B440" s="459" t="s">
        <v>21</v>
      </c>
      <c r="C440" s="459" t="s">
        <v>1596</v>
      </c>
      <c r="D440" s="459" t="s">
        <v>1524</v>
      </c>
      <c r="E440" s="459">
        <v>3.0</v>
      </c>
      <c r="F440" s="459" t="s">
        <v>26</v>
      </c>
      <c r="G440" s="461"/>
      <c r="H440" s="461"/>
      <c r="I440" s="465" t="s">
        <v>1610</v>
      </c>
      <c r="J440" s="459" t="s">
        <v>1609</v>
      </c>
      <c r="K440" s="459" t="s">
        <v>760</v>
      </c>
      <c r="L440" s="450">
        <f>IFERROR(__xludf.DUMMYFUNCTION("ROUNDUP(REGEXREPLACE(D440, ""[^0-9]"", """")*1.25)"),157.0)</f>
        <v>157</v>
      </c>
    </row>
    <row r="441">
      <c r="A441" s="460" t="s">
        <v>1611</v>
      </c>
      <c r="B441" s="460" t="s">
        <v>21</v>
      </c>
      <c r="C441" s="460" t="s">
        <v>1596</v>
      </c>
      <c r="D441" s="460" t="s">
        <v>1524</v>
      </c>
      <c r="E441" s="460">
        <v>5.0</v>
      </c>
      <c r="F441" s="460" t="s">
        <v>26</v>
      </c>
      <c r="G441" s="463"/>
      <c r="H441" s="463"/>
      <c r="I441" s="466" t="s">
        <v>1612</v>
      </c>
      <c r="J441" s="460" t="s">
        <v>1611</v>
      </c>
      <c r="K441" s="460" t="s">
        <v>760</v>
      </c>
      <c r="L441" s="446">
        <f>IFERROR(__xludf.DUMMYFUNCTION("ROUNDUP(REGEXREPLACE(D441, ""[^0-9]"", """")*1.25)"),157.0)</f>
        <v>157</v>
      </c>
    </row>
    <row r="442">
      <c r="A442" s="459" t="s">
        <v>1613</v>
      </c>
      <c r="B442" s="459" t="s">
        <v>21</v>
      </c>
      <c r="C442" s="459" t="s">
        <v>1596</v>
      </c>
      <c r="D442" s="459" t="s">
        <v>327</v>
      </c>
      <c r="E442" s="459">
        <v>6.0</v>
      </c>
      <c r="F442" s="459" t="s">
        <v>26</v>
      </c>
      <c r="G442" s="461"/>
      <c r="H442" s="461"/>
      <c r="I442" s="465" t="s">
        <v>1614</v>
      </c>
      <c r="J442" s="459" t="s">
        <v>1613</v>
      </c>
      <c r="K442" s="459" t="s">
        <v>760</v>
      </c>
      <c r="L442" s="450">
        <f>IFERROR(__xludf.DUMMYFUNCTION("ROUNDUP(REGEXREPLACE(D442, ""[^0-9]"", """")*1.25)"),625.0)</f>
        <v>625</v>
      </c>
    </row>
    <row r="443">
      <c r="A443" s="460" t="s">
        <v>1615</v>
      </c>
      <c r="B443" s="460" t="s">
        <v>21</v>
      </c>
      <c r="C443" s="460" t="s">
        <v>1596</v>
      </c>
      <c r="D443" s="460" t="s">
        <v>1524</v>
      </c>
      <c r="E443" s="460">
        <v>7.0</v>
      </c>
      <c r="F443" s="460" t="s">
        <v>26</v>
      </c>
      <c r="G443" s="463"/>
      <c r="H443" s="463"/>
      <c r="I443" s="466" t="s">
        <v>1616</v>
      </c>
      <c r="J443" s="460" t="s">
        <v>1615</v>
      </c>
      <c r="K443" s="460" t="s">
        <v>760</v>
      </c>
      <c r="L443" s="446">
        <f>IFERROR(__xludf.DUMMYFUNCTION("ROUNDUP(REGEXREPLACE(D443, ""[^0-9]"", """")*1.25)"),157.0)</f>
        <v>157</v>
      </c>
    </row>
    <row r="444">
      <c r="A444" s="459" t="s">
        <v>1617</v>
      </c>
      <c r="B444" s="459" t="s">
        <v>21</v>
      </c>
      <c r="C444" s="459" t="s">
        <v>1596</v>
      </c>
      <c r="D444" s="459" t="s">
        <v>1604</v>
      </c>
      <c r="E444" s="459">
        <v>4.0</v>
      </c>
      <c r="F444" s="459" t="s">
        <v>26</v>
      </c>
      <c r="G444" s="461"/>
      <c r="H444" s="461"/>
      <c r="I444" s="465" t="s">
        <v>1618</v>
      </c>
      <c r="J444" s="459" t="s">
        <v>1617</v>
      </c>
      <c r="K444" s="459" t="s">
        <v>760</v>
      </c>
      <c r="L444" s="450">
        <f>IFERROR(__xludf.DUMMYFUNCTION("ROUNDUP(REGEXREPLACE(D444, ""[^0-9]"", """")*1.25)"),469.0)</f>
        <v>469</v>
      </c>
    </row>
    <row r="445">
      <c r="A445" s="460" t="s">
        <v>1619</v>
      </c>
      <c r="B445" s="460" t="s">
        <v>21</v>
      </c>
      <c r="C445" s="460" t="s">
        <v>1596</v>
      </c>
      <c r="D445" s="460" t="s">
        <v>365</v>
      </c>
      <c r="E445" s="460">
        <v>4.0</v>
      </c>
      <c r="F445" s="460" t="s">
        <v>26</v>
      </c>
      <c r="G445" s="463"/>
      <c r="H445" s="463"/>
      <c r="I445" s="466" t="s">
        <v>1620</v>
      </c>
      <c r="J445" s="460" t="s">
        <v>1486</v>
      </c>
      <c r="K445" s="460" t="s">
        <v>760</v>
      </c>
      <c r="L445" s="446">
        <f>IFERROR(__xludf.DUMMYFUNCTION("ROUNDUP(REGEXREPLACE(D445, ""[^0-9]"", """")*1.25)"),2500.0)</f>
        <v>2500</v>
      </c>
    </row>
    <row r="446">
      <c r="A446" s="459" t="s">
        <v>1621</v>
      </c>
      <c r="B446" s="459" t="s">
        <v>21</v>
      </c>
      <c r="C446" s="459" t="s">
        <v>1596</v>
      </c>
      <c r="D446" s="459" t="s">
        <v>327</v>
      </c>
      <c r="E446" s="459">
        <v>3.0</v>
      </c>
      <c r="F446" s="459" t="s">
        <v>26</v>
      </c>
      <c r="G446" s="461"/>
      <c r="H446" s="461"/>
      <c r="I446" s="465" t="s">
        <v>1622</v>
      </c>
      <c r="J446" s="459" t="s">
        <v>1483</v>
      </c>
      <c r="K446" s="459" t="s">
        <v>760</v>
      </c>
      <c r="L446" s="450">
        <f>IFERROR(__xludf.DUMMYFUNCTION("ROUNDUP(REGEXREPLACE(D446, ""[^0-9]"", """")*1.25)"),625.0)</f>
        <v>625</v>
      </c>
    </row>
    <row r="447">
      <c r="A447" s="460" t="s">
        <v>1623</v>
      </c>
      <c r="B447" s="460" t="s">
        <v>21</v>
      </c>
      <c r="C447" s="460" t="s">
        <v>1596</v>
      </c>
      <c r="D447" s="460" t="s">
        <v>341</v>
      </c>
      <c r="E447" s="460">
        <v>7.0</v>
      </c>
      <c r="F447" s="460" t="s">
        <v>26</v>
      </c>
      <c r="G447" s="463"/>
      <c r="H447" s="463"/>
      <c r="I447" s="466" t="s">
        <v>1624</v>
      </c>
      <c r="J447" s="460" t="s">
        <v>1623</v>
      </c>
      <c r="K447" s="460" t="s">
        <v>760</v>
      </c>
      <c r="L447" s="446">
        <f>IFERROR(__xludf.DUMMYFUNCTION("ROUNDUP(REGEXREPLACE(D447, ""[^0-9]"", """")*1.25)"),1250.0)</f>
        <v>1250</v>
      </c>
    </row>
    <row r="448">
      <c r="A448" s="459" t="s">
        <v>1625</v>
      </c>
      <c r="B448" s="459" t="s">
        <v>21</v>
      </c>
      <c r="C448" s="459" t="s">
        <v>1596</v>
      </c>
      <c r="D448" s="459" t="s">
        <v>295</v>
      </c>
      <c r="E448" s="459">
        <v>5.0</v>
      </c>
      <c r="F448" s="459" t="s">
        <v>26</v>
      </c>
      <c r="G448" s="461"/>
      <c r="H448" s="461"/>
      <c r="I448" s="465" t="s">
        <v>1626</v>
      </c>
      <c r="J448" s="459" t="s">
        <v>1625</v>
      </c>
      <c r="K448" s="459" t="s">
        <v>788</v>
      </c>
      <c r="L448" s="450">
        <f>IFERROR(__xludf.DUMMYFUNCTION("ROUNDUP(REGEXREPLACE(D448, ""[^0-9]"", """")*1.25)"),313.0)</f>
        <v>313</v>
      </c>
    </row>
    <row r="449">
      <c r="A449" s="460" t="s">
        <v>1627</v>
      </c>
      <c r="B449" s="460" t="s">
        <v>21</v>
      </c>
      <c r="C449" s="460" t="s">
        <v>1596</v>
      </c>
      <c r="D449" s="460" t="s">
        <v>1628</v>
      </c>
      <c r="E449" s="460">
        <v>6.0</v>
      </c>
      <c r="F449" s="460" t="s">
        <v>26</v>
      </c>
      <c r="G449" s="463"/>
      <c r="H449" s="463"/>
      <c r="I449" s="466" t="s">
        <v>1629</v>
      </c>
      <c r="J449" s="460" t="s">
        <v>1627</v>
      </c>
      <c r="K449" s="460" t="s">
        <v>748</v>
      </c>
      <c r="L449" s="446">
        <f>IFERROR(__xludf.DUMMYFUNCTION("ROUNDUP(REGEXREPLACE(D449, ""[^0-9]"", """")*1.25)"),1094.0)</f>
        <v>1094</v>
      </c>
    </row>
    <row r="450">
      <c r="A450" s="459" t="s">
        <v>1630</v>
      </c>
      <c r="B450" s="459" t="s">
        <v>21</v>
      </c>
      <c r="C450" s="459" t="s">
        <v>1596</v>
      </c>
      <c r="D450" s="459" t="s">
        <v>224</v>
      </c>
      <c r="E450" s="459">
        <v>1.0</v>
      </c>
      <c r="F450" s="459" t="s">
        <v>26</v>
      </c>
      <c r="G450" s="461"/>
      <c r="H450" s="461"/>
      <c r="I450" s="465" t="s">
        <v>1631</v>
      </c>
      <c r="J450" s="459" t="s">
        <v>1630</v>
      </c>
      <c r="K450" s="459" t="s">
        <v>760</v>
      </c>
      <c r="L450" s="450">
        <f>IFERROR(__xludf.DUMMYFUNCTION("ROUNDUP(REGEXREPLACE(D450, ""[^0-9]"", """")*1.25)"),32.0)</f>
        <v>32</v>
      </c>
    </row>
    <row r="451">
      <c r="A451" s="460" t="s">
        <v>1632</v>
      </c>
      <c r="B451" s="460" t="s">
        <v>21</v>
      </c>
      <c r="C451" s="460" t="s">
        <v>1596</v>
      </c>
      <c r="D451" s="460" t="s">
        <v>1524</v>
      </c>
      <c r="E451" s="460">
        <v>1.0</v>
      </c>
      <c r="F451" s="460" t="s">
        <v>26</v>
      </c>
      <c r="G451" s="463"/>
      <c r="H451" s="463"/>
      <c r="I451" s="466" t="s">
        <v>1633</v>
      </c>
      <c r="J451" s="460" t="s">
        <v>1634</v>
      </c>
      <c r="K451" s="460" t="s">
        <v>851</v>
      </c>
      <c r="L451" s="446">
        <f>IFERROR(__xludf.DUMMYFUNCTION("ROUNDUP(REGEXREPLACE(D451, ""[^0-9]"", """")*1.25)"),157.0)</f>
        <v>157</v>
      </c>
    </row>
    <row r="452">
      <c r="A452" s="459" t="s">
        <v>1635</v>
      </c>
      <c r="B452" s="459" t="s">
        <v>21</v>
      </c>
      <c r="C452" s="459" t="s">
        <v>1596</v>
      </c>
      <c r="D452" s="459" t="s">
        <v>1524</v>
      </c>
      <c r="E452" s="459">
        <v>1.0</v>
      </c>
      <c r="F452" s="459" t="s">
        <v>26</v>
      </c>
      <c r="G452" s="461"/>
      <c r="H452" s="461"/>
      <c r="I452" s="465" t="s">
        <v>1636</v>
      </c>
      <c r="J452" s="459" t="s">
        <v>1635</v>
      </c>
      <c r="K452" s="459" t="s">
        <v>851</v>
      </c>
      <c r="L452" s="450">
        <f>IFERROR(__xludf.DUMMYFUNCTION("ROUNDUP(REGEXREPLACE(D452, ""[^0-9]"", """")*1.25)"),157.0)</f>
        <v>157</v>
      </c>
    </row>
    <row r="453">
      <c r="A453" s="460" t="s">
        <v>1637</v>
      </c>
      <c r="B453" s="460" t="s">
        <v>21</v>
      </c>
      <c r="C453" s="460" t="s">
        <v>1596</v>
      </c>
      <c r="D453" s="460" t="s">
        <v>267</v>
      </c>
      <c r="E453" s="460">
        <v>2.0</v>
      </c>
      <c r="F453" s="460" t="s">
        <v>26</v>
      </c>
      <c r="G453" s="463"/>
      <c r="H453" s="463"/>
      <c r="I453" s="466" t="s">
        <v>1638</v>
      </c>
      <c r="J453" s="460" t="s">
        <v>1637</v>
      </c>
      <c r="K453" s="460" t="s">
        <v>760</v>
      </c>
      <c r="L453" s="446">
        <f>IFERROR(__xludf.DUMMYFUNCTION("ROUNDUP(REGEXREPLACE(D453, ""[^0-9]"", """")*1.25)"),125.0)</f>
        <v>125</v>
      </c>
    </row>
    <row r="454">
      <c r="A454" s="459" t="s">
        <v>1526</v>
      </c>
      <c r="B454" s="459" t="s">
        <v>21</v>
      </c>
      <c r="C454" s="459" t="s">
        <v>1596</v>
      </c>
      <c r="D454" s="459" t="s">
        <v>241</v>
      </c>
      <c r="E454" s="459">
        <v>2.0</v>
      </c>
      <c r="F454" s="459" t="s">
        <v>26</v>
      </c>
      <c r="G454" s="461"/>
      <c r="H454" s="461"/>
      <c r="I454" s="465" t="s">
        <v>1639</v>
      </c>
      <c r="J454" s="459" t="s">
        <v>1526</v>
      </c>
      <c r="K454" s="459" t="s">
        <v>760</v>
      </c>
      <c r="L454" s="450">
        <f>IFERROR(__xludf.DUMMYFUNCTION("ROUNDUP(REGEXREPLACE(D454, ""[^0-9]"", """")*1.25)"),63.0)</f>
        <v>63</v>
      </c>
    </row>
    <row r="455">
      <c r="A455" s="460" t="s">
        <v>1640</v>
      </c>
      <c r="B455" s="460" t="s">
        <v>21</v>
      </c>
      <c r="C455" s="460" t="s">
        <v>1596</v>
      </c>
      <c r="D455" s="460" t="s">
        <v>282</v>
      </c>
      <c r="E455" s="460">
        <v>2.0</v>
      </c>
      <c r="F455" s="460" t="s">
        <v>26</v>
      </c>
      <c r="G455" s="463"/>
      <c r="H455" s="463"/>
      <c r="I455" s="466" t="s">
        <v>1641</v>
      </c>
      <c r="J455" s="460" t="s">
        <v>1640</v>
      </c>
      <c r="K455" s="460" t="s">
        <v>788</v>
      </c>
      <c r="L455" s="446">
        <f>IFERROR(__xludf.DUMMYFUNCTION("ROUNDUP(REGEXREPLACE(D455, ""[^0-9]"", """")*1.25)"),94.0)</f>
        <v>94</v>
      </c>
    </row>
    <row r="456">
      <c r="A456" s="459" t="s">
        <v>1642</v>
      </c>
      <c r="B456" s="459" t="s">
        <v>21</v>
      </c>
      <c r="C456" s="459" t="s">
        <v>1596</v>
      </c>
      <c r="D456" s="459" t="s">
        <v>295</v>
      </c>
      <c r="E456" s="459">
        <v>2.0</v>
      </c>
      <c r="F456" s="459" t="s">
        <v>26</v>
      </c>
      <c r="G456" s="461"/>
      <c r="H456" s="461"/>
      <c r="I456" s="465" t="s">
        <v>1643</v>
      </c>
      <c r="J456" s="459" t="s">
        <v>1642</v>
      </c>
      <c r="K456" s="459" t="s">
        <v>760</v>
      </c>
      <c r="L456" s="450">
        <f>IFERROR(__xludf.DUMMYFUNCTION("ROUNDUP(REGEXREPLACE(D456, ""[^0-9]"", """")*1.25)"),313.0)</f>
        <v>313</v>
      </c>
    </row>
    <row r="457">
      <c r="A457" s="460" t="s">
        <v>1644</v>
      </c>
      <c r="B457" s="460" t="s">
        <v>21</v>
      </c>
      <c r="C457" s="460" t="s">
        <v>1596</v>
      </c>
      <c r="D457" s="460" t="s">
        <v>327</v>
      </c>
      <c r="E457" s="460">
        <v>2.0</v>
      </c>
      <c r="F457" s="460" t="s">
        <v>26</v>
      </c>
      <c r="G457" s="463"/>
      <c r="H457" s="463"/>
      <c r="I457" s="466" t="s">
        <v>1645</v>
      </c>
      <c r="J457" s="460" t="s">
        <v>1646</v>
      </c>
      <c r="K457" s="460" t="s">
        <v>788</v>
      </c>
      <c r="L457" s="446">
        <f>IFERROR(__xludf.DUMMYFUNCTION("ROUNDUP(REGEXREPLACE(D457, ""[^0-9]"", """")*1.25)"),625.0)</f>
        <v>625</v>
      </c>
    </row>
    <row r="458">
      <c r="A458" s="459" t="s">
        <v>1647</v>
      </c>
      <c r="B458" s="459" t="s">
        <v>21</v>
      </c>
      <c r="C458" s="459" t="s">
        <v>1596</v>
      </c>
      <c r="D458" s="459" t="s">
        <v>1524</v>
      </c>
      <c r="E458" s="459">
        <v>2.0</v>
      </c>
      <c r="F458" s="459" t="s">
        <v>26</v>
      </c>
      <c r="G458" s="461"/>
      <c r="H458" s="461"/>
      <c r="I458" s="465" t="s">
        <v>1648</v>
      </c>
      <c r="J458" s="459" t="s">
        <v>1649</v>
      </c>
      <c r="K458" s="459" t="s">
        <v>788</v>
      </c>
      <c r="L458" s="450">
        <f>IFERROR(__xludf.DUMMYFUNCTION("ROUNDUP(REGEXREPLACE(D458, ""[^0-9]"", """")*1.25)"),157.0)</f>
        <v>157</v>
      </c>
    </row>
    <row r="459">
      <c r="A459" s="460" t="s">
        <v>1650</v>
      </c>
      <c r="B459" s="460" t="s">
        <v>21</v>
      </c>
      <c r="C459" s="460" t="s">
        <v>1596</v>
      </c>
      <c r="D459" s="460" t="s">
        <v>295</v>
      </c>
      <c r="E459" s="460">
        <v>2.0</v>
      </c>
      <c r="F459" s="460" t="s">
        <v>26</v>
      </c>
      <c r="G459" s="463"/>
      <c r="H459" s="463"/>
      <c r="I459" s="466" t="s">
        <v>1651</v>
      </c>
      <c r="J459" s="460" t="s">
        <v>1650</v>
      </c>
      <c r="K459" s="460" t="s">
        <v>788</v>
      </c>
      <c r="L459" s="446">
        <f>IFERROR(__xludf.DUMMYFUNCTION("ROUNDUP(REGEXREPLACE(D459, ""[^0-9]"", """")*1.25)"),313.0)</f>
        <v>313</v>
      </c>
    </row>
    <row r="460">
      <c r="A460" s="459" t="s">
        <v>1652</v>
      </c>
      <c r="B460" s="459" t="s">
        <v>21</v>
      </c>
      <c r="C460" s="459" t="s">
        <v>1596</v>
      </c>
      <c r="D460" s="459" t="s">
        <v>295</v>
      </c>
      <c r="E460" s="459">
        <v>2.0</v>
      </c>
      <c r="F460" s="459" t="s">
        <v>26</v>
      </c>
      <c r="G460" s="461"/>
      <c r="H460" s="461"/>
      <c r="I460" s="465" t="s">
        <v>1653</v>
      </c>
      <c r="J460" s="459" t="s">
        <v>1652</v>
      </c>
      <c r="K460" s="459" t="s">
        <v>788</v>
      </c>
      <c r="L460" s="450">
        <f>IFERROR(__xludf.DUMMYFUNCTION("ROUNDUP(REGEXREPLACE(D460, ""[^0-9]"", """")*1.25)"),313.0)</f>
        <v>313</v>
      </c>
    </row>
    <row r="461">
      <c r="A461" s="460" t="s">
        <v>1654</v>
      </c>
      <c r="B461" s="460" t="s">
        <v>21</v>
      </c>
      <c r="C461" s="460" t="s">
        <v>1596</v>
      </c>
      <c r="D461" s="460" t="s">
        <v>1524</v>
      </c>
      <c r="E461" s="460">
        <v>2.0</v>
      </c>
      <c r="F461" s="460" t="s">
        <v>26</v>
      </c>
      <c r="G461" s="463"/>
      <c r="H461" s="463"/>
      <c r="I461" s="466" t="s">
        <v>1655</v>
      </c>
      <c r="J461" s="460" t="s">
        <v>1656</v>
      </c>
      <c r="K461" s="460" t="s">
        <v>851</v>
      </c>
      <c r="L461" s="446">
        <f>IFERROR(__xludf.DUMMYFUNCTION("ROUNDUP(REGEXREPLACE(D461, ""[^0-9]"", """")*1.25)"),157.0)</f>
        <v>157</v>
      </c>
    </row>
    <row r="462">
      <c r="A462" s="459" t="s">
        <v>1657</v>
      </c>
      <c r="B462" s="459" t="s">
        <v>21</v>
      </c>
      <c r="C462" s="459" t="s">
        <v>1596</v>
      </c>
      <c r="D462" s="459" t="s">
        <v>327</v>
      </c>
      <c r="E462" s="459">
        <v>3.0</v>
      </c>
      <c r="F462" s="459" t="s">
        <v>26</v>
      </c>
      <c r="G462" s="461"/>
      <c r="H462" s="461"/>
      <c r="I462" s="465" t="s">
        <v>1658</v>
      </c>
      <c r="J462" s="459" t="s">
        <v>1657</v>
      </c>
      <c r="K462" s="459" t="s">
        <v>760</v>
      </c>
      <c r="L462" s="450">
        <f>IFERROR(__xludf.DUMMYFUNCTION("ROUNDUP(REGEXREPLACE(D462, ""[^0-9]"", """")*1.25)"),625.0)</f>
        <v>625</v>
      </c>
    </row>
    <row r="463">
      <c r="A463" s="460" t="s">
        <v>1659</v>
      </c>
      <c r="B463" s="460" t="s">
        <v>21</v>
      </c>
      <c r="C463" s="460" t="s">
        <v>1596</v>
      </c>
      <c r="D463" s="460" t="s">
        <v>327</v>
      </c>
      <c r="E463" s="460">
        <v>3.0</v>
      </c>
      <c r="F463" s="460" t="s">
        <v>26</v>
      </c>
      <c r="G463" s="463"/>
      <c r="H463" s="463"/>
      <c r="I463" s="466" t="s">
        <v>1660</v>
      </c>
      <c r="J463" s="460" t="s">
        <v>1659</v>
      </c>
      <c r="K463" s="460" t="s">
        <v>760</v>
      </c>
      <c r="L463" s="446">
        <f>IFERROR(__xludf.DUMMYFUNCTION("ROUNDUP(REGEXREPLACE(D463, ""[^0-9]"", """")*1.25)"),625.0)</f>
        <v>625</v>
      </c>
    </row>
    <row r="464">
      <c r="A464" s="459" t="s">
        <v>1532</v>
      </c>
      <c r="B464" s="459" t="s">
        <v>21</v>
      </c>
      <c r="C464" s="459" t="s">
        <v>1596</v>
      </c>
      <c r="D464" s="459" t="s">
        <v>381</v>
      </c>
      <c r="E464" s="459">
        <v>3.0</v>
      </c>
      <c r="F464" s="459" t="s">
        <v>26</v>
      </c>
      <c r="G464" s="461"/>
      <c r="H464" s="461"/>
      <c r="I464" s="465" t="s">
        <v>1661</v>
      </c>
      <c r="J464" s="459" t="s">
        <v>1662</v>
      </c>
      <c r="K464" s="459" t="s">
        <v>760</v>
      </c>
      <c r="L464" s="450">
        <f>IFERROR(__xludf.DUMMYFUNCTION("ROUNDUP(REGEXREPLACE(D464, ""[^0-9]"", """")*1.25)"),3125.0)</f>
        <v>3125</v>
      </c>
    </row>
    <row r="465">
      <c r="A465" s="460" t="s">
        <v>1663</v>
      </c>
      <c r="B465" s="460" t="s">
        <v>21</v>
      </c>
      <c r="C465" s="460" t="s">
        <v>1596</v>
      </c>
      <c r="D465" s="460" t="s">
        <v>293</v>
      </c>
      <c r="E465" s="460">
        <v>3.0</v>
      </c>
      <c r="F465" s="460" t="s">
        <v>26</v>
      </c>
      <c r="G465" s="463"/>
      <c r="H465" s="463"/>
      <c r="I465" s="466" t="s">
        <v>1664</v>
      </c>
      <c r="J465" s="460" t="s">
        <v>1665</v>
      </c>
      <c r="K465" s="460" t="s">
        <v>851</v>
      </c>
      <c r="L465" s="446">
        <f>IFERROR(__xludf.DUMMYFUNCTION("ROUNDUP(REGEXREPLACE(D465, ""[^0-9]"", """")*1.25)"),375.0)</f>
        <v>375</v>
      </c>
    </row>
    <row r="466">
      <c r="A466" s="459" t="s">
        <v>1666</v>
      </c>
      <c r="B466" s="459" t="s">
        <v>21</v>
      </c>
      <c r="C466" s="459" t="s">
        <v>1596</v>
      </c>
      <c r="D466" s="459" t="s">
        <v>327</v>
      </c>
      <c r="E466" s="459">
        <v>3.0</v>
      </c>
      <c r="F466" s="459" t="s">
        <v>26</v>
      </c>
      <c r="G466" s="461"/>
      <c r="H466" s="461"/>
      <c r="I466" s="465" t="s">
        <v>1667</v>
      </c>
      <c r="J466" s="459" t="s">
        <v>1666</v>
      </c>
      <c r="K466" s="459" t="s">
        <v>760</v>
      </c>
      <c r="L466" s="450">
        <f>IFERROR(__xludf.DUMMYFUNCTION("ROUNDUP(REGEXREPLACE(D466, ""[^0-9]"", """")*1.25)"),625.0)</f>
        <v>625</v>
      </c>
    </row>
    <row r="467">
      <c r="A467" s="460" t="s">
        <v>1534</v>
      </c>
      <c r="B467" s="460" t="s">
        <v>21</v>
      </c>
      <c r="C467" s="460" t="s">
        <v>1596</v>
      </c>
      <c r="D467" s="460" t="s">
        <v>295</v>
      </c>
      <c r="E467" s="460">
        <v>3.0</v>
      </c>
      <c r="F467" s="460" t="s">
        <v>26</v>
      </c>
      <c r="G467" s="463"/>
      <c r="H467" s="463"/>
      <c r="I467" s="466" t="s">
        <v>1668</v>
      </c>
      <c r="J467" s="460" t="s">
        <v>1534</v>
      </c>
      <c r="K467" s="460" t="s">
        <v>760</v>
      </c>
      <c r="L467" s="446">
        <f>IFERROR(__xludf.DUMMYFUNCTION("ROUNDUP(REGEXREPLACE(D467, ""[^0-9]"", """")*1.25)"),313.0)</f>
        <v>313</v>
      </c>
    </row>
    <row r="468">
      <c r="A468" s="459" t="s">
        <v>1536</v>
      </c>
      <c r="B468" s="459" t="s">
        <v>21</v>
      </c>
      <c r="C468" s="459" t="s">
        <v>1596</v>
      </c>
      <c r="D468" s="459" t="s">
        <v>327</v>
      </c>
      <c r="E468" s="459">
        <v>3.0</v>
      </c>
      <c r="F468" s="459" t="s">
        <v>26</v>
      </c>
      <c r="G468" s="461"/>
      <c r="H468" s="461"/>
      <c r="I468" s="465" t="s">
        <v>1669</v>
      </c>
      <c r="J468" s="459" t="s">
        <v>1536</v>
      </c>
      <c r="K468" s="459" t="s">
        <v>851</v>
      </c>
      <c r="L468" s="450">
        <f>IFERROR(__xludf.DUMMYFUNCTION("ROUNDUP(REGEXREPLACE(D468, ""[^0-9]"", """")*1.25)"),625.0)</f>
        <v>625</v>
      </c>
    </row>
    <row r="469">
      <c r="A469" s="460" t="s">
        <v>1670</v>
      </c>
      <c r="B469" s="460" t="s">
        <v>21</v>
      </c>
      <c r="C469" s="460" t="s">
        <v>1596</v>
      </c>
      <c r="D469" s="460" t="s">
        <v>267</v>
      </c>
      <c r="E469" s="460">
        <v>3.0</v>
      </c>
      <c r="F469" s="460" t="s">
        <v>26</v>
      </c>
      <c r="G469" s="463"/>
      <c r="H469" s="463"/>
      <c r="I469" s="466" t="s">
        <v>1671</v>
      </c>
      <c r="J469" s="460" t="s">
        <v>1672</v>
      </c>
      <c r="K469" s="460" t="s">
        <v>851</v>
      </c>
      <c r="L469" s="446">
        <f>IFERROR(__xludf.DUMMYFUNCTION("ROUNDUP(REGEXREPLACE(D469, ""[^0-9]"", """")*1.25)"),125.0)</f>
        <v>125</v>
      </c>
    </row>
    <row r="470">
      <c r="A470" s="459" t="s">
        <v>1673</v>
      </c>
      <c r="B470" s="459" t="s">
        <v>21</v>
      </c>
      <c r="C470" s="459" t="s">
        <v>1596</v>
      </c>
      <c r="D470" s="459" t="s">
        <v>381</v>
      </c>
      <c r="E470" s="459">
        <v>3.0</v>
      </c>
      <c r="F470" s="459" t="s">
        <v>26</v>
      </c>
      <c r="G470" s="461"/>
      <c r="H470" s="461"/>
      <c r="I470" s="465" t="s">
        <v>1674</v>
      </c>
      <c r="J470" s="459" t="s">
        <v>1500</v>
      </c>
      <c r="K470" s="459" t="s">
        <v>851</v>
      </c>
      <c r="L470" s="450">
        <f>IFERROR(__xludf.DUMMYFUNCTION("ROUNDUP(REGEXREPLACE(D470, ""[^0-9]"", """")*1.25)"),3125.0)</f>
        <v>3125</v>
      </c>
    </row>
    <row r="471">
      <c r="A471" s="460" t="s">
        <v>1675</v>
      </c>
      <c r="B471" s="460" t="s">
        <v>21</v>
      </c>
      <c r="C471" s="460" t="s">
        <v>1596</v>
      </c>
      <c r="D471" s="460" t="s">
        <v>381</v>
      </c>
      <c r="E471" s="460">
        <v>3.0</v>
      </c>
      <c r="F471" s="460" t="s">
        <v>26</v>
      </c>
      <c r="G471" s="463"/>
      <c r="H471" s="463"/>
      <c r="I471" s="466" t="s">
        <v>1676</v>
      </c>
      <c r="J471" s="460" t="s">
        <v>1500</v>
      </c>
      <c r="K471" s="460" t="s">
        <v>851</v>
      </c>
      <c r="L471" s="446">
        <f>IFERROR(__xludf.DUMMYFUNCTION("ROUNDUP(REGEXREPLACE(D471, ""[^0-9]"", """")*1.25)"),3125.0)</f>
        <v>3125</v>
      </c>
    </row>
    <row r="472">
      <c r="A472" s="459" t="s">
        <v>1677</v>
      </c>
      <c r="B472" s="459" t="s">
        <v>21</v>
      </c>
      <c r="C472" s="459" t="s">
        <v>1596</v>
      </c>
      <c r="D472" s="459" t="s">
        <v>381</v>
      </c>
      <c r="E472" s="459">
        <v>3.0</v>
      </c>
      <c r="F472" s="459" t="s">
        <v>26</v>
      </c>
      <c r="G472" s="461"/>
      <c r="H472" s="461"/>
      <c r="I472" s="465" t="s">
        <v>1678</v>
      </c>
      <c r="J472" s="459" t="s">
        <v>1500</v>
      </c>
      <c r="K472" s="459" t="s">
        <v>851</v>
      </c>
      <c r="L472" s="450">
        <f>IFERROR(__xludf.DUMMYFUNCTION("ROUNDUP(REGEXREPLACE(D472, ""[^0-9]"", """")*1.25)"),3125.0)</f>
        <v>3125</v>
      </c>
    </row>
    <row r="473">
      <c r="A473" s="460" t="s">
        <v>1679</v>
      </c>
      <c r="B473" s="460" t="s">
        <v>21</v>
      </c>
      <c r="C473" s="460" t="s">
        <v>1596</v>
      </c>
      <c r="D473" s="460" t="s">
        <v>341</v>
      </c>
      <c r="E473" s="460">
        <v>4.0</v>
      </c>
      <c r="F473" s="460" t="s">
        <v>26</v>
      </c>
      <c r="G473" s="463"/>
      <c r="H473" s="463"/>
      <c r="I473" s="466" t="s">
        <v>1680</v>
      </c>
      <c r="J473" s="460" t="s">
        <v>1679</v>
      </c>
      <c r="K473" s="460" t="s">
        <v>760</v>
      </c>
      <c r="L473" s="446">
        <f>IFERROR(__xludf.DUMMYFUNCTION("ROUNDUP(REGEXREPLACE(D473, ""[^0-9]"", """")*1.25)"),1250.0)</f>
        <v>1250</v>
      </c>
    </row>
    <row r="474">
      <c r="A474" s="459" t="s">
        <v>1681</v>
      </c>
      <c r="B474" s="459" t="s">
        <v>21</v>
      </c>
      <c r="C474" s="459" t="s">
        <v>1596</v>
      </c>
      <c r="D474" s="459" t="s">
        <v>1682</v>
      </c>
      <c r="E474" s="459">
        <v>4.0</v>
      </c>
      <c r="F474" s="459" t="s">
        <v>26</v>
      </c>
      <c r="G474" s="461"/>
      <c r="H474" s="461"/>
      <c r="I474" s="465" t="s">
        <v>1683</v>
      </c>
      <c r="J474" s="459" t="s">
        <v>1684</v>
      </c>
      <c r="K474" s="459" t="s">
        <v>760</v>
      </c>
      <c r="L474" s="450">
        <f>IFERROR(__xludf.DUMMYFUNCTION("ROUNDUP(REGEXREPLACE(D474, ""[^0-9]"", """")*1.25)"),6000.0)</f>
        <v>6000</v>
      </c>
    </row>
    <row r="475">
      <c r="A475" s="460" t="s">
        <v>1685</v>
      </c>
      <c r="B475" s="460" t="s">
        <v>21</v>
      </c>
      <c r="C475" s="460" t="s">
        <v>1596</v>
      </c>
      <c r="D475" s="460" t="s">
        <v>387</v>
      </c>
      <c r="E475" s="460">
        <v>4.0</v>
      </c>
      <c r="F475" s="460" t="s">
        <v>26</v>
      </c>
      <c r="G475" s="463"/>
      <c r="H475" s="463"/>
      <c r="I475" s="466" t="s">
        <v>1686</v>
      </c>
      <c r="J475" s="460" t="s">
        <v>1687</v>
      </c>
      <c r="K475" s="460" t="s">
        <v>851</v>
      </c>
      <c r="L475" s="446">
        <f>IFERROR(__xludf.DUMMYFUNCTION("ROUNDUP(REGEXREPLACE(D475, ""[^0-9]"", """")*1.25)"),3000.0)</f>
        <v>3000</v>
      </c>
    </row>
    <row r="476">
      <c r="A476" s="459" t="s">
        <v>1688</v>
      </c>
      <c r="B476" s="459" t="s">
        <v>21</v>
      </c>
      <c r="C476" s="459" t="s">
        <v>1596</v>
      </c>
      <c r="D476" s="459" t="s">
        <v>583</v>
      </c>
      <c r="E476" s="459">
        <v>4.0</v>
      </c>
      <c r="F476" s="459" t="s">
        <v>26</v>
      </c>
      <c r="G476" s="461"/>
      <c r="H476" s="461"/>
      <c r="I476" s="465" t="s">
        <v>1689</v>
      </c>
      <c r="J476" s="459" t="s">
        <v>1688</v>
      </c>
      <c r="K476" s="459" t="s">
        <v>760</v>
      </c>
      <c r="L476" s="450">
        <f>IFERROR(__xludf.DUMMYFUNCTION("ROUNDUP(REGEXREPLACE(D476, ""[^0-9]"", """")*1.25)"),3750.0)</f>
        <v>3750</v>
      </c>
    </row>
    <row r="477">
      <c r="A477" s="460" t="s">
        <v>1690</v>
      </c>
      <c r="B477" s="460" t="s">
        <v>21</v>
      </c>
      <c r="C477" s="460" t="s">
        <v>1596</v>
      </c>
      <c r="D477" s="460" t="s">
        <v>1576</v>
      </c>
      <c r="E477" s="460">
        <v>5.0</v>
      </c>
      <c r="F477" s="460" t="s">
        <v>26</v>
      </c>
      <c r="G477" s="463"/>
      <c r="H477" s="463"/>
      <c r="I477" s="466" t="s">
        <v>1691</v>
      </c>
      <c r="J477" s="460" t="s">
        <v>1690</v>
      </c>
      <c r="K477" s="460" t="s">
        <v>760</v>
      </c>
      <c r="L477" s="446">
        <f>IFERROR(__xludf.DUMMYFUNCTION("ROUNDUP(REGEXREPLACE(D477, ""[^0-9]"", """")*1.25)"),2250.0)</f>
        <v>2250</v>
      </c>
    </row>
    <row r="478">
      <c r="A478" s="459" t="s">
        <v>1540</v>
      </c>
      <c r="B478" s="459" t="s">
        <v>21</v>
      </c>
      <c r="C478" s="459" t="s">
        <v>1596</v>
      </c>
      <c r="D478" s="459" t="s">
        <v>381</v>
      </c>
      <c r="E478" s="459">
        <v>5.0</v>
      </c>
      <c r="F478" s="459" t="s">
        <v>26</v>
      </c>
      <c r="G478" s="461"/>
      <c r="H478" s="461"/>
      <c r="I478" s="465" t="s">
        <v>1692</v>
      </c>
      <c r="J478" s="459" t="s">
        <v>1540</v>
      </c>
      <c r="K478" s="459" t="s">
        <v>851</v>
      </c>
      <c r="L478" s="450">
        <f>IFERROR(__xludf.DUMMYFUNCTION("ROUNDUP(REGEXREPLACE(D478, ""[^0-9]"", """")*1.25)"),3125.0)</f>
        <v>3125</v>
      </c>
    </row>
    <row r="479">
      <c r="A479" s="460" t="s">
        <v>1693</v>
      </c>
      <c r="B479" s="460" t="s">
        <v>21</v>
      </c>
      <c r="C479" s="460" t="s">
        <v>1596</v>
      </c>
      <c r="D479" s="460" t="s">
        <v>381</v>
      </c>
      <c r="E479" s="460">
        <v>5.0</v>
      </c>
      <c r="F479" s="460" t="s">
        <v>26</v>
      </c>
      <c r="G479" s="463"/>
      <c r="H479" s="463"/>
      <c r="I479" s="466" t="s">
        <v>1694</v>
      </c>
      <c r="J479" s="460" t="s">
        <v>1693</v>
      </c>
      <c r="K479" s="460" t="s">
        <v>760</v>
      </c>
      <c r="L479" s="446">
        <f>IFERROR(__xludf.DUMMYFUNCTION("ROUNDUP(REGEXREPLACE(D479, ""[^0-9]"", """")*1.25)"),3125.0)</f>
        <v>3125</v>
      </c>
    </row>
    <row r="480">
      <c r="A480" s="459" t="s">
        <v>1575</v>
      </c>
      <c r="B480" s="459" t="s">
        <v>21</v>
      </c>
      <c r="C480" s="459" t="s">
        <v>1596</v>
      </c>
      <c r="D480" s="459" t="s">
        <v>1695</v>
      </c>
      <c r="E480" s="459">
        <v>5.0</v>
      </c>
      <c r="F480" s="459" t="s">
        <v>26</v>
      </c>
      <c r="G480" s="461"/>
      <c r="H480" s="461"/>
      <c r="I480" s="465" t="s">
        <v>1696</v>
      </c>
      <c r="J480" s="459" t="s">
        <v>1575</v>
      </c>
      <c r="K480" s="459" t="s">
        <v>851</v>
      </c>
      <c r="L480" s="450">
        <f>IFERROR(__xludf.DUMMYFUNCTION("ROUNDUP(REGEXREPLACE(D480, ""[^0-9]"", """")*1.25)"),4500.0)</f>
        <v>4500</v>
      </c>
    </row>
    <row r="481">
      <c r="A481" s="460" t="s">
        <v>1697</v>
      </c>
      <c r="B481" s="460" t="s">
        <v>21</v>
      </c>
      <c r="C481" s="460" t="s">
        <v>1596</v>
      </c>
      <c r="D481" s="460" t="s">
        <v>365</v>
      </c>
      <c r="E481" s="460">
        <v>5.0</v>
      </c>
      <c r="F481" s="460" t="s">
        <v>26</v>
      </c>
      <c r="G481" s="463"/>
      <c r="H481" s="463"/>
      <c r="I481" s="466" t="s">
        <v>1698</v>
      </c>
      <c r="J481" s="460" t="s">
        <v>1699</v>
      </c>
      <c r="K481" s="460" t="s">
        <v>851</v>
      </c>
      <c r="L481" s="446">
        <f>IFERROR(__xludf.DUMMYFUNCTION("ROUNDUP(REGEXREPLACE(D481, ""[^0-9]"", """")*1.25)"),2500.0)</f>
        <v>2500</v>
      </c>
    </row>
    <row r="482">
      <c r="A482" s="459" t="s">
        <v>1700</v>
      </c>
      <c r="B482" s="459" t="s">
        <v>21</v>
      </c>
      <c r="C482" s="459" t="s">
        <v>1596</v>
      </c>
      <c r="D482" s="459" t="s">
        <v>572</v>
      </c>
      <c r="E482" s="459">
        <v>5.0</v>
      </c>
      <c r="F482" s="459" t="s">
        <v>26</v>
      </c>
      <c r="G482" s="461"/>
      <c r="H482" s="461"/>
      <c r="I482" s="465" t="s">
        <v>1701</v>
      </c>
      <c r="J482" s="459" t="s">
        <v>1702</v>
      </c>
      <c r="K482" s="459" t="s">
        <v>851</v>
      </c>
      <c r="L482" s="450">
        <f>IFERROR(__xludf.DUMMYFUNCTION("ROUNDUP(REGEXREPLACE(D482, ""[^0-9]"", """")*1.25)"),7500.0)</f>
        <v>7500</v>
      </c>
    </row>
    <row r="483">
      <c r="A483" s="460" t="s">
        <v>1703</v>
      </c>
      <c r="B483" s="460" t="s">
        <v>21</v>
      </c>
      <c r="C483" s="460" t="s">
        <v>1596</v>
      </c>
      <c r="D483" s="460" t="s">
        <v>572</v>
      </c>
      <c r="E483" s="460">
        <v>5.0</v>
      </c>
      <c r="F483" s="460" t="s">
        <v>26</v>
      </c>
      <c r="G483" s="463"/>
      <c r="H483" s="463"/>
      <c r="I483" s="466" t="s">
        <v>1704</v>
      </c>
      <c r="J483" s="460" t="s">
        <v>1702</v>
      </c>
      <c r="K483" s="460" t="s">
        <v>851</v>
      </c>
      <c r="L483" s="446">
        <f>IFERROR(__xludf.DUMMYFUNCTION("ROUNDUP(REGEXREPLACE(D483, ""[^0-9]"", """")*1.25)"),7500.0)</f>
        <v>7500</v>
      </c>
    </row>
    <row r="484">
      <c r="A484" s="459" t="s">
        <v>1705</v>
      </c>
      <c r="B484" s="459" t="s">
        <v>21</v>
      </c>
      <c r="C484" s="459" t="s">
        <v>1596</v>
      </c>
      <c r="D484" s="459" t="s">
        <v>1488</v>
      </c>
      <c r="E484" s="459">
        <v>6.0</v>
      </c>
      <c r="F484" s="459" t="s">
        <v>26</v>
      </c>
      <c r="G484" s="461"/>
      <c r="H484" s="461"/>
      <c r="I484" s="465" t="s">
        <v>1706</v>
      </c>
      <c r="J484" s="459" t="s">
        <v>1707</v>
      </c>
      <c r="K484" s="459" t="s">
        <v>851</v>
      </c>
      <c r="L484" s="450">
        <f>IFERROR(__xludf.DUMMYFUNCTION("ROUNDUP(REGEXREPLACE(D484, ""[^0-9]"", """")*1.25)"),18750.0)</f>
        <v>18750</v>
      </c>
    </row>
    <row r="485">
      <c r="A485" s="460" t="s">
        <v>1708</v>
      </c>
      <c r="B485" s="460" t="s">
        <v>21</v>
      </c>
      <c r="C485" s="460" t="s">
        <v>1596</v>
      </c>
      <c r="D485" s="460" t="s">
        <v>1709</v>
      </c>
      <c r="E485" s="460">
        <v>6.0</v>
      </c>
      <c r="F485" s="460" t="s">
        <v>26</v>
      </c>
      <c r="G485" s="463"/>
      <c r="H485" s="463"/>
      <c r="I485" s="466" t="s">
        <v>1710</v>
      </c>
      <c r="J485" s="460" t="s">
        <v>1711</v>
      </c>
      <c r="K485" s="460" t="s">
        <v>851</v>
      </c>
      <c r="L485" s="446">
        <f>IFERROR(__xludf.DUMMYFUNCTION("ROUNDUP(REGEXREPLACE(D485, ""[^0-9]"", """")*1.25)"),16875.0)</f>
        <v>16875</v>
      </c>
    </row>
    <row r="486">
      <c r="A486" s="459" t="s">
        <v>1712</v>
      </c>
      <c r="B486" s="459" t="s">
        <v>21</v>
      </c>
      <c r="C486" s="459" t="s">
        <v>1596</v>
      </c>
      <c r="D486" s="459" t="s">
        <v>1713</v>
      </c>
      <c r="E486" s="459">
        <v>7.0</v>
      </c>
      <c r="F486" s="459" t="s">
        <v>26</v>
      </c>
      <c r="G486" s="461"/>
      <c r="H486" s="461"/>
      <c r="I486" s="465" t="s">
        <v>1714</v>
      </c>
      <c r="J486" s="459" t="s">
        <v>1715</v>
      </c>
      <c r="K486" s="459" t="s">
        <v>851</v>
      </c>
      <c r="L486" s="450">
        <f>IFERROR(__xludf.DUMMYFUNCTION("ROUNDUP(REGEXREPLACE(D486, ""[^0-9]"", """")*1.25)"),15000.0)</f>
        <v>15000</v>
      </c>
    </row>
    <row r="487">
      <c r="A487" s="460" t="s">
        <v>1716</v>
      </c>
      <c r="B487" s="460" t="s">
        <v>21</v>
      </c>
      <c r="C487" s="460" t="s">
        <v>1596</v>
      </c>
      <c r="D487" s="460" t="s">
        <v>1713</v>
      </c>
      <c r="E487" s="460">
        <v>7.0</v>
      </c>
      <c r="F487" s="460" t="s">
        <v>26</v>
      </c>
      <c r="G487" s="463"/>
      <c r="H487" s="463"/>
      <c r="I487" s="466" t="s">
        <v>1717</v>
      </c>
      <c r="J487" s="460" t="s">
        <v>1715</v>
      </c>
      <c r="K487" s="460" t="s">
        <v>851</v>
      </c>
      <c r="L487" s="446">
        <f>IFERROR(__xludf.DUMMYFUNCTION("ROUNDUP(REGEXREPLACE(D487, ""[^0-9]"", """")*1.25)"),15000.0)</f>
        <v>15000</v>
      </c>
    </row>
    <row r="488">
      <c r="A488" s="459" t="s">
        <v>1718</v>
      </c>
      <c r="B488" s="459" t="s">
        <v>21</v>
      </c>
      <c r="C488" s="459" t="s">
        <v>1596</v>
      </c>
      <c r="D488" s="459" t="s">
        <v>400</v>
      </c>
      <c r="E488" s="459">
        <v>7.0</v>
      </c>
      <c r="F488" s="459" t="s">
        <v>26</v>
      </c>
      <c r="G488" s="461"/>
      <c r="H488" s="461"/>
      <c r="I488" s="465" t="s">
        <v>1719</v>
      </c>
      <c r="J488" s="459" t="s">
        <v>1718</v>
      </c>
      <c r="K488" s="459" t="s">
        <v>851</v>
      </c>
      <c r="L488" s="450">
        <f>IFERROR(__xludf.DUMMYFUNCTION("ROUNDUP(REGEXREPLACE(D488, ""[^0-9]"", """")*1.25)"),10000.0)</f>
        <v>10000</v>
      </c>
    </row>
    <row r="489">
      <c r="A489" s="460" t="s">
        <v>1720</v>
      </c>
      <c r="B489" s="460" t="s">
        <v>21</v>
      </c>
      <c r="C489" s="460" t="s">
        <v>1596</v>
      </c>
      <c r="D489" s="460" t="s">
        <v>392</v>
      </c>
      <c r="E489" s="460">
        <v>7.0</v>
      </c>
      <c r="F489" s="460" t="s">
        <v>26</v>
      </c>
      <c r="G489" s="463"/>
      <c r="H489" s="463"/>
      <c r="I489" s="466" t="s">
        <v>1721</v>
      </c>
      <c r="J489" s="460" t="s">
        <v>1720</v>
      </c>
      <c r="K489" s="460" t="s">
        <v>760</v>
      </c>
      <c r="L489" s="446">
        <f>IFERROR(__xludf.DUMMYFUNCTION("ROUNDUP(REGEXREPLACE(D489, ""[^0-9]"", """")*1.25)"),8125.0)</f>
        <v>8125</v>
      </c>
    </row>
    <row r="490">
      <c r="A490" s="459" t="s">
        <v>1722</v>
      </c>
      <c r="B490" s="459" t="s">
        <v>21</v>
      </c>
      <c r="C490" s="459" t="s">
        <v>1596</v>
      </c>
      <c r="D490" s="459" t="s">
        <v>1723</v>
      </c>
      <c r="E490" s="459">
        <v>7.0</v>
      </c>
      <c r="F490" s="459" t="s">
        <v>26</v>
      </c>
      <c r="G490" s="461"/>
      <c r="H490" s="461"/>
      <c r="I490" s="465" t="s">
        <v>1724</v>
      </c>
      <c r="J490" s="459" t="s">
        <v>1725</v>
      </c>
      <c r="K490" s="459" t="s">
        <v>760</v>
      </c>
      <c r="L490" s="450">
        <f>IFERROR(__xludf.DUMMYFUNCTION("ROUNDUP(REGEXREPLACE(D490, ""[^0-9]"", """")*1.25)"),22500.0)</f>
        <v>22500</v>
      </c>
    </row>
    <row r="491">
      <c r="A491" s="460" t="s">
        <v>1726</v>
      </c>
      <c r="B491" s="460" t="s">
        <v>21</v>
      </c>
      <c r="C491" s="460" t="s">
        <v>1596</v>
      </c>
      <c r="D491" s="460" t="s">
        <v>593</v>
      </c>
      <c r="E491" s="460">
        <v>8.0</v>
      </c>
      <c r="F491" s="460" t="s">
        <v>26</v>
      </c>
      <c r="G491" s="463"/>
      <c r="H491" s="463"/>
      <c r="I491" s="466" t="s">
        <v>1727</v>
      </c>
      <c r="J491" s="460" t="s">
        <v>1728</v>
      </c>
      <c r="K491" s="460" t="s">
        <v>760</v>
      </c>
      <c r="L491" s="446">
        <f>IFERROR(__xludf.DUMMYFUNCTION("ROUNDUP(REGEXREPLACE(D491, ""[^0-9]"", """")*1.25)"),5000.0)</f>
        <v>5000</v>
      </c>
    </row>
    <row r="492">
      <c r="A492" s="459" t="s">
        <v>1729</v>
      </c>
      <c r="B492" s="459" t="s">
        <v>21</v>
      </c>
      <c r="C492" s="459" t="s">
        <v>1596</v>
      </c>
      <c r="D492" s="459" t="s">
        <v>341</v>
      </c>
      <c r="E492" s="459">
        <v>5.0</v>
      </c>
      <c r="F492" s="459" t="s">
        <v>26</v>
      </c>
      <c r="G492" s="461"/>
      <c r="H492" s="461"/>
      <c r="I492" s="465" t="s">
        <v>1730</v>
      </c>
      <c r="J492" s="459" t="s">
        <v>1731</v>
      </c>
      <c r="K492" s="459" t="s">
        <v>788</v>
      </c>
      <c r="L492" s="450">
        <f>IFERROR(__xludf.DUMMYFUNCTION("ROUNDUP(REGEXREPLACE(D492, ""[^0-9]"", """")*1.25)"),1250.0)</f>
        <v>1250</v>
      </c>
    </row>
    <row r="493">
      <c r="A493" s="460" t="s">
        <v>1732</v>
      </c>
      <c r="B493" s="460" t="s">
        <v>21</v>
      </c>
      <c r="C493" s="460" t="s">
        <v>1596</v>
      </c>
      <c r="D493" s="460" t="s">
        <v>327</v>
      </c>
      <c r="E493" s="460">
        <v>4.0</v>
      </c>
      <c r="F493" s="460" t="s">
        <v>26</v>
      </c>
      <c r="G493" s="463"/>
      <c r="H493" s="463"/>
      <c r="I493" s="466" t="s">
        <v>1733</v>
      </c>
      <c r="J493" s="460" t="s">
        <v>1734</v>
      </c>
      <c r="K493" s="460" t="s">
        <v>788</v>
      </c>
      <c r="L493" s="446">
        <f>IFERROR(__xludf.DUMMYFUNCTION("ROUNDUP(REGEXREPLACE(D493, ""[^0-9]"", """")*1.25)"),625.0)</f>
        <v>625</v>
      </c>
    </row>
    <row r="494">
      <c r="A494" s="468" t="s">
        <v>94</v>
      </c>
      <c r="B494" s="468" t="s">
        <v>2</v>
      </c>
      <c r="C494" s="468" t="s">
        <v>762</v>
      </c>
      <c r="D494" s="468" t="s">
        <v>243</v>
      </c>
      <c r="E494" s="468">
        <v>1.0</v>
      </c>
      <c r="F494" s="468" t="s">
        <v>191</v>
      </c>
      <c r="G494" s="469"/>
      <c r="H494" s="469"/>
      <c r="I494" s="470" t="s">
        <v>1735</v>
      </c>
      <c r="J494" s="459" t="s">
        <v>759</v>
      </c>
      <c r="K494" s="459" t="s">
        <v>760</v>
      </c>
      <c r="L494" s="459">
        <v>15.0</v>
      </c>
    </row>
    <row r="495">
      <c r="A495" s="463"/>
      <c r="B495" s="463"/>
      <c r="C495" s="463"/>
      <c r="D495" s="463"/>
      <c r="E495" s="463"/>
      <c r="F495" s="463"/>
      <c r="G495" s="463"/>
      <c r="H495" s="463"/>
      <c r="I495" s="471"/>
      <c r="J495" s="463"/>
      <c r="K495" s="463"/>
      <c r="L495" s="463"/>
    </row>
    <row r="496">
      <c r="A496" s="461"/>
      <c r="B496" s="461"/>
      <c r="C496" s="461"/>
      <c r="D496" s="461"/>
      <c r="E496" s="461"/>
      <c r="F496" s="461"/>
      <c r="G496" s="461"/>
      <c r="H496" s="461"/>
      <c r="I496" s="472"/>
      <c r="J496" s="461"/>
      <c r="K496" s="461"/>
      <c r="L496" s="461"/>
    </row>
    <row r="497">
      <c r="A497" s="463"/>
      <c r="B497" s="463"/>
      <c r="C497" s="463"/>
      <c r="D497" s="463"/>
      <c r="E497" s="463"/>
      <c r="F497" s="463"/>
      <c r="G497" s="463"/>
      <c r="H497" s="463"/>
      <c r="I497" s="471"/>
      <c r="J497" s="463"/>
      <c r="K497" s="463"/>
      <c r="L497" s="463"/>
    </row>
    <row r="498">
      <c r="A498" s="461"/>
      <c r="B498" s="461"/>
      <c r="C498" s="461"/>
      <c r="D498" s="461"/>
      <c r="E498" s="461"/>
      <c r="F498" s="461"/>
      <c r="G498" s="461"/>
      <c r="H498" s="461"/>
      <c r="I498" s="472"/>
      <c r="J498" s="461"/>
      <c r="K498" s="461"/>
      <c r="L498" s="461"/>
    </row>
    <row r="499">
      <c r="A499" s="463"/>
      <c r="B499" s="463"/>
      <c r="C499" s="463"/>
      <c r="D499" s="463"/>
      <c r="E499" s="463"/>
      <c r="F499" s="463"/>
      <c r="G499" s="463"/>
      <c r="H499" s="463"/>
      <c r="I499" s="471"/>
      <c r="J499" s="463"/>
      <c r="K499" s="463"/>
      <c r="L499" s="463"/>
    </row>
    <row r="500">
      <c r="A500" s="461"/>
      <c r="B500" s="461"/>
      <c r="C500" s="461"/>
      <c r="D500" s="461"/>
      <c r="E500" s="461"/>
      <c r="F500" s="461"/>
      <c r="G500" s="461"/>
      <c r="H500" s="461"/>
      <c r="I500" s="472"/>
      <c r="J500" s="461"/>
      <c r="K500" s="461"/>
      <c r="L500" s="461"/>
    </row>
    <row r="501">
      <c r="A501" s="139"/>
      <c r="B501" s="139"/>
      <c r="C501" s="139"/>
      <c r="D501" s="139"/>
      <c r="E501" s="139"/>
      <c r="F501" s="139"/>
      <c r="G501" s="139"/>
      <c r="H501" s="139"/>
      <c r="I501" s="473"/>
      <c r="J501" s="139"/>
      <c r="K501" s="139"/>
      <c r="L501" s="139"/>
    </row>
    <row r="502">
      <c r="A502" s="139"/>
      <c r="B502" s="139"/>
      <c r="C502" s="139"/>
      <c r="D502" s="139"/>
      <c r="E502" s="139"/>
      <c r="F502" s="139"/>
      <c r="G502" s="139"/>
      <c r="H502" s="139"/>
      <c r="I502" s="473"/>
      <c r="J502" s="139"/>
      <c r="K502" s="139"/>
      <c r="L502" s="139"/>
    </row>
    <row r="503">
      <c r="A503" s="139"/>
      <c r="B503" s="139"/>
      <c r="C503" s="139"/>
      <c r="D503" s="139"/>
      <c r="E503" s="139"/>
      <c r="F503" s="139"/>
      <c r="G503" s="139"/>
      <c r="H503" s="139"/>
      <c r="I503" s="473"/>
      <c r="J503" s="139"/>
      <c r="K503" s="139"/>
      <c r="L503" s="139"/>
    </row>
    <row r="504">
      <c r="A504" s="139"/>
      <c r="B504" s="139"/>
      <c r="C504" s="139"/>
      <c r="D504" s="139"/>
      <c r="E504" s="139"/>
      <c r="F504" s="139"/>
      <c r="G504" s="139"/>
      <c r="H504" s="139"/>
      <c r="I504" s="473"/>
      <c r="J504" s="139"/>
      <c r="K504" s="139"/>
      <c r="L504" s="139"/>
    </row>
    <row r="505">
      <c r="A505" s="139"/>
      <c r="B505" s="139"/>
      <c r="C505" s="139"/>
      <c r="D505" s="139"/>
      <c r="E505" s="139"/>
      <c r="F505" s="139"/>
      <c r="G505" s="139"/>
      <c r="H505" s="139"/>
      <c r="I505" s="473"/>
      <c r="J505" s="139"/>
      <c r="K505" s="139"/>
      <c r="L505" s="139"/>
    </row>
    <row r="506">
      <c r="A506" s="139"/>
      <c r="B506" s="139"/>
      <c r="C506" s="139"/>
      <c r="D506" s="139"/>
      <c r="E506" s="139"/>
      <c r="F506" s="139"/>
      <c r="G506" s="139"/>
      <c r="H506" s="139"/>
      <c r="I506" s="473"/>
      <c r="J506" s="139"/>
      <c r="K506" s="139"/>
      <c r="L506" s="139"/>
    </row>
    <row r="507">
      <c r="A507" s="139"/>
      <c r="B507" s="139"/>
      <c r="C507" s="139"/>
      <c r="D507" s="139"/>
      <c r="E507" s="139"/>
      <c r="F507" s="139"/>
      <c r="G507" s="139"/>
      <c r="H507" s="139"/>
      <c r="I507" s="473"/>
      <c r="J507" s="139"/>
      <c r="K507" s="139"/>
      <c r="L507" s="139"/>
    </row>
    <row r="508">
      <c r="A508" s="139"/>
      <c r="B508" s="139"/>
      <c r="C508" s="139"/>
      <c r="D508" s="139"/>
      <c r="E508" s="139"/>
      <c r="F508" s="139"/>
      <c r="G508" s="139"/>
      <c r="H508" s="139"/>
      <c r="I508" s="473"/>
      <c r="J508" s="139"/>
      <c r="K508" s="139"/>
      <c r="L508" s="139"/>
    </row>
    <row r="509">
      <c r="A509" s="139"/>
      <c r="B509" s="139"/>
      <c r="C509" s="139"/>
      <c r="D509" s="139"/>
      <c r="E509" s="139"/>
      <c r="F509" s="139"/>
      <c r="G509" s="139"/>
      <c r="H509" s="139"/>
      <c r="I509" s="473"/>
      <c r="J509" s="139"/>
      <c r="K509" s="139"/>
      <c r="L509" s="139"/>
    </row>
    <row r="510">
      <c r="A510" s="139"/>
      <c r="B510" s="139"/>
      <c r="C510" s="139"/>
      <c r="D510" s="139"/>
      <c r="E510" s="139"/>
      <c r="F510" s="139"/>
      <c r="G510" s="139"/>
      <c r="H510" s="139"/>
      <c r="I510" s="473"/>
      <c r="J510" s="139"/>
      <c r="K510" s="139"/>
      <c r="L510" s="139"/>
    </row>
    <row r="511">
      <c r="A511" s="139"/>
      <c r="B511" s="139"/>
      <c r="C511" s="139"/>
      <c r="D511" s="139"/>
      <c r="E511" s="139"/>
      <c r="F511" s="139"/>
      <c r="G511" s="139"/>
      <c r="H511" s="139"/>
      <c r="I511" s="473"/>
      <c r="J511" s="139"/>
      <c r="K511" s="139"/>
      <c r="L511" s="139"/>
    </row>
    <row r="512">
      <c r="A512" s="139"/>
      <c r="B512" s="139"/>
      <c r="C512" s="139"/>
      <c r="D512" s="139"/>
      <c r="E512" s="139"/>
      <c r="F512" s="139"/>
      <c r="G512" s="139"/>
      <c r="H512" s="139"/>
      <c r="I512" s="473"/>
      <c r="J512" s="139"/>
      <c r="K512" s="139"/>
      <c r="L512" s="139"/>
    </row>
    <row r="513">
      <c r="A513" s="139"/>
      <c r="B513" s="139"/>
      <c r="C513" s="139"/>
      <c r="D513" s="139"/>
      <c r="E513" s="139"/>
      <c r="F513" s="139"/>
      <c r="G513" s="139"/>
      <c r="H513" s="139"/>
      <c r="I513" s="473"/>
      <c r="J513" s="139"/>
      <c r="K513" s="139"/>
      <c r="L513" s="139"/>
    </row>
    <row r="514">
      <c r="A514" s="139"/>
      <c r="B514" s="139"/>
      <c r="C514" s="139"/>
      <c r="D514" s="139"/>
      <c r="E514" s="139"/>
      <c r="F514" s="139"/>
      <c r="G514" s="139"/>
      <c r="H514" s="139"/>
      <c r="I514" s="473"/>
      <c r="J514" s="139"/>
      <c r="K514" s="139"/>
      <c r="L514" s="139"/>
    </row>
    <row r="515">
      <c r="A515" s="139"/>
      <c r="B515" s="139"/>
      <c r="C515" s="139"/>
      <c r="D515" s="139"/>
      <c r="E515" s="139"/>
      <c r="F515" s="139"/>
      <c r="G515" s="139"/>
      <c r="H515" s="139"/>
      <c r="I515" s="473"/>
      <c r="J515" s="139"/>
      <c r="K515" s="139"/>
      <c r="L515" s="139"/>
    </row>
    <row r="516">
      <c r="A516" s="139"/>
      <c r="B516" s="139"/>
      <c r="C516" s="139"/>
      <c r="D516" s="139"/>
      <c r="E516" s="139"/>
      <c r="F516" s="139"/>
      <c r="G516" s="139"/>
      <c r="H516" s="139"/>
      <c r="I516" s="473"/>
      <c r="J516" s="139"/>
      <c r="K516" s="139"/>
      <c r="L516" s="139"/>
    </row>
    <row r="517">
      <c r="A517" s="139"/>
      <c r="B517" s="139"/>
      <c r="C517" s="139"/>
      <c r="D517" s="139"/>
      <c r="E517" s="139"/>
      <c r="F517" s="139"/>
      <c r="G517" s="139"/>
      <c r="H517" s="139"/>
      <c r="I517" s="473"/>
      <c r="J517" s="139"/>
      <c r="K517" s="139"/>
      <c r="L517" s="139"/>
    </row>
    <row r="518">
      <c r="A518" s="139"/>
      <c r="B518" s="139"/>
      <c r="C518" s="139"/>
      <c r="D518" s="139"/>
      <c r="E518" s="139"/>
      <c r="F518" s="139"/>
      <c r="G518" s="139"/>
      <c r="H518" s="139"/>
      <c r="I518" s="473"/>
      <c r="J518" s="139"/>
      <c r="K518" s="139"/>
      <c r="L518" s="139"/>
    </row>
    <row r="519">
      <c r="A519" s="139"/>
      <c r="B519" s="139"/>
      <c r="C519" s="139"/>
      <c r="D519" s="139"/>
      <c r="E519" s="139"/>
      <c r="F519" s="139"/>
      <c r="G519" s="139"/>
      <c r="H519" s="139"/>
      <c r="I519" s="473"/>
      <c r="J519" s="139"/>
      <c r="K519" s="139"/>
      <c r="L519" s="139"/>
    </row>
    <row r="520">
      <c r="A520" s="139"/>
      <c r="B520" s="139"/>
      <c r="C520" s="139"/>
      <c r="D520" s="139"/>
      <c r="E520" s="139"/>
      <c r="F520" s="139"/>
      <c r="G520" s="139"/>
      <c r="H520" s="139"/>
      <c r="I520" s="473"/>
      <c r="J520" s="139"/>
      <c r="K520" s="139"/>
      <c r="L520" s="139"/>
    </row>
    <row r="521">
      <c r="A521" s="139"/>
      <c r="B521" s="139"/>
      <c r="C521" s="139"/>
      <c r="D521" s="139"/>
      <c r="E521" s="139"/>
      <c r="F521" s="139"/>
      <c r="G521" s="139"/>
      <c r="H521" s="139"/>
      <c r="I521" s="473"/>
      <c r="J521" s="139"/>
      <c r="K521" s="139"/>
      <c r="L521" s="139"/>
    </row>
    <row r="522">
      <c r="A522" s="139"/>
      <c r="B522" s="139"/>
      <c r="C522" s="139"/>
      <c r="D522" s="139"/>
      <c r="E522" s="139"/>
      <c r="F522" s="139"/>
      <c r="G522" s="139"/>
      <c r="H522" s="139"/>
      <c r="I522" s="473"/>
      <c r="J522" s="139"/>
      <c r="K522" s="139"/>
      <c r="L522" s="139"/>
    </row>
    <row r="523">
      <c r="A523" s="139"/>
      <c r="B523" s="139"/>
      <c r="C523" s="139"/>
      <c r="D523" s="139"/>
      <c r="E523" s="139"/>
      <c r="F523" s="139"/>
      <c r="G523" s="139"/>
      <c r="H523" s="139"/>
      <c r="I523" s="473"/>
      <c r="J523" s="139"/>
      <c r="K523" s="139"/>
      <c r="L523" s="139"/>
    </row>
    <row r="524">
      <c r="A524" s="139"/>
      <c r="B524" s="139"/>
      <c r="C524" s="139"/>
      <c r="D524" s="139"/>
      <c r="E524" s="139"/>
      <c r="F524" s="139"/>
      <c r="G524" s="139"/>
      <c r="H524" s="139"/>
      <c r="I524" s="473"/>
      <c r="J524" s="139"/>
      <c r="K524" s="139"/>
      <c r="L524" s="139"/>
    </row>
    <row r="525">
      <c r="A525" s="139"/>
      <c r="B525" s="139"/>
      <c r="C525" s="139"/>
      <c r="D525" s="139"/>
      <c r="E525" s="139"/>
      <c r="F525" s="139"/>
      <c r="G525" s="139"/>
      <c r="H525" s="139"/>
      <c r="I525" s="473"/>
      <c r="J525" s="139"/>
      <c r="K525" s="139"/>
      <c r="L525" s="139"/>
    </row>
    <row r="526">
      <c r="A526" s="139"/>
      <c r="B526" s="139"/>
      <c r="C526" s="139"/>
      <c r="D526" s="139"/>
      <c r="E526" s="139"/>
      <c r="F526" s="139"/>
      <c r="G526" s="139"/>
      <c r="H526" s="139"/>
      <c r="I526" s="473"/>
      <c r="J526" s="139"/>
      <c r="K526" s="139"/>
      <c r="L526" s="139"/>
    </row>
    <row r="527">
      <c r="A527" s="139"/>
      <c r="B527" s="139"/>
      <c r="C527" s="139"/>
      <c r="D527" s="139"/>
      <c r="E527" s="139"/>
      <c r="F527" s="139"/>
      <c r="G527" s="139"/>
      <c r="H527" s="139"/>
      <c r="I527" s="473"/>
      <c r="J527" s="139"/>
      <c r="K527" s="139"/>
      <c r="L527" s="139"/>
    </row>
    <row r="528">
      <c r="A528" s="139"/>
      <c r="B528" s="139"/>
      <c r="C528" s="139"/>
      <c r="D528" s="139"/>
      <c r="E528" s="139"/>
      <c r="F528" s="139"/>
      <c r="G528" s="139"/>
      <c r="H528" s="139"/>
      <c r="I528" s="473"/>
      <c r="J528" s="139"/>
      <c r="K528" s="139"/>
      <c r="L528" s="139"/>
    </row>
    <row r="529">
      <c r="A529" s="139"/>
      <c r="B529" s="139"/>
      <c r="C529" s="139"/>
      <c r="D529" s="139"/>
      <c r="E529" s="139"/>
      <c r="F529" s="139"/>
      <c r="G529" s="139"/>
      <c r="H529" s="139"/>
      <c r="I529" s="473"/>
      <c r="J529" s="139"/>
      <c r="K529" s="139"/>
      <c r="L529" s="139"/>
    </row>
    <row r="530">
      <c r="A530" s="139"/>
      <c r="B530" s="139"/>
      <c r="C530" s="139"/>
      <c r="D530" s="139"/>
      <c r="E530" s="139"/>
      <c r="F530" s="139"/>
      <c r="G530" s="139"/>
      <c r="H530" s="139"/>
      <c r="I530" s="473"/>
      <c r="J530" s="139"/>
      <c r="K530" s="139"/>
      <c r="L530" s="139"/>
    </row>
    <row r="531">
      <c r="A531" s="139"/>
      <c r="B531" s="139"/>
      <c r="C531" s="139"/>
      <c r="D531" s="139"/>
      <c r="E531" s="139"/>
      <c r="F531" s="139"/>
      <c r="G531" s="139"/>
      <c r="H531" s="139"/>
      <c r="I531" s="473"/>
      <c r="J531" s="139"/>
      <c r="K531" s="139"/>
      <c r="L531" s="139"/>
    </row>
    <row r="532">
      <c r="A532" s="139"/>
      <c r="B532" s="139"/>
      <c r="C532" s="139"/>
      <c r="D532" s="139"/>
      <c r="E532" s="139"/>
      <c r="F532" s="139"/>
      <c r="G532" s="139"/>
      <c r="H532" s="139"/>
      <c r="I532" s="473"/>
      <c r="J532" s="139"/>
      <c r="K532" s="139"/>
      <c r="L532" s="139"/>
    </row>
    <row r="533">
      <c r="A533" s="139"/>
      <c r="B533" s="139"/>
      <c r="C533" s="139"/>
      <c r="D533" s="139"/>
      <c r="E533" s="139"/>
      <c r="F533" s="139"/>
      <c r="G533" s="139"/>
      <c r="H533" s="139"/>
      <c r="I533" s="473"/>
      <c r="J533" s="139"/>
      <c r="K533" s="139"/>
      <c r="L533" s="139"/>
    </row>
    <row r="534">
      <c r="A534" s="139"/>
      <c r="B534" s="139"/>
      <c r="C534" s="139"/>
      <c r="D534" s="139"/>
      <c r="E534" s="139"/>
      <c r="F534" s="139"/>
      <c r="G534" s="139"/>
      <c r="H534" s="139"/>
      <c r="I534" s="473"/>
      <c r="J534" s="139"/>
      <c r="K534" s="139"/>
      <c r="L534" s="139"/>
    </row>
    <row r="535">
      <c r="A535" s="139"/>
      <c r="B535" s="139"/>
      <c r="C535" s="139"/>
      <c r="D535" s="139"/>
      <c r="E535" s="139"/>
      <c r="F535" s="139"/>
      <c r="G535" s="139"/>
      <c r="H535" s="139"/>
      <c r="I535" s="473"/>
      <c r="J535" s="139"/>
      <c r="K535" s="139"/>
      <c r="L535" s="139"/>
    </row>
    <row r="536">
      <c r="A536" s="139"/>
      <c r="B536" s="139"/>
      <c r="C536" s="139"/>
      <c r="D536" s="139"/>
      <c r="E536" s="139"/>
      <c r="F536" s="139"/>
      <c r="G536" s="139"/>
      <c r="H536" s="139"/>
      <c r="I536" s="473"/>
      <c r="J536" s="139"/>
      <c r="K536" s="139"/>
      <c r="L536" s="139"/>
    </row>
    <row r="537">
      <c r="A537" s="139"/>
      <c r="B537" s="139"/>
      <c r="C537" s="139"/>
      <c r="D537" s="139"/>
      <c r="E537" s="139"/>
      <c r="F537" s="139"/>
      <c r="G537" s="139"/>
      <c r="H537" s="139"/>
      <c r="I537" s="473"/>
      <c r="J537" s="139"/>
      <c r="K537" s="139"/>
      <c r="L537" s="139"/>
    </row>
    <row r="538">
      <c r="A538" s="139"/>
      <c r="B538" s="139"/>
      <c r="C538" s="139"/>
      <c r="D538" s="139"/>
      <c r="E538" s="139"/>
      <c r="F538" s="139"/>
      <c r="G538" s="139"/>
      <c r="H538" s="139"/>
      <c r="I538" s="473"/>
      <c r="J538" s="139"/>
      <c r="K538" s="139"/>
      <c r="L538" s="139"/>
    </row>
    <row r="539">
      <c r="A539" s="139"/>
      <c r="B539" s="139"/>
      <c r="C539" s="139"/>
      <c r="D539" s="139"/>
      <c r="E539" s="139"/>
      <c r="F539" s="139"/>
      <c r="G539" s="139"/>
      <c r="H539" s="139"/>
      <c r="I539" s="473"/>
      <c r="J539" s="139"/>
      <c r="K539" s="139"/>
      <c r="L539" s="139"/>
    </row>
    <row r="540">
      <c r="A540" s="139"/>
      <c r="B540" s="139"/>
      <c r="C540" s="139"/>
      <c r="D540" s="139"/>
      <c r="E540" s="139"/>
      <c r="F540" s="139"/>
      <c r="G540" s="139"/>
      <c r="H540" s="139"/>
      <c r="I540" s="473"/>
      <c r="J540" s="139"/>
      <c r="K540" s="139"/>
      <c r="L540" s="139"/>
    </row>
    <row r="541">
      <c r="A541" s="139"/>
      <c r="B541" s="139"/>
      <c r="C541" s="139"/>
      <c r="D541" s="139"/>
      <c r="E541" s="139"/>
      <c r="F541" s="139"/>
      <c r="G541" s="139"/>
      <c r="H541" s="139"/>
      <c r="I541" s="473"/>
      <c r="J541" s="139"/>
      <c r="K541" s="139"/>
      <c r="L541" s="139"/>
    </row>
    <row r="542">
      <c r="A542" s="139"/>
      <c r="B542" s="139"/>
      <c r="C542" s="139"/>
      <c r="D542" s="139"/>
      <c r="E542" s="139"/>
      <c r="F542" s="139"/>
      <c r="G542" s="139"/>
      <c r="H542" s="139"/>
      <c r="I542" s="473"/>
      <c r="J542" s="139"/>
      <c r="K542" s="139"/>
      <c r="L542" s="139"/>
    </row>
    <row r="543">
      <c r="A543" s="139"/>
      <c r="B543" s="139"/>
      <c r="C543" s="139"/>
      <c r="D543" s="139"/>
      <c r="E543" s="139"/>
      <c r="F543" s="139"/>
      <c r="G543" s="139"/>
      <c r="H543" s="139"/>
      <c r="I543" s="473"/>
      <c r="J543" s="139"/>
      <c r="K543" s="139"/>
      <c r="L543" s="139"/>
    </row>
    <row r="544">
      <c r="A544" s="139"/>
      <c r="B544" s="139"/>
      <c r="C544" s="139"/>
      <c r="D544" s="139"/>
      <c r="E544" s="139"/>
      <c r="F544" s="139"/>
      <c r="G544" s="139"/>
      <c r="H544" s="139"/>
      <c r="I544" s="473"/>
      <c r="J544" s="139"/>
      <c r="K544" s="139"/>
      <c r="L544" s="139"/>
    </row>
    <row r="545">
      <c r="A545" s="139"/>
      <c r="B545" s="139"/>
      <c r="C545" s="139"/>
      <c r="D545" s="139"/>
      <c r="E545" s="139"/>
      <c r="F545" s="139"/>
      <c r="G545" s="139"/>
      <c r="H545" s="139"/>
      <c r="I545" s="473"/>
      <c r="J545" s="139"/>
      <c r="K545" s="139"/>
      <c r="L545" s="139"/>
    </row>
    <row r="546">
      <c r="A546" s="139"/>
      <c r="B546" s="139"/>
      <c r="C546" s="139"/>
      <c r="D546" s="139"/>
      <c r="E546" s="139"/>
      <c r="F546" s="139"/>
      <c r="G546" s="139"/>
      <c r="H546" s="139"/>
      <c r="I546" s="473"/>
      <c r="J546" s="139"/>
      <c r="K546" s="139"/>
      <c r="L546" s="139"/>
    </row>
    <row r="547">
      <c r="A547" s="139"/>
      <c r="B547" s="139"/>
      <c r="C547" s="139"/>
      <c r="D547" s="139"/>
      <c r="E547" s="139"/>
      <c r="F547" s="139"/>
      <c r="G547" s="139"/>
      <c r="H547" s="139"/>
      <c r="I547" s="473"/>
      <c r="J547" s="139"/>
      <c r="K547" s="139"/>
      <c r="L547" s="139"/>
    </row>
    <row r="548">
      <c r="A548" s="139"/>
      <c r="B548" s="139"/>
      <c r="C548" s="139"/>
      <c r="D548" s="139"/>
      <c r="E548" s="139"/>
      <c r="F548" s="139"/>
      <c r="G548" s="139"/>
      <c r="H548" s="139"/>
      <c r="I548" s="473"/>
      <c r="J548" s="139"/>
      <c r="K548" s="139"/>
      <c r="L548" s="139"/>
    </row>
    <row r="549">
      <c r="A549" s="139"/>
      <c r="B549" s="139"/>
      <c r="C549" s="139"/>
      <c r="D549" s="139"/>
      <c r="E549" s="139"/>
      <c r="F549" s="139"/>
      <c r="G549" s="139"/>
      <c r="H549" s="139"/>
      <c r="I549" s="473"/>
      <c r="J549" s="139"/>
      <c r="K549" s="139"/>
      <c r="L549" s="139"/>
    </row>
    <row r="550">
      <c r="A550" s="139"/>
      <c r="B550" s="139"/>
      <c r="C550" s="139"/>
      <c r="D550" s="139"/>
      <c r="E550" s="139"/>
      <c r="F550" s="139"/>
      <c r="G550" s="139"/>
      <c r="H550" s="139"/>
      <c r="I550" s="473"/>
      <c r="J550" s="139"/>
      <c r="K550" s="139"/>
      <c r="L550" s="139"/>
    </row>
    <row r="551">
      <c r="A551" s="139"/>
      <c r="B551" s="139"/>
      <c r="C551" s="139"/>
      <c r="D551" s="139"/>
      <c r="E551" s="139"/>
      <c r="F551" s="139"/>
      <c r="G551" s="139"/>
      <c r="H551" s="139"/>
      <c r="I551" s="473"/>
      <c r="J551" s="139"/>
      <c r="K551" s="139"/>
      <c r="L551" s="139"/>
    </row>
    <row r="552">
      <c r="A552" s="139"/>
      <c r="B552" s="139"/>
      <c r="C552" s="139"/>
      <c r="D552" s="139"/>
      <c r="E552" s="139"/>
      <c r="F552" s="139"/>
      <c r="G552" s="139"/>
      <c r="H552" s="139"/>
      <c r="I552" s="473"/>
      <c r="J552" s="139"/>
      <c r="K552" s="139"/>
      <c r="L552" s="139"/>
    </row>
    <row r="553">
      <c r="A553" s="139"/>
      <c r="B553" s="139"/>
      <c r="C553" s="139"/>
      <c r="D553" s="139"/>
      <c r="E553" s="139"/>
      <c r="F553" s="139"/>
      <c r="G553" s="139"/>
      <c r="H553" s="139"/>
      <c r="I553" s="473"/>
      <c r="J553" s="139"/>
      <c r="K553" s="139"/>
      <c r="L553" s="139"/>
    </row>
    <row r="554">
      <c r="A554" s="139"/>
      <c r="B554" s="139"/>
      <c r="C554" s="139"/>
      <c r="D554" s="139"/>
      <c r="E554" s="139"/>
      <c r="F554" s="139"/>
      <c r="G554" s="139"/>
      <c r="H554" s="139"/>
      <c r="I554" s="473"/>
      <c r="J554" s="139"/>
      <c r="K554" s="139"/>
      <c r="L554" s="139"/>
    </row>
    <row r="555">
      <c r="A555" s="139"/>
      <c r="B555" s="139"/>
      <c r="C555" s="139"/>
      <c r="D555" s="139"/>
      <c r="E555" s="139"/>
      <c r="F555" s="139"/>
      <c r="G555" s="139"/>
      <c r="H555" s="139"/>
      <c r="I555" s="473"/>
      <c r="J555" s="139"/>
      <c r="K555" s="139"/>
      <c r="L555" s="139"/>
    </row>
    <row r="556">
      <c r="A556" s="139"/>
      <c r="B556" s="139"/>
      <c r="C556" s="139"/>
      <c r="D556" s="139"/>
      <c r="E556" s="139"/>
      <c r="F556" s="139"/>
      <c r="G556" s="139"/>
      <c r="H556" s="139"/>
      <c r="I556" s="473"/>
      <c r="J556" s="139"/>
      <c r="K556" s="139"/>
      <c r="L556" s="139"/>
    </row>
    <row r="557">
      <c r="A557" s="139"/>
      <c r="B557" s="139"/>
      <c r="C557" s="139"/>
      <c r="D557" s="139"/>
      <c r="E557" s="139"/>
      <c r="F557" s="139"/>
      <c r="G557" s="139"/>
      <c r="H557" s="139"/>
      <c r="I557" s="473"/>
      <c r="J557" s="139"/>
      <c r="K557" s="139"/>
      <c r="L557" s="139"/>
    </row>
    <row r="558">
      <c r="A558" s="139"/>
      <c r="B558" s="139"/>
      <c r="C558" s="139"/>
      <c r="D558" s="139"/>
      <c r="E558" s="139"/>
      <c r="F558" s="139"/>
      <c r="G558" s="139"/>
      <c r="H558" s="139"/>
      <c r="I558" s="473"/>
      <c r="J558" s="139"/>
      <c r="K558" s="139"/>
      <c r="L558" s="139"/>
    </row>
    <row r="559">
      <c r="A559" s="139"/>
      <c r="B559" s="139"/>
      <c r="C559" s="139"/>
      <c r="D559" s="139"/>
      <c r="E559" s="139"/>
      <c r="F559" s="139"/>
      <c r="G559" s="139"/>
      <c r="H559" s="139"/>
      <c r="I559" s="473"/>
      <c r="J559" s="139"/>
      <c r="K559" s="139"/>
      <c r="L559" s="139"/>
    </row>
    <row r="560">
      <c r="A560" s="139"/>
      <c r="B560" s="139"/>
      <c r="C560" s="139"/>
      <c r="D560" s="139"/>
      <c r="E560" s="139"/>
      <c r="F560" s="139"/>
      <c r="G560" s="139"/>
      <c r="H560" s="139"/>
      <c r="I560" s="473"/>
      <c r="J560" s="139"/>
      <c r="K560" s="139"/>
      <c r="L560" s="139"/>
    </row>
    <row r="561">
      <c r="A561" s="139"/>
      <c r="B561" s="139"/>
      <c r="C561" s="139"/>
      <c r="D561" s="139"/>
      <c r="E561" s="139"/>
      <c r="F561" s="139"/>
      <c r="G561" s="139"/>
      <c r="H561" s="139"/>
      <c r="I561" s="473"/>
      <c r="J561" s="139"/>
      <c r="K561" s="139"/>
      <c r="L561" s="139"/>
    </row>
    <row r="562">
      <c r="A562" s="139"/>
      <c r="B562" s="139"/>
      <c r="C562" s="139"/>
      <c r="D562" s="139"/>
      <c r="E562" s="139"/>
      <c r="F562" s="139"/>
      <c r="G562" s="139"/>
      <c r="H562" s="139"/>
      <c r="I562" s="473"/>
      <c r="J562" s="139"/>
      <c r="K562" s="139"/>
      <c r="L562" s="139"/>
    </row>
    <row r="563">
      <c r="A563" s="139"/>
      <c r="B563" s="139"/>
      <c r="C563" s="139"/>
      <c r="D563" s="139"/>
      <c r="E563" s="139"/>
      <c r="F563" s="139"/>
      <c r="G563" s="139"/>
      <c r="H563" s="139"/>
      <c r="I563" s="473"/>
      <c r="J563" s="139"/>
      <c r="K563" s="139"/>
      <c r="L563" s="139"/>
    </row>
    <row r="564">
      <c r="A564" s="139"/>
      <c r="B564" s="139"/>
      <c r="C564" s="139"/>
      <c r="D564" s="139"/>
      <c r="E564" s="139"/>
      <c r="F564" s="139"/>
      <c r="G564" s="139"/>
      <c r="H564" s="139"/>
      <c r="I564" s="473"/>
      <c r="J564" s="139"/>
      <c r="K564" s="139"/>
      <c r="L564" s="139"/>
    </row>
    <row r="565">
      <c r="A565" s="139"/>
      <c r="B565" s="139"/>
      <c r="C565" s="139"/>
      <c r="D565" s="139"/>
      <c r="E565" s="139"/>
      <c r="F565" s="139"/>
      <c r="G565" s="139"/>
      <c r="H565" s="139"/>
      <c r="I565" s="473"/>
      <c r="J565" s="139"/>
      <c r="K565" s="139"/>
      <c r="L565" s="139"/>
    </row>
    <row r="566">
      <c r="A566" s="139"/>
      <c r="B566" s="139"/>
      <c r="C566" s="139"/>
      <c r="D566" s="139"/>
      <c r="E566" s="139"/>
      <c r="F566" s="139"/>
      <c r="G566" s="139"/>
      <c r="H566" s="139"/>
      <c r="I566" s="473"/>
      <c r="J566" s="139"/>
      <c r="K566" s="139"/>
      <c r="L566" s="139"/>
    </row>
    <row r="567">
      <c r="A567" s="139"/>
      <c r="B567" s="139"/>
      <c r="C567" s="139"/>
      <c r="D567" s="139"/>
      <c r="E567" s="139"/>
      <c r="F567" s="139"/>
      <c r="G567" s="139"/>
      <c r="H567" s="139"/>
      <c r="I567" s="473"/>
      <c r="J567" s="139"/>
      <c r="K567" s="139"/>
      <c r="L567" s="139"/>
    </row>
    <row r="568">
      <c r="A568" s="139"/>
      <c r="B568" s="139"/>
      <c r="C568" s="139"/>
      <c r="D568" s="139"/>
      <c r="E568" s="139"/>
      <c r="F568" s="139"/>
      <c r="G568" s="139"/>
      <c r="H568" s="139"/>
      <c r="I568" s="473"/>
      <c r="J568" s="139"/>
      <c r="K568" s="139"/>
      <c r="L568" s="139"/>
    </row>
    <row r="569">
      <c r="A569" s="139"/>
      <c r="B569" s="139"/>
      <c r="C569" s="139"/>
      <c r="D569" s="139"/>
      <c r="E569" s="139"/>
      <c r="F569" s="139"/>
      <c r="G569" s="139"/>
      <c r="H569" s="139"/>
      <c r="I569" s="473"/>
      <c r="J569" s="139"/>
      <c r="K569" s="139"/>
      <c r="L569" s="139"/>
    </row>
    <row r="570">
      <c r="A570" s="139"/>
      <c r="B570" s="139"/>
      <c r="C570" s="139"/>
      <c r="D570" s="139"/>
      <c r="E570" s="139"/>
      <c r="F570" s="139"/>
      <c r="G570" s="139"/>
      <c r="H570" s="139"/>
      <c r="I570" s="473"/>
      <c r="J570" s="139"/>
      <c r="K570" s="139"/>
      <c r="L570" s="139"/>
    </row>
    <row r="571">
      <c r="A571" s="139"/>
      <c r="B571" s="139"/>
      <c r="C571" s="139"/>
      <c r="D571" s="139"/>
      <c r="E571" s="139"/>
      <c r="F571" s="139"/>
      <c r="G571" s="139"/>
      <c r="H571" s="139"/>
      <c r="I571" s="473"/>
      <c r="J571" s="139"/>
      <c r="K571" s="139"/>
      <c r="L571" s="139"/>
    </row>
    <row r="572">
      <c r="A572" s="139"/>
      <c r="B572" s="139"/>
      <c r="C572" s="139"/>
      <c r="D572" s="139"/>
      <c r="E572" s="139"/>
      <c r="F572" s="139"/>
      <c r="G572" s="139"/>
      <c r="H572" s="139"/>
      <c r="I572" s="473"/>
      <c r="J572" s="139"/>
      <c r="K572" s="139"/>
      <c r="L572" s="139"/>
    </row>
    <row r="573">
      <c r="A573" s="139"/>
      <c r="B573" s="139"/>
      <c r="C573" s="139"/>
      <c r="D573" s="139"/>
      <c r="E573" s="139"/>
      <c r="F573" s="139"/>
      <c r="G573" s="139"/>
      <c r="H573" s="139"/>
      <c r="I573" s="473"/>
      <c r="J573" s="139"/>
      <c r="K573" s="139"/>
      <c r="L573" s="139"/>
    </row>
    <row r="574">
      <c r="A574" s="139"/>
      <c r="B574" s="139"/>
      <c r="C574" s="139"/>
      <c r="D574" s="139"/>
      <c r="E574" s="139"/>
      <c r="F574" s="139"/>
      <c r="G574" s="139"/>
      <c r="H574" s="139"/>
      <c r="I574" s="473"/>
      <c r="J574" s="139"/>
      <c r="K574" s="139"/>
      <c r="L574" s="139"/>
    </row>
    <row r="575">
      <c r="A575" s="139"/>
      <c r="B575" s="139"/>
      <c r="C575" s="139"/>
      <c r="D575" s="139"/>
      <c r="E575" s="139"/>
      <c r="F575" s="139"/>
      <c r="G575" s="139"/>
      <c r="H575" s="139"/>
      <c r="I575" s="473"/>
      <c r="J575" s="139"/>
      <c r="K575" s="139"/>
      <c r="L575" s="139"/>
    </row>
    <row r="576">
      <c r="A576" s="139"/>
      <c r="B576" s="139"/>
      <c r="C576" s="139"/>
      <c r="D576" s="139"/>
      <c r="E576" s="139"/>
      <c r="F576" s="139"/>
      <c r="G576" s="139"/>
      <c r="H576" s="139"/>
      <c r="I576" s="473"/>
      <c r="J576" s="139"/>
      <c r="K576" s="139"/>
      <c r="L576" s="139"/>
    </row>
    <row r="577">
      <c r="A577" s="139"/>
      <c r="B577" s="139"/>
      <c r="C577" s="139"/>
      <c r="D577" s="139"/>
      <c r="E577" s="139"/>
      <c r="F577" s="139"/>
      <c r="G577" s="139"/>
      <c r="H577" s="139"/>
      <c r="I577" s="473"/>
      <c r="J577" s="139"/>
      <c r="K577" s="139"/>
      <c r="L577" s="139"/>
    </row>
    <row r="578">
      <c r="A578" s="139"/>
      <c r="B578" s="139"/>
      <c r="C578" s="139"/>
      <c r="D578" s="139"/>
      <c r="E578" s="139"/>
      <c r="F578" s="139"/>
      <c r="G578" s="139"/>
      <c r="H578" s="139"/>
      <c r="I578" s="473"/>
      <c r="J578" s="139"/>
      <c r="K578" s="139"/>
      <c r="L578" s="139"/>
    </row>
    <row r="579">
      <c r="A579" s="139"/>
      <c r="B579" s="139"/>
      <c r="C579" s="139"/>
      <c r="D579" s="139"/>
      <c r="E579" s="139"/>
      <c r="F579" s="139"/>
      <c r="G579" s="139"/>
      <c r="H579" s="139"/>
      <c r="I579" s="473"/>
      <c r="J579" s="139"/>
      <c r="K579" s="139"/>
      <c r="L579" s="139"/>
    </row>
    <row r="580">
      <c r="A580" s="139"/>
      <c r="B580" s="139"/>
      <c r="C580" s="139"/>
      <c r="D580" s="139"/>
      <c r="E580" s="139"/>
      <c r="F580" s="139"/>
      <c r="G580" s="139"/>
      <c r="H580" s="139"/>
      <c r="I580" s="473"/>
      <c r="J580" s="139"/>
      <c r="K580" s="139"/>
      <c r="L580" s="139"/>
    </row>
    <row r="581">
      <c r="A581" s="139"/>
      <c r="B581" s="139"/>
      <c r="C581" s="139"/>
      <c r="D581" s="139"/>
      <c r="E581" s="139"/>
      <c r="F581" s="139"/>
      <c r="G581" s="139"/>
      <c r="H581" s="139"/>
      <c r="I581" s="473"/>
      <c r="J581" s="139"/>
      <c r="K581" s="139"/>
      <c r="L581" s="139"/>
    </row>
    <row r="582">
      <c r="A582" s="139"/>
      <c r="B582" s="139"/>
      <c r="C582" s="139"/>
      <c r="D582" s="139"/>
      <c r="E582" s="139"/>
      <c r="F582" s="139"/>
      <c r="G582" s="139"/>
      <c r="H582" s="139"/>
      <c r="I582" s="473"/>
      <c r="J582" s="139"/>
      <c r="K582" s="139"/>
      <c r="L582" s="139"/>
    </row>
    <row r="583">
      <c r="A583" s="139"/>
      <c r="B583" s="139"/>
      <c r="C583" s="139"/>
      <c r="D583" s="139"/>
      <c r="E583" s="139"/>
      <c r="F583" s="139"/>
      <c r="G583" s="139"/>
      <c r="H583" s="139"/>
      <c r="I583" s="473"/>
      <c r="J583" s="139"/>
      <c r="K583" s="139"/>
      <c r="L583" s="139"/>
    </row>
    <row r="584">
      <c r="A584" s="139"/>
      <c r="B584" s="139"/>
      <c r="C584" s="139"/>
      <c r="D584" s="139"/>
      <c r="E584" s="139"/>
      <c r="F584" s="139"/>
      <c r="G584" s="139"/>
      <c r="H584" s="139"/>
      <c r="I584" s="473"/>
      <c r="J584" s="139"/>
      <c r="K584" s="139"/>
      <c r="L584" s="139"/>
    </row>
    <row r="585">
      <c r="A585" s="139"/>
      <c r="B585" s="139"/>
      <c r="C585" s="139"/>
      <c r="D585" s="139"/>
      <c r="E585" s="139"/>
      <c r="F585" s="139"/>
      <c r="G585" s="139"/>
      <c r="H585" s="139"/>
      <c r="I585" s="473"/>
      <c r="J585" s="139"/>
      <c r="K585" s="139"/>
      <c r="L585" s="139"/>
    </row>
    <row r="586">
      <c r="A586" s="139"/>
      <c r="B586" s="139"/>
      <c r="C586" s="139"/>
      <c r="D586" s="139"/>
      <c r="E586" s="139"/>
      <c r="F586" s="139"/>
      <c r="G586" s="139"/>
      <c r="H586" s="139"/>
      <c r="I586" s="473"/>
      <c r="J586" s="139"/>
      <c r="K586" s="139"/>
      <c r="L586" s="139"/>
    </row>
    <row r="587">
      <c r="A587" s="139"/>
      <c r="B587" s="139"/>
      <c r="C587" s="139"/>
      <c r="D587" s="139"/>
      <c r="E587" s="139"/>
      <c r="F587" s="139"/>
      <c r="G587" s="139"/>
      <c r="H587" s="139"/>
      <c r="I587" s="473"/>
      <c r="J587" s="139"/>
      <c r="K587" s="139"/>
      <c r="L587" s="139"/>
    </row>
    <row r="588">
      <c r="A588" s="139"/>
      <c r="B588" s="139"/>
      <c r="C588" s="139"/>
      <c r="D588" s="139"/>
      <c r="E588" s="139"/>
      <c r="F588" s="139"/>
      <c r="G588" s="139"/>
      <c r="H588" s="139"/>
      <c r="I588" s="473"/>
      <c r="J588" s="139"/>
      <c r="K588" s="139"/>
      <c r="L588" s="139"/>
    </row>
    <row r="589">
      <c r="A589" s="139"/>
      <c r="B589" s="139"/>
      <c r="C589" s="139"/>
      <c r="D589" s="139"/>
      <c r="E589" s="139"/>
      <c r="F589" s="139"/>
      <c r="G589" s="139"/>
      <c r="H589" s="139"/>
      <c r="I589" s="473"/>
      <c r="J589" s="139"/>
      <c r="K589" s="139"/>
      <c r="L589" s="139"/>
    </row>
    <row r="590">
      <c r="A590" s="139"/>
      <c r="B590" s="139"/>
      <c r="C590" s="139"/>
      <c r="D590" s="139"/>
      <c r="E590" s="139"/>
      <c r="F590" s="139"/>
      <c r="G590" s="139"/>
      <c r="H590" s="139"/>
      <c r="I590" s="473"/>
      <c r="J590" s="139"/>
      <c r="K590" s="139"/>
      <c r="L590" s="139"/>
    </row>
    <row r="591">
      <c r="A591" s="139"/>
      <c r="B591" s="139"/>
      <c r="C591" s="139"/>
      <c r="D591" s="139"/>
      <c r="E591" s="139"/>
      <c r="F591" s="139"/>
      <c r="G591" s="139"/>
      <c r="H591" s="139"/>
      <c r="I591" s="473"/>
      <c r="J591" s="139"/>
      <c r="K591" s="139"/>
      <c r="L591" s="139"/>
    </row>
    <row r="592">
      <c r="A592" s="139"/>
      <c r="B592" s="139"/>
      <c r="C592" s="139"/>
      <c r="D592" s="139"/>
      <c r="E592" s="139"/>
      <c r="F592" s="139"/>
      <c r="G592" s="139"/>
      <c r="H592" s="139"/>
      <c r="I592" s="473"/>
      <c r="J592" s="139"/>
      <c r="K592" s="139"/>
      <c r="L592" s="139"/>
    </row>
    <row r="593">
      <c r="A593" s="139"/>
      <c r="B593" s="139"/>
      <c r="C593" s="139"/>
      <c r="D593" s="139"/>
      <c r="E593" s="139"/>
      <c r="F593" s="139"/>
      <c r="G593" s="139"/>
      <c r="H593" s="139"/>
      <c r="I593" s="473"/>
      <c r="J593" s="139"/>
      <c r="K593" s="139"/>
      <c r="L593" s="139"/>
    </row>
    <row r="594">
      <c r="A594" s="139"/>
      <c r="B594" s="139"/>
      <c r="C594" s="139"/>
      <c r="D594" s="139"/>
      <c r="E594" s="139"/>
      <c r="F594" s="139"/>
      <c r="G594" s="139"/>
      <c r="H594" s="139"/>
      <c r="I594" s="473"/>
      <c r="J594" s="139"/>
      <c r="K594" s="139"/>
      <c r="L594" s="139"/>
    </row>
    <row r="595">
      <c r="A595" s="139"/>
      <c r="B595" s="139"/>
      <c r="C595" s="139"/>
      <c r="D595" s="139"/>
      <c r="E595" s="139"/>
      <c r="F595" s="139"/>
      <c r="G595" s="139"/>
      <c r="H595" s="139"/>
      <c r="I595" s="473"/>
      <c r="J595" s="139"/>
      <c r="K595" s="139"/>
      <c r="L595" s="139"/>
    </row>
    <row r="596">
      <c r="A596" s="139"/>
      <c r="B596" s="139"/>
      <c r="C596" s="139"/>
      <c r="D596" s="139"/>
      <c r="E596" s="139"/>
      <c r="F596" s="139"/>
      <c r="G596" s="139"/>
      <c r="H596" s="139"/>
      <c r="I596" s="473"/>
      <c r="J596" s="139"/>
      <c r="K596" s="139"/>
      <c r="L596" s="139"/>
    </row>
    <row r="597">
      <c r="A597" s="139"/>
      <c r="B597" s="139"/>
      <c r="C597" s="139"/>
      <c r="D597" s="139"/>
      <c r="E597" s="139"/>
      <c r="F597" s="139"/>
      <c r="G597" s="139"/>
      <c r="H597" s="139"/>
      <c r="I597" s="473"/>
      <c r="J597" s="139"/>
      <c r="K597" s="139"/>
      <c r="L597" s="139"/>
    </row>
    <row r="598">
      <c r="A598" s="139"/>
      <c r="B598" s="139"/>
      <c r="C598" s="139"/>
      <c r="D598" s="139"/>
      <c r="E598" s="139"/>
      <c r="F598" s="139"/>
      <c r="G598" s="139"/>
      <c r="H598" s="139"/>
      <c r="I598" s="473"/>
      <c r="J598" s="139"/>
      <c r="K598" s="139"/>
      <c r="L598" s="139"/>
    </row>
    <row r="599">
      <c r="A599" s="139"/>
      <c r="B599" s="139"/>
      <c r="C599" s="139"/>
      <c r="D599" s="139"/>
      <c r="E599" s="139"/>
      <c r="F599" s="139"/>
      <c r="G599" s="139"/>
      <c r="H599" s="139"/>
      <c r="I599" s="473"/>
      <c r="J599" s="139"/>
      <c r="K599" s="139"/>
      <c r="L599" s="139"/>
    </row>
    <row r="600">
      <c r="A600" s="139"/>
      <c r="B600" s="139"/>
      <c r="C600" s="139"/>
      <c r="D600" s="139"/>
      <c r="E600" s="139"/>
      <c r="F600" s="139"/>
      <c r="G600" s="139"/>
      <c r="H600" s="139"/>
      <c r="I600" s="473"/>
      <c r="J600" s="139"/>
      <c r="K600" s="139"/>
      <c r="L600" s="139"/>
    </row>
    <row r="601">
      <c r="A601" s="139"/>
      <c r="B601" s="139"/>
      <c r="C601" s="139"/>
      <c r="D601" s="139"/>
      <c r="E601" s="139"/>
      <c r="F601" s="139"/>
      <c r="G601" s="139"/>
      <c r="H601" s="139"/>
      <c r="I601" s="473"/>
      <c r="J601" s="139"/>
      <c r="K601" s="139"/>
      <c r="L601" s="139"/>
    </row>
    <row r="602">
      <c r="A602" s="139"/>
      <c r="B602" s="139"/>
      <c r="C602" s="139"/>
      <c r="D602" s="139"/>
      <c r="E602" s="139"/>
      <c r="F602" s="139"/>
      <c r="G602" s="139"/>
      <c r="H602" s="139"/>
      <c r="I602" s="473"/>
      <c r="J602" s="139"/>
      <c r="K602" s="139"/>
      <c r="L602" s="139"/>
    </row>
    <row r="603">
      <c r="A603" s="139"/>
      <c r="B603" s="139"/>
      <c r="C603" s="139"/>
      <c r="D603" s="139"/>
      <c r="E603" s="139"/>
      <c r="F603" s="139"/>
      <c r="G603" s="139"/>
      <c r="H603" s="139"/>
      <c r="I603" s="473"/>
      <c r="J603" s="139"/>
      <c r="K603" s="139"/>
      <c r="L603" s="139"/>
    </row>
    <row r="604">
      <c r="A604" s="139"/>
      <c r="B604" s="139"/>
      <c r="C604" s="139"/>
      <c r="D604" s="139"/>
      <c r="E604" s="139"/>
      <c r="F604" s="139"/>
      <c r="G604" s="139"/>
      <c r="H604" s="139"/>
      <c r="I604" s="473"/>
      <c r="J604" s="139"/>
      <c r="K604" s="139"/>
      <c r="L604" s="139"/>
    </row>
    <row r="605">
      <c r="A605" s="139"/>
      <c r="B605" s="139"/>
      <c r="C605" s="139"/>
      <c r="D605" s="139"/>
      <c r="E605" s="139"/>
      <c r="F605" s="139"/>
      <c r="G605" s="139"/>
      <c r="H605" s="139"/>
      <c r="I605" s="473"/>
      <c r="J605" s="139"/>
      <c r="K605" s="139"/>
      <c r="L605" s="139"/>
    </row>
    <row r="606">
      <c r="A606" s="139"/>
      <c r="B606" s="139"/>
      <c r="C606" s="139"/>
      <c r="D606" s="139"/>
      <c r="E606" s="139"/>
      <c r="F606" s="139"/>
      <c r="G606" s="139"/>
      <c r="H606" s="139"/>
      <c r="I606" s="473"/>
      <c r="J606" s="139"/>
      <c r="K606" s="139"/>
      <c r="L606" s="139"/>
    </row>
    <row r="607">
      <c r="A607" s="139"/>
      <c r="B607" s="139"/>
      <c r="C607" s="139"/>
      <c r="D607" s="139"/>
      <c r="E607" s="139"/>
      <c r="F607" s="139"/>
      <c r="G607" s="139"/>
      <c r="H607" s="139"/>
      <c r="I607" s="473"/>
      <c r="J607" s="139"/>
      <c r="K607" s="139"/>
      <c r="L607" s="139"/>
    </row>
    <row r="608">
      <c r="A608" s="139"/>
      <c r="B608" s="139"/>
      <c r="C608" s="139"/>
      <c r="D608" s="139"/>
      <c r="E608" s="139"/>
      <c r="F608" s="139"/>
      <c r="G608" s="139"/>
      <c r="H608" s="139"/>
      <c r="I608" s="473"/>
      <c r="J608" s="139"/>
      <c r="K608" s="139"/>
      <c r="L608" s="139"/>
    </row>
    <row r="609">
      <c r="A609" s="139"/>
      <c r="B609" s="139"/>
      <c r="C609" s="139"/>
      <c r="D609" s="139"/>
      <c r="E609" s="139"/>
      <c r="F609" s="139"/>
      <c r="G609" s="139"/>
      <c r="H609" s="139"/>
      <c r="I609" s="473"/>
      <c r="J609" s="139"/>
      <c r="K609" s="139"/>
      <c r="L609" s="139"/>
    </row>
    <row r="610">
      <c r="A610" s="139"/>
      <c r="B610" s="139"/>
      <c r="C610" s="139"/>
      <c r="D610" s="139"/>
      <c r="E610" s="139"/>
      <c r="F610" s="139"/>
      <c r="G610" s="139"/>
      <c r="H610" s="139"/>
      <c r="I610" s="473"/>
      <c r="J610" s="139"/>
      <c r="K610" s="139"/>
      <c r="L610" s="139"/>
    </row>
    <row r="611">
      <c r="A611" s="139"/>
      <c r="B611" s="139"/>
      <c r="C611" s="139"/>
      <c r="D611" s="139"/>
      <c r="E611" s="139"/>
      <c r="F611" s="139"/>
      <c r="G611" s="139"/>
      <c r="H611" s="139"/>
      <c r="I611" s="473"/>
      <c r="J611" s="139"/>
      <c r="K611" s="139"/>
      <c r="L611" s="139"/>
    </row>
    <row r="612">
      <c r="A612" s="139"/>
      <c r="B612" s="139"/>
      <c r="C612" s="139"/>
      <c r="D612" s="139"/>
      <c r="E612" s="139"/>
      <c r="F612" s="139"/>
      <c r="G612" s="139"/>
      <c r="H612" s="139"/>
      <c r="I612" s="473"/>
      <c r="J612" s="139"/>
      <c r="K612" s="139"/>
      <c r="L612" s="139"/>
    </row>
    <row r="613">
      <c r="A613" s="139"/>
      <c r="B613" s="139"/>
      <c r="C613" s="139"/>
      <c r="D613" s="139"/>
      <c r="E613" s="139"/>
      <c r="F613" s="139"/>
      <c r="G613" s="139"/>
      <c r="H613" s="139"/>
      <c r="I613" s="473"/>
      <c r="J613" s="139"/>
      <c r="K613" s="139"/>
      <c r="L613" s="139"/>
    </row>
    <row r="614">
      <c r="A614" s="139"/>
      <c r="B614" s="139"/>
      <c r="C614" s="139"/>
      <c r="D614" s="139"/>
      <c r="E614" s="139"/>
      <c r="F614" s="139"/>
      <c r="G614" s="139"/>
      <c r="H614" s="139"/>
      <c r="I614" s="473"/>
      <c r="J614" s="139"/>
      <c r="K614" s="139"/>
      <c r="L614" s="139"/>
    </row>
    <row r="615">
      <c r="A615" s="139"/>
      <c r="B615" s="139"/>
      <c r="C615" s="139"/>
      <c r="D615" s="139"/>
      <c r="E615" s="139"/>
      <c r="F615" s="139"/>
      <c r="G615" s="139"/>
      <c r="H615" s="139"/>
      <c r="I615" s="473"/>
      <c r="J615" s="139"/>
      <c r="K615" s="139"/>
      <c r="L615" s="139"/>
    </row>
    <row r="616">
      <c r="A616" s="139"/>
      <c r="B616" s="139"/>
      <c r="C616" s="139"/>
      <c r="D616" s="139"/>
      <c r="E616" s="139"/>
      <c r="F616" s="139"/>
      <c r="G616" s="139"/>
      <c r="H616" s="139"/>
      <c r="I616" s="473"/>
      <c r="J616" s="139"/>
      <c r="K616" s="139"/>
      <c r="L616" s="139"/>
    </row>
    <row r="617">
      <c r="A617" s="139"/>
      <c r="B617" s="139"/>
      <c r="C617" s="139"/>
      <c r="D617" s="139"/>
      <c r="E617" s="139"/>
      <c r="F617" s="139"/>
      <c r="G617" s="139"/>
      <c r="H617" s="139"/>
      <c r="I617" s="473"/>
      <c r="J617" s="139"/>
      <c r="K617" s="139"/>
      <c r="L617" s="139"/>
    </row>
    <row r="618">
      <c r="A618" s="139"/>
      <c r="B618" s="139"/>
      <c r="C618" s="139"/>
      <c r="D618" s="139"/>
      <c r="E618" s="139"/>
      <c r="F618" s="139"/>
      <c r="G618" s="139"/>
      <c r="H618" s="139"/>
      <c r="I618" s="473"/>
      <c r="J618" s="139"/>
      <c r="K618" s="139"/>
      <c r="L618" s="139"/>
    </row>
    <row r="619">
      <c r="A619" s="139"/>
      <c r="B619" s="139"/>
      <c r="C619" s="139"/>
      <c r="D619" s="139"/>
      <c r="E619" s="139"/>
      <c r="F619" s="139"/>
      <c r="G619" s="139"/>
      <c r="H619" s="139"/>
      <c r="I619" s="473"/>
      <c r="J619" s="139"/>
      <c r="K619" s="139"/>
      <c r="L619" s="139"/>
    </row>
    <row r="620">
      <c r="A620" s="139"/>
      <c r="B620" s="139"/>
      <c r="C620" s="139"/>
      <c r="D620" s="139"/>
      <c r="E620" s="139"/>
      <c r="F620" s="139"/>
      <c r="G620" s="139"/>
      <c r="H620" s="139"/>
      <c r="I620" s="473"/>
      <c r="J620" s="139"/>
      <c r="K620" s="139"/>
      <c r="L620" s="139"/>
    </row>
    <row r="621">
      <c r="A621" s="139"/>
      <c r="B621" s="139"/>
      <c r="C621" s="139"/>
      <c r="D621" s="139"/>
      <c r="E621" s="139"/>
      <c r="F621" s="139"/>
      <c r="G621" s="139"/>
      <c r="H621" s="139"/>
      <c r="I621" s="473"/>
      <c r="J621" s="139"/>
      <c r="K621" s="139"/>
      <c r="L621" s="139"/>
    </row>
    <row r="622">
      <c r="A622" s="139"/>
      <c r="B622" s="139"/>
      <c r="C622" s="139"/>
      <c r="D622" s="139"/>
      <c r="E622" s="139"/>
      <c r="F622" s="139"/>
      <c r="G622" s="139"/>
      <c r="H622" s="139"/>
      <c r="I622" s="473"/>
      <c r="J622" s="139"/>
      <c r="K622" s="139"/>
      <c r="L622" s="139"/>
    </row>
    <row r="623">
      <c r="A623" s="139"/>
      <c r="B623" s="139"/>
      <c r="C623" s="139"/>
      <c r="D623" s="139"/>
      <c r="E623" s="139"/>
      <c r="F623" s="139"/>
      <c r="G623" s="139"/>
      <c r="H623" s="139"/>
      <c r="I623" s="473"/>
      <c r="J623" s="139"/>
      <c r="K623" s="139"/>
      <c r="L623" s="139"/>
    </row>
    <row r="624">
      <c r="A624" s="139"/>
      <c r="B624" s="139"/>
      <c r="C624" s="139"/>
      <c r="D624" s="139"/>
      <c r="E624" s="139"/>
      <c r="F624" s="139"/>
      <c r="G624" s="139"/>
      <c r="H624" s="139"/>
      <c r="I624" s="473"/>
      <c r="J624" s="139"/>
      <c r="K624" s="139"/>
      <c r="L624" s="139"/>
    </row>
    <row r="625">
      <c r="A625" s="139"/>
      <c r="B625" s="139"/>
      <c r="C625" s="139"/>
      <c r="D625" s="139"/>
      <c r="E625" s="139"/>
      <c r="F625" s="139"/>
      <c r="G625" s="139"/>
      <c r="H625" s="139"/>
      <c r="I625" s="473"/>
      <c r="J625" s="139"/>
      <c r="K625" s="139"/>
      <c r="L625" s="139"/>
    </row>
    <row r="626">
      <c r="A626" s="139"/>
      <c r="B626" s="139"/>
      <c r="C626" s="139"/>
      <c r="D626" s="139"/>
      <c r="E626" s="139"/>
      <c r="F626" s="139"/>
      <c r="G626" s="139"/>
      <c r="H626" s="139"/>
      <c r="I626" s="473"/>
      <c r="J626" s="139"/>
      <c r="K626" s="139"/>
      <c r="L626" s="139"/>
    </row>
    <row r="627">
      <c r="A627" s="139"/>
      <c r="B627" s="139"/>
      <c r="C627" s="139"/>
      <c r="D627" s="139"/>
      <c r="E627" s="139"/>
      <c r="F627" s="139"/>
      <c r="G627" s="139"/>
      <c r="H627" s="139"/>
      <c r="I627" s="473"/>
      <c r="J627" s="139"/>
      <c r="K627" s="139"/>
      <c r="L627" s="139"/>
    </row>
    <row r="628">
      <c r="A628" s="139"/>
      <c r="B628" s="139"/>
      <c r="C628" s="139"/>
      <c r="D628" s="139"/>
      <c r="E628" s="139"/>
      <c r="F628" s="139"/>
      <c r="G628" s="139"/>
      <c r="H628" s="139"/>
      <c r="I628" s="473"/>
      <c r="J628" s="139"/>
      <c r="K628" s="139"/>
      <c r="L628" s="139"/>
    </row>
    <row r="629">
      <c r="A629" s="139"/>
      <c r="B629" s="139"/>
      <c r="C629" s="139"/>
      <c r="D629" s="139"/>
      <c r="E629" s="139"/>
      <c r="F629" s="139"/>
      <c r="G629" s="139"/>
      <c r="H629" s="139"/>
      <c r="I629" s="473"/>
      <c r="J629" s="139"/>
      <c r="K629" s="139"/>
      <c r="L629" s="139"/>
    </row>
    <row r="630">
      <c r="A630" s="139"/>
      <c r="B630" s="139"/>
      <c r="C630" s="139"/>
      <c r="D630" s="139"/>
      <c r="E630" s="139"/>
      <c r="F630" s="139"/>
      <c r="G630" s="139"/>
      <c r="H630" s="139"/>
      <c r="I630" s="473"/>
      <c r="J630" s="139"/>
      <c r="K630" s="139"/>
      <c r="L630" s="139"/>
    </row>
    <row r="631">
      <c r="A631" s="139"/>
      <c r="B631" s="139"/>
      <c r="C631" s="139"/>
      <c r="D631" s="139"/>
      <c r="E631" s="139"/>
      <c r="F631" s="139"/>
      <c r="G631" s="139"/>
      <c r="H631" s="139"/>
      <c r="I631" s="473"/>
      <c r="J631" s="139"/>
      <c r="K631" s="139"/>
      <c r="L631" s="139"/>
    </row>
    <row r="632">
      <c r="A632" s="139"/>
      <c r="B632" s="139"/>
      <c r="C632" s="139"/>
      <c r="D632" s="139"/>
      <c r="E632" s="139"/>
      <c r="F632" s="139"/>
      <c r="G632" s="139"/>
      <c r="H632" s="139"/>
      <c r="I632" s="473"/>
      <c r="J632" s="139"/>
      <c r="K632" s="139"/>
      <c r="L632" s="139"/>
    </row>
    <row r="633">
      <c r="A633" s="139"/>
      <c r="B633" s="139"/>
      <c r="C633" s="139"/>
      <c r="D633" s="139"/>
      <c r="E633" s="139"/>
      <c r="F633" s="139"/>
      <c r="G633" s="139"/>
      <c r="H633" s="139"/>
      <c r="I633" s="473"/>
      <c r="J633" s="139"/>
      <c r="K633" s="139"/>
      <c r="L633" s="139"/>
    </row>
    <row r="634">
      <c r="A634" s="139"/>
      <c r="B634" s="139"/>
      <c r="C634" s="139"/>
      <c r="D634" s="139"/>
      <c r="E634" s="139"/>
      <c r="F634" s="139"/>
      <c r="G634" s="139"/>
      <c r="H634" s="139"/>
      <c r="I634" s="473"/>
      <c r="J634" s="139"/>
      <c r="K634" s="139"/>
      <c r="L634" s="139"/>
    </row>
    <row r="635">
      <c r="A635" s="139"/>
      <c r="B635" s="139"/>
      <c r="C635" s="139"/>
      <c r="D635" s="139"/>
      <c r="E635" s="139"/>
      <c r="F635" s="139"/>
      <c r="G635" s="139"/>
      <c r="H635" s="139"/>
      <c r="I635" s="473"/>
      <c r="J635" s="139"/>
      <c r="K635" s="139"/>
      <c r="L635" s="139"/>
    </row>
    <row r="636">
      <c r="A636" s="139"/>
      <c r="B636" s="139"/>
      <c r="C636" s="139"/>
      <c r="D636" s="139"/>
      <c r="E636" s="139"/>
      <c r="F636" s="139"/>
      <c r="G636" s="139"/>
      <c r="H636" s="139"/>
      <c r="I636" s="473"/>
      <c r="J636" s="139"/>
      <c r="K636" s="139"/>
      <c r="L636" s="139"/>
    </row>
    <row r="637">
      <c r="A637" s="139"/>
      <c r="B637" s="139"/>
      <c r="C637" s="139"/>
      <c r="D637" s="139"/>
      <c r="E637" s="139"/>
      <c r="F637" s="139"/>
      <c r="G637" s="139"/>
      <c r="H637" s="139"/>
      <c r="I637" s="473"/>
      <c r="J637" s="139"/>
      <c r="K637" s="139"/>
      <c r="L637" s="139"/>
    </row>
    <row r="638">
      <c r="A638" s="139"/>
      <c r="B638" s="139"/>
      <c r="C638" s="139"/>
      <c r="D638" s="139"/>
      <c r="E638" s="139"/>
      <c r="F638" s="139"/>
      <c r="G638" s="139"/>
      <c r="H638" s="139"/>
      <c r="I638" s="473"/>
      <c r="J638" s="139"/>
      <c r="K638" s="139"/>
      <c r="L638" s="139"/>
    </row>
    <row r="639">
      <c r="A639" s="139"/>
      <c r="B639" s="139"/>
      <c r="C639" s="139"/>
      <c r="D639" s="139"/>
      <c r="E639" s="139"/>
      <c r="F639" s="139"/>
      <c r="G639" s="139"/>
      <c r="H639" s="139"/>
      <c r="I639" s="473"/>
      <c r="J639" s="139"/>
      <c r="K639" s="139"/>
      <c r="L639" s="139"/>
    </row>
    <row r="640">
      <c r="A640" s="139"/>
      <c r="B640" s="139"/>
      <c r="C640" s="139"/>
      <c r="D640" s="139"/>
      <c r="E640" s="139"/>
      <c r="F640" s="139"/>
      <c r="G640" s="139"/>
      <c r="H640" s="139"/>
      <c r="I640" s="473"/>
      <c r="J640" s="139"/>
      <c r="K640" s="139"/>
      <c r="L640" s="139"/>
    </row>
    <row r="641">
      <c r="A641" s="139"/>
      <c r="B641" s="139"/>
      <c r="C641" s="139"/>
      <c r="D641" s="139"/>
      <c r="E641" s="139"/>
      <c r="F641" s="139"/>
      <c r="G641" s="139"/>
      <c r="H641" s="139"/>
      <c r="I641" s="473"/>
      <c r="J641" s="139"/>
      <c r="K641" s="139"/>
      <c r="L641" s="139"/>
    </row>
    <row r="642">
      <c r="A642" s="139"/>
      <c r="B642" s="139"/>
      <c r="C642" s="139"/>
      <c r="D642" s="139"/>
      <c r="E642" s="139"/>
      <c r="F642" s="139"/>
      <c r="G642" s="139"/>
      <c r="H642" s="139"/>
      <c r="I642" s="473"/>
      <c r="J642" s="139"/>
      <c r="K642" s="139"/>
      <c r="L642" s="139"/>
    </row>
    <row r="643">
      <c r="A643" s="139"/>
      <c r="B643" s="139"/>
      <c r="C643" s="139"/>
      <c r="D643" s="139"/>
      <c r="E643" s="139"/>
      <c r="F643" s="139"/>
      <c r="G643" s="139"/>
      <c r="H643" s="139"/>
      <c r="I643" s="473"/>
      <c r="J643" s="139"/>
      <c r="K643" s="139"/>
      <c r="L643" s="139"/>
    </row>
    <row r="644">
      <c r="A644" s="139"/>
      <c r="B644" s="139"/>
      <c r="C644" s="139"/>
      <c r="D644" s="139"/>
      <c r="E644" s="139"/>
      <c r="F644" s="139"/>
      <c r="G644" s="139"/>
      <c r="H644" s="139"/>
      <c r="I644" s="473"/>
      <c r="J644" s="139"/>
      <c r="K644" s="139"/>
      <c r="L644" s="139"/>
    </row>
    <row r="645">
      <c r="A645" s="139"/>
      <c r="B645" s="139"/>
      <c r="C645" s="139"/>
      <c r="D645" s="139"/>
      <c r="E645" s="139"/>
      <c r="F645" s="139"/>
      <c r="G645" s="139"/>
      <c r="H645" s="139"/>
      <c r="I645" s="473"/>
      <c r="J645" s="139"/>
      <c r="K645" s="139"/>
      <c r="L645" s="139"/>
    </row>
    <row r="646">
      <c r="A646" s="139"/>
      <c r="B646" s="139"/>
      <c r="C646" s="139"/>
      <c r="D646" s="139"/>
      <c r="E646" s="139"/>
      <c r="F646" s="139"/>
      <c r="G646" s="139"/>
      <c r="H646" s="139"/>
      <c r="I646" s="473"/>
      <c r="J646" s="139"/>
      <c r="K646" s="139"/>
      <c r="L646" s="139"/>
    </row>
    <row r="647">
      <c r="A647" s="139"/>
      <c r="B647" s="139"/>
      <c r="C647" s="139"/>
      <c r="D647" s="139"/>
      <c r="E647" s="139"/>
      <c r="F647" s="139"/>
      <c r="G647" s="139"/>
      <c r="H647" s="139"/>
      <c r="I647" s="473"/>
      <c r="J647" s="139"/>
      <c r="K647" s="139"/>
      <c r="L647" s="139"/>
    </row>
    <row r="648">
      <c r="A648" s="139"/>
      <c r="B648" s="139"/>
      <c r="C648" s="139"/>
      <c r="D648" s="139"/>
      <c r="E648" s="139"/>
      <c r="F648" s="139"/>
      <c r="G648" s="139"/>
      <c r="H648" s="139"/>
      <c r="I648" s="473"/>
      <c r="J648" s="139"/>
      <c r="K648" s="139"/>
      <c r="L648" s="139"/>
    </row>
    <row r="649">
      <c r="A649" s="139"/>
      <c r="B649" s="139"/>
      <c r="C649" s="139"/>
      <c r="D649" s="139"/>
      <c r="E649" s="139"/>
      <c r="F649" s="139"/>
      <c r="G649" s="139"/>
      <c r="H649" s="139"/>
      <c r="I649" s="473"/>
      <c r="J649" s="139"/>
      <c r="K649" s="139"/>
      <c r="L649" s="139"/>
    </row>
    <row r="650">
      <c r="A650" s="139"/>
      <c r="B650" s="139"/>
      <c r="C650" s="139"/>
      <c r="D650" s="139"/>
      <c r="E650" s="139"/>
      <c r="F650" s="139"/>
      <c r="G650" s="139"/>
      <c r="H650" s="139"/>
      <c r="I650" s="473"/>
      <c r="J650" s="139"/>
      <c r="K650" s="139"/>
      <c r="L650" s="139"/>
    </row>
    <row r="651">
      <c r="A651" s="139"/>
      <c r="B651" s="139"/>
      <c r="C651" s="139"/>
      <c r="D651" s="139"/>
      <c r="E651" s="139"/>
      <c r="F651" s="139"/>
      <c r="G651" s="139"/>
      <c r="H651" s="139"/>
      <c r="I651" s="473"/>
      <c r="J651" s="139"/>
      <c r="K651" s="139"/>
      <c r="L651" s="139"/>
    </row>
    <row r="652">
      <c r="A652" s="139"/>
      <c r="B652" s="139"/>
      <c r="C652" s="139"/>
      <c r="D652" s="139"/>
      <c r="E652" s="139"/>
      <c r="F652" s="139"/>
      <c r="G652" s="139"/>
      <c r="H652" s="139"/>
      <c r="I652" s="473"/>
      <c r="J652" s="139"/>
      <c r="K652" s="139"/>
      <c r="L652" s="139"/>
    </row>
    <row r="653">
      <c r="A653" s="139"/>
      <c r="B653" s="139"/>
      <c r="C653" s="139"/>
      <c r="D653" s="139"/>
      <c r="E653" s="139"/>
      <c r="F653" s="139"/>
      <c r="G653" s="139"/>
      <c r="H653" s="139"/>
      <c r="I653" s="473"/>
      <c r="J653" s="139"/>
      <c r="K653" s="139"/>
      <c r="L653" s="139"/>
    </row>
    <row r="654">
      <c r="A654" s="139"/>
      <c r="B654" s="139"/>
      <c r="C654" s="139"/>
      <c r="D654" s="139"/>
      <c r="E654" s="139"/>
      <c r="F654" s="139"/>
      <c r="G654" s="139"/>
      <c r="H654" s="139"/>
      <c r="I654" s="473"/>
      <c r="J654" s="139"/>
      <c r="K654" s="139"/>
      <c r="L654" s="139"/>
    </row>
    <row r="655">
      <c r="A655" s="139"/>
      <c r="B655" s="139"/>
      <c r="C655" s="139"/>
      <c r="D655" s="139"/>
      <c r="E655" s="139"/>
      <c r="F655" s="139"/>
      <c r="G655" s="139"/>
      <c r="H655" s="139"/>
      <c r="I655" s="473"/>
      <c r="J655" s="139"/>
      <c r="K655" s="139"/>
      <c r="L655" s="139"/>
    </row>
    <row r="656">
      <c r="A656" s="139"/>
      <c r="B656" s="139"/>
      <c r="C656" s="139"/>
      <c r="D656" s="139"/>
      <c r="E656" s="139"/>
      <c r="F656" s="139"/>
      <c r="G656" s="139"/>
      <c r="H656" s="139"/>
      <c r="I656" s="473"/>
      <c r="J656" s="139"/>
      <c r="K656" s="139"/>
      <c r="L656" s="139"/>
    </row>
    <row r="657">
      <c r="A657" s="139"/>
      <c r="B657" s="139"/>
      <c r="C657" s="139"/>
      <c r="D657" s="139"/>
      <c r="E657" s="139"/>
      <c r="F657" s="139"/>
      <c r="G657" s="139"/>
      <c r="H657" s="139"/>
      <c r="I657" s="473"/>
      <c r="J657" s="139"/>
      <c r="K657" s="139"/>
      <c r="L657" s="139"/>
    </row>
    <row r="658">
      <c r="A658" s="139"/>
      <c r="B658" s="139"/>
      <c r="C658" s="139"/>
      <c r="D658" s="139"/>
      <c r="E658" s="139"/>
      <c r="F658" s="139"/>
      <c r="G658" s="139"/>
      <c r="H658" s="139"/>
      <c r="I658" s="473"/>
      <c r="J658" s="139"/>
      <c r="K658" s="139"/>
      <c r="L658" s="139"/>
    </row>
    <row r="659">
      <c r="A659" s="139"/>
      <c r="B659" s="139"/>
      <c r="C659" s="139"/>
      <c r="D659" s="139"/>
      <c r="E659" s="139"/>
      <c r="F659" s="139"/>
      <c r="G659" s="139"/>
      <c r="H659" s="139"/>
      <c r="I659" s="473"/>
      <c r="J659" s="139"/>
      <c r="K659" s="139"/>
      <c r="L659" s="139"/>
    </row>
    <row r="660">
      <c r="A660" s="139"/>
      <c r="B660" s="139"/>
      <c r="C660" s="139"/>
      <c r="D660" s="139"/>
      <c r="E660" s="139"/>
      <c r="F660" s="139"/>
      <c r="G660" s="139"/>
      <c r="H660" s="139"/>
      <c r="I660" s="473"/>
      <c r="J660" s="139"/>
      <c r="K660" s="139"/>
      <c r="L660" s="139"/>
    </row>
    <row r="661">
      <c r="A661" s="139"/>
      <c r="B661" s="139"/>
      <c r="C661" s="139"/>
      <c r="D661" s="139"/>
      <c r="E661" s="139"/>
      <c r="F661" s="139"/>
      <c r="G661" s="139"/>
      <c r="H661" s="139"/>
      <c r="I661" s="473"/>
      <c r="J661" s="139"/>
      <c r="K661" s="139"/>
      <c r="L661" s="139"/>
    </row>
    <row r="662">
      <c r="A662" s="139"/>
      <c r="B662" s="139"/>
      <c r="C662" s="139"/>
      <c r="D662" s="139"/>
      <c r="E662" s="139"/>
      <c r="F662" s="139"/>
      <c r="G662" s="139"/>
      <c r="H662" s="139"/>
      <c r="I662" s="473"/>
      <c r="J662" s="139"/>
      <c r="K662" s="139"/>
      <c r="L662" s="139"/>
    </row>
    <row r="663">
      <c r="A663" s="139"/>
      <c r="B663" s="139"/>
      <c r="C663" s="139"/>
      <c r="D663" s="139"/>
      <c r="E663" s="139"/>
      <c r="F663" s="139"/>
      <c r="G663" s="139"/>
      <c r="H663" s="139"/>
      <c r="I663" s="473"/>
      <c r="J663" s="139"/>
      <c r="K663" s="139"/>
      <c r="L663" s="139"/>
    </row>
    <row r="664">
      <c r="A664" s="139"/>
      <c r="B664" s="139"/>
      <c r="C664" s="139"/>
      <c r="D664" s="139"/>
      <c r="E664" s="139"/>
      <c r="F664" s="139"/>
      <c r="G664" s="139"/>
      <c r="H664" s="139"/>
      <c r="I664" s="473"/>
      <c r="J664" s="139"/>
      <c r="K664" s="139"/>
      <c r="L664" s="139"/>
    </row>
    <row r="665">
      <c r="A665" s="139"/>
      <c r="B665" s="139"/>
      <c r="C665" s="139"/>
      <c r="D665" s="139"/>
      <c r="E665" s="139"/>
      <c r="F665" s="139"/>
      <c r="G665" s="139"/>
      <c r="H665" s="139"/>
      <c r="I665" s="473"/>
      <c r="J665" s="139"/>
      <c r="K665" s="139"/>
      <c r="L665" s="139"/>
    </row>
    <row r="666">
      <c r="A666" s="139"/>
      <c r="B666" s="139"/>
      <c r="C666" s="139"/>
      <c r="D666" s="139"/>
      <c r="E666" s="139"/>
      <c r="F666" s="139"/>
      <c r="G666" s="139"/>
      <c r="H666" s="139"/>
      <c r="I666" s="473"/>
      <c r="J666" s="139"/>
      <c r="K666" s="139"/>
      <c r="L666" s="139"/>
    </row>
    <row r="667">
      <c r="A667" s="139"/>
      <c r="B667" s="139"/>
      <c r="C667" s="139"/>
      <c r="D667" s="139"/>
      <c r="E667" s="139"/>
      <c r="F667" s="139"/>
      <c r="G667" s="139"/>
      <c r="H667" s="139"/>
      <c r="I667" s="473"/>
      <c r="J667" s="139"/>
      <c r="K667" s="139"/>
      <c r="L667" s="139"/>
    </row>
    <row r="668">
      <c r="A668" s="139"/>
      <c r="B668" s="139"/>
      <c r="C668" s="139"/>
      <c r="D668" s="139"/>
      <c r="E668" s="139"/>
      <c r="F668" s="139"/>
      <c r="G668" s="139"/>
      <c r="H668" s="139"/>
      <c r="I668" s="473"/>
      <c r="J668" s="139"/>
      <c r="K668" s="139"/>
      <c r="L668" s="139"/>
    </row>
    <row r="669">
      <c r="A669" s="139"/>
      <c r="B669" s="139"/>
      <c r="C669" s="139"/>
      <c r="D669" s="139"/>
      <c r="E669" s="139"/>
      <c r="F669" s="139"/>
      <c r="G669" s="139"/>
      <c r="H669" s="139"/>
      <c r="I669" s="473"/>
      <c r="J669" s="139"/>
      <c r="K669" s="139"/>
      <c r="L669" s="139"/>
    </row>
    <row r="670">
      <c r="A670" s="139"/>
      <c r="B670" s="139"/>
      <c r="C670" s="139"/>
      <c r="D670" s="139"/>
      <c r="E670" s="139"/>
      <c r="F670" s="139"/>
      <c r="G670" s="139"/>
      <c r="H670" s="139"/>
      <c r="I670" s="473"/>
      <c r="J670" s="139"/>
      <c r="K670" s="139"/>
      <c r="L670" s="139"/>
    </row>
    <row r="671">
      <c r="A671" s="139"/>
      <c r="B671" s="139"/>
      <c r="C671" s="139"/>
      <c r="D671" s="139"/>
      <c r="E671" s="139"/>
      <c r="F671" s="139"/>
      <c r="G671" s="139"/>
      <c r="H671" s="139"/>
      <c r="I671" s="473"/>
      <c r="J671" s="139"/>
      <c r="K671" s="139"/>
      <c r="L671" s="139"/>
    </row>
    <row r="672">
      <c r="A672" s="139"/>
      <c r="B672" s="139"/>
      <c r="C672" s="139"/>
      <c r="D672" s="139"/>
      <c r="E672" s="139"/>
      <c r="F672" s="139"/>
      <c r="G672" s="139"/>
      <c r="H672" s="139"/>
      <c r="I672" s="473"/>
      <c r="J672" s="139"/>
      <c r="K672" s="139"/>
      <c r="L672" s="139"/>
    </row>
    <row r="673">
      <c r="A673" s="139"/>
      <c r="B673" s="139"/>
      <c r="C673" s="139"/>
      <c r="D673" s="139"/>
      <c r="E673" s="139"/>
      <c r="F673" s="139"/>
      <c r="G673" s="139"/>
      <c r="H673" s="139"/>
      <c r="I673" s="473"/>
      <c r="J673" s="139"/>
      <c r="K673" s="139"/>
      <c r="L673" s="139"/>
    </row>
    <row r="674">
      <c r="A674" s="139"/>
      <c r="B674" s="139"/>
      <c r="C674" s="139"/>
      <c r="D674" s="139"/>
      <c r="E674" s="139"/>
      <c r="F674" s="139"/>
      <c r="G674" s="139"/>
      <c r="H674" s="139"/>
      <c r="I674" s="473"/>
      <c r="J674" s="139"/>
      <c r="K674" s="139"/>
      <c r="L674" s="139"/>
    </row>
    <row r="675">
      <c r="A675" s="139"/>
      <c r="B675" s="139"/>
      <c r="C675" s="139"/>
      <c r="D675" s="139"/>
      <c r="E675" s="139"/>
      <c r="F675" s="139"/>
      <c r="G675" s="139"/>
      <c r="H675" s="139"/>
      <c r="I675" s="473"/>
      <c r="J675" s="139"/>
      <c r="K675" s="139"/>
      <c r="L675" s="139"/>
    </row>
    <row r="676">
      <c r="A676" s="139"/>
      <c r="B676" s="139"/>
      <c r="C676" s="139"/>
      <c r="D676" s="139"/>
      <c r="E676" s="139"/>
      <c r="F676" s="139"/>
      <c r="G676" s="139"/>
      <c r="H676" s="139"/>
      <c r="I676" s="473"/>
      <c r="J676" s="139"/>
      <c r="K676" s="139"/>
      <c r="L676" s="139"/>
    </row>
    <row r="677">
      <c r="A677" s="139"/>
      <c r="B677" s="139"/>
      <c r="C677" s="139"/>
      <c r="D677" s="139"/>
      <c r="E677" s="139"/>
      <c r="F677" s="139"/>
      <c r="G677" s="139"/>
      <c r="H677" s="139"/>
      <c r="I677" s="473"/>
      <c r="J677" s="139"/>
      <c r="K677" s="139"/>
      <c r="L677" s="139"/>
    </row>
    <row r="678">
      <c r="A678" s="139"/>
      <c r="B678" s="139"/>
      <c r="C678" s="139"/>
      <c r="D678" s="139"/>
      <c r="E678" s="139"/>
      <c r="F678" s="139"/>
      <c r="G678" s="139"/>
      <c r="H678" s="139"/>
      <c r="I678" s="473"/>
      <c r="J678" s="139"/>
      <c r="K678" s="139"/>
      <c r="L678" s="139"/>
    </row>
    <row r="679">
      <c r="A679" s="139"/>
      <c r="B679" s="139"/>
      <c r="C679" s="139"/>
      <c r="D679" s="139"/>
      <c r="E679" s="139"/>
      <c r="F679" s="139"/>
      <c r="G679" s="139"/>
      <c r="H679" s="139"/>
      <c r="I679" s="473"/>
      <c r="J679" s="139"/>
      <c r="K679" s="139"/>
      <c r="L679" s="139"/>
    </row>
    <row r="680">
      <c r="A680" s="139"/>
      <c r="B680" s="139"/>
      <c r="C680" s="139"/>
      <c r="D680" s="139"/>
      <c r="E680" s="139"/>
      <c r="F680" s="139"/>
      <c r="G680" s="139"/>
      <c r="H680" s="139"/>
      <c r="I680" s="473"/>
      <c r="J680" s="139"/>
      <c r="K680" s="139"/>
      <c r="L680" s="139"/>
    </row>
    <row r="681">
      <c r="A681" s="139"/>
      <c r="B681" s="139"/>
      <c r="C681" s="139"/>
      <c r="D681" s="139"/>
      <c r="E681" s="139"/>
      <c r="F681" s="139"/>
      <c r="G681" s="139"/>
      <c r="H681" s="139"/>
      <c r="I681" s="473"/>
      <c r="J681" s="139"/>
      <c r="K681" s="139"/>
      <c r="L681" s="139"/>
    </row>
    <row r="682">
      <c r="A682" s="139"/>
      <c r="B682" s="139"/>
      <c r="C682" s="139"/>
      <c r="D682" s="139"/>
      <c r="E682" s="139"/>
      <c r="F682" s="139"/>
      <c r="G682" s="139"/>
      <c r="H682" s="139"/>
      <c r="I682" s="473"/>
      <c r="J682" s="139"/>
      <c r="K682" s="139"/>
      <c r="L682" s="139"/>
    </row>
    <row r="683">
      <c r="A683" s="139"/>
      <c r="B683" s="139"/>
      <c r="C683" s="139"/>
      <c r="D683" s="139"/>
      <c r="E683" s="139"/>
      <c r="F683" s="139"/>
      <c r="G683" s="139"/>
      <c r="H683" s="139"/>
      <c r="I683" s="473"/>
      <c r="J683" s="139"/>
      <c r="K683" s="139"/>
      <c r="L683" s="139"/>
    </row>
    <row r="684">
      <c r="A684" s="139"/>
      <c r="B684" s="139"/>
      <c r="C684" s="139"/>
      <c r="D684" s="139"/>
      <c r="E684" s="139"/>
      <c r="F684" s="139"/>
      <c r="G684" s="139"/>
      <c r="H684" s="139"/>
      <c r="I684" s="473"/>
      <c r="J684" s="139"/>
      <c r="K684" s="139"/>
      <c r="L684" s="139"/>
    </row>
    <row r="685">
      <c r="A685" s="139"/>
      <c r="B685" s="139"/>
      <c r="C685" s="139"/>
      <c r="D685" s="139"/>
      <c r="E685" s="139"/>
      <c r="F685" s="139"/>
      <c r="G685" s="139"/>
      <c r="H685" s="139"/>
      <c r="I685" s="473"/>
      <c r="J685" s="139"/>
      <c r="K685" s="139"/>
      <c r="L685" s="139"/>
    </row>
    <row r="686">
      <c r="A686" s="139"/>
      <c r="B686" s="139"/>
      <c r="C686" s="139"/>
      <c r="D686" s="139"/>
      <c r="E686" s="139"/>
      <c r="F686" s="139"/>
      <c r="G686" s="139"/>
      <c r="H686" s="139"/>
      <c r="I686" s="473"/>
      <c r="J686" s="139"/>
      <c r="K686" s="139"/>
      <c r="L686" s="139"/>
    </row>
    <row r="687">
      <c r="A687" s="139"/>
      <c r="B687" s="139"/>
      <c r="C687" s="139"/>
      <c r="D687" s="139"/>
      <c r="E687" s="139"/>
      <c r="F687" s="139"/>
      <c r="G687" s="139"/>
      <c r="H687" s="139"/>
      <c r="I687" s="473"/>
      <c r="J687" s="139"/>
      <c r="K687" s="139"/>
      <c r="L687" s="139"/>
    </row>
    <row r="688">
      <c r="A688" s="139"/>
      <c r="B688" s="139"/>
      <c r="C688" s="139"/>
      <c r="D688" s="139"/>
      <c r="E688" s="139"/>
      <c r="F688" s="139"/>
      <c r="G688" s="139"/>
      <c r="H688" s="139"/>
      <c r="I688" s="473"/>
      <c r="J688" s="139"/>
      <c r="K688" s="139"/>
      <c r="L688" s="139"/>
    </row>
    <row r="689">
      <c r="A689" s="139"/>
      <c r="B689" s="139"/>
      <c r="C689" s="139"/>
      <c r="D689" s="139"/>
      <c r="E689" s="139"/>
      <c r="F689" s="139"/>
      <c r="G689" s="139"/>
      <c r="H689" s="139"/>
      <c r="I689" s="473"/>
      <c r="J689" s="139"/>
      <c r="K689" s="139"/>
      <c r="L689" s="139"/>
    </row>
    <row r="690">
      <c r="A690" s="139"/>
      <c r="B690" s="139"/>
      <c r="C690" s="139"/>
      <c r="D690" s="139"/>
      <c r="E690" s="139"/>
      <c r="F690" s="139"/>
      <c r="G690" s="139"/>
      <c r="H690" s="139"/>
      <c r="I690" s="473"/>
      <c r="J690" s="139"/>
      <c r="K690" s="139"/>
      <c r="L690" s="139"/>
    </row>
    <row r="691">
      <c r="A691" s="139"/>
      <c r="B691" s="139"/>
      <c r="C691" s="139"/>
      <c r="D691" s="139"/>
      <c r="E691" s="139"/>
      <c r="F691" s="139"/>
      <c r="G691" s="139"/>
      <c r="H691" s="139"/>
      <c r="I691" s="473"/>
      <c r="J691" s="139"/>
      <c r="K691" s="139"/>
      <c r="L691" s="139"/>
    </row>
    <row r="692">
      <c r="A692" s="139"/>
      <c r="B692" s="139"/>
      <c r="C692" s="139"/>
      <c r="D692" s="139"/>
      <c r="E692" s="139"/>
      <c r="F692" s="139"/>
      <c r="G692" s="139"/>
      <c r="H692" s="139"/>
      <c r="I692" s="473"/>
      <c r="J692" s="139"/>
      <c r="K692" s="139"/>
      <c r="L692" s="139"/>
    </row>
    <row r="693">
      <c r="A693" s="139"/>
      <c r="B693" s="139"/>
      <c r="C693" s="139"/>
      <c r="D693" s="139"/>
      <c r="E693" s="139"/>
      <c r="F693" s="139"/>
      <c r="G693" s="139"/>
      <c r="H693" s="139"/>
      <c r="I693" s="473"/>
      <c r="J693" s="139"/>
      <c r="K693" s="139"/>
      <c r="L693" s="139"/>
    </row>
    <row r="694">
      <c r="A694" s="139"/>
      <c r="B694" s="139"/>
      <c r="C694" s="139"/>
      <c r="D694" s="139"/>
      <c r="E694" s="139"/>
      <c r="F694" s="139"/>
      <c r="G694" s="139"/>
      <c r="H694" s="139"/>
      <c r="I694" s="473"/>
      <c r="J694" s="139"/>
      <c r="K694" s="139"/>
      <c r="L694" s="139"/>
    </row>
    <row r="695">
      <c r="A695" s="139"/>
      <c r="B695" s="139"/>
      <c r="C695" s="139"/>
      <c r="D695" s="139"/>
      <c r="E695" s="139"/>
      <c r="F695" s="139"/>
      <c r="G695" s="139"/>
      <c r="H695" s="139"/>
      <c r="I695" s="473"/>
      <c r="J695" s="139"/>
      <c r="K695" s="139"/>
      <c r="L695" s="139"/>
    </row>
    <row r="696">
      <c r="A696" s="139"/>
      <c r="B696" s="139"/>
      <c r="C696" s="139"/>
      <c r="D696" s="139"/>
      <c r="E696" s="139"/>
      <c r="F696" s="139"/>
      <c r="G696" s="139"/>
      <c r="H696" s="139"/>
      <c r="I696" s="473"/>
      <c r="J696" s="139"/>
      <c r="K696" s="139"/>
      <c r="L696" s="139"/>
    </row>
    <row r="697">
      <c r="A697" s="139"/>
      <c r="B697" s="139"/>
      <c r="C697" s="139"/>
      <c r="D697" s="139"/>
      <c r="E697" s="139"/>
      <c r="F697" s="139"/>
      <c r="G697" s="139"/>
      <c r="H697" s="139"/>
      <c r="I697" s="473"/>
      <c r="J697" s="139"/>
      <c r="K697" s="139"/>
      <c r="L697" s="139"/>
    </row>
    <row r="698">
      <c r="A698" s="139"/>
      <c r="B698" s="139"/>
      <c r="C698" s="139"/>
      <c r="D698" s="139"/>
      <c r="E698" s="139"/>
      <c r="F698" s="139"/>
      <c r="G698" s="139"/>
      <c r="H698" s="139"/>
      <c r="I698" s="473"/>
      <c r="J698" s="139"/>
      <c r="K698" s="139"/>
      <c r="L698" s="139"/>
    </row>
    <row r="699">
      <c r="A699" s="139"/>
      <c r="B699" s="139"/>
      <c r="C699" s="139"/>
      <c r="D699" s="139"/>
      <c r="E699" s="139"/>
      <c r="F699" s="139"/>
      <c r="G699" s="139"/>
      <c r="H699" s="139"/>
      <c r="I699" s="473"/>
      <c r="J699" s="139"/>
      <c r="K699" s="139"/>
      <c r="L699" s="139"/>
    </row>
    <row r="700">
      <c r="A700" s="139"/>
      <c r="B700" s="139"/>
      <c r="C700" s="139"/>
      <c r="D700" s="139"/>
      <c r="E700" s="139"/>
      <c r="F700" s="139"/>
      <c r="G700" s="139"/>
      <c r="H700" s="139"/>
      <c r="I700" s="473"/>
      <c r="J700" s="139"/>
      <c r="K700" s="139"/>
      <c r="L700" s="139"/>
    </row>
    <row r="701">
      <c r="A701" s="139"/>
      <c r="B701" s="139"/>
      <c r="C701" s="139"/>
      <c r="D701" s="139"/>
      <c r="E701" s="139"/>
      <c r="F701" s="139"/>
      <c r="G701" s="139"/>
      <c r="H701" s="139"/>
      <c r="I701" s="473"/>
      <c r="J701" s="139"/>
      <c r="K701" s="139"/>
      <c r="L701" s="139"/>
    </row>
    <row r="702">
      <c r="A702" s="139"/>
      <c r="B702" s="139"/>
      <c r="C702" s="139"/>
      <c r="D702" s="139"/>
      <c r="E702" s="139"/>
      <c r="F702" s="139"/>
      <c r="G702" s="139"/>
      <c r="H702" s="139"/>
      <c r="I702" s="473"/>
      <c r="J702" s="139"/>
      <c r="K702" s="139"/>
      <c r="L702" s="139"/>
    </row>
    <row r="703">
      <c r="A703" s="139"/>
      <c r="B703" s="139"/>
      <c r="C703" s="139"/>
      <c r="D703" s="139"/>
      <c r="E703" s="139"/>
      <c r="F703" s="139"/>
      <c r="G703" s="139"/>
      <c r="H703" s="139"/>
      <c r="I703" s="473"/>
      <c r="J703" s="139"/>
      <c r="K703" s="139"/>
      <c r="L703" s="139"/>
    </row>
    <row r="704">
      <c r="A704" s="139"/>
      <c r="B704" s="139"/>
      <c r="C704" s="139"/>
      <c r="D704" s="139"/>
      <c r="E704" s="139"/>
      <c r="F704" s="139"/>
      <c r="G704" s="139"/>
      <c r="H704" s="139"/>
      <c r="I704" s="473"/>
      <c r="J704" s="139"/>
      <c r="K704" s="139"/>
      <c r="L704" s="139"/>
    </row>
    <row r="705">
      <c r="A705" s="139"/>
      <c r="B705" s="139"/>
      <c r="C705" s="139"/>
      <c r="D705" s="139"/>
      <c r="E705" s="139"/>
      <c r="F705" s="139"/>
      <c r="G705" s="139"/>
      <c r="H705" s="139"/>
      <c r="I705" s="473"/>
      <c r="J705" s="139"/>
      <c r="K705" s="139"/>
      <c r="L705" s="139"/>
    </row>
    <row r="706">
      <c r="A706" s="139"/>
      <c r="B706" s="139"/>
      <c r="C706" s="139"/>
      <c r="D706" s="139"/>
      <c r="E706" s="139"/>
      <c r="F706" s="139"/>
      <c r="G706" s="139"/>
      <c r="H706" s="139"/>
      <c r="I706" s="473"/>
      <c r="J706" s="139"/>
      <c r="K706" s="139"/>
      <c r="L706" s="139"/>
    </row>
    <row r="707">
      <c r="A707" s="139"/>
      <c r="B707" s="139"/>
      <c r="C707" s="139"/>
      <c r="D707" s="139"/>
      <c r="E707" s="139"/>
      <c r="F707" s="139"/>
      <c r="G707" s="139"/>
      <c r="H707" s="139"/>
      <c r="I707" s="473"/>
      <c r="J707" s="139"/>
      <c r="K707" s="139"/>
      <c r="L707" s="139"/>
    </row>
    <row r="708">
      <c r="A708" s="139"/>
      <c r="B708" s="139"/>
      <c r="C708" s="139"/>
      <c r="D708" s="139"/>
      <c r="E708" s="139"/>
      <c r="F708" s="139"/>
      <c r="G708" s="139"/>
      <c r="H708" s="139"/>
      <c r="I708" s="473"/>
      <c r="J708" s="139"/>
      <c r="K708" s="139"/>
      <c r="L708" s="139"/>
    </row>
    <row r="709">
      <c r="A709" s="139"/>
      <c r="B709" s="139"/>
      <c r="C709" s="139"/>
      <c r="D709" s="139"/>
      <c r="E709" s="139"/>
      <c r="F709" s="139"/>
      <c r="G709" s="139"/>
      <c r="H709" s="139"/>
      <c r="I709" s="473"/>
      <c r="J709" s="139"/>
      <c r="K709" s="139"/>
      <c r="L709" s="139"/>
    </row>
    <row r="710">
      <c r="A710" s="139"/>
      <c r="B710" s="139"/>
      <c r="C710" s="139"/>
      <c r="D710" s="139"/>
      <c r="E710" s="139"/>
      <c r="F710" s="139"/>
      <c r="G710" s="139"/>
      <c r="H710" s="139"/>
      <c r="I710" s="473"/>
      <c r="J710" s="139"/>
      <c r="K710" s="139"/>
      <c r="L710" s="139"/>
    </row>
    <row r="711">
      <c r="A711" s="139"/>
      <c r="B711" s="139"/>
      <c r="C711" s="139"/>
      <c r="D711" s="139"/>
      <c r="E711" s="139"/>
      <c r="F711" s="139"/>
      <c r="G711" s="139"/>
      <c r="H711" s="139"/>
      <c r="I711" s="473"/>
      <c r="J711" s="139"/>
      <c r="K711" s="139"/>
      <c r="L711" s="139"/>
    </row>
    <row r="712">
      <c r="A712" s="139"/>
      <c r="B712" s="139"/>
      <c r="C712" s="139"/>
      <c r="D712" s="139"/>
      <c r="E712" s="139"/>
      <c r="F712" s="139"/>
      <c r="G712" s="139"/>
      <c r="H712" s="139"/>
      <c r="I712" s="473"/>
      <c r="J712" s="139"/>
      <c r="K712" s="139"/>
      <c r="L712" s="139"/>
    </row>
    <row r="713">
      <c r="A713" s="139"/>
      <c r="B713" s="139"/>
      <c r="C713" s="139"/>
      <c r="D713" s="139"/>
      <c r="E713" s="139"/>
      <c r="F713" s="139"/>
      <c r="G713" s="139"/>
      <c r="H713" s="139"/>
      <c r="I713" s="473"/>
      <c r="J713" s="139"/>
      <c r="K713" s="139"/>
      <c r="L713" s="139"/>
    </row>
    <row r="714">
      <c r="A714" s="139"/>
      <c r="B714" s="139"/>
      <c r="C714" s="139"/>
      <c r="D714" s="139"/>
      <c r="E714" s="139"/>
      <c r="F714" s="139"/>
      <c r="G714" s="139"/>
      <c r="H714" s="139"/>
      <c r="I714" s="473"/>
      <c r="J714" s="139"/>
      <c r="K714" s="139"/>
      <c r="L714" s="139"/>
    </row>
    <row r="715">
      <c r="A715" s="139"/>
      <c r="B715" s="139"/>
      <c r="C715" s="139"/>
      <c r="D715" s="139"/>
      <c r="E715" s="139"/>
      <c r="F715" s="139"/>
      <c r="G715" s="139"/>
      <c r="H715" s="139"/>
      <c r="I715" s="473"/>
      <c r="J715" s="139"/>
      <c r="K715" s="139"/>
      <c r="L715" s="139"/>
    </row>
    <row r="716">
      <c r="A716" s="139"/>
      <c r="B716" s="139"/>
      <c r="C716" s="139"/>
      <c r="D716" s="139"/>
      <c r="E716" s="139"/>
      <c r="F716" s="139"/>
      <c r="G716" s="139"/>
      <c r="H716" s="139"/>
      <c r="I716" s="473"/>
      <c r="J716" s="139"/>
      <c r="K716" s="139"/>
      <c r="L716" s="139"/>
    </row>
    <row r="717">
      <c r="A717" s="139"/>
      <c r="B717" s="139"/>
      <c r="C717" s="139"/>
      <c r="D717" s="139"/>
      <c r="E717" s="139"/>
      <c r="F717" s="139"/>
      <c r="G717" s="139"/>
      <c r="H717" s="139"/>
      <c r="I717" s="473"/>
      <c r="J717" s="139"/>
      <c r="K717" s="139"/>
      <c r="L717" s="139"/>
    </row>
    <row r="718">
      <c r="A718" s="139"/>
      <c r="B718" s="139"/>
      <c r="C718" s="139"/>
      <c r="D718" s="139"/>
      <c r="E718" s="139"/>
      <c r="F718" s="139"/>
      <c r="G718" s="139"/>
      <c r="H718" s="139"/>
      <c r="I718" s="473"/>
      <c r="J718" s="139"/>
      <c r="K718" s="139"/>
      <c r="L718" s="139"/>
    </row>
    <row r="719">
      <c r="A719" s="139"/>
      <c r="B719" s="139"/>
      <c r="C719" s="139"/>
      <c r="D719" s="139"/>
      <c r="E719" s="139"/>
      <c r="F719" s="139"/>
      <c r="G719" s="139"/>
      <c r="H719" s="139"/>
      <c r="I719" s="473"/>
      <c r="J719" s="139"/>
      <c r="K719" s="139"/>
      <c r="L719" s="139"/>
    </row>
    <row r="720">
      <c r="A720" s="139"/>
      <c r="B720" s="139"/>
      <c r="C720" s="139"/>
      <c r="D720" s="139"/>
      <c r="E720" s="139"/>
      <c r="F720" s="139"/>
      <c r="G720" s="139"/>
      <c r="H720" s="139"/>
      <c r="I720" s="473"/>
      <c r="J720" s="139"/>
      <c r="K720" s="139"/>
      <c r="L720" s="139"/>
    </row>
    <row r="721">
      <c r="A721" s="139"/>
      <c r="B721" s="139"/>
      <c r="C721" s="139"/>
      <c r="D721" s="139"/>
      <c r="E721" s="139"/>
      <c r="F721" s="139"/>
      <c r="G721" s="139"/>
      <c r="H721" s="139"/>
      <c r="I721" s="473"/>
      <c r="J721" s="139"/>
      <c r="K721" s="139"/>
      <c r="L721" s="139"/>
    </row>
    <row r="722">
      <c r="A722" s="139"/>
      <c r="B722" s="139"/>
      <c r="C722" s="139"/>
      <c r="D722" s="139"/>
      <c r="E722" s="139"/>
      <c r="F722" s="139"/>
      <c r="G722" s="139"/>
      <c r="H722" s="139"/>
      <c r="I722" s="473"/>
      <c r="J722" s="139"/>
      <c r="K722" s="139"/>
      <c r="L722" s="139"/>
    </row>
    <row r="723">
      <c r="A723" s="139"/>
      <c r="B723" s="139"/>
      <c r="C723" s="139"/>
      <c r="D723" s="139"/>
      <c r="E723" s="139"/>
      <c r="F723" s="139"/>
      <c r="G723" s="139"/>
      <c r="H723" s="139"/>
      <c r="I723" s="473"/>
      <c r="J723" s="139"/>
      <c r="K723" s="139"/>
      <c r="L723" s="139"/>
    </row>
    <row r="724">
      <c r="A724" s="139"/>
      <c r="B724" s="139"/>
      <c r="C724" s="139"/>
      <c r="D724" s="139"/>
      <c r="E724" s="139"/>
      <c r="F724" s="139"/>
      <c r="G724" s="139"/>
      <c r="H724" s="139"/>
      <c r="I724" s="473"/>
      <c r="J724" s="139"/>
      <c r="K724" s="139"/>
      <c r="L724" s="139"/>
    </row>
    <row r="725">
      <c r="A725" s="139"/>
      <c r="B725" s="139"/>
      <c r="C725" s="139"/>
      <c r="D725" s="139"/>
      <c r="E725" s="139"/>
      <c r="F725" s="139"/>
      <c r="G725" s="139"/>
      <c r="H725" s="139"/>
      <c r="I725" s="473"/>
      <c r="J725" s="139"/>
      <c r="K725" s="139"/>
      <c r="L725" s="139"/>
    </row>
    <row r="726">
      <c r="A726" s="139"/>
      <c r="B726" s="139"/>
      <c r="C726" s="139"/>
      <c r="D726" s="139"/>
      <c r="E726" s="139"/>
      <c r="F726" s="139"/>
      <c r="G726" s="139"/>
      <c r="H726" s="139"/>
      <c r="I726" s="473"/>
      <c r="J726" s="139"/>
      <c r="K726" s="139"/>
      <c r="L726" s="139"/>
    </row>
    <row r="727">
      <c r="A727" s="139"/>
      <c r="B727" s="139"/>
      <c r="C727" s="139"/>
      <c r="D727" s="139"/>
      <c r="E727" s="139"/>
      <c r="F727" s="139"/>
      <c r="G727" s="139"/>
      <c r="H727" s="139"/>
      <c r="I727" s="473"/>
      <c r="J727" s="139"/>
      <c r="K727" s="139"/>
      <c r="L727" s="139"/>
    </row>
    <row r="728">
      <c r="A728" s="139"/>
      <c r="B728" s="139"/>
      <c r="C728" s="139"/>
      <c r="D728" s="139"/>
      <c r="E728" s="139"/>
      <c r="F728" s="139"/>
      <c r="G728" s="139"/>
      <c r="H728" s="139"/>
      <c r="I728" s="473"/>
      <c r="J728" s="139"/>
      <c r="K728" s="139"/>
      <c r="L728" s="139"/>
    </row>
    <row r="729">
      <c r="A729" s="139"/>
      <c r="B729" s="139"/>
      <c r="C729" s="139"/>
      <c r="D729" s="139"/>
      <c r="E729" s="139"/>
      <c r="F729" s="139"/>
      <c r="G729" s="139"/>
      <c r="H729" s="139"/>
      <c r="I729" s="473"/>
      <c r="J729" s="139"/>
      <c r="K729" s="139"/>
      <c r="L729" s="139"/>
    </row>
    <row r="730">
      <c r="A730" s="139"/>
      <c r="B730" s="139"/>
      <c r="C730" s="139"/>
      <c r="D730" s="139"/>
      <c r="E730" s="139"/>
      <c r="F730" s="139"/>
      <c r="G730" s="139"/>
      <c r="H730" s="139"/>
      <c r="I730" s="473"/>
      <c r="J730" s="139"/>
      <c r="K730" s="139"/>
      <c r="L730" s="139"/>
    </row>
    <row r="731">
      <c r="A731" s="139"/>
      <c r="B731" s="139"/>
      <c r="C731" s="139"/>
      <c r="D731" s="139"/>
      <c r="E731" s="139"/>
      <c r="F731" s="139"/>
      <c r="G731" s="139"/>
      <c r="H731" s="139"/>
      <c r="I731" s="473"/>
      <c r="J731" s="139"/>
      <c r="K731" s="139"/>
      <c r="L731" s="139"/>
    </row>
    <row r="732">
      <c r="A732" s="139"/>
      <c r="B732" s="139"/>
      <c r="C732" s="139"/>
      <c r="D732" s="139"/>
      <c r="E732" s="139"/>
      <c r="F732" s="139"/>
      <c r="G732" s="139"/>
      <c r="H732" s="139"/>
      <c r="I732" s="473"/>
      <c r="J732" s="139"/>
      <c r="K732" s="139"/>
      <c r="L732" s="139"/>
    </row>
    <row r="733">
      <c r="A733" s="139"/>
      <c r="B733" s="139"/>
      <c r="C733" s="139"/>
      <c r="D733" s="139"/>
      <c r="E733" s="139"/>
      <c r="F733" s="139"/>
      <c r="G733" s="139"/>
      <c r="H733" s="139"/>
      <c r="I733" s="473"/>
      <c r="J733" s="139"/>
      <c r="K733" s="139"/>
      <c r="L733" s="139"/>
    </row>
    <row r="734">
      <c r="A734" s="139"/>
      <c r="B734" s="139"/>
      <c r="C734" s="139"/>
      <c r="D734" s="139"/>
      <c r="E734" s="139"/>
      <c r="F734" s="139"/>
      <c r="G734" s="139"/>
      <c r="H734" s="139"/>
      <c r="I734" s="473"/>
      <c r="J734" s="139"/>
      <c r="K734" s="139"/>
      <c r="L734" s="139"/>
    </row>
    <row r="735">
      <c r="A735" s="139"/>
      <c r="B735" s="139"/>
      <c r="C735" s="139"/>
      <c r="D735" s="139"/>
      <c r="E735" s="139"/>
      <c r="F735" s="139"/>
      <c r="G735" s="139"/>
      <c r="H735" s="139"/>
      <c r="I735" s="473"/>
      <c r="J735" s="139"/>
      <c r="K735" s="139"/>
      <c r="L735" s="139"/>
    </row>
    <row r="736">
      <c r="A736" s="139"/>
      <c r="B736" s="139"/>
      <c r="C736" s="139"/>
      <c r="D736" s="139"/>
      <c r="E736" s="139"/>
      <c r="F736" s="139"/>
      <c r="G736" s="139"/>
      <c r="H736" s="139"/>
      <c r="I736" s="473"/>
      <c r="J736" s="139"/>
      <c r="K736" s="139"/>
      <c r="L736" s="139"/>
    </row>
    <row r="737">
      <c r="A737" s="139"/>
      <c r="B737" s="139"/>
      <c r="C737" s="139"/>
      <c r="D737" s="139"/>
      <c r="E737" s="139"/>
      <c r="F737" s="139"/>
      <c r="G737" s="139"/>
      <c r="H737" s="139"/>
      <c r="I737" s="473"/>
      <c r="J737" s="139"/>
      <c r="K737" s="139"/>
      <c r="L737" s="139"/>
    </row>
    <row r="738">
      <c r="A738" s="139"/>
      <c r="B738" s="139"/>
      <c r="C738" s="139"/>
      <c r="D738" s="139"/>
      <c r="E738" s="139"/>
      <c r="F738" s="139"/>
      <c r="G738" s="139"/>
      <c r="H738" s="139"/>
      <c r="I738" s="473"/>
      <c r="J738" s="139"/>
      <c r="K738" s="139"/>
      <c r="L738" s="139"/>
    </row>
    <row r="739">
      <c r="A739" s="139"/>
      <c r="B739" s="139"/>
      <c r="C739" s="139"/>
      <c r="D739" s="139"/>
      <c r="E739" s="139"/>
      <c r="F739" s="139"/>
      <c r="G739" s="139"/>
      <c r="H739" s="139"/>
      <c r="I739" s="473"/>
      <c r="J739" s="139"/>
      <c r="K739" s="139"/>
      <c r="L739" s="139"/>
    </row>
    <row r="740">
      <c r="A740" s="139"/>
      <c r="B740" s="139"/>
      <c r="C740" s="139"/>
      <c r="D740" s="139"/>
      <c r="E740" s="139"/>
      <c r="F740" s="139"/>
      <c r="G740" s="139"/>
      <c r="H740" s="139"/>
      <c r="I740" s="473"/>
      <c r="J740" s="139"/>
      <c r="K740" s="139"/>
      <c r="L740" s="139"/>
    </row>
    <row r="741">
      <c r="A741" s="139"/>
      <c r="B741" s="139"/>
      <c r="C741" s="139"/>
      <c r="D741" s="139"/>
      <c r="E741" s="139"/>
      <c r="F741" s="139"/>
      <c r="G741" s="139"/>
      <c r="H741" s="139"/>
      <c r="I741" s="473"/>
      <c r="J741" s="139"/>
      <c r="K741" s="139"/>
      <c r="L741" s="139"/>
    </row>
    <row r="742">
      <c r="A742" s="139"/>
      <c r="B742" s="139"/>
      <c r="C742" s="139"/>
      <c r="D742" s="139"/>
      <c r="E742" s="139"/>
      <c r="F742" s="139"/>
      <c r="G742" s="139"/>
      <c r="H742" s="139"/>
      <c r="I742" s="473"/>
      <c r="J742" s="139"/>
      <c r="K742" s="139"/>
      <c r="L742" s="139"/>
    </row>
    <row r="743">
      <c r="A743" s="139"/>
      <c r="B743" s="139"/>
      <c r="C743" s="139"/>
      <c r="D743" s="139"/>
      <c r="E743" s="139"/>
      <c r="F743" s="139"/>
      <c r="G743" s="139"/>
      <c r="H743" s="139"/>
      <c r="I743" s="473"/>
      <c r="J743" s="139"/>
      <c r="K743" s="139"/>
      <c r="L743" s="139"/>
    </row>
    <row r="744">
      <c r="A744" s="139"/>
      <c r="B744" s="139"/>
      <c r="C744" s="139"/>
      <c r="D744" s="139"/>
      <c r="E744" s="139"/>
      <c r="F744" s="139"/>
      <c r="G744" s="139"/>
      <c r="H744" s="139"/>
      <c r="I744" s="473"/>
      <c r="J744" s="139"/>
      <c r="K744" s="139"/>
      <c r="L744" s="139"/>
    </row>
    <row r="745">
      <c r="A745" s="139"/>
      <c r="B745" s="139"/>
      <c r="C745" s="139"/>
      <c r="D745" s="139"/>
      <c r="E745" s="139"/>
      <c r="F745" s="139"/>
      <c r="G745" s="139"/>
      <c r="H745" s="139"/>
      <c r="I745" s="473"/>
      <c r="J745" s="139"/>
      <c r="K745" s="139"/>
      <c r="L745" s="139"/>
    </row>
    <row r="746">
      <c r="A746" s="139"/>
      <c r="B746" s="139"/>
      <c r="C746" s="139"/>
      <c r="D746" s="139"/>
      <c r="E746" s="139"/>
      <c r="F746" s="139"/>
      <c r="G746" s="139"/>
      <c r="H746" s="139"/>
      <c r="I746" s="473"/>
      <c r="J746" s="139"/>
      <c r="K746" s="139"/>
      <c r="L746" s="139"/>
    </row>
    <row r="747">
      <c r="A747" s="139"/>
      <c r="B747" s="139"/>
      <c r="C747" s="139"/>
      <c r="D747" s="139"/>
      <c r="E747" s="139"/>
      <c r="F747" s="139"/>
      <c r="G747" s="139"/>
      <c r="H747" s="139"/>
      <c r="I747" s="473"/>
      <c r="J747" s="139"/>
      <c r="K747" s="139"/>
      <c r="L747" s="139"/>
    </row>
    <row r="748">
      <c r="A748" s="139"/>
      <c r="B748" s="139"/>
      <c r="C748" s="139"/>
      <c r="D748" s="139"/>
      <c r="E748" s="139"/>
      <c r="F748" s="139"/>
      <c r="G748" s="139"/>
      <c r="H748" s="139"/>
      <c r="I748" s="473"/>
      <c r="J748" s="139"/>
      <c r="K748" s="139"/>
      <c r="L748" s="139"/>
    </row>
    <row r="749">
      <c r="A749" s="139"/>
      <c r="B749" s="139"/>
      <c r="C749" s="139"/>
      <c r="D749" s="139"/>
      <c r="E749" s="139"/>
      <c r="F749" s="139"/>
      <c r="G749" s="139"/>
      <c r="H749" s="139"/>
      <c r="I749" s="473"/>
      <c r="J749" s="139"/>
      <c r="K749" s="139"/>
      <c r="L749" s="139"/>
    </row>
    <row r="750">
      <c r="A750" s="139"/>
      <c r="B750" s="139"/>
      <c r="C750" s="139"/>
      <c r="D750" s="139"/>
      <c r="E750" s="139"/>
      <c r="F750" s="139"/>
      <c r="G750" s="139"/>
      <c r="H750" s="139"/>
      <c r="I750" s="473"/>
      <c r="J750" s="139"/>
      <c r="K750" s="139"/>
      <c r="L750" s="139"/>
    </row>
    <row r="751">
      <c r="A751" s="139"/>
      <c r="B751" s="139"/>
      <c r="C751" s="139"/>
      <c r="D751" s="139"/>
      <c r="E751" s="139"/>
      <c r="F751" s="139"/>
      <c r="G751" s="139"/>
      <c r="H751" s="139"/>
      <c r="I751" s="473"/>
      <c r="J751" s="139"/>
      <c r="K751" s="139"/>
      <c r="L751" s="139"/>
    </row>
    <row r="752">
      <c r="A752" s="139"/>
      <c r="B752" s="139"/>
      <c r="C752" s="139"/>
      <c r="D752" s="139"/>
      <c r="E752" s="139"/>
      <c r="F752" s="139"/>
      <c r="G752" s="139"/>
      <c r="H752" s="139"/>
      <c r="I752" s="473"/>
      <c r="J752" s="139"/>
      <c r="K752" s="139"/>
      <c r="L752" s="139"/>
    </row>
    <row r="753">
      <c r="A753" s="139"/>
      <c r="B753" s="139"/>
      <c r="C753" s="139"/>
      <c r="D753" s="139"/>
      <c r="E753" s="139"/>
      <c r="F753" s="139"/>
      <c r="G753" s="139"/>
      <c r="H753" s="139"/>
      <c r="I753" s="473"/>
      <c r="J753" s="139"/>
      <c r="K753" s="139"/>
      <c r="L753" s="139"/>
    </row>
    <row r="754">
      <c r="A754" s="139"/>
      <c r="B754" s="139"/>
      <c r="C754" s="139"/>
      <c r="D754" s="139"/>
      <c r="E754" s="139"/>
      <c r="F754" s="139"/>
      <c r="G754" s="139"/>
      <c r="H754" s="139"/>
      <c r="I754" s="473"/>
      <c r="J754" s="139"/>
      <c r="K754" s="139"/>
      <c r="L754" s="139"/>
    </row>
    <row r="755">
      <c r="A755" s="139"/>
      <c r="B755" s="139"/>
      <c r="C755" s="139"/>
      <c r="D755" s="139"/>
      <c r="E755" s="139"/>
      <c r="F755" s="139"/>
      <c r="G755" s="139"/>
      <c r="H755" s="139"/>
      <c r="I755" s="473"/>
      <c r="J755" s="139"/>
      <c r="K755" s="139"/>
      <c r="L755" s="139"/>
    </row>
    <row r="756">
      <c r="A756" s="139"/>
      <c r="B756" s="139"/>
      <c r="C756" s="139"/>
      <c r="D756" s="139"/>
      <c r="E756" s="139"/>
      <c r="F756" s="139"/>
      <c r="G756" s="139"/>
      <c r="H756" s="139"/>
      <c r="I756" s="473"/>
      <c r="J756" s="139"/>
      <c r="K756" s="139"/>
      <c r="L756" s="139"/>
    </row>
    <row r="757">
      <c r="A757" s="139"/>
      <c r="B757" s="139"/>
      <c r="C757" s="139"/>
      <c r="D757" s="139"/>
      <c r="E757" s="139"/>
      <c r="F757" s="139"/>
      <c r="G757" s="139"/>
      <c r="H757" s="139"/>
      <c r="I757" s="473"/>
      <c r="J757" s="139"/>
      <c r="K757" s="139"/>
      <c r="L757" s="139"/>
    </row>
    <row r="758">
      <c r="A758" s="139"/>
      <c r="B758" s="139"/>
      <c r="C758" s="139"/>
      <c r="D758" s="139"/>
      <c r="E758" s="139"/>
      <c r="F758" s="139"/>
      <c r="G758" s="139"/>
      <c r="H758" s="139"/>
      <c r="I758" s="473"/>
      <c r="J758" s="139"/>
      <c r="K758" s="139"/>
      <c r="L758" s="139"/>
    </row>
    <row r="759">
      <c r="A759" s="139"/>
      <c r="B759" s="139"/>
      <c r="C759" s="139"/>
      <c r="D759" s="139"/>
      <c r="E759" s="139"/>
      <c r="F759" s="139"/>
      <c r="G759" s="139"/>
      <c r="H759" s="139"/>
      <c r="I759" s="473"/>
      <c r="J759" s="139"/>
      <c r="K759" s="139"/>
      <c r="L759" s="139"/>
    </row>
    <row r="760">
      <c r="A760" s="139"/>
      <c r="B760" s="139"/>
      <c r="C760" s="139"/>
      <c r="D760" s="139"/>
      <c r="E760" s="139"/>
      <c r="F760" s="139"/>
      <c r="G760" s="139"/>
      <c r="H760" s="139"/>
      <c r="I760" s="473"/>
      <c r="J760" s="139"/>
      <c r="K760" s="139"/>
      <c r="L760" s="139"/>
    </row>
    <row r="761">
      <c r="A761" s="139"/>
      <c r="B761" s="139"/>
      <c r="C761" s="139"/>
      <c r="D761" s="139"/>
      <c r="E761" s="139"/>
      <c r="F761" s="139"/>
      <c r="G761" s="139"/>
      <c r="H761" s="139"/>
      <c r="I761" s="473"/>
      <c r="J761" s="139"/>
      <c r="K761" s="139"/>
      <c r="L761" s="139"/>
    </row>
    <row r="762">
      <c r="A762" s="139"/>
      <c r="B762" s="139"/>
      <c r="C762" s="139"/>
      <c r="D762" s="139"/>
      <c r="E762" s="139"/>
      <c r="F762" s="139"/>
      <c r="G762" s="139"/>
      <c r="H762" s="139"/>
      <c r="I762" s="473"/>
      <c r="J762" s="139"/>
      <c r="K762" s="139"/>
      <c r="L762" s="139"/>
    </row>
    <row r="763">
      <c r="A763" s="139"/>
      <c r="B763" s="139"/>
      <c r="C763" s="139"/>
      <c r="D763" s="139"/>
      <c r="E763" s="139"/>
      <c r="F763" s="139"/>
      <c r="G763" s="139"/>
      <c r="H763" s="139"/>
      <c r="I763" s="473"/>
      <c r="J763" s="139"/>
      <c r="K763" s="139"/>
      <c r="L763" s="139"/>
    </row>
    <row r="764">
      <c r="A764" s="139"/>
      <c r="B764" s="139"/>
      <c r="C764" s="139"/>
      <c r="D764" s="139"/>
      <c r="E764" s="139"/>
      <c r="F764" s="139"/>
      <c r="G764" s="139"/>
      <c r="H764" s="139"/>
      <c r="I764" s="473"/>
      <c r="J764" s="139"/>
      <c r="K764" s="139"/>
      <c r="L764" s="139"/>
    </row>
    <row r="765">
      <c r="A765" s="139"/>
      <c r="B765" s="139"/>
      <c r="C765" s="139"/>
      <c r="D765" s="139"/>
      <c r="E765" s="139"/>
      <c r="F765" s="139"/>
      <c r="G765" s="139"/>
      <c r="H765" s="139"/>
      <c r="I765" s="473"/>
      <c r="J765" s="139"/>
      <c r="K765" s="139"/>
      <c r="L765" s="139"/>
    </row>
    <row r="766">
      <c r="A766" s="139"/>
      <c r="B766" s="139"/>
      <c r="C766" s="139"/>
      <c r="D766" s="139"/>
      <c r="E766" s="139"/>
      <c r="F766" s="139"/>
      <c r="G766" s="139"/>
      <c r="H766" s="139"/>
      <c r="I766" s="473"/>
      <c r="J766" s="139"/>
      <c r="K766" s="139"/>
      <c r="L766" s="139"/>
    </row>
    <row r="767">
      <c r="A767" s="139"/>
      <c r="B767" s="139"/>
      <c r="C767" s="139"/>
      <c r="D767" s="139"/>
      <c r="E767" s="139"/>
      <c r="F767" s="139"/>
      <c r="G767" s="139"/>
      <c r="H767" s="139"/>
      <c r="I767" s="473"/>
      <c r="J767" s="139"/>
      <c r="K767" s="139"/>
      <c r="L767" s="139"/>
    </row>
    <row r="768">
      <c r="A768" s="139"/>
      <c r="B768" s="139"/>
      <c r="C768" s="139"/>
      <c r="D768" s="139"/>
      <c r="E768" s="139"/>
      <c r="F768" s="139"/>
      <c r="G768" s="139"/>
      <c r="H768" s="139"/>
      <c r="I768" s="473"/>
      <c r="J768" s="139"/>
      <c r="K768" s="139"/>
      <c r="L768" s="139"/>
    </row>
    <row r="769">
      <c r="A769" s="139"/>
      <c r="B769" s="139"/>
      <c r="C769" s="139"/>
      <c r="D769" s="139"/>
      <c r="E769" s="139"/>
      <c r="F769" s="139"/>
      <c r="G769" s="139"/>
      <c r="H769" s="139"/>
      <c r="I769" s="473"/>
      <c r="J769" s="139"/>
      <c r="K769" s="139"/>
      <c r="L769" s="139"/>
    </row>
    <row r="770">
      <c r="A770" s="139"/>
      <c r="B770" s="139"/>
      <c r="C770" s="139"/>
      <c r="D770" s="139"/>
      <c r="E770" s="139"/>
      <c r="F770" s="139"/>
      <c r="G770" s="139"/>
      <c r="H770" s="139"/>
      <c r="I770" s="473"/>
      <c r="J770" s="139"/>
      <c r="K770" s="139"/>
      <c r="L770" s="139"/>
    </row>
    <row r="771">
      <c r="A771" s="139"/>
      <c r="B771" s="139"/>
      <c r="C771" s="139"/>
      <c r="D771" s="139"/>
      <c r="E771" s="139"/>
      <c r="F771" s="139"/>
      <c r="G771" s="139"/>
      <c r="H771" s="139"/>
      <c r="I771" s="473"/>
      <c r="J771" s="139"/>
      <c r="K771" s="139"/>
      <c r="L771" s="139"/>
    </row>
    <row r="772">
      <c r="A772" s="139"/>
      <c r="B772" s="139"/>
      <c r="C772" s="139"/>
      <c r="D772" s="139"/>
      <c r="E772" s="139"/>
      <c r="F772" s="139"/>
      <c r="G772" s="139"/>
      <c r="H772" s="139"/>
      <c r="I772" s="473"/>
      <c r="J772" s="139"/>
      <c r="K772" s="139"/>
      <c r="L772" s="139"/>
    </row>
    <row r="773">
      <c r="A773" s="139"/>
      <c r="B773" s="139"/>
      <c r="C773" s="139"/>
      <c r="D773" s="139"/>
      <c r="E773" s="139"/>
      <c r="F773" s="139"/>
      <c r="G773" s="139"/>
      <c r="H773" s="139"/>
      <c r="I773" s="473"/>
      <c r="J773" s="139"/>
      <c r="K773" s="139"/>
      <c r="L773" s="139"/>
    </row>
    <row r="774">
      <c r="A774" s="139"/>
      <c r="B774" s="139"/>
      <c r="C774" s="139"/>
      <c r="D774" s="139"/>
      <c r="E774" s="139"/>
      <c r="F774" s="139"/>
      <c r="G774" s="139"/>
      <c r="H774" s="139"/>
      <c r="I774" s="473"/>
      <c r="J774" s="139"/>
      <c r="K774" s="139"/>
      <c r="L774" s="139"/>
    </row>
    <row r="775">
      <c r="A775" s="139"/>
      <c r="B775" s="139"/>
      <c r="C775" s="139"/>
      <c r="D775" s="139"/>
      <c r="E775" s="139"/>
      <c r="F775" s="139"/>
      <c r="G775" s="139"/>
      <c r="H775" s="139"/>
      <c r="I775" s="473"/>
      <c r="J775" s="139"/>
      <c r="K775" s="139"/>
      <c r="L775" s="139"/>
    </row>
    <row r="776">
      <c r="A776" s="139"/>
      <c r="B776" s="139"/>
      <c r="C776" s="139"/>
      <c r="D776" s="139"/>
      <c r="E776" s="139"/>
      <c r="F776" s="139"/>
      <c r="G776" s="139"/>
      <c r="H776" s="139"/>
      <c r="I776" s="473"/>
      <c r="J776" s="139"/>
      <c r="K776" s="139"/>
      <c r="L776" s="139"/>
    </row>
    <row r="777">
      <c r="A777" s="139"/>
      <c r="B777" s="139"/>
      <c r="C777" s="139"/>
      <c r="D777" s="139"/>
      <c r="E777" s="139"/>
      <c r="F777" s="139"/>
      <c r="G777" s="139"/>
      <c r="H777" s="139"/>
      <c r="I777" s="473"/>
      <c r="J777" s="139"/>
      <c r="K777" s="139"/>
      <c r="L777" s="139"/>
    </row>
    <row r="778">
      <c r="A778" s="139"/>
      <c r="B778" s="139"/>
      <c r="C778" s="139"/>
      <c r="D778" s="139"/>
      <c r="E778" s="139"/>
      <c r="F778" s="139"/>
      <c r="G778" s="139"/>
      <c r="H778" s="139"/>
      <c r="I778" s="473"/>
      <c r="J778" s="139"/>
      <c r="K778" s="139"/>
      <c r="L778" s="139"/>
    </row>
    <row r="779">
      <c r="A779" s="139"/>
      <c r="B779" s="139"/>
      <c r="C779" s="139"/>
      <c r="D779" s="139"/>
      <c r="E779" s="139"/>
      <c r="F779" s="139"/>
      <c r="G779" s="139"/>
      <c r="H779" s="139"/>
      <c r="I779" s="473"/>
      <c r="J779" s="139"/>
      <c r="K779" s="139"/>
      <c r="L779" s="139"/>
    </row>
    <row r="780">
      <c r="A780" s="139"/>
      <c r="B780" s="139"/>
      <c r="C780" s="139"/>
      <c r="D780" s="139"/>
      <c r="E780" s="139"/>
      <c r="F780" s="139"/>
      <c r="G780" s="139"/>
      <c r="H780" s="139"/>
      <c r="I780" s="473"/>
      <c r="J780" s="139"/>
      <c r="K780" s="139"/>
      <c r="L780" s="139"/>
    </row>
    <row r="781">
      <c r="A781" s="139"/>
      <c r="B781" s="139"/>
      <c r="C781" s="139"/>
      <c r="D781" s="139"/>
      <c r="E781" s="139"/>
      <c r="F781" s="139"/>
      <c r="G781" s="139"/>
      <c r="H781" s="139"/>
      <c r="I781" s="473"/>
      <c r="J781" s="139"/>
      <c r="K781" s="139"/>
      <c r="L781" s="139"/>
    </row>
    <row r="782">
      <c r="A782" s="139"/>
      <c r="B782" s="139"/>
      <c r="C782" s="139"/>
      <c r="D782" s="139"/>
      <c r="E782" s="139"/>
      <c r="F782" s="139"/>
      <c r="G782" s="139"/>
      <c r="H782" s="139"/>
      <c r="I782" s="473"/>
      <c r="J782" s="139"/>
      <c r="K782" s="139"/>
      <c r="L782" s="139"/>
    </row>
    <row r="783">
      <c r="A783" s="139"/>
      <c r="B783" s="139"/>
      <c r="C783" s="139"/>
      <c r="D783" s="139"/>
      <c r="E783" s="139"/>
      <c r="F783" s="139"/>
      <c r="G783" s="139"/>
      <c r="H783" s="139"/>
      <c r="I783" s="473"/>
      <c r="J783" s="139"/>
      <c r="K783" s="139"/>
      <c r="L783" s="139"/>
    </row>
    <row r="784">
      <c r="A784" s="139"/>
      <c r="B784" s="139"/>
      <c r="C784" s="139"/>
      <c r="D784" s="139"/>
      <c r="E784" s="139"/>
      <c r="F784" s="139"/>
      <c r="G784" s="139"/>
      <c r="H784" s="139"/>
      <c r="I784" s="473"/>
      <c r="J784" s="139"/>
      <c r="K784" s="139"/>
      <c r="L784" s="139"/>
    </row>
    <row r="785">
      <c r="A785" s="139"/>
      <c r="B785" s="139"/>
      <c r="C785" s="139"/>
      <c r="D785" s="139"/>
      <c r="E785" s="139"/>
      <c r="F785" s="139"/>
      <c r="G785" s="139"/>
      <c r="H785" s="139"/>
      <c r="I785" s="473"/>
      <c r="J785" s="139"/>
      <c r="K785" s="139"/>
      <c r="L785" s="139"/>
    </row>
    <row r="786">
      <c r="A786" s="139"/>
      <c r="B786" s="139"/>
      <c r="C786" s="139"/>
      <c r="D786" s="139"/>
      <c r="E786" s="139"/>
      <c r="F786" s="139"/>
      <c r="G786" s="139"/>
      <c r="H786" s="139"/>
      <c r="I786" s="473"/>
      <c r="J786" s="139"/>
      <c r="K786" s="139"/>
      <c r="L786" s="139"/>
    </row>
    <row r="787">
      <c r="A787" s="139"/>
      <c r="B787" s="139"/>
      <c r="C787" s="139"/>
      <c r="D787" s="139"/>
      <c r="E787" s="139"/>
      <c r="F787" s="139"/>
      <c r="G787" s="139"/>
      <c r="H787" s="139"/>
      <c r="I787" s="473"/>
      <c r="J787" s="139"/>
      <c r="K787" s="139"/>
      <c r="L787" s="139"/>
    </row>
    <row r="788">
      <c r="A788" s="139"/>
      <c r="B788" s="139"/>
      <c r="C788" s="139"/>
      <c r="D788" s="139"/>
      <c r="E788" s="139"/>
      <c r="F788" s="139"/>
      <c r="G788" s="139"/>
      <c r="H788" s="139"/>
      <c r="I788" s="473"/>
      <c r="J788" s="139"/>
      <c r="K788" s="139"/>
      <c r="L788" s="139"/>
    </row>
    <row r="789">
      <c r="A789" s="139"/>
      <c r="B789" s="139"/>
      <c r="C789" s="139"/>
      <c r="D789" s="139"/>
      <c r="E789" s="139"/>
      <c r="F789" s="139"/>
      <c r="G789" s="139"/>
      <c r="H789" s="139"/>
      <c r="I789" s="473"/>
      <c r="J789" s="139"/>
      <c r="K789" s="139"/>
      <c r="L789" s="139"/>
    </row>
    <row r="790">
      <c r="A790" s="139"/>
      <c r="B790" s="139"/>
      <c r="C790" s="139"/>
      <c r="D790" s="139"/>
      <c r="E790" s="139"/>
      <c r="F790" s="139"/>
      <c r="G790" s="139"/>
      <c r="H790" s="139"/>
      <c r="I790" s="473"/>
      <c r="J790" s="139"/>
      <c r="K790" s="139"/>
      <c r="L790" s="139"/>
    </row>
    <row r="791">
      <c r="A791" s="139"/>
      <c r="B791" s="139"/>
      <c r="C791" s="139"/>
      <c r="D791" s="139"/>
      <c r="E791" s="139"/>
      <c r="F791" s="139"/>
      <c r="G791" s="139"/>
      <c r="H791" s="139"/>
      <c r="I791" s="473"/>
      <c r="J791" s="139"/>
      <c r="K791" s="139"/>
      <c r="L791" s="139"/>
    </row>
    <row r="792">
      <c r="A792" s="139"/>
      <c r="B792" s="139"/>
      <c r="C792" s="139"/>
      <c r="D792" s="139"/>
      <c r="E792" s="139"/>
      <c r="F792" s="139"/>
      <c r="G792" s="139"/>
      <c r="H792" s="139"/>
      <c r="I792" s="473"/>
      <c r="J792" s="139"/>
      <c r="K792" s="139"/>
      <c r="L792" s="139"/>
    </row>
    <row r="793">
      <c r="A793" s="139"/>
      <c r="B793" s="139"/>
      <c r="C793" s="139"/>
      <c r="D793" s="139"/>
      <c r="E793" s="139"/>
      <c r="F793" s="139"/>
      <c r="G793" s="139"/>
      <c r="H793" s="139"/>
      <c r="I793" s="473"/>
      <c r="J793" s="139"/>
      <c r="K793" s="139"/>
      <c r="L793" s="139"/>
    </row>
    <row r="794">
      <c r="A794" s="139"/>
      <c r="B794" s="139"/>
      <c r="C794" s="139"/>
      <c r="D794" s="139"/>
      <c r="E794" s="139"/>
      <c r="F794" s="139"/>
      <c r="G794" s="139"/>
      <c r="H794" s="139"/>
      <c r="I794" s="473"/>
      <c r="J794" s="139"/>
      <c r="K794" s="139"/>
      <c r="L794" s="139"/>
    </row>
    <row r="795">
      <c r="A795" s="139"/>
      <c r="B795" s="139"/>
      <c r="C795" s="139"/>
      <c r="D795" s="139"/>
      <c r="E795" s="139"/>
      <c r="F795" s="139"/>
      <c r="G795" s="139"/>
      <c r="H795" s="139"/>
      <c r="I795" s="473"/>
      <c r="J795" s="139"/>
      <c r="K795" s="139"/>
      <c r="L795" s="139"/>
    </row>
    <row r="796">
      <c r="A796" s="139"/>
      <c r="B796" s="139"/>
      <c r="C796" s="139"/>
      <c r="D796" s="139"/>
      <c r="E796" s="139"/>
      <c r="F796" s="139"/>
      <c r="G796" s="139"/>
      <c r="H796" s="139"/>
      <c r="I796" s="473"/>
      <c r="J796" s="139"/>
      <c r="K796" s="139"/>
      <c r="L796" s="139"/>
    </row>
    <row r="797">
      <c r="A797" s="139"/>
      <c r="B797" s="139"/>
      <c r="C797" s="139"/>
      <c r="D797" s="139"/>
      <c r="E797" s="139"/>
      <c r="F797" s="139"/>
      <c r="G797" s="139"/>
      <c r="H797" s="139"/>
      <c r="I797" s="473"/>
      <c r="J797" s="139"/>
      <c r="K797" s="139"/>
      <c r="L797" s="139"/>
    </row>
    <row r="798">
      <c r="A798" s="139"/>
      <c r="B798" s="139"/>
      <c r="C798" s="139"/>
      <c r="D798" s="139"/>
      <c r="E798" s="139"/>
      <c r="F798" s="139"/>
      <c r="G798" s="139"/>
      <c r="H798" s="139"/>
      <c r="I798" s="473"/>
      <c r="J798" s="139"/>
      <c r="K798" s="139"/>
      <c r="L798" s="139"/>
    </row>
    <row r="799">
      <c r="A799" s="139"/>
      <c r="B799" s="139"/>
      <c r="C799" s="139"/>
      <c r="D799" s="139"/>
      <c r="E799" s="139"/>
      <c r="F799" s="139"/>
      <c r="G799" s="139"/>
      <c r="H799" s="139"/>
      <c r="I799" s="473"/>
      <c r="J799" s="139"/>
      <c r="K799" s="139"/>
      <c r="L799" s="139"/>
    </row>
    <row r="800">
      <c r="A800" s="139"/>
      <c r="B800" s="139"/>
      <c r="C800" s="139"/>
      <c r="D800" s="139"/>
      <c r="E800" s="139"/>
      <c r="F800" s="139"/>
      <c r="G800" s="139"/>
      <c r="H800" s="139"/>
      <c r="I800" s="473"/>
      <c r="J800" s="139"/>
      <c r="K800" s="139"/>
      <c r="L800" s="139"/>
    </row>
    <row r="801">
      <c r="A801" s="139"/>
      <c r="B801" s="139"/>
      <c r="C801" s="139"/>
      <c r="D801" s="139"/>
      <c r="E801" s="139"/>
      <c r="F801" s="139"/>
      <c r="G801" s="139"/>
      <c r="H801" s="139"/>
      <c r="I801" s="473"/>
      <c r="J801" s="139"/>
      <c r="K801" s="139"/>
      <c r="L801" s="139"/>
    </row>
    <row r="802">
      <c r="A802" s="139"/>
      <c r="B802" s="139"/>
      <c r="C802" s="139"/>
      <c r="D802" s="139"/>
      <c r="E802" s="139"/>
      <c r="F802" s="139"/>
      <c r="G802" s="139"/>
      <c r="H802" s="139"/>
      <c r="I802" s="473"/>
      <c r="J802" s="139"/>
      <c r="K802" s="139"/>
      <c r="L802" s="139"/>
    </row>
    <row r="803">
      <c r="A803" s="139"/>
      <c r="B803" s="139"/>
      <c r="C803" s="139"/>
      <c r="D803" s="139"/>
      <c r="E803" s="139"/>
      <c r="F803" s="139"/>
      <c r="G803" s="139"/>
      <c r="H803" s="139"/>
      <c r="I803" s="473"/>
      <c r="J803" s="139"/>
      <c r="K803" s="139"/>
      <c r="L803" s="139"/>
    </row>
    <row r="804">
      <c r="A804" s="139"/>
      <c r="B804" s="139"/>
      <c r="C804" s="139"/>
      <c r="D804" s="139"/>
      <c r="E804" s="139"/>
      <c r="F804" s="139"/>
      <c r="G804" s="139"/>
      <c r="H804" s="139"/>
      <c r="I804" s="473"/>
      <c r="J804" s="139"/>
      <c r="K804" s="139"/>
      <c r="L804" s="139"/>
    </row>
    <row r="805">
      <c r="A805" s="139"/>
      <c r="B805" s="139"/>
      <c r="C805" s="139"/>
      <c r="D805" s="139"/>
      <c r="E805" s="139"/>
      <c r="F805" s="139"/>
      <c r="G805" s="139"/>
      <c r="H805" s="139"/>
      <c r="I805" s="473"/>
      <c r="J805" s="139"/>
      <c r="K805" s="139"/>
      <c r="L805" s="139"/>
    </row>
    <row r="806">
      <c r="A806" s="139"/>
      <c r="B806" s="139"/>
      <c r="C806" s="139"/>
      <c r="D806" s="139"/>
      <c r="E806" s="139"/>
      <c r="F806" s="139"/>
      <c r="G806" s="139"/>
      <c r="H806" s="139"/>
      <c r="I806" s="473"/>
      <c r="J806" s="139"/>
      <c r="K806" s="139"/>
      <c r="L806" s="139"/>
    </row>
    <row r="807">
      <c r="A807" s="139"/>
      <c r="B807" s="139"/>
      <c r="C807" s="139"/>
      <c r="D807" s="139"/>
      <c r="E807" s="139"/>
      <c r="F807" s="139"/>
      <c r="G807" s="139"/>
      <c r="H807" s="139"/>
      <c r="I807" s="473"/>
      <c r="J807" s="139"/>
      <c r="K807" s="139"/>
      <c r="L807" s="139"/>
    </row>
    <row r="808">
      <c r="A808" s="139"/>
      <c r="B808" s="139"/>
      <c r="C808" s="139"/>
      <c r="D808" s="139"/>
      <c r="E808" s="139"/>
      <c r="F808" s="139"/>
      <c r="G808" s="139"/>
      <c r="H808" s="139"/>
      <c r="I808" s="473"/>
      <c r="J808" s="139"/>
      <c r="K808" s="139"/>
      <c r="L808" s="139"/>
    </row>
    <row r="809">
      <c r="A809" s="139"/>
      <c r="B809" s="139"/>
      <c r="C809" s="139"/>
      <c r="D809" s="139"/>
      <c r="E809" s="139"/>
      <c r="F809" s="139"/>
      <c r="G809" s="139"/>
      <c r="H809" s="139"/>
      <c r="I809" s="473"/>
      <c r="J809" s="139"/>
      <c r="K809" s="139"/>
      <c r="L809" s="139"/>
    </row>
    <row r="810">
      <c r="A810" s="139"/>
      <c r="B810" s="139"/>
      <c r="C810" s="139"/>
      <c r="D810" s="139"/>
      <c r="E810" s="139"/>
      <c r="F810" s="139"/>
      <c r="G810" s="139"/>
      <c r="H810" s="139"/>
      <c r="I810" s="473"/>
      <c r="J810" s="139"/>
      <c r="K810" s="139"/>
      <c r="L810" s="139"/>
    </row>
    <row r="811">
      <c r="A811" s="139"/>
      <c r="B811" s="139"/>
      <c r="C811" s="139"/>
      <c r="D811" s="139"/>
      <c r="E811" s="139"/>
      <c r="F811" s="139"/>
      <c r="G811" s="139"/>
      <c r="H811" s="139"/>
      <c r="I811" s="473"/>
      <c r="J811" s="139"/>
      <c r="K811" s="139"/>
      <c r="L811" s="139"/>
    </row>
    <row r="812">
      <c r="A812" s="139"/>
      <c r="B812" s="139"/>
      <c r="C812" s="139"/>
      <c r="D812" s="139"/>
      <c r="E812" s="139"/>
      <c r="F812" s="139"/>
      <c r="G812" s="139"/>
      <c r="H812" s="139"/>
      <c r="I812" s="473"/>
      <c r="J812" s="139"/>
      <c r="K812" s="139"/>
      <c r="L812" s="139"/>
    </row>
    <row r="813">
      <c r="A813" s="139"/>
      <c r="B813" s="139"/>
      <c r="C813" s="139"/>
      <c r="D813" s="139"/>
      <c r="E813" s="139"/>
      <c r="F813" s="139"/>
      <c r="G813" s="139"/>
      <c r="H813" s="139"/>
      <c r="I813" s="473"/>
      <c r="J813" s="139"/>
      <c r="K813" s="139"/>
      <c r="L813" s="139"/>
    </row>
    <row r="814">
      <c r="A814" s="139"/>
      <c r="B814" s="139"/>
      <c r="C814" s="139"/>
      <c r="D814" s="139"/>
      <c r="E814" s="139"/>
      <c r="F814" s="139"/>
      <c r="G814" s="139"/>
      <c r="H814" s="139"/>
      <c r="I814" s="473"/>
      <c r="J814" s="139"/>
      <c r="K814" s="139"/>
      <c r="L814" s="139"/>
    </row>
    <row r="815">
      <c r="A815" s="139"/>
      <c r="B815" s="139"/>
      <c r="C815" s="139"/>
      <c r="D815" s="139"/>
      <c r="E815" s="139"/>
      <c r="F815" s="139"/>
      <c r="G815" s="139"/>
      <c r="H815" s="139"/>
      <c r="I815" s="473"/>
      <c r="J815" s="139"/>
      <c r="K815" s="139"/>
      <c r="L815" s="139"/>
    </row>
    <row r="816">
      <c r="A816" s="139"/>
      <c r="B816" s="139"/>
      <c r="C816" s="139"/>
      <c r="D816" s="139"/>
      <c r="E816" s="139"/>
      <c r="F816" s="139"/>
      <c r="G816" s="139"/>
      <c r="H816" s="139"/>
      <c r="I816" s="473"/>
      <c r="J816" s="139"/>
      <c r="K816" s="139"/>
      <c r="L816" s="139"/>
    </row>
    <row r="817">
      <c r="A817" s="139"/>
      <c r="B817" s="139"/>
      <c r="C817" s="139"/>
      <c r="D817" s="139"/>
      <c r="E817" s="139"/>
      <c r="F817" s="139"/>
      <c r="G817" s="139"/>
      <c r="H817" s="139"/>
      <c r="I817" s="473"/>
      <c r="J817" s="139"/>
      <c r="K817" s="139"/>
      <c r="L817" s="139"/>
    </row>
    <row r="818">
      <c r="A818" s="139"/>
      <c r="B818" s="139"/>
      <c r="C818" s="139"/>
      <c r="D818" s="139"/>
      <c r="E818" s="139"/>
      <c r="F818" s="139"/>
      <c r="G818" s="139"/>
      <c r="H818" s="139"/>
      <c r="I818" s="473"/>
      <c r="J818" s="139"/>
      <c r="K818" s="139"/>
      <c r="L818" s="139"/>
    </row>
    <row r="819">
      <c r="A819" s="139"/>
      <c r="B819" s="139"/>
      <c r="C819" s="139"/>
      <c r="D819" s="139"/>
      <c r="E819" s="139"/>
      <c r="F819" s="139"/>
      <c r="G819" s="139"/>
      <c r="H819" s="139"/>
      <c r="I819" s="473"/>
      <c r="J819" s="139"/>
      <c r="K819" s="139"/>
      <c r="L819" s="139"/>
    </row>
    <row r="820">
      <c r="A820" s="139"/>
      <c r="B820" s="139"/>
      <c r="C820" s="139"/>
      <c r="D820" s="139"/>
      <c r="E820" s="139"/>
      <c r="F820" s="139"/>
      <c r="G820" s="139"/>
      <c r="H820" s="139"/>
      <c r="I820" s="473"/>
      <c r="J820" s="139"/>
      <c r="K820" s="139"/>
      <c r="L820" s="139"/>
    </row>
    <row r="821">
      <c r="A821" s="139"/>
      <c r="B821" s="139"/>
      <c r="C821" s="139"/>
      <c r="D821" s="139"/>
      <c r="E821" s="139"/>
      <c r="F821" s="139"/>
      <c r="G821" s="139"/>
      <c r="H821" s="139"/>
      <c r="I821" s="473"/>
      <c r="J821" s="139"/>
      <c r="K821" s="139"/>
      <c r="L821" s="139"/>
    </row>
    <row r="822">
      <c r="A822" s="139"/>
      <c r="B822" s="139"/>
      <c r="C822" s="139"/>
      <c r="D822" s="139"/>
      <c r="E822" s="139"/>
      <c r="F822" s="139"/>
      <c r="G822" s="139"/>
      <c r="H822" s="139"/>
      <c r="I822" s="473"/>
      <c r="J822" s="139"/>
      <c r="K822" s="139"/>
      <c r="L822" s="139"/>
    </row>
    <row r="823">
      <c r="A823" s="139"/>
      <c r="B823" s="139"/>
      <c r="C823" s="139"/>
      <c r="D823" s="139"/>
      <c r="E823" s="139"/>
      <c r="F823" s="139"/>
      <c r="G823" s="139"/>
      <c r="H823" s="139"/>
      <c r="I823" s="473"/>
      <c r="J823" s="139"/>
      <c r="K823" s="139"/>
      <c r="L823" s="139"/>
    </row>
    <row r="824">
      <c r="A824" s="139"/>
      <c r="B824" s="139"/>
      <c r="C824" s="139"/>
      <c r="D824" s="139"/>
      <c r="E824" s="139"/>
      <c r="F824" s="139"/>
      <c r="G824" s="139"/>
      <c r="H824" s="139"/>
      <c r="I824" s="473"/>
      <c r="J824" s="139"/>
      <c r="K824" s="139"/>
      <c r="L824" s="139"/>
    </row>
    <row r="825">
      <c r="A825" s="139"/>
      <c r="B825" s="139"/>
      <c r="C825" s="139"/>
      <c r="D825" s="139"/>
      <c r="E825" s="139"/>
      <c r="F825" s="139"/>
      <c r="G825" s="139"/>
      <c r="H825" s="139"/>
      <c r="I825" s="473"/>
      <c r="J825" s="139"/>
      <c r="K825" s="139"/>
      <c r="L825" s="139"/>
    </row>
    <row r="826">
      <c r="A826" s="139"/>
      <c r="B826" s="139"/>
      <c r="C826" s="139"/>
      <c r="D826" s="139"/>
      <c r="E826" s="139"/>
      <c r="F826" s="139"/>
      <c r="G826" s="139"/>
      <c r="H826" s="139"/>
      <c r="I826" s="473"/>
      <c r="J826" s="139"/>
      <c r="K826" s="139"/>
      <c r="L826" s="139"/>
    </row>
    <row r="827">
      <c r="A827" s="139"/>
      <c r="B827" s="139"/>
      <c r="C827" s="139"/>
      <c r="D827" s="139"/>
      <c r="E827" s="139"/>
      <c r="F827" s="139"/>
      <c r="G827" s="139"/>
      <c r="H827" s="139"/>
      <c r="I827" s="473"/>
      <c r="J827" s="139"/>
      <c r="K827" s="139"/>
      <c r="L827" s="139"/>
    </row>
    <row r="828">
      <c r="A828" s="139"/>
      <c r="B828" s="139"/>
      <c r="C828" s="139"/>
      <c r="D828" s="139"/>
      <c r="E828" s="139"/>
      <c r="F828" s="139"/>
      <c r="G828" s="139"/>
      <c r="H828" s="139"/>
      <c r="I828" s="473"/>
      <c r="J828" s="139"/>
      <c r="K828" s="139"/>
      <c r="L828" s="139"/>
    </row>
    <row r="829">
      <c r="A829" s="139"/>
      <c r="B829" s="139"/>
      <c r="C829" s="139"/>
      <c r="D829" s="139"/>
      <c r="E829" s="139"/>
      <c r="F829" s="139"/>
      <c r="G829" s="139"/>
      <c r="H829" s="139"/>
      <c r="I829" s="473"/>
      <c r="J829" s="139"/>
      <c r="K829" s="139"/>
      <c r="L829" s="139"/>
    </row>
    <row r="830">
      <c r="A830" s="139"/>
      <c r="B830" s="139"/>
      <c r="C830" s="139"/>
      <c r="D830" s="139"/>
      <c r="E830" s="139"/>
      <c r="F830" s="139"/>
      <c r="G830" s="139"/>
      <c r="H830" s="139"/>
      <c r="I830" s="473"/>
      <c r="J830" s="139"/>
      <c r="K830" s="139"/>
      <c r="L830" s="139"/>
    </row>
    <row r="831">
      <c r="A831" s="139"/>
      <c r="B831" s="139"/>
      <c r="C831" s="139"/>
      <c r="D831" s="139"/>
      <c r="E831" s="139"/>
      <c r="F831" s="139"/>
      <c r="G831" s="139"/>
      <c r="H831" s="139"/>
      <c r="I831" s="473"/>
      <c r="J831" s="139"/>
      <c r="K831" s="139"/>
      <c r="L831" s="139"/>
    </row>
    <row r="832">
      <c r="A832" s="139"/>
      <c r="B832" s="139"/>
      <c r="C832" s="139"/>
      <c r="D832" s="139"/>
      <c r="E832" s="139"/>
      <c r="F832" s="139"/>
      <c r="G832" s="139"/>
      <c r="H832" s="139"/>
      <c r="I832" s="473"/>
      <c r="J832" s="139"/>
      <c r="K832" s="139"/>
      <c r="L832" s="139"/>
    </row>
    <row r="833">
      <c r="A833" s="139"/>
      <c r="B833" s="139"/>
      <c r="C833" s="139"/>
      <c r="D833" s="139"/>
      <c r="E833" s="139"/>
      <c r="F833" s="139"/>
      <c r="G833" s="139"/>
      <c r="H833" s="139"/>
      <c r="I833" s="473"/>
      <c r="J833" s="139"/>
      <c r="K833" s="139"/>
      <c r="L833" s="139"/>
    </row>
    <row r="834">
      <c r="A834" s="139"/>
      <c r="B834" s="139"/>
      <c r="C834" s="139"/>
      <c r="D834" s="139"/>
      <c r="E834" s="139"/>
      <c r="F834" s="139"/>
      <c r="G834" s="139"/>
      <c r="H834" s="139"/>
      <c r="I834" s="473"/>
      <c r="J834" s="139"/>
      <c r="K834" s="139"/>
      <c r="L834" s="139"/>
    </row>
    <row r="835">
      <c r="A835" s="139"/>
      <c r="B835" s="139"/>
      <c r="C835" s="139"/>
      <c r="D835" s="139"/>
      <c r="E835" s="139"/>
      <c r="F835" s="139"/>
      <c r="G835" s="139"/>
      <c r="H835" s="139"/>
      <c r="I835" s="473"/>
      <c r="J835" s="139"/>
      <c r="K835" s="139"/>
      <c r="L835" s="139"/>
    </row>
    <row r="836">
      <c r="A836" s="139"/>
      <c r="B836" s="139"/>
      <c r="C836" s="139"/>
      <c r="D836" s="139"/>
      <c r="E836" s="139"/>
      <c r="F836" s="139"/>
      <c r="G836" s="139"/>
      <c r="H836" s="139"/>
      <c r="I836" s="473"/>
      <c r="J836" s="139"/>
      <c r="K836" s="139"/>
      <c r="L836" s="139"/>
    </row>
    <row r="837">
      <c r="A837" s="139"/>
      <c r="B837" s="139"/>
      <c r="C837" s="139"/>
      <c r="D837" s="139"/>
      <c r="E837" s="139"/>
      <c r="F837" s="139"/>
      <c r="G837" s="139"/>
      <c r="H837" s="139"/>
      <c r="I837" s="473"/>
      <c r="J837" s="139"/>
      <c r="K837" s="139"/>
      <c r="L837" s="139"/>
    </row>
    <row r="838">
      <c r="A838" s="139"/>
      <c r="B838" s="139"/>
      <c r="C838" s="139"/>
      <c r="D838" s="139"/>
      <c r="E838" s="139"/>
      <c r="F838" s="139"/>
      <c r="G838" s="139"/>
      <c r="H838" s="139"/>
      <c r="I838" s="473"/>
      <c r="J838" s="139"/>
      <c r="K838" s="139"/>
      <c r="L838" s="139"/>
    </row>
    <row r="839">
      <c r="A839" s="139"/>
      <c r="B839" s="139"/>
      <c r="C839" s="139"/>
      <c r="D839" s="139"/>
      <c r="E839" s="139"/>
      <c r="F839" s="139"/>
      <c r="G839" s="139"/>
      <c r="H839" s="139"/>
      <c r="I839" s="473"/>
      <c r="J839" s="139"/>
      <c r="K839" s="139"/>
      <c r="L839" s="139"/>
    </row>
    <row r="840">
      <c r="A840" s="139"/>
      <c r="B840" s="139"/>
      <c r="C840" s="139"/>
      <c r="D840" s="139"/>
      <c r="E840" s="139"/>
      <c r="F840" s="139"/>
      <c r="G840" s="139"/>
      <c r="H840" s="139"/>
      <c r="I840" s="473"/>
      <c r="J840" s="139"/>
      <c r="K840" s="139"/>
      <c r="L840" s="139"/>
    </row>
    <row r="841">
      <c r="A841" s="139"/>
      <c r="B841" s="139"/>
      <c r="C841" s="139"/>
      <c r="D841" s="139"/>
      <c r="E841" s="139"/>
      <c r="F841" s="139"/>
      <c r="G841" s="139"/>
      <c r="H841" s="139"/>
      <c r="I841" s="473"/>
      <c r="J841" s="139"/>
      <c r="K841" s="139"/>
      <c r="L841" s="139"/>
    </row>
    <row r="842">
      <c r="A842" s="139"/>
      <c r="B842" s="139"/>
      <c r="C842" s="139"/>
      <c r="D842" s="139"/>
      <c r="E842" s="139"/>
      <c r="F842" s="139"/>
      <c r="G842" s="139"/>
      <c r="H842" s="139"/>
      <c r="I842" s="473"/>
      <c r="J842" s="139"/>
      <c r="K842" s="139"/>
      <c r="L842" s="139"/>
    </row>
    <row r="843">
      <c r="A843" s="139"/>
      <c r="B843" s="139"/>
      <c r="C843" s="139"/>
      <c r="D843" s="139"/>
      <c r="E843" s="139"/>
      <c r="F843" s="139"/>
      <c r="G843" s="139"/>
      <c r="H843" s="139"/>
      <c r="I843" s="473"/>
      <c r="J843" s="139"/>
      <c r="K843" s="139"/>
      <c r="L843" s="139"/>
    </row>
    <row r="844">
      <c r="A844" s="139"/>
      <c r="B844" s="139"/>
      <c r="C844" s="139"/>
      <c r="D844" s="139"/>
      <c r="E844" s="139"/>
      <c r="F844" s="139"/>
      <c r="G844" s="139"/>
      <c r="H844" s="139"/>
      <c r="I844" s="473"/>
      <c r="J844" s="139"/>
      <c r="K844" s="139"/>
      <c r="L844" s="139"/>
    </row>
    <row r="845">
      <c r="A845" s="139"/>
      <c r="B845" s="139"/>
      <c r="C845" s="139"/>
      <c r="D845" s="139"/>
      <c r="E845" s="139"/>
      <c r="F845" s="139"/>
      <c r="G845" s="139"/>
      <c r="H845" s="139"/>
      <c r="I845" s="473"/>
      <c r="J845" s="139"/>
      <c r="K845" s="139"/>
      <c r="L845" s="139"/>
    </row>
    <row r="846">
      <c r="A846" s="139"/>
      <c r="B846" s="139"/>
      <c r="C846" s="139"/>
      <c r="D846" s="139"/>
      <c r="E846" s="139"/>
      <c r="F846" s="139"/>
      <c r="G846" s="139"/>
      <c r="H846" s="139"/>
      <c r="I846" s="473"/>
      <c r="J846" s="139"/>
      <c r="K846" s="139"/>
      <c r="L846" s="139"/>
    </row>
    <row r="847">
      <c r="A847" s="139"/>
      <c r="B847" s="139"/>
      <c r="C847" s="139"/>
      <c r="D847" s="139"/>
      <c r="E847" s="139"/>
      <c r="F847" s="139"/>
      <c r="G847" s="139"/>
      <c r="H847" s="139"/>
      <c r="I847" s="473"/>
      <c r="J847" s="139"/>
      <c r="K847" s="139"/>
      <c r="L847" s="139"/>
    </row>
    <row r="848">
      <c r="A848" s="139"/>
      <c r="B848" s="139"/>
      <c r="C848" s="139"/>
      <c r="D848" s="139"/>
      <c r="E848" s="139"/>
      <c r="F848" s="139"/>
      <c r="G848" s="139"/>
      <c r="H848" s="139"/>
      <c r="I848" s="473"/>
      <c r="J848" s="139"/>
      <c r="K848" s="139"/>
      <c r="L848" s="139"/>
    </row>
    <row r="849">
      <c r="A849" s="139"/>
      <c r="B849" s="139"/>
      <c r="C849" s="139"/>
      <c r="D849" s="139"/>
      <c r="E849" s="139"/>
      <c r="F849" s="139"/>
      <c r="G849" s="139"/>
      <c r="H849" s="139"/>
      <c r="I849" s="473"/>
      <c r="J849" s="139"/>
      <c r="K849" s="139"/>
      <c r="L849" s="139"/>
    </row>
    <row r="850">
      <c r="A850" s="139"/>
      <c r="B850" s="139"/>
      <c r="C850" s="139"/>
      <c r="D850" s="139"/>
      <c r="E850" s="139"/>
      <c r="F850" s="139"/>
      <c r="G850" s="139"/>
      <c r="H850" s="139"/>
      <c r="I850" s="473"/>
      <c r="J850" s="139"/>
      <c r="K850" s="139"/>
      <c r="L850" s="139"/>
    </row>
    <row r="851">
      <c r="A851" s="139"/>
      <c r="B851" s="139"/>
      <c r="C851" s="139"/>
      <c r="D851" s="139"/>
      <c r="E851" s="139"/>
      <c r="F851" s="139"/>
      <c r="G851" s="139"/>
      <c r="H851" s="139"/>
      <c r="I851" s="473"/>
      <c r="J851" s="139"/>
      <c r="K851" s="139"/>
      <c r="L851" s="139"/>
    </row>
    <row r="852">
      <c r="A852" s="139"/>
      <c r="B852" s="139"/>
      <c r="C852" s="139"/>
      <c r="D852" s="139"/>
      <c r="E852" s="139"/>
      <c r="F852" s="139"/>
      <c r="G852" s="139"/>
      <c r="H852" s="139"/>
      <c r="I852" s="473"/>
      <c r="J852" s="139"/>
      <c r="K852" s="139"/>
      <c r="L852" s="139"/>
    </row>
    <row r="853">
      <c r="A853" s="139"/>
      <c r="B853" s="139"/>
      <c r="C853" s="139"/>
      <c r="D853" s="139"/>
      <c r="E853" s="139"/>
      <c r="F853" s="139"/>
      <c r="G853" s="139"/>
      <c r="H853" s="139"/>
      <c r="I853" s="473"/>
      <c r="J853" s="139"/>
      <c r="K853" s="139"/>
      <c r="L853" s="139"/>
    </row>
    <row r="854">
      <c r="A854" s="139"/>
      <c r="B854" s="139"/>
      <c r="C854" s="139"/>
      <c r="D854" s="139"/>
      <c r="E854" s="139"/>
      <c r="F854" s="139"/>
      <c r="G854" s="139"/>
      <c r="H854" s="139"/>
      <c r="I854" s="473"/>
      <c r="J854" s="139"/>
      <c r="K854" s="139"/>
      <c r="L854" s="139"/>
    </row>
    <row r="855">
      <c r="A855" s="139"/>
      <c r="B855" s="139"/>
      <c r="C855" s="139"/>
      <c r="D855" s="139"/>
      <c r="E855" s="139"/>
      <c r="F855" s="139"/>
      <c r="G855" s="139"/>
      <c r="H855" s="139"/>
      <c r="I855" s="473"/>
      <c r="J855" s="139"/>
      <c r="K855" s="139"/>
      <c r="L855" s="139"/>
    </row>
    <row r="856">
      <c r="A856" s="139"/>
      <c r="B856" s="139"/>
      <c r="C856" s="139"/>
      <c r="D856" s="139"/>
      <c r="E856" s="139"/>
      <c r="F856" s="139"/>
      <c r="G856" s="139"/>
      <c r="H856" s="139"/>
      <c r="I856" s="473"/>
      <c r="J856" s="139"/>
      <c r="K856" s="139"/>
      <c r="L856" s="139"/>
    </row>
    <row r="857">
      <c r="A857" s="139"/>
      <c r="B857" s="139"/>
      <c r="C857" s="139"/>
      <c r="D857" s="139"/>
      <c r="E857" s="139"/>
      <c r="F857" s="139"/>
      <c r="G857" s="139"/>
      <c r="H857" s="139"/>
      <c r="I857" s="473"/>
      <c r="J857" s="139"/>
      <c r="K857" s="139"/>
      <c r="L857" s="139"/>
    </row>
    <row r="858">
      <c r="A858" s="139"/>
      <c r="B858" s="139"/>
      <c r="C858" s="139"/>
      <c r="D858" s="139"/>
      <c r="E858" s="139"/>
      <c r="F858" s="139"/>
      <c r="G858" s="139"/>
      <c r="H858" s="139"/>
      <c r="I858" s="473"/>
      <c r="J858" s="139"/>
      <c r="K858" s="139"/>
      <c r="L858" s="139"/>
    </row>
    <row r="859">
      <c r="A859" s="139"/>
      <c r="B859" s="139"/>
      <c r="C859" s="139"/>
      <c r="D859" s="139"/>
      <c r="E859" s="139"/>
      <c r="F859" s="139"/>
      <c r="G859" s="139"/>
      <c r="H859" s="139"/>
      <c r="I859" s="473"/>
      <c r="J859" s="139"/>
      <c r="K859" s="139"/>
      <c r="L859" s="139"/>
    </row>
    <row r="860">
      <c r="A860" s="139"/>
      <c r="B860" s="139"/>
      <c r="C860" s="139"/>
      <c r="D860" s="139"/>
      <c r="E860" s="139"/>
      <c r="F860" s="139"/>
      <c r="G860" s="139"/>
      <c r="H860" s="139"/>
      <c r="I860" s="473"/>
      <c r="J860" s="139"/>
      <c r="K860" s="139"/>
      <c r="L860" s="139"/>
    </row>
    <row r="861">
      <c r="A861" s="139"/>
      <c r="B861" s="139"/>
      <c r="C861" s="139"/>
      <c r="D861" s="139"/>
      <c r="E861" s="139"/>
      <c r="F861" s="139"/>
      <c r="G861" s="139"/>
      <c r="H861" s="139"/>
      <c r="I861" s="473"/>
      <c r="J861" s="139"/>
      <c r="K861" s="139"/>
      <c r="L861" s="139"/>
    </row>
    <row r="862">
      <c r="A862" s="139"/>
      <c r="B862" s="139"/>
      <c r="C862" s="139"/>
      <c r="D862" s="139"/>
      <c r="E862" s="139"/>
      <c r="F862" s="139"/>
      <c r="G862" s="139"/>
      <c r="H862" s="139"/>
      <c r="I862" s="473"/>
      <c r="J862" s="139"/>
      <c r="K862" s="139"/>
      <c r="L862" s="139"/>
    </row>
    <row r="863">
      <c r="A863" s="139"/>
      <c r="B863" s="139"/>
      <c r="C863" s="139"/>
      <c r="D863" s="139"/>
      <c r="E863" s="139"/>
      <c r="F863" s="139"/>
      <c r="G863" s="139"/>
      <c r="H863" s="139"/>
      <c r="I863" s="473"/>
      <c r="J863" s="139"/>
      <c r="K863" s="139"/>
      <c r="L863" s="139"/>
    </row>
    <row r="864">
      <c r="A864" s="139"/>
      <c r="B864" s="139"/>
      <c r="C864" s="139"/>
      <c r="D864" s="139"/>
      <c r="E864" s="139"/>
      <c r="F864" s="139"/>
      <c r="G864" s="139"/>
      <c r="H864" s="139"/>
      <c r="I864" s="473"/>
      <c r="J864" s="139"/>
      <c r="K864" s="139"/>
      <c r="L864" s="139"/>
    </row>
    <row r="865">
      <c r="A865" s="139"/>
      <c r="B865" s="139"/>
      <c r="C865" s="139"/>
      <c r="D865" s="139"/>
      <c r="E865" s="139"/>
      <c r="F865" s="139"/>
      <c r="G865" s="139"/>
      <c r="H865" s="139"/>
      <c r="I865" s="473"/>
      <c r="J865" s="139"/>
      <c r="K865" s="139"/>
      <c r="L865" s="139"/>
    </row>
    <row r="866">
      <c r="A866" s="139"/>
      <c r="B866" s="139"/>
      <c r="C866" s="139"/>
      <c r="D866" s="139"/>
      <c r="E866" s="139"/>
      <c r="F866" s="139"/>
      <c r="G866" s="139"/>
      <c r="H866" s="139"/>
      <c r="I866" s="473"/>
      <c r="J866" s="139"/>
      <c r="K866" s="139"/>
      <c r="L866" s="139"/>
    </row>
    <row r="867">
      <c r="A867" s="139"/>
      <c r="B867" s="139"/>
      <c r="C867" s="139"/>
      <c r="D867" s="139"/>
      <c r="E867" s="139"/>
      <c r="F867" s="139"/>
      <c r="G867" s="139"/>
      <c r="H867" s="139"/>
      <c r="I867" s="473"/>
      <c r="J867" s="139"/>
      <c r="K867" s="139"/>
      <c r="L867" s="139"/>
    </row>
    <row r="868">
      <c r="A868" s="139"/>
      <c r="B868" s="139"/>
      <c r="C868" s="139"/>
      <c r="D868" s="139"/>
      <c r="E868" s="139"/>
      <c r="F868" s="139"/>
      <c r="G868" s="139"/>
      <c r="H868" s="139"/>
      <c r="I868" s="473"/>
      <c r="J868" s="139"/>
      <c r="K868" s="139"/>
      <c r="L868" s="139"/>
    </row>
    <row r="869">
      <c r="A869" s="139"/>
      <c r="B869" s="139"/>
      <c r="C869" s="139"/>
      <c r="D869" s="139"/>
      <c r="E869" s="139"/>
      <c r="F869" s="139"/>
      <c r="G869" s="139"/>
      <c r="H869" s="139"/>
      <c r="I869" s="473"/>
      <c r="J869" s="139"/>
      <c r="K869" s="139"/>
      <c r="L869" s="139"/>
    </row>
    <row r="870">
      <c r="A870" s="139"/>
      <c r="B870" s="139"/>
      <c r="C870" s="139"/>
      <c r="D870" s="139"/>
      <c r="E870" s="139"/>
      <c r="F870" s="139"/>
      <c r="G870" s="139"/>
      <c r="H870" s="139"/>
      <c r="I870" s="473"/>
      <c r="J870" s="139"/>
      <c r="K870" s="139"/>
      <c r="L870" s="139"/>
    </row>
    <row r="871">
      <c r="A871" s="139"/>
      <c r="B871" s="139"/>
      <c r="C871" s="139"/>
      <c r="D871" s="139"/>
      <c r="E871" s="139"/>
      <c r="F871" s="139"/>
      <c r="G871" s="139"/>
      <c r="H871" s="139"/>
      <c r="I871" s="473"/>
      <c r="J871" s="139"/>
      <c r="K871" s="139"/>
      <c r="L871" s="139"/>
    </row>
    <row r="872">
      <c r="A872" s="139"/>
      <c r="B872" s="139"/>
      <c r="C872" s="139"/>
      <c r="D872" s="139"/>
      <c r="E872" s="139"/>
      <c r="F872" s="139"/>
      <c r="G872" s="139"/>
      <c r="H872" s="139"/>
      <c r="I872" s="473"/>
      <c r="J872" s="139"/>
      <c r="K872" s="139"/>
      <c r="L872" s="139"/>
    </row>
    <row r="873">
      <c r="A873" s="139"/>
      <c r="B873" s="139"/>
      <c r="C873" s="139"/>
      <c r="D873" s="139"/>
      <c r="E873" s="139"/>
      <c r="F873" s="139"/>
      <c r="G873" s="139"/>
      <c r="H873" s="139"/>
      <c r="I873" s="473"/>
      <c r="J873" s="139"/>
      <c r="K873" s="139"/>
      <c r="L873" s="139"/>
    </row>
    <row r="874">
      <c r="A874" s="139"/>
      <c r="B874" s="139"/>
      <c r="C874" s="139"/>
      <c r="D874" s="139"/>
      <c r="E874" s="139"/>
      <c r="F874" s="139"/>
      <c r="G874" s="139"/>
      <c r="H874" s="139"/>
      <c r="I874" s="473"/>
      <c r="J874" s="139"/>
      <c r="K874" s="139"/>
      <c r="L874" s="139"/>
    </row>
    <row r="875">
      <c r="A875" s="139"/>
      <c r="B875" s="139"/>
      <c r="C875" s="139"/>
      <c r="D875" s="139"/>
      <c r="E875" s="139"/>
      <c r="F875" s="139"/>
      <c r="G875" s="139"/>
      <c r="H875" s="139"/>
      <c r="I875" s="473"/>
      <c r="J875" s="139"/>
      <c r="K875" s="139"/>
      <c r="L875" s="139"/>
    </row>
    <row r="876">
      <c r="A876" s="139"/>
      <c r="B876" s="139"/>
      <c r="C876" s="139"/>
      <c r="D876" s="139"/>
      <c r="E876" s="139"/>
      <c r="F876" s="139"/>
      <c r="G876" s="139"/>
      <c r="H876" s="139"/>
      <c r="I876" s="473"/>
      <c r="J876" s="139"/>
      <c r="K876" s="139"/>
      <c r="L876" s="139"/>
    </row>
    <row r="877">
      <c r="A877" s="139"/>
      <c r="B877" s="139"/>
      <c r="C877" s="139"/>
      <c r="D877" s="139"/>
      <c r="E877" s="139"/>
      <c r="F877" s="139"/>
      <c r="G877" s="139"/>
      <c r="H877" s="139"/>
      <c r="I877" s="473"/>
      <c r="J877" s="139"/>
      <c r="K877" s="139"/>
      <c r="L877" s="139"/>
    </row>
    <row r="878">
      <c r="A878" s="139"/>
      <c r="B878" s="139"/>
      <c r="C878" s="139"/>
      <c r="D878" s="139"/>
      <c r="E878" s="139"/>
      <c r="F878" s="139"/>
      <c r="G878" s="139"/>
      <c r="H878" s="139"/>
      <c r="I878" s="473"/>
      <c r="J878" s="139"/>
      <c r="K878" s="139"/>
      <c r="L878" s="139"/>
    </row>
    <row r="879">
      <c r="A879" s="139"/>
      <c r="B879" s="139"/>
      <c r="C879" s="139"/>
      <c r="D879" s="139"/>
      <c r="E879" s="139"/>
      <c r="F879" s="139"/>
      <c r="G879" s="139"/>
      <c r="H879" s="139"/>
      <c r="I879" s="473"/>
      <c r="J879" s="139"/>
      <c r="K879" s="139"/>
      <c r="L879" s="139"/>
    </row>
    <row r="880">
      <c r="A880" s="139"/>
      <c r="B880" s="139"/>
      <c r="C880" s="139"/>
      <c r="D880" s="139"/>
      <c r="E880" s="139"/>
      <c r="F880" s="139"/>
      <c r="G880" s="139"/>
      <c r="H880" s="139"/>
      <c r="I880" s="473"/>
      <c r="J880" s="139"/>
      <c r="K880" s="139"/>
      <c r="L880" s="139"/>
    </row>
    <row r="881">
      <c r="A881" s="139"/>
      <c r="B881" s="139"/>
      <c r="C881" s="139"/>
      <c r="D881" s="139"/>
      <c r="E881" s="139"/>
      <c r="F881" s="139"/>
      <c r="G881" s="139"/>
      <c r="H881" s="139"/>
      <c r="I881" s="473"/>
      <c r="J881" s="139"/>
      <c r="K881" s="139"/>
      <c r="L881" s="139"/>
    </row>
    <row r="882">
      <c r="A882" s="139"/>
      <c r="B882" s="139"/>
      <c r="C882" s="139"/>
      <c r="D882" s="139"/>
      <c r="E882" s="139"/>
      <c r="F882" s="139"/>
      <c r="G882" s="139"/>
      <c r="H882" s="139"/>
      <c r="I882" s="473"/>
      <c r="J882" s="139"/>
      <c r="K882" s="139"/>
      <c r="L882" s="139"/>
    </row>
    <row r="883">
      <c r="A883" s="139"/>
      <c r="B883" s="139"/>
      <c r="C883" s="139"/>
      <c r="D883" s="139"/>
      <c r="E883" s="139"/>
      <c r="F883" s="139"/>
      <c r="G883" s="139"/>
      <c r="H883" s="139"/>
      <c r="I883" s="473"/>
      <c r="J883" s="139"/>
      <c r="K883" s="139"/>
      <c r="L883" s="139"/>
    </row>
    <row r="884">
      <c r="A884" s="139"/>
      <c r="B884" s="139"/>
      <c r="C884" s="139"/>
      <c r="D884" s="139"/>
      <c r="E884" s="139"/>
      <c r="F884" s="139"/>
      <c r="G884" s="139"/>
      <c r="H884" s="139"/>
      <c r="I884" s="473"/>
      <c r="J884" s="139"/>
      <c r="K884" s="139"/>
      <c r="L884" s="139"/>
    </row>
    <row r="885">
      <c r="A885" s="139"/>
      <c r="B885" s="139"/>
      <c r="C885" s="139"/>
      <c r="D885" s="139"/>
      <c r="E885" s="139"/>
      <c r="F885" s="139"/>
      <c r="G885" s="139"/>
      <c r="H885" s="139"/>
      <c r="I885" s="473"/>
      <c r="J885" s="139"/>
      <c r="K885" s="139"/>
      <c r="L885" s="139"/>
    </row>
    <row r="886">
      <c r="A886" s="139"/>
      <c r="B886" s="139"/>
      <c r="C886" s="139"/>
      <c r="D886" s="139"/>
      <c r="E886" s="139"/>
      <c r="F886" s="139"/>
      <c r="G886" s="139"/>
      <c r="H886" s="139"/>
      <c r="I886" s="473"/>
      <c r="J886" s="139"/>
      <c r="K886" s="139"/>
      <c r="L886" s="139"/>
    </row>
    <row r="887">
      <c r="A887" s="139"/>
      <c r="B887" s="139"/>
      <c r="C887" s="139"/>
      <c r="D887" s="139"/>
      <c r="E887" s="139"/>
      <c r="F887" s="139"/>
      <c r="G887" s="139"/>
      <c r="H887" s="139"/>
      <c r="I887" s="473"/>
      <c r="J887" s="139"/>
      <c r="K887" s="139"/>
      <c r="L887" s="139"/>
    </row>
    <row r="888">
      <c r="A888" s="139"/>
      <c r="B888" s="139"/>
      <c r="C888" s="139"/>
      <c r="D888" s="139"/>
      <c r="E888" s="139"/>
      <c r="F888" s="139"/>
      <c r="G888" s="139"/>
      <c r="H888" s="139"/>
      <c r="I888" s="473"/>
      <c r="J888" s="139"/>
      <c r="K888" s="139"/>
      <c r="L888" s="139"/>
    </row>
    <row r="889">
      <c r="A889" s="139"/>
      <c r="B889" s="139"/>
      <c r="C889" s="139"/>
      <c r="D889" s="139"/>
      <c r="E889" s="139"/>
      <c r="F889" s="139"/>
      <c r="G889" s="139"/>
      <c r="H889" s="139"/>
      <c r="I889" s="473"/>
      <c r="J889" s="139"/>
      <c r="K889" s="139"/>
      <c r="L889" s="139"/>
    </row>
    <row r="890">
      <c r="A890" s="139"/>
      <c r="B890" s="139"/>
      <c r="C890" s="139"/>
      <c r="D890" s="139"/>
      <c r="E890" s="139"/>
      <c r="F890" s="139"/>
      <c r="G890" s="139"/>
      <c r="H890" s="139"/>
      <c r="I890" s="473"/>
      <c r="J890" s="139"/>
      <c r="K890" s="139"/>
      <c r="L890" s="139"/>
    </row>
    <row r="891">
      <c r="A891" s="139"/>
      <c r="B891" s="139"/>
      <c r="C891" s="139"/>
      <c r="D891" s="139"/>
      <c r="E891" s="139"/>
      <c r="F891" s="139"/>
      <c r="G891" s="139"/>
      <c r="H891" s="139"/>
      <c r="I891" s="473"/>
      <c r="J891" s="139"/>
      <c r="K891" s="139"/>
      <c r="L891" s="139"/>
    </row>
    <row r="892">
      <c r="A892" s="139"/>
      <c r="B892" s="139"/>
      <c r="C892" s="139"/>
      <c r="D892" s="139"/>
      <c r="E892" s="139"/>
      <c r="F892" s="139"/>
      <c r="G892" s="139"/>
      <c r="H892" s="139"/>
      <c r="I892" s="473"/>
      <c r="J892" s="139"/>
      <c r="K892" s="139"/>
      <c r="L892" s="139"/>
    </row>
    <row r="893">
      <c r="A893" s="139"/>
      <c r="B893" s="139"/>
      <c r="C893" s="139"/>
      <c r="D893" s="139"/>
      <c r="E893" s="139"/>
      <c r="F893" s="139"/>
      <c r="G893" s="139"/>
      <c r="H893" s="139"/>
      <c r="I893" s="473"/>
      <c r="J893" s="139"/>
      <c r="K893" s="139"/>
      <c r="L893" s="139"/>
    </row>
    <row r="894">
      <c r="A894" s="139"/>
      <c r="B894" s="139"/>
      <c r="C894" s="139"/>
      <c r="D894" s="139"/>
      <c r="E894" s="139"/>
      <c r="F894" s="139"/>
      <c r="G894" s="139"/>
      <c r="H894" s="139"/>
      <c r="I894" s="473"/>
      <c r="J894" s="139"/>
      <c r="K894" s="139"/>
      <c r="L894" s="139"/>
    </row>
    <row r="895">
      <c r="A895" s="139"/>
      <c r="B895" s="139"/>
      <c r="C895" s="139"/>
      <c r="D895" s="139"/>
      <c r="E895" s="139"/>
      <c r="F895" s="139"/>
      <c r="G895" s="139"/>
      <c r="H895" s="139"/>
      <c r="I895" s="473"/>
      <c r="J895" s="139"/>
      <c r="K895" s="139"/>
      <c r="L895" s="139"/>
    </row>
    <row r="896">
      <c r="A896" s="139"/>
      <c r="B896" s="139"/>
      <c r="C896" s="139"/>
      <c r="D896" s="139"/>
      <c r="E896" s="139"/>
      <c r="F896" s="139"/>
      <c r="G896" s="139"/>
      <c r="H896" s="139"/>
      <c r="I896" s="473"/>
      <c r="J896" s="139"/>
      <c r="K896" s="139"/>
      <c r="L896" s="139"/>
    </row>
    <row r="897">
      <c r="A897" s="139"/>
      <c r="B897" s="139"/>
      <c r="C897" s="139"/>
      <c r="D897" s="139"/>
      <c r="E897" s="139"/>
      <c r="F897" s="139"/>
      <c r="G897" s="139"/>
      <c r="H897" s="139"/>
      <c r="I897" s="473"/>
      <c r="J897" s="139"/>
      <c r="K897" s="139"/>
      <c r="L897" s="139"/>
    </row>
    <row r="898">
      <c r="A898" s="139"/>
      <c r="B898" s="139"/>
      <c r="C898" s="139"/>
      <c r="D898" s="139"/>
      <c r="E898" s="139"/>
      <c r="F898" s="139"/>
      <c r="G898" s="139"/>
      <c r="H898" s="139"/>
      <c r="I898" s="473"/>
      <c r="J898" s="139"/>
      <c r="K898" s="139"/>
      <c r="L898" s="139"/>
    </row>
    <row r="899">
      <c r="A899" s="139"/>
      <c r="B899" s="139"/>
      <c r="C899" s="139"/>
      <c r="D899" s="139"/>
      <c r="E899" s="139"/>
      <c r="F899" s="139"/>
      <c r="G899" s="139"/>
      <c r="H899" s="139"/>
      <c r="I899" s="473"/>
      <c r="J899" s="139"/>
      <c r="K899" s="139"/>
      <c r="L899" s="139"/>
    </row>
    <row r="900">
      <c r="A900" s="139"/>
      <c r="B900" s="139"/>
      <c r="C900" s="139"/>
      <c r="D900" s="139"/>
      <c r="E900" s="139"/>
      <c r="F900" s="139"/>
      <c r="G900" s="139"/>
      <c r="H900" s="139"/>
      <c r="I900" s="473"/>
      <c r="J900" s="139"/>
      <c r="K900" s="139"/>
      <c r="L900" s="139"/>
    </row>
    <row r="901">
      <c r="A901" s="139"/>
      <c r="B901" s="139"/>
      <c r="C901" s="139"/>
      <c r="D901" s="139"/>
      <c r="E901" s="139"/>
      <c r="F901" s="139"/>
      <c r="G901" s="139"/>
      <c r="H901" s="139"/>
      <c r="I901" s="473"/>
      <c r="J901" s="139"/>
      <c r="K901" s="139"/>
      <c r="L901" s="139"/>
    </row>
    <row r="902">
      <c r="A902" s="139"/>
      <c r="B902" s="139"/>
      <c r="C902" s="139"/>
      <c r="D902" s="139"/>
      <c r="E902" s="139"/>
      <c r="F902" s="139"/>
      <c r="G902" s="139"/>
      <c r="H902" s="139"/>
      <c r="I902" s="473"/>
      <c r="J902" s="139"/>
      <c r="K902" s="139"/>
      <c r="L902" s="139"/>
    </row>
    <row r="903">
      <c r="A903" s="139"/>
      <c r="B903" s="139"/>
      <c r="C903" s="139"/>
      <c r="D903" s="139"/>
      <c r="E903" s="139"/>
      <c r="F903" s="139"/>
      <c r="G903" s="139"/>
      <c r="H903" s="139"/>
      <c r="I903" s="473"/>
      <c r="J903" s="139"/>
      <c r="K903" s="139"/>
      <c r="L903" s="139"/>
    </row>
    <row r="904">
      <c r="A904" s="139"/>
      <c r="B904" s="139"/>
      <c r="C904" s="139"/>
      <c r="D904" s="139"/>
      <c r="E904" s="139"/>
      <c r="F904" s="139"/>
      <c r="G904" s="139"/>
      <c r="H904" s="139"/>
      <c r="I904" s="473"/>
      <c r="J904" s="139"/>
      <c r="K904" s="139"/>
      <c r="L904" s="139"/>
    </row>
    <row r="905">
      <c r="A905" s="139"/>
      <c r="B905" s="139"/>
      <c r="C905" s="139"/>
      <c r="D905" s="139"/>
      <c r="E905" s="139"/>
      <c r="F905" s="139"/>
      <c r="G905" s="139"/>
      <c r="H905" s="139"/>
      <c r="I905" s="473"/>
      <c r="J905" s="139"/>
      <c r="K905" s="139"/>
      <c r="L905" s="139"/>
    </row>
    <row r="906">
      <c r="A906" s="139"/>
      <c r="B906" s="139"/>
      <c r="C906" s="139"/>
      <c r="D906" s="139"/>
      <c r="E906" s="139"/>
      <c r="F906" s="139"/>
      <c r="G906" s="139"/>
      <c r="H906" s="139"/>
      <c r="I906" s="473"/>
      <c r="J906" s="139"/>
      <c r="K906" s="139"/>
      <c r="L906" s="139"/>
    </row>
    <row r="907">
      <c r="A907" s="139"/>
      <c r="B907" s="139"/>
      <c r="C907" s="139"/>
      <c r="D907" s="139"/>
      <c r="E907" s="139"/>
      <c r="F907" s="139"/>
      <c r="G907" s="139"/>
      <c r="H907" s="139"/>
      <c r="I907" s="473"/>
      <c r="J907" s="139"/>
      <c r="K907" s="139"/>
      <c r="L907" s="139"/>
    </row>
    <row r="908">
      <c r="A908" s="139"/>
      <c r="B908" s="139"/>
      <c r="C908" s="139"/>
      <c r="D908" s="139"/>
      <c r="E908" s="139"/>
      <c r="F908" s="139"/>
      <c r="G908" s="139"/>
      <c r="H908" s="139"/>
      <c r="I908" s="473"/>
      <c r="J908" s="139"/>
      <c r="K908" s="139"/>
      <c r="L908" s="139"/>
    </row>
    <row r="909">
      <c r="A909" s="139"/>
      <c r="B909" s="139"/>
      <c r="C909" s="139"/>
      <c r="D909" s="139"/>
      <c r="E909" s="139"/>
      <c r="F909" s="139"/>
      <c r="G909" s="139"/>
      <c r="H909" s="139"/>
      <c r="I909" s="473"/>
      <c r="J909" s="139"/>
      <c r="K909" s="139"/>
      <c r="L909" s="139"/>
    </row>
    <row r="910">
      <c r="A910" s="139"/>
      <c r="B910" s="139"/>
      <c r="C910" s="139"/>
      <c r="D910" s="139"/>
      <c r="E910" s="139"/>
      <c r="F910" s="139"/>
      <c r="G910" s="139"/>
      <c r="H910" s="139"/>
      <c r="I910" s="473"/>
      <c r="J910" s="139"/>
      <c r="K910" s="139"/>
      <c r="L910" s="139"/>
    </row>
    <row r="911">
      <c r="A911" s="139"/>
      <c r="B911" s="139"/>
      <c r="C911" s="139"/>
      <c r="D911" s="139"/>
      <c r="E911" s="139"/>
      <c r="F911" s="139"/>
      <c r="G911" s="139"/>
      <c r="H911" s="139"/>
      <c r="I911" s="473"/>
      <c r="J911" s="139"/>
      <c r="K911" s="139"/>
      <c r="L911" s="139"/>
    </row>
    <row r="912">
      <c r="A912" s="139"/>
      <c r="B912" s="139"/>
      <c r="C912" s="139"/>
      <c r="D912" s="139"/>
      <c r="E912" s="139"/>
      <c r="F912" s="139"/>
      <c r="G912" s="139"/>
      <c r="H912" s="139"/>
      <c r="I912" s="473"/>
      <c r="J912" s="139"/>
      <c r="K912" s="139"/>
      <c r="L912" s="139"/>
    </row>
    <row r="913">
      <c r="A913" s="139"/>
      <c r="B913" s="139"/>
      <c r="C913" s="139"/>
      <c r="D913" s="139"/>
      <c r="E913" s="139"/>
      <c r="F913" s="139"/>
      <c r="G913" s="139"/>
      <c r="H913" s="139"/>
      <c r="I913" s="473"/>
      <c r="J913" s="139"/>
      <c r="K913" s="139"/>
      <c r="L913" s="139"/>
    </row>
    <row r="914">
      <c r="A914" s="139"/>
      <c r="B914" s="139"/>
      <c r="C914" s="139"/>
      <c r="D914" s="139"/>
      <c r="E914" s="139"/>
      <c r="F914" s="139"/>
      <c r="G914" s="139"/>
      <c r="H914" s="139"/>
      <c r="I914" s="473"/>
      <c r="J914" s="139"/>
      <c r="K914" s="139"/>
      <c r="L914" s="139"/>
    </row>
    <row r="915">
      <c r="A915" s="139"/>
      <c r="B915" s="139"/>
      <c r="C915" s="139"/>
      <c r="D915" s="139"/>
      <c r="E915" s="139"/>
      <c r="F915" s="139"/>
      <c r="G915" s="139"/>
      <c r="H915" s="139"/>
      <c r="I915" s="473"/>
      <c r="J915" s="139"/>
      <c r="K915" s="139"/>
      <c r="L915" s="139"/>
    </row>
    <row r="916">
      <c r="A916" s="139"/>
      <c r="B916" s="139"/>
      <c r="C916" s="139"/>
      <c r="D916" s="139"/>
      <c r="E916" s="139"/>
      <c r="F916" s="139"/>
      <c r="G916" s="139"/>
      <c r="H916" s="139"/>
      <c r="I916" s="473"/>
      <c r="J916" s="139"/>
      <c r="K916" s="139"/>
      <c r="L916" s="139"/>
    </row>
    <row r="917">
      <c r="A917" s="139"/>
      <c r="B917" s="139"/>
      <c r="C917" s="139"/>
      <c r="D917" s="139"/>
      <c r="E917" s="139"/>
      <c r="F917" s="139"/>
      <c r="G917" s="139"/>
      <c r="H917" s="139"/>
      <c r="I917" s="473"/>
      <c r="J917" s="139"/>
      <c r="K917" s="139"/>
      <c r="L917" s="139"/>
    </row>
    <row r="918">
      <c r="A918" s="139"/>
      <c r="B918" s="139"/>
      <c r="C918" s="139"/>
      <c r="D918" s="139"/>
      <c r="E918" s="139"/>
      <c r="F918" s="139"/>
      <c r="G918" s="139"/>
      <c r="H918" s="139"/>
      <c r="I918" s="473"/>
      <c r="J918" s="139"/>
      <c r="K918" s="139"/>
      <c r="L918" s="139"/>
    </row>
    <row r="919">
      <c r="A919" s="139"/>
      <c r="B919" s="139"/>
      <c r="C919" s="139"/>
      <c r="D919" s="139"/>
      <c r="E919" s="139"/>
      <c r="F919" s="139"/>
      <c r="G919" s="139"/>
      <c r="H919" s="139"/>
      <c r="I919" s="473"/>
      <c r="J919" s="139"/>
      <c r="K919" s="139"/>
      <c r="L919" s="139"/>
    </row>
    <row r="920">
      <c r="A920" s="139"/>
      <c r="B920" s="139"/>
      <c r="C920" s="139"/>
      <c r="D920" s="139"/>
      <c r="E920" s="139"/>
      <c r="F920" s="139"/>
      <c r="G920" s="139"/>
      <c r="H920" s="139"/>
      <c r="I920" s="473"/>
      <c r="J920" s="139"/>
      <c r="K920" s="139"/>
      <c r="L920" s="139"/>
    </row>
    <row r="921">
      <c r="A921" s="139"/>
      <c r="B921" s="139"/>
      <c r="C921" s="139"/>
      <c r="D921" s="139"/>
      <c r="E921" s="139"/>
      <c r="F921" s="139"/>
      <c r="G921" s="139"/>
      <c r="H921" s="139"/>
      <c r="I921" s="473"/>
      <c r="J921" s="139"/>
      <c r="K921" s="139"/>
      <c r="L921" s="139"/>
    </row>
    <row r="922">
      <c r="A922" s="139"/>
      <c r="B922" s="139"/>
      <c r="C922" s="139"/>
      <c r="D922" s="139"/>
      <c r="E922" s="139"/>
      <c r="F922" s="139"/>
      <c r="G922" s="139"/>
      <c r="H922" s="139"/>
      <c r="I922" s="473"/>
      <c r="J922" s="139"/>
      <c r="K922" s="139"/>
      <c r="L922" s="139"/>
    </row>
    <row r="923">
      <c r="A923" s="139"/>
      <c r="B923" s="139"/>
      <c r="C923" s="139"/>
      <c r="D923" s="139"/>
      <c r="E923" s="139"/>
      <c r="F923" s="139"/>
      <c r="G923" s="139"/>
      <c r="H923" s="139"/>
      <c r="I923" s="473"/>
      <c r="J923" s="139"/>
      <c r="K923" s="139"/>
      <c r="L923" s="139"/>
    </row>
    <row r="924">
      <c r="A924" s="139"/>
      <c r="B924" s="139"/>
      <c r="C924" s="139"/>
      <c r="D924" s="139"/>
      <c r="E924" s="139"/>
      <c r="F924" s="139"/>
      <c r="G924" s="139"/>
      <c r="H924" s="139"/>
      <c r="I924" s="473"/>
      <c r="J924" s="139"/>
      <c r="K924" s="139"/>
      <c r="L924" s="139"/>
    </row>
    <row r="925">
      <c r="A925" s="139"/>
      <c r="B925" s="139"/>
      <c r="C925" s="139"/>
      <c r="D925" s="139"/>
      <c r="E925" s="139"/>
      <c r="F925" s="139"/>
      <c r="G925" s="139"/>
      <c r="H925" s="139"/>
      <c r="I925" s="473"/>
      <c r="J925" s="139"/>
      <c r="K925" s="139"/>
      <c r="L925" s="139"/>
    </row>
    <row r="926">
      <c r="A926" s="139"/>
      <c r="B926" s="139"/>
      <c r="C926" s="139"/>
      <c r="D926" s="139"/>
      <c r="E926" s="139"/>
      <c r="F926" s="139"/>
      <c r="G926" s="139"/>
      <c r="H926" s="139"/>
      <c r="I926" s="473"/>
      <c r="J926" s="139"/>
      <c r="K926" s="139"/>
      <c r="L926" s="139"/>
    </row>
    <row r="927">
      <c r="A927" s="139"/>
      <c r="B927" s="139"/>
      <c r="C927" s="139"/>
      <c r="D927" s="139"/>
      <c r="E927" s="139"/>
      <c r="F927" s="139"/>
      <c r="G927" s="139"/>
      <c r="H927" s="139"/>
      <c r="I927" s="473"/>
      <c r="J927" s="139"/>
      <c r="K927" s="139"/>
      <c r="L927" s="139"/>
    </row>
    <row r="928">
      <c r="A928" s="139"/>
      <c r="B928" s="139"/>
      <c r="C928" s="139"/>
      <c r="D928" s="139"/>
      <c r="E928" s="139"/>
      <c r="F928" s="139"/>
      <c r="G928" s="139"/>
      <c r="H928" s="139"/>
      <c r="I928" s="473"/>
      <c r="J928" s="139"/>
      <c r="K928" s="139"/>
      <c r="L928" s="139"/>
    </row>
    <row r="929">
      <c r="A929" s="139"/>
      <c r="B929" s="139"/>
      <c r="C929" s="139"/>
      <c r="D929" s="139"/>
      <c r="E929" s="139"/>
      <c r="F929" s="139"/>
      <c r="G929" s="139"/>
      <c r="H929" s="139"/>
      <c r="I929" s="473"/>
      <c r="J929" s="139"/>
      <c r="K929" s="139"/>
      <c r="L929" s="139"/>
    </row>
    <row r="930">
      <c r="A930" s="139"/>
      <c r="B930" s="139"/>
      <c r="C930" s="139"/>
      <c r="D930" s="139"/>
      <c r="E930" s="139"/>
      <c r="F930" s="139"/>
      <c r="G930" s="139"/>
      <c r="H930" s="139"/>
      <c r="I930" s="473"/>
      <c r="J930" s="139"/>
      <c r="K930" s="139"/>
      <c r="L930" s="139"/>
    </row>
    <row r="931">
      <c r="A931" s="139"/>
      <c r="B931" s="139"/>
      <c r="C931" s="139"/>
      <c r="D931" s="139"/>
      <c r="E931" s="139"/>
      <c r="F931" s="139"/>
      <c r="G931" s="139"/>
      <c r="H931" s="139"/>
      <c r="I931" s="473"/>
      <c r="J931" s="139"/>
      <c r="K931" s="139"/>
      <c r="L931" s="139"/>
    </row>
    <row r="932">
      <c r="A932" s="139"/>
      <c r="B932" s="139"/>
      <c r="C932" s="139"/>
      <c r="D932" s="139"/>
      <c r="E932" s="139"/>
      <c r="F932" s="139"/>
      <c r="G932" s="139"/>
      <c r="H932" s="139"/>
      <c r="I932" s="473"/>
      <c r="J932" s="139"/>
      <c r="K932" s="139"/>
      <c r="L932" s="139"/>
    </row>
    <row r="933">
      <c r="A933" s="139"/>
      <c r="B933" s="139"/>
      <c r="C933" s="139"/>
      <c r="D933" s="139"/>
      <c r="E933" s="139"/>
      <c r="F933" s="139"/>
      <c r="G933" s="139"/>
      <c r="H933" s="139"/>
      <c r="I933" s="473"/>
      <c r="J933" s="139"/>
      <c r="K933" s="139"/>
      <c r="L933" s="139"/>
    </row>
    <row r="934">
      <c r="A934" s="139"/>
      <c r="B934" s="139"/>
      <c r="C934" s="139"/>
      <c r="D934" s="139"/>
      <c r="E934" s="139"/>
      <c r="F934" s="139"/>
      <c r="G934" s="139"/>
      <c r="H934" s="139"/>
      <c r="I934" s="473"/>
      <c r="J934" s="139"/>
      <c r="K934" s="139"/>
      <c r="L934" s="139"/>
    </row>
    <row r="935">
      <c r="A935" s="139"/>
      <c r="B935" s="139"/>
      <c r="C935" s="139"/>
      <c r="D935" s="139"/>
      <c r="E935" s="139"/>
      <c r="F935" s="139"/>
      <c r="G935" s="139"/>
      <c r="H935" s="139"/>
      <c r="I935" s="473"/>
      <c r="J935" s="139"/>
      <c r="K935" s="139"/>
      <c r="L935" s="139"/>
    </row>
    <row r="936">
      <c r="A936" s="139"/>
      <c r="B936" s="139"/>
      <c r="C936" s="139"/>
      <c r="D936" s="139"/>
      <c r="E936" s="139"/>
      <c r="F936" s="139"/>
      <c r="G936" s="139"/>
      <c r="H936" s="139"/>
      <c r="I936" s="473"/>
      <c r="J936" s="139"/>
      <c r="K936" s="139"/>
      <c r="L936" s="139"/>
    </row>
    <row r="937">
      <c r="A937" s="139"/>
      <c r="B937" s="139"/>
      <c r="C937" s="139"/>
      <c r="D937" s="139"/>
      <c r="E937" s="139"/>
      <c r="F937" s="139"/>
      <c r="G937" s="139"/>
      <c r="H937" s="139"/>
      <c r="I937" s="473"/>
      <c r="J937" s="139"/>
      <c r="K937" s="139"/>
      <c r="L937" s="139"/>
    </row>
    <row r="938">
      <c r="A938" s="139"/>
      <c r="B938" s="139"/>
      <c r="C938" s="139"/>
      <c r="D938" s="139"/>
      <c r="E938" s="139"/>
      <c r="F938" s="139"/>
      <c r="G938" s="139"/>
      <c r="H938" s="139"/>
      <c r="I938" s="473"/>
      <c r="J938" s="139"/>
      <c r="K938" s="139"/>
      <c r="L938" s="139"/>
    </row>
    <row r="939">
      <c r="A939" s="139"/>
      <c r="B939" s="139"/>
      <c r="C939" s="139"/>
      <c r="D939" s="139"/>
      <c r="E939" s="139"/>
      <c r="F939" s="139"/>
      <c r="G939" s="139"/>
      <c r="H939" s="139"/>
      <c r="I939" s="473"/>
      <c r="J939" s="139"/>
      <c r="K939" s="139"/>
      <c r="L939" s="139"/>
    </row>
    <row r="940">
      <c r="A940" s="139"/>
      <c r="B940" s="139"/>
      <c r="C940" s="139"/>
      <c r="D940" s="139"/>
      <c r="E940" s="139"/>
      <c r="F940" s="139"/>
      <c r="G940" s="139"/>
      <c r="H940" s="139"/>
      <c r="I940" s="473"/>
      <c r="J940" s="139"/>
      <c r="K940" s="139"/>
      <c r="L940" s="139"/>
    </row>
    <row r="941">
      <c r="A941" s="139"/>
      <c r="B941" s="139"/>
      <c r="C941" s="139"/>
      <c r="D941" s="139"/>
      <c r="E941" s="139"/>
      <c r="F941" s="139"/>
      <c r="G941" s="139"/>
      <c r="H941" s="139"/>
      <c r="I941" s="473"/>
      <c r="J941" s="139"/>
      <c r="K941" s="139"/>
      <c r="L941" s="139"/>
    </row>
    <row r="942">
      <c r="A942" s="139"/>
      <c r="B942" s="139"/>
      <c r="C942" s="139"/>
      <c r="D942" s="139"/>
      <c r="E942" s="139"/>
      <c r="F942" s="139"/>
      <c r="G942" s="139"/>
      <c r="H942" s="139"/>
      <c r="I942" s="473"/>
      <c r="J942" s="139"/>
      <c r="K942" s="139"/>
      <c r="L942" s="139"/>
    </row>
    <row r="943">
      <c r="A943" s="139"/>
      <c r="B943" s="139"/>
      <c r="C943" s="139"/>
      <c r="D943" s="139"/>
      <c r="E943" s="139"/>
      <c r="F943" s="139"/>
      <c r="G943" s="139"/>
      <c r="H943" s="139"/>
      <c r="I943" s="473"/>
      <c r="J943" s="139"/>
      <c r="K943" s="139"/>
      <c r="L943" s="139"/>
    </row>
    <row r="944">
      <c r="A944" s="139"/>
      <c r="B944" s="139"/>
      <c r="C944" s="139"/>
      <c r="D944" s="139"/>
      <c r="E944" s="139"/>
      <c r="F944" s="139"/>
      <c r="G944" s="139"/>
      <c r="H944" s="139"/>
      <c r="I944" s="473"/>
      <c r="J944" s="139"/>
      <c r="K944" s="139"/>
      <c r="L944" s="139"/>
    </row>
    <row r="945">
      <c r="A945" s="139"/>
      <c r="B945" s="139"/>
      <c r="C945" s="139"/>
      <c r="D945" s="139"/>
      <c r="E945" s="139"/>
      <c r="F945" s="139"/>
      <c r="G945" s="139"/>
      <c r="H945" s="139"/>
      <c r="I945" s="473"/>
      <c r="J945" s="139"/>
      <c r="K945" s="139"/>
      <c r="L945" s="139"/>
    </row>
    <row r="946">
      <c r="A946" s="139"/>
      <c r="B946" s="139"/>
      <c r="C946" s="139"/>
      <c r="D946" s="139"/>
      <c r="E946" s="139"/>
      <c r="F946" s="139"/>
      <c r="G946" s="139"/>
      <c r="H946" s="139"/>
      <c r="I946" s="473"/>
      <c r="J946" s="139"/>
      <c r="K946" s="139"/>
      <c r="L946" s="139"/>
    </row>
    <row r="947">
      <c r="A947" s="139"/>
      <c r="B947" s="139"/>
      <c r="C947" s="139"/>
      <c r="D947" s="139"/>
      <c r="E947" s="139"/>
      <c r="F947" s="139"/>
      <c r="G947" s="139"/>
      <c r="H947" s="139"/>
      <c r="I947" s="473"/>
      <c r="J947" s="139"/>
      <c r="K947" s="139"/>
      <c r="L947" s="139"/>
    </row>
    <row r="948">
      <c r="A948" s="139"/>
      <c r="B948" s="139"/>
      <c r="C948" s="139"/>
      <c r="D948" s="139"/>
      <c r="E948" s="139"/>
      <c r="F948" s="139"/>
      <c r="G948" s="139"/>
      <c r="H948" s="139"/>
      <c r="I948" s="473"/>
      <c r="J948" s="139"/>
      <c r="K948" s="139"/>
      <c r="L948" s="139"/>
    </row>
    <row r="949">
      <c r="A949" s="139"/>
      <c r="B949" s="139"/>
      <c r="C949" s="139"/>
      <c r="D949" s="139"/>
      <c r="E949" s="139"/>
      <c r="F949" s="139"/>
      <c r="G949" s="139"/>
      <c r="H949" s="139"/>
      <c r="I949" s="473"/>
      <c r="J949" s="139"/>
      <c r="K949" s="139"/>
      <c r="L949" s="139"/>
    </row>
    <row r="950">
      <c r="A950" s="139"/>
      <c r="B950" s="139"/>
      <c r="C950" s="139"/>
      <c r="D950" s="139"/>
      <c r="E950" s="139"/>
      <c r="F950" s="139"/>
      <c r="G950" s="139"/>
      <c r="H950" s="139"/>
      <c r="I950" s="473"/>
      <c r="J950" s="139"/>
      <c r="K950" s="139"/>
      <c r="L950" s="139"/>
    </row>
    <row r="951">
      <c r="A951" s="139"/>
      <c r="B951" s="139"/>
      <c r="C951" s="139"/>
      <c r="D951" s="139"/>
      <c r="E951" s="139"/>
      <c r="F951" s="139"/>
      <c r="G951" s="139"/>
      <c r="H951" s="139"/>
      <c r="I951" s="473"/>
      <c r="J951" s="139"/>
      <c r="K951" s="139"/>
      <c r="L951" s="139"/>
    </row>
    <row r="952">
      <c r="A952" s="139"/>
      <c r="B952" s="139"/>
      <c r="C952" s="139"/>
      <c r="D952" s="139"/>
      <c r="E952" s="139"/>
      <c r="F952" s="139"/>
      <c r="G952" s="139"/>
      <c r="H952" s="139"/>
      <c r="I952" s="473"/>
      <c r="J952" s="139"/>
      <c r="K952" s="139"/>
      <c r="L952" s="139"/>
    </row>
    <row r="953">
      <c r="A953" s="139"/>
      <c r="B953" s="139"/>
      <c r="C953" s="139"/>
      <c r="D953" s="139"/>
      <c r="E953" s="139"/>
      <c r="F953" s="139"/>
      <c r="G953" s="139"/>
      <c r="H953" s="139"/>
      <c r="I953" s="473"/>
      <c r="J953" s="139"/>
      <c r="K953" s="139"/>
      <c r="L953" s="139"/>
    </row>
    <row r="954">
      <c r="A954" s="139"/>
      <c r="B954" s="139"/>
      <c r="C954" s="139"/>
      <c r="D954" s="139"/>
      <c r="E954" s="139"/>
      <c r="F954" s="139"/>
      <c r="G954" s="139"/>
      <c r="H954" s="139"/>
      <c r="I954" s="473"/>
      <c r="J954" s="139"/>
      <c r="K954" s="139"/>
      <c r="L954" s="139"/>
    </row>
    <row r="955">
      <c r="A955" s="139"/>
      <c r="B955" s="139"/>
      <c r="C955" s="139"/>
      <c r="D955" s="139"/>
      <c r="E955" s="139"/>
      <c r="F955" s="139"/>
      <c r="G955" s="139"/>
      <c r="H955" s="139"/>
      <c r="I955" s="473"/>
      <c r="J955" s="139"/>
      <c r="K955" s="139"/>
      <c r="L955" s="139"/>
    </row>
    <row r="956">
      <c r="A956" s="139"/>
      <c r="B956" s="139"/>
      <c r="C956" s="139"/>
      <c r="D956" s="139"/>
      <c r="E956" s="139"/>
      <c r="F956" s="139"/>
      <c r="G956" s="139"/>
      <c r="H956" s="139"/>
      <c r="I956" s="473"/>
      <c r="J956" s="139"/>
      <c r="K956" s="139"/>
      <c r="L956" s="139"/>
    </row>
    <row r="957">
      <c r="A957" s="139"/>
      <c r="B957" s="139"/>
      <c r="C957" s="139"/>
      <c r="D957" s="139"/>
      <c r="E957" s="139"/>
      <c r="F957" s="139"/>
      <c r="G957" s="139"/>
      <c r="H957" s="139"/>
      <c r="I957" s="473"/>
      <c r="J957" s="139"/>
      <c r="K957" s="139"/>
      <c r="L957" s="139"/>
    </row>
    <row r="958">
      <c r="A958" s="139"/>
      <c r="B958" s="139"/>
      <c r="C958" s="139"/>
      <c r="D958" s="139"/>
      <c r="E958" s="139"/>
      <c r="F958" s="139"/>
      <c r="G958" s="139"/>
      <c r="H958" s="139"/>
      <c r="I958" s="473"/>
      <c r="J958" s="139"/>
      <c r="K958" s="139"/>
      <c r="L958" s="139"/>
    </row>
    <row r="959">
      <c r="A959" s="139"/>
      <c r="B959" s="139"/>
      <c r="C959" s="139"/>
      <c r="D959" s="139"/>
      <c r="E959" s="139"/>
      <c r="F959" s="139"/>
      <c r="G959" s="139"/>
      <c r="H959" s="139"/>
      <c r="I959" s="473"/>
      <c r="J959" s="139"/>
      <c r="K959" s="139"/>
      <c r="L959" s="139"/>
    </row>
    <row r="960">
      <c r="A960" s="139"/>
      <c r="B960" s="139"/>
      <c r="C960" s="139"/>
      <c r="D960" s="139"/>
      <c r="E960" s="139"/>
      <c r="F960" s="139"/>
      <c r="G960" s="139"/>
      <c r="H960" s="139"/>
      <c r="I960" s="473"/>
      <c r="J960" s="139"/>
      <c r="K960" s="139"/>
      <c r="L960" s="139"/>
    </row>
    <row r="961">
      <c r="A961" s="139"/>
      <c r="B961" s="139"/>
      <c r="C961" s="139"/>
      <c r="D961" s="139"/>
      <c r="E961" s="139"/>
      <c r="F961" s="139"/>
      <c r="G961" s="139"/>
      <c r="H961" s="139"/>
      <c r="I961" s="473"/>
      <c r="J961" s="139"/>
      <c r="K961" s="139"/>
      <c r="L961" s="139"/>
    </row>
    <row r="962">
      <c r="A962" s="139"/>
      <c r="B962" s="139"/>
      <c r="C962" s="139"/>
      <c r="D962" s="139"/>
      <c r="E962" s="139"/>
      <c r="F962" s="139"/>
      <c r="G962" s="139"/>
      <c r="H962" s="139"/>
      <c r="I962" s="473"/>
      <c r="J962" s="139"/>
      <c r="K962" s="139"/>
      <c r="L962" s="139"/>
    </row>
    <row r="963">
      <c r="A963" s="139"/>
      <c r="B963" s="139"/>
      <c r="C963" s="139"/>
      <c r="D963" s="139"/>
      <c r="E963" s="139"/>
      <c r="F963" s="139"/>
      <c r="G963" s="139"/>
      <c r="H963" s="139"/>
      <c r="I963" s="473"/>
      <c r="J963" s="139"/>
      <c r="K963" s="139"/>
      <c r="L963" s="139"/>
    </row>
    <row r="964">
      <c r="A964" s="139"/>
      <c r="B964" s="139"/>
      <c r="C964" s="139"/>
      <c r="D964" s="139"/>
      <c r="E964" s="139"/>
      <c r="F964" s="139"/>
      <c r="G964" s="139"/>
      <c r="H964" s="139"/>
      <c r="I964" s="473"/>
      <c r="J964" s="139"/>
      <c r="K964" s="139"/>
      <c r="L964" s="139"/>
    </row>
    <row r="965">
      <c r="A965" s="139"/>
      <c r="B965" s="139"/>
      <c r="C965" s="139"/>
      <c r="D965" s="139"/>
      <c r="E965" s="139"/>
      <c r="F965" s="139"/>
      <c r="G965" s="139"/>
      <c r="H965" s="139"/>
      <c r="I965" s="473"/>
      <c r="J965" s="139"/>
      <c r="K965" s="139"/>
      <c r="L965" s="139"/>
    </row>
    <row r="966">
      <c r="A966" s="139"/>
      <c r="B966" s="139"/>
      <c r="C966" s="139"/>
      <c r="D966" s="139"/>
      <c r="E966" s="139"/>
      <c r="F966" s="139"/>
      <c r="G966" s="139"/>
      <c r="H966" s="139"/>
      <c r="I966" s="473"/>
      <c r="J966" s="139"/>
      <c r="K966" s="139"/>
      <c r="L966" s="139"/>
    </row>
    <row r="967">
      <c r="A967" s="139"/>
      <c r="B967" s="139"/>
      <c r="C967" s="139"/>
      <c r="D967" s="139"/>
      <c r="E967" s="139"/>
      <c r="F967" s="139"/>
      <c r="G967" s="139"/>
      <c r="H967" s="139"/>
      <c r="I967" s="473"/>
      <c r="J967" s="139"/>
      <c r="K967" s="139"/>
      <c r="L967" s="139"/>
    </row>
    <row r="968">
      <c r="A968" s="139"/>
      <c r="B968" s="139"/>
      <c r="C968" s="139"/>
      <c r="D968" s="139"/>
      <c r="E968" s="139"/>
      <c r="F968" s="139"/>
      <c r="G968" s="139"/>
      <c r="H968" s="139"/>
      <c r="I968" s="473"/>
      <c r="J968" s="139"/>
      <c r="K968" s="139"/>
      <c r="L968" s="139"/>
    </row>
    <row r="969">
      <c r="A969" s="139"/>
      <c r="B969" s="139"/>
      <c r="C969" s="139"/>
      <c r="D969" s="139"/>
      <c r="E969" s="139"/>
      <c r="F969" s="139"/>
      <c r="G969" s="139"/>
      <c r="H969" s="139"/>
      <c r="I969" s="473"/>
      <c r="J969" s="139"/>
      <c r="K969" s="139"/>
      <c r="L969" s="139"/>
    </row>
    <row r="970">
      <c r="A970" s="139"/>
      <c r="B970" s="139"/>
      <c r="C970" s="139"/>
      <c r="D970" s="139"/>
      <c r="E970" s="139"/>
      <c r="F970" s="139"/>
      <c r="G970" s="139"/>
      <c r="H970" s="139"/>
      <c r="I970" s="473"/>
      <c r="J970" s="139"/>
      <c r="K970" s="139"/>
      <c r="L970" s="139"/>
    </row>
    <row r="971">
      <c r="A971" s="139"/>
      <c r="B971" s="139"/>
      <c r="C971" s="139"/>
      <c r="D971" s="139"/>
      <c r="E971" s="139"/>
      <c r="F971" s="139"/>
      <c r="G971" s="139"/>
      <c r="H971" s="139"/>
      <c r="I971" s="473"/>
      <c r="J971" s="139"/>
      <c r="K971" s="139"/>
      <c r="L971" s="139"/>
    </row>
    <row r="972">
      <c r="A972" s="139"/>
      <c r="B972" s="139"/>
      <c r="C972" s="139"/>
      <c r="D972" s="139"/>
      <c r="E972" s="139"/>
      <c r="F972" s="139"/>
      <c r="G972" s="139"/>
      <c r="H972" s="139"/>
      <c r="I972" s="473"/>
      <c r="J972" s="139"/>
      <c r="K972" s="139"/>
      <c r="L972" s="139"/>
    </row>
    <row r="973">
      <c r="A973" s="139"/>
      <c r="B973" s="139"/>
      <c r="C973" s="139"/>
      <c r="D973" s="139"/>
      <c r="E973" s="139"/>
      <c r="F973" s="139"/>
      <c r="G973" s="139"/>
      <c r="H973" s="139"/>
      <c r="I973" s="473"/>
      <c r="J973" s="139"/>
      <c r="K973" s="139"/>
      <c r="L973" s="139"/>
    </row>
    <row r="974">
      <c r="A974" s="139"/>
      <c r="B974" s="139"/>
      <c r="C974" s="139"/>
      <c r="D974" s="139"/>
      <c r="E974" s="139"/>
      <c r="F974" s="139"/>
      <c r="G974" s="139"/>
      <c r="H974" s="139"/>
      <c r="I974" s="473"/>
      <c r="J974" s="139"/>
      <c r="K974" s="139"/>
      <c r="L974" s="139"/>
    </row>
    <row r="975">
      <c r="A975" s="139"/>
      <c r="B975" s="139"/>
      <c r="C975" s="139"/>
      <c r="D975" s="139"/>
      <c r="E975" s="139"/>
      <c r="F975" s="139"/>
      <c r="G975" s="139"/>
      <c r="H975" s="139"/>
      <c r="I975" s="473"/>
      <c r="J975" s="139"/>
      <c r="K975" s="139"/>
      <c r="L975" s="139"/>
    </row>
    <row r="976">
      <c r="A976" s="139"/>
      <c r="B976" s="139"/>
      <c r="C976" s="139"/>
      <c r="D976" s="139"/>
      <c r="E976" s="139"/>
      <c r="F976" s="139"/>
      <c r="G976" s="139"/>
      <c r="H976" s="139"/>
      <c r="I976" s="473"/>
      <c r="J976" s="139"/>
      <c r="K976" s="139"/>
      <c r="L976" s="139"/>
    </row>
    <row r="977">
      <c r="A977" s="139"/>
      <c r="B977" s="139"/>
      <c r="C977" s="139"/>
      <c r="D977" s="139"/>
      <c r="E977" s="139"/>
      <c r="F977" s="139"/>
      <c r="G977" s="139"/>
      <c r="H977" s="139"/>
      <c r="I977" s="473"/>
      <c r="J977" s="139"/>
      <c r="K977" s="139"/>
      <c r="L977" s="139"/>
    </row>
    <row r="978">
      <c r="A978" s="139"/>
      <c r="B978" s="139"/>
      <c r="C978" s="139"/>
      <c r="D978" s="139"/>
      <c r="E978" s="139"/>
      <c r="F978" s="139"/>
      <c r="G978" s="139"/>
      <c r="H978" s="139"/>
      <c r="I978" s="473"/>
      <c r="J978" s="139"/>
      <c r="K978" s="139"/>
      <c r="L978" s="139"/>
    </row>
    <row r="979">
      <c r="A979" s="139"/>
      <c r="B979" s="139"/>
      <c r="C979" s="139"/>
      <c r="D979" s="139"/>
      <c r="E979" s="139"/>
      <c r="F979" s="139"/>
      <c r="G979" s="139"/>
      <c r="H979" s="139"/>
      <c r="I979" s="473"/>
      <c r="J979" s="139"/>
      <c r="K979" s="139"/>
      <c r="L979" s="139"/>
    </row>
    <row r="980">
      <c r="A980" s="139"/>
      <c r="B980" s="139"/>
      <c r="C980" s="139"/>
      <c r="D980" s="139"/>
      <c r="E980" s="139"/>
      <c r="F980" s="139"/>
      <c r="G980" s="139"/>
      <c r="H980" s="139"/>
      <c r="I980" s="473"/>
      <c r="J980" s="139"/>
      <c r="K980" s="139"/>
      <c r="L980" s="139"/>
    </row>
    <row r="981">
      <c r="A981" s="139"/>
      <c r="B981" s="139"/>
      <c r="C981" s="139"/>
      <c r="D981" s="139"/>
      <c r="E981" s="139"/>
      <c r="F981" s="139"/>
      <c r="G981" s="139"/>
      <c r="H981" s="139"/>
      <c r="I981" s="473"/>
      <c r="J981" s="139"/>
      <c r="K981" s="139"/>
      <c r="L981" s="139"/>
    </row>
    <row r="982">
      <c r="A982" s="139"/>
      <c r="B982" s="139"/>
      <c r="C982" s="139"/>
      <c r="D982" s="139"/>
      <c r="E982" s="139"/>
      <c r="F982" s="139"/>
      <c r="G982" s="139"/>
      <c r="H982" s="139"/>
      <c r="I982" s="473"/>
      <c r="J982" s="139"/>
      <c r="K982" s="139"/>
      <c r="L982" s="139"/>
    </row>
    <row r="983">
      <c r="A983" s="139"/>
      <c r="B983" s="139"/>
      <c r="C983" s="139"/>
      <c r="D983" s="139"/>
      <c r="E983" s="139"/>
      <c r="F983" s="139"/>
      <c r="G983" s="139"/>
      <c r="H983" s="139"/>
      <c r="I983" s="473"/>
      <c r="J983" s="139"/>
      <c r="K983" s="139"/>
      <c r="L983" s="139"/>
    </row>
    <row r="984">
      <c r="A984" s="139"/>
      <c r="B984" s="139"/>
      <c r="C984" s="139"/>
      <c r="D984" s="139"/>
      <c r="E984" s="139"/>
      <c r="F984" s="139"/>
      <c r="G984" s="139"/>
      <c r="H984" s="139"/>
      <c r="I984" s="473"/>
      <c r="J984" s="139"/>
      <c r="K984" s="139"/>
      <c r="L984" s="139"/>
    </row>
    <row r="985">
      <c r="A985" s="139"/>
      <c r="B985" s="139"/>
      <c r="C985" s="139"/>
      <c r="D985" s="139"/>
      <c r="E985" s="139"/>
      <c r="F985" s="139"/>
      <c r="G985" s="139"/>
      <c r="H985" s="139"/>
      <c r="I985" s="473"/>
      <c r="J985" s="139"/>
      <c r="K985" s="139"/>
      <c r="L985" s="139"/>
    </row>
    <row r="986">
      <c r="A986" s="139"/>
      <c r="B986" s="139"/>
      <c r="C986" s="139"/>
      <c r="D986" s="139"/>
      <c r="E986" s="139"/>
      <c r="F986" s="139"/>
      <c r="G986" s="139"/>
      <c r="H986" s="139"/>
      <c r="I986" s="473"/>
      <c r="J986" s="139"/>
      <c r="K986" s="139"/>
      <c r="L986" s="139"/>
    </row>
    <row r="987">
      <c r="A987" s="139"/>
      <c r="B987" s="139"/>
      <c r="C987" s="139"/>
      <c r="D987" s="139"/>
      <c r="E987" s="139"/>
      <c r="F987" s="139"/>
      <c r="G987" s="139"/>
      <c r="H987" s="139"/>
      <c r="I987" s="473"/>
      <c r="J987" s="139"/>
      <c r="K987" s="139"/>
      <c r="L987" s="139"/>
    </row>
    <row r="988">
      <c r="A988" s="139"/>
      <c r="B988" s="139"/>
      <c r="C988" s="139"/>
      <c r="D988" s="139"/>
      <c r="E988" s="139"/>
      <c r="F988" s="139"/>
      <c r="G988" s="139"/>
      <c r="H988" s="139"/>
      <c r="I988" s="473"/>
      <c r="J988" s="139"/>
      <c r="K988" s="139"/>
      <c r="L988" s="139"/>
    </row>
    <row r="989">
      <c r="A989" s="139"/>
      <c r="B989" s="139"/>
      <c r="C989" s="139"/>
      <c r="D989" s="139"/>
      <c r="E989" s="139"/>
      <c r="F989" s="139"/>
      <c r="G989" s="139"/>
      <c r="H989" s="139"/>
      <c r="I989" s="473"/>
      <c r="J989" s="139"/>
      <c r="K989" s="139"/>
      <c r="L989" s="139"/>
    </row>
    <row r="990">
      <c r="A990" s="139"/>
      <c r="B990" s="139"/>
      <c r="C990" s="139"/>
      <c r="D990" s="139"/>
      <c r="E990" s="139"/>
      <c r="F990" s="139"/>
      <c r="G990" s="139"/>
      <c r="H990" s="139"/>
      <c r="I990" s="473"/>
      <c r="J990" s="139"/>
      <c r="K990" s="139"/>
      <c r="L990" s="139"/>
    </row>
    <row r="991">
      <c r="A991" s="139"/>
      <c r="B991" s="139"/>
      <c r="C991" s="139"/>
      <c r="D991" s="139"/>
      <c r="E991" s="139"/>
      <c r="F991" s="139"/>
      <c r="G991" s="139"/>
      <c r="H991" s="139"/>
      <c r="I991" s="473"/>
      <c r="J991" s="139"/>
      <c r="K991" s="139"/>
      <c r="L991" s="139"/>
    </row>
    <row r="992">
      <c r="A992" s="139"/>
      <c r="B992" s="139"/>
      <c r="C992" s="139"/>
      <c r="D992" s="139"/>
      <c r="E992" s="139"/>
      <c r="F992" s="139"/>
      <c r="G992" s="139"/>
      <c r="H992" s="139"/>
      <c r="I992" s="473"/>
      <c r="J992" s="139"/>
      <c r="K992" s="139"/>
      <c r="L992" s="139"/>
    </row>
    <row r="993">
      <c r="A993" s="139"/>
      <c r="B993" s="139"/>
      <c r="C993" s="139"/>
      <c r="D993" s="139"/>
      <c r="E993" s="139"/>
      <c r="F993" s="139"/>
      <c r="G993" s="139"/>
      <c r="H993" s="139"/>
      <c r="I993" s="473"/>
      <c r="J993" s="139"/>
      <c r="K993" s="139"/>
      <c r="L993" s="139"/>
    </row>
    <row r="994">
      <c r="A994" s="139"/>
      <c r="B994" s="139"/>
      <c r="C994" s="139"/>
      <c r="D994" s="139"/>
      <c r="E994" s="139"/>
      <c r="F994" s="139"/>
      <c r="G994" s="139"/>
      <c r="H994" s="139"/>
      <c r="I994" s="473"/>
      <c r="J994" s="139"/>
      <c r="K994" s="139"/>
      <c r="L994" s="139"/>
    </row>
    <row r="995">
      <c r="A995" s="139"/>
      <c r="B995" s="139"/>
      <c r="C995" s="139"/>
      <c r="D995" s="139"/>
      <c r="E995" s="139"/>
      <c r="F995" s="139"/>
      <c r="G995" s="139"/>
      <c r="H995" s="139"/>
      <c r="I995" s="473"/>
      <c r="J995" s="139"/>
      <c r="K995" s="139"/>
      <c r="L995" s="139"/>
    </row>
    <row r="996">
      <c r="A996" s="139"/>
      <c r="B996" s="139"/>
      <c r="C996" s="139"/>
      <c r="D996" s="139"/>
      <c r="E996" s="139"/>
      <c r="F996" s="139"/>
      <c r="G996" s="139"/>
      <c r="H996" s="139"/>
      <c r="I996" s="473"/>
      <c r="J996" s="139"/>
      <c r="K996" s="139"/>
      <c r="L996" s="139"/>
    </row>
    <row r="997">
      <c r="A997" s="139"/>
      <c r="B997" s="139"/>
      <c r="C997" s="139"/>
      <c r="D997" s="139"/>
      <c r="E997" s="139"/>
      <c r="F997" s="139"/>
      <c r="G997" s="139"/>
      <c r="H997" s="139"/>
      <c r="I997" s="473"/>
      <c r="J997" s="139"/>
      <c r="K997" s="139"/>
      <c r="L997" s="139"/>
    </row>
    <row r="998">
      <c r="A998" s="139"/>
      <c r="B998" s="139"/>
      <c r="C998" s="139"/>
      <c r="D998" s="139"/>
      <c r="E998" s="139"/>
      <c r="F998" s="139"/>
      <c r="G998" s="139"/>
      <c r="H998" s="139"/>
      <c r="I998" s="473"/>
      <c r="J998" s="139"/>
      <c r="K998" s="139"/>
      <c r="L998" s="139"/>
    </row>
    <row r="999">
      <c r="A999" s="139"/>
      <c r="B999" s="139"/>
      <c r="C999" s="139"/>
      <c r="D999" s="139"/>
      <c r="E999" s="139"/>
      <c r="F999" s="139"/>
      <c r="G999" s="139"/>
      <c r="H999" s="139"/>
      <c r="I999" s="473"/>
      <c r="J999" s="139"/>
      <c r="K999" s="139"/>
      <c r="L999" s="139"/>
    </row>
    <row r="1000">
      <c r="A1000" s="139"/>
      <c r="B1000" s="139"/>
      <c r="C1000" s="139"/>
      <c r="D1000" s="139"/>
      <c r="E1000" s="139"/>
      <c r="F1000" s="139"/>
      <c r="G1000" s="139"/>
      <c r="H1000" s="139"/>
      <c r="I1000" s="473"/>
      <c r="J1000" s="139"/>
      <c r="K1000" s="139"/>
      <c r="L1000" s="139"/>
    </row>
    <row r="1001">
      <c r="A1001" s="139"/>
      <c r="B1001" s="139"/>
      <c r="C1001" s="139"/>
      <c r="D1001" s="139"/>
      <c r="E1001" s="139"/>
      <c r="F1001" s="139"/>
      <c r="G1001" s="139"/>
      <c r="H1001" s="139"/>
      <c r="I1001" s="473"/>
      <c r="J1001" s="139"/>
      <c r="K1001" s="139"/>
      <c r="L1001" s="139"/>
    </row>
  </sheetData>
  <mergeCells count="12">
    <mergeCell ref="H1:H2"/>
    <mergeCell ref="I1:I2"/>
    <mergeCell ref="J1:J2"/>
    <mergeCell ref="K1:K2"/>
    <mergeCell ref="L1:L2"/>
    <mergeCell ref="A1:A2"/>
    <mergeCell ref="B1:B2"/>
    <mergeCell ref="C1:C2"/>
    <mergeCell ref="D1:D2"/>
    <mergeCell ref="E1:E2"/>
    <mergeCell ref="F1:F2"/>
    <mergeCell ref="G1:G2"/>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1.75"/>
    <col customWidth="1" min="2" max="2" width="9.25"/>
    <col customWidth="1" min="3" max="3" width="21.5"/>
    <col customWidth="1" min="4" max="4" width="75.63"/>
    <col customWidth="1" min="5" max="5" width="19.5"/>
    <col customWidth="1" min="6" max="6" width="21.5"/>
    <col customWidth="1" min="7" max="7" width="16.63"/>
    <col customWidth="1" min="9" max="9" width="17.13"/>
    <col customWidth="1" min="14" max="14" width="15.13"/>
    <col customWidth="1" min="24" max="24" width="16.75"/>
  </cols>
  <sheetData>
    <row r="1">
      <c r="A1" s="474" t="s">
        <v>167</v>
      </c>
      <c r="B1" s="474" t="s">
        <v>171</v>
      </c>
      <c r="C1" s="474" t="s">
        <v>1736</v>
      </c>
      <c r="D1" s="474" t="s">
        <v>505</v>
      </c>
      <c r="E1" s="474" t="s">
        <v>1737</v>
      </c>
      <c r="F1" s="474" t="s">
        <v>1738</v>
      </c>
      <c r="G1" s="475" t="s">
        <v>1739</v>
      </c>
      <c r="H1" s="476"/>
      <c r="I1" s="476"/>
      <c r="J1" s="476"/>
      <c r="K1" s="476"/>
      <c r="L1" s="476"/>
      <c r="M1" s="476"/>
      <c r="N1" s="476"/>
      <c r="O1" s="476"/>
      <c r="P1" s="476"/>
      <c r="Q1" s="476"/>
      <c r="R1" s="476"/>
      <c r="S1" s="476"/>
      <c r="T1" s="476"/>
      <c r="U1" s="476"/>
      <c r="V1" s="476"/>
      <c r="W1" s="476"/>
      <c r="X1" s="476"/>
      <c r="Y1" s="476"/>
      <c r="Z1" s="476"/>
      <c r="AA1" s="476"/>
      <c r="AB1" s="476"/>
      <c r="AC1" s="476"/>
    </row>
    <row r="2" hidden="1">
      <c r="A2" s="477" t="s">
        <v>1475</v>
      </c>
      <c r="B2" s="478">
        <v>2.0</v>
      </c>
      <c r="C2" s="479" t="s">
        <v>1740</v>
      </c>
      <c r="D2" s="479" t="s">
        <v>1741</v>
      </c>
      <c r="E2" s="479" t="s">
        <v>26</v>
      </c>
      <c r="F2" s="479">
        <v>100.0</v>
      </c>
      <c r="G2" s="480" t="s">
        <v>26</v>
      </c>
      <c r="H2" s="481"/>
      <c r="I2" s="481"/>
      <c r="J2" s="482" t="s">
        <v>1742</v>
      </c>
      <c r="N2" s="481"/>
      <c r="O2" s="481"/>
      <c r="P2" s="481"/>
      <c r="Q2" s="481"/>
      <c r="R2" s="481"/>
      <c r="S2" s="481"/>
      <c r="T2" s="481"/>
      <c r="U2" s="481"/>
      <c r="V2" s="481"/>
      <c r="W2" s="481"/>
      <c r="X2" s="481"/>
      <c r="Y2" s="481"/>
      <c r="Z2" s="481"/>
      <c r="AA2" s="481"/>
      <c r="AB2" s="481"/>
      <c r="AC2" s="481"/>
    </row>
    <row r="3" hidden="1">
      <c r="A3" s="483" t="s">
        <v>1479</v>
      </c>
      <c r="B3" s="484">
        <v>4.0</v>
      </c>
      <c r="C3" s="485" t="s">
        <v>1740</v>
      </c>
      <c r="D3" s="485" t="s">
        <v>1743</v>
      </c>
      <c r="E3" s="485" t="s">
        <v>26</v>
      </c>
      <c r="F3" s="485">
        <v>200.0</v>
      </c>
      <c r="G3" s="486" t="s">
        <v>26</v>
      </c>
      <c r="H3" s="481"/>
      <c r="I3" s="487"/>
      <c r="J3" s="488" t="s">
        <v>1744</v>
      </c>
      <c r="K3" s="488" t="s">
        <v>1745</v>
      </c>
      <c r="L3" s="488" t="s">
        <v>1746</v>
      </c>
      <c r="M3" s="488" t="s">
        <v>1747</v>
      </c>
      <c r="N3" s="489" t="s">
        <v>1748</v>
      </c>
      <c r="O3" s="481"/>
      <c r="P3" s="481"/>
      <c r="Q3" s="481"/>
      <c r="R3" s="481"/>
      <c r="S3" s="481"/>
      <c r="T3" s="481"/>
      <c r="U3" s="481"/>
      <c r="V3" s="481"/>
      <c r="W3" s="481"/>
      <c r="X3" s="481"/>
      <c r="Y3" s="481"/>
      <c r="Z3" s="481"/>
      <c r="AA3" s="481"/>
      <c r="AB3" s="481"/>
      <c r="AC3" s="481"/>
    </row>
    <row r="4" hidden="1">
      <c r="A4" s="477" t="s">
        <v>1481</v>
      </c>
      <c r="B4" s="490">
        <v>6.0</v>
      </c>
      <c r="C4" s="479" t="s">
        <v>1740</v>
      </c>
      <c r="D4" s="479" t="s">
        <v>1749</v>
      </c>
      <c r="E4" s="479" t="s">
        <v>26</v>
      </c>
      <c r="F4" s="479">
        <v>1000.0</v>
      </c>
      <c r="G4" s="480" t="s">
        <v>26</v>
      </c>
      <c r="H4" s="481"/>
      <c r="I4" s="491" t="s">
        <v>1750</v>
      </c>
      <c r="J4" s="492" t="s">
        <v>1751</v>
      </c>
      <c r="K4" s="493" t="s">
        <v>1752</v>
      </c>
      <c r="L4" s="494" t="s">
        <v>1753</v>
      </c>
      <c r="M4" s="494" t="s">
        <v>1753</v>
      </c>
      <c r="N4" s="495" t="s">
        <v>1753</v>
      </c>
      <c r="O4" s="481"/>
      <c r="P4" s="481"/>
      <c r="Q4" s="481"/>
      <c r="R4" s="481"/>
      <c r="S4" s="481"/>
      <c r="T4" s="481"/>
      <c r="U4" s="481"/>
      <c r="V4" s="481"/>
      <c r="W4" s="481"/>
      <c r="X4" s="481"/>
      <c r="Y4" s="481"/>
      <c r="Z4" s="481"/>
      <c r="AA4" s="481"/>
      <c r="AB4" s="481"/>
      <c r="AC4" s="481"/>
    </row>
    <row r="5" hidden="1">
      <c r="A5" s="483" t="s">
        <v>1484</v>
      </c>
      <c r="B5" s="484">
        <v>8.0</v>
      </c>
      <c r="C5" s="485" t="s">
        <v>1740</v>
      </c>
      <c r="D5" s="485" t="s">
        <v>1754</v>
      </c>
      <c r="E5" s="485" t="s">
        <v>26</v>
      </c>
      <c r="F5" s="485">
        <v>5000.0</v>
      </c>
      <c r="G5" s="486" t="s">
        <v>26</v>
      </c>
      <c r="H5" s="481"/>
      <c r="I5" s="491" t="s">
        <v>1755</v>
      </c>
      <c r="J5" s="492" t="s">
        <v>1751</v>
      </c>
      <c r="K5" s="492" t="s">
        <v>1751</v>
      </c>
      <c r="L5" s="493" t="s">
        <v>1752</v>
      </c>
      <c r="M5" s="494" t="s">
        <v>1753</v>
      </c>
      <c r="N5" s="495" t="s">
        <v>1753</v>
      </c>
      <c r="O5" s="481"/>
      <c r="P5" s="481"/>
      <c r="Q5" s="481"/>
      <c r="R5" s="481"/>
      <c r="S5" s="481"/>
      <c r="T5" s="481"/>
      <c r="U5" s="481"/>
      <c r="V5" s="481"/>
      <c r="W5" s="481"/>
      <c r="X5" s="481"/>
      <c r="Y5" s="481"/>
      <c r="Z5" s="481"/>
      <c r="AA5" s="481"/>
      <c r="AB5" s="481"/>
      <c r="AC5" s="481"/>
    </row>
    <row r="6" hidden="1">
      <c r="A6" s="496" t="s">
        <v>1487</v>
      </c>
      <c r="B6" s="490">
        <v>9.0</v>
      </c>
      <c r="C6" s="480" t="s">
        <v>1740</v>
      </c>
      <c r="D6" s="497" t="s">
        <v>1756</v>
      </c>
      <c r="E6" s="497" t="s">
        <v>26</v>
      </c>
      <c r="F6" s="497">
        <v>15000.0</v>
      </c>
      <c r="G6" s="480" t="s">
        <v>26</v>
      </c>
      <c r="H6" s="481"/>
      <c r="I6" s="491" t="s">
        <v>1757</v>
      </c>
      <c r="J6" s="492" t="s">
        <v>1751</v>
      </c>
      <c r="K6" s="492" t="s">
        <v>1751</v>
      </c>
      <c r="L6" s="492" t="s">
        <v>1751</v>
      </c>
      <c r="M6" s="493" t="s">
        <v>1752</v>
      </c>
      <c r="N6" s="498" t="s">
        <v>1751</v>
      </c>
      <c r="O6" s="481"/>
      <c r="P6" s="481"/>
      <c r="Q6" s="481"/>
      <c r="R6" s="481"/>
      <c r="S6" s="481"/>
      <c r="T6" s="481"/>
      <c r="U6" s="481"/>
      <c r="V6" s="481"/>
      <c r="W6" s="481"/>
      <c r="X6" s="481"/>
      <c r="Y6" s="481"/>
      <c r="Z6" s="481"/>
      <c r="AA6" s="481"/>
      <c r="AB6" s="481"/>
      <c r="AC6" s="481"/>
    </row>
    <row r="7">
      <c r="A7" s="483" t="s">
        <v>1758</v>
      </c>
      <c r="B7" s="484">
        <v>6.0</v>
      </c>
      <c r="C7" s="485">
        <v>4.0</v>
      </c>
      <c r="D7" s="485" t="s">
        <v>1759</v>
      </c>
      <c r="E7" s="485" t="s">
        <v>26</v>
      </c>
      <c r="F7" s="485">
        <v>8000.0</v>
      </c>
      <c r="G7" s="486" t="s">
        <v>1760</v>
      </c>
      <c r="H7" s="481"/>
      <c r="I7" s="481"/>
      <c r="J7" s="481"/>
      <c r="K7" s="481"/>
      <c r="L7" s="481"/>
      <c r="M7" s="481"/>
      <c r="N7" s="481"/>
      <c r="O7" s="481"/>
      <c r="P7" s="481"/>
      <c r="Q7" s="481"/>
      <c r="R7" s="481"/>
      <c r="S7" s="481"/>
      <c r="T7" s="481"/>
      <c r="U7" s="481"/>
      <c r="V7" s="481"/>
      <c r="W7" s="481"/>
      <c r="X7" s="481"/>
      <c r="Y7" s="481"/>
      <c r="Z7" s="481"/>
      <c r="AA7" s="481"/>
      <c r="AB7" s="481"/>
      <c r="AC7" s="481"/>
    </row>
    <row r="8">
      <c r="A8" s="477" t="s">
        <v>1761</v>
      </c>
      <c r="B8" s="490">
        <v>5.0</v>
      </c>
      <c r="C8" s="479">
        <v>2.0</v>
      </c>
      <c r="D8" s="479" t="s">
        <v>1762</v>
      </c>
      <c r="E8" s="479" t="s">
        <v>1763</v>
      </c>
      <c r="F8" s="479">
        <v>400.0</v>
      </c>
      <c r="G8" s="480" t="s">
        <v>1760</v>
      </c>
      <c r="H8" s="481"/>
      <c r="N8" s="481"/>
      <c r="O8" s="481"/>
      <c r="P8" s="481"/>
      <c r="Q8" s="481"/>
      <c r="R8" s="481"/>
      <c r="S8" s="481"/>
      <c r="T8" s="481"/>
      <c r="U8" s="481"/>
      <c r="V8" s="481"/>
      <c r="W8" s="481"/>
      <c r="X8" s="481"/>
      <c r="Y8" s="481"/>
      <c r="Z8" s="481"/>
      <c r="AA8" s="481"/>
      <c r="AB8" s="481"/>
      <c r="AC8" s="481"/>
    </row>
    <row r="9">
      <c r="A9" s="483" t="s">
        <v>1494</v>
      </c>
      <c r="B9" s="484">
        <v>5.0</v>
      </c>
      <c r="C9" s="485">
        <v>2.0</v>
      </c>
      <c r="D9" s="485" t="s">
        <v>1764</v>
      </c>
      <c r="E9" s="485" t="s">
        <v>1765</v>
      </c>
      <c r="F9" s="485">
        <v>1000.0</v>
      </c>
      <c r="G9" s="486" t="s">
        <v>1760</v>
      </c>
      <c r="H9" s="481"/>
      <c r="I9" s="481"/>
      <c r="J9" s="482" t="s">
        <v>1766</v>
      </c>
      <c r="N9" s="481"/>
      <c r="O9" s="481"/>
      <c r="P9" s="481"/>
      <c r="Q9" s="481"/>
      <c r="R9" s="481"/>
      <c r="S9" s="481"/>
      <c r="T9" s="481"/>
      <c r="U9" s="481"/>
      <c r="V9" s="481"/>
      <c r="W9" s="481"/>
      <c r="X9" s="481"/>
      <c r="Y9" s="481"/>
      <c r="Z9" s="481"/>
      <c r="AA9" s="481"/>
      <c r="AB9" s="481"/>
      <c r="AC9" s="481"/>
    </row>
    <row r="10">
      <c r="A10" s="477" t="s">
        <v>1496</v>
      </c>
      <c r="B10" s="499">
        <v>4.0</v>
      </c>
      <c r="C10" s="479">
        <v>2.0</v>
      </c>
      <c r="D10" s="479" t="s">
        <v>1767</v>
      </c>
      <c r="E10" s="479" t="s">
        <v>26</v>
      </c>
      <c r="F10" s="479">
        <v>200.0</v>
      </c>
      <c r="G10" s="480" t="s">
        <v>1760</v>
      </c>
      <c r="H10" s="481"/>
      <c r="J10" s="488" t="s">
        <v>1744</v>
      </c>
      <c r="K10" s="488" t="s">
        <v>1768</v>
      </c>
      <c r="L10" s="488" t="s">
        <v>1769</v>
      </c>
      <c r="M10" s="488" t="s">
        <v>1770</v>
      </c>
      <c r="N10" s="481"/>
      <c r="O10" s="481"/>
      <c r="P10" s="481"/>
      <c r="Q10" s="481"/>
      <c r="R10" s="481"/>
      <c r="S10" s="481"/>
      <c r="T10" s="481"/>
      <c r="U10" s="481"/>
      <c r="V10" s="481"/>
      <c r="W10" s="481"/>
      <c r="X10" s="481"/>
      <c r="Y10" s="481"/>
      <c r="Z10" s="481"/>
      <c r="AA10" s="481"/>
      <c r="AB10" s="481"/>
      <c r="AC10" s="481"/>
    </row>
    <row r="11">
      <c r="A11" s="483" t="s">
        <v>1771</v>
      </c>
      <c r="B11" s="484">
        <v>4.0</v>
      </c>
      <c r="C11" s="485" t="s">
        <v>1772</v>
      </c>
      <c r="D11" s="485" t="s">
        <v>1773</v>
      </c>
      <c r="E11" s="485" t="s">
        <v>1774</v>
      </c>
      <c r="F11" s="500" t="s">
        <v>1775</v>
      </c>
      <c r="G11" s="486" t="s">
        <v>1760</v>
      </c>
      <c r="H11" s="481"/>
      <c r="I11" s="501" t="s">
        <v>1776</v>
      </c>
      <c r="J11" s="493" t="s">
        <v>1752</v>
      </c>
      <c r="K11" s="494" t="s">
        <v>1753</v>
      </c>
      <c r="L11" s="494" t="s">
        <v>1753</v>
      </c>
      <c r="M11" s="494" t="s">
        <v>1753</v>
      </c>
      <c r="N11" s="481"/>
      <c r="O11" s="481"/>
      <c r="P11" s="481"/>
      <c r="Q11" s="481"/>
      <c r="R11" s="481"/>
      <c r="S11" s="481"/>
      <c r="T11" s="481"/>
      <c r="U11" s="481"/>
      <c r="V11" s="481"/>
      <c r="W11" s="481"/>
      <c r="X11" s="481"/>
      <c r="Y11" s="481"/>
      <c r="Z11" s="481"/>
      <c r="AA11" s="481"/>
      <c r="AB11" s="481"/>
      <c r="AC11" s="481"/>
    </row>
    <row r="12">
      <c r="A12" s="477" t="s">
        <v>1501</v>
      </c>
      <c r="B12" s="490">
        <v>5.0</v>
      </c>
      <c r="C12" s="479">
        <v>1.0</v>
      </c>
      <c r="D12" s="479" t="s">
        <v>1777</v>
      </c>
      <c r="E12" s="479" t="s">
        <v>26</v>
      </c>
      <c r="F12" s="479">
        <v>1000.0</v>
      </c>
      <c r="G12" s="480" t="s">
        <v>1760</v>
      </c>
      <c r="H12" s="481"/>
      <c r="I12" s="502" t="s">
        <v>1750</v>
      </c>
      <c r="J12" s="492" t="s">
        <v>1751</v>
      </c>
      <c r="K12" s="493" t="s">
        <v>1752</v>
      </c>
      <c r="L12" s="494" t="s">
        <v>1753</v>
      </c>
      <c r="M12" s="494" t="s">
        <v>1753</v>
      </c>
      <c r="N12" s="481"/>
      <c r="O12" s="481"/>
      <c r="P12" s="481"/>
      <c r="Q12" s="481"/>
      <c r="R12" s="481"/>
      <c r="S12" s="481"/>
      <c r="T12" s="481"/>
      <c r="U12" s="481"/>
      <c r="V12" s="481"/>
      <c r="W12" s="481"/>
      <c r="X12" s="481"/>
      <c r="Y12" s="481"/>
      <c r="Z12" s="481"/>
      <c r="AA12" s="481"/>
      <c r="AB12" s="481"/>
      <c r="AC12" s="481"/>
    </row>
    <row r="13">
      <c r="A13" s="483" t="s">
        <v>1778</v>
      </c>
      <c r="B13" s="484">
        <v>6.0</v>
      </c>
      <c r="C13" s="485">
        <v>1.0</v>
      </c>
      <c r="D13" s="485" t="s">
        <v>1779</v>
      </c>
      <c r="E13" s="485" t="s">
        <v>26</v>
      </c>
      <c r="F13" s="485">
        <v>2500.0</v>
      </c>
      <c r="G13" s="486" t="s">
        <v>1760</v>
      </c>
      <c r="H13" s="481"/>
      <c r="I13" s="501" t="s">
        <v>1780</v>
      </c>
      <c r="J13" s="492" t="s">
        <v>1751</v>
      </c>
      <c r="K13" s="492" t="s">
        <v>1751</v>
      </c>
      <c r="L13" s="493" t="s">
        <v>1752</v>
      </c>
      <c r="M13" s="494" t="s">
        <v>1753</v>
      </c>
      <c r="N13" s="481"/>
      <c r="O13" s="481"/>
      <c r="P13" s="481"/>
      <c r="Q13" s="481"/>
      <c r="R13" s="481"/>
      <c r="S13" s="481"/>
      <c r="T13" s="481"/>
      <c r="U13" s="481"/>
      <c r="V13" s="481"/>
      <c r="W13" s="481"/>
      <c r="X13" s="481"/>
      <c r="Y13" s="481"/>
      <c r="Z13" s="481"/>
      <c r="AA13" s="481"/>
      <c r="AB13" s="481"/>
      <c r="AC13" s="481"/>
    </row>
    <row r="14">
      <c r="A14" s="477" t="s">
        <v>1505</v>
      </c>
      <c r="B14" s="490">
        <v>7.0</v>
      </c>
      <c r="C14" s="479">
        <v>2.0</v>
      </c>
      <c r="D14" s="479" t="s">
        <v>1781</v>
      </c>
      <c r="E14" s="479" t="s">
        <v>26</v>
      </c>
      <c r="F14" s="479">
        <v>1000.0</v>
      </c>
      <c r="G14" s="480" t="s">
        <v>1760</v>
      </c>
      <c r="H14" s="481"/>
      <c r="I14" s="502" t="s">
        <v>1782</v>
      </c>
      <c r="J14" s="492" t="s">
        <v>1751</v>
      </c>
      <c r="K14" s="492" t="s">
        <v>1751</v>
      </c>
      <c r="L14" s="492" t="s">
        <v>1751</v>
      </c>
      <c r="M14" s="493" t="s">
        <v>1752</v>
      </c>
      <c r="N14" s="481"/>
      <c r="O14" s="481"/>
      <c r="P14" s="481"/>
      <c r="Q14" s="481"/>
      <c r="R14" s="481"/>
      <c r="S14" s="481"/>
      <c r="T14" s="481"/>
      <c r="U14" s="481"/>
      <c r="V14" s="481"/>
      <c r="W14" s="481"/>
      <c r="X14" s="481"/>
      <c r="Y14" s="481"/>
      <c r="Z14" s="481"/>
      <c r="AA14" s="481"/>
      <c r="AB14" s="481"/>
      <c r="AC14" s="481"/>
    </row>
    <row r="15">
      <c r="A15" s="483" t="s">
        <v>1507</v>
      </c>
      <c r="B15" s="484">
        <v>4.0</v>
      </c>
      <c r="C15" s="485">
        <v>1.0</v>
      </c>
      <c r="D15" s="485" t="s">
        <v>1783</v>
      </c>
      <c r="E15" s="485" t="s">
        <v>1784</v>
      </c>
      <c r="F15" s="485">
        <v>1200.0</v>
      </c>
      <c r="G15" s="486" t="s">
        <v>1760</v>
      </c>
      <c r="H15" s="481"/>
      <c r="I15" s="501" t="s">
        <v>1785</v>
      </c>
      <c r="J15" s="492" t="s">
        <v>1751</v>
      </c>
      <c r="K15" s="492" t="s">
        <v>1751</v>
      </c>
      <c r="L15" s="492" t="s">
        <v>1751</v>
      </c>
      <c r="M15" s="492" t="s">
        <v>1751</v>
      </c>
      <c r="N15" s="481"/>
      <c r="O15" s="481"/>
      <c r="P15" s="481"/>
      <c r="Q15" s="481"/>
      <c r="R15" s="481"/>
      <c r="S15" s="481"/>
      <c r="T15" s="481"/>
      <c r="U15" s="481"/>
      <c r="V15" s="481"/>
      <c r="W15" s="481"/>
      <c r="X15" s="481"/>
      <c r="Y15" s="481"/>
      <c r="Z15" s="481"/>
      <c r="AA15" s="481"/>
      <c r="AB15" s="481"/>
      <c r="AC15" s="481"/>
    </row>
    <row r="16">
      <c r="A16" s="477" t="s">
        <v>1786</v>
      </c>
      <c r="B16" s="490">
        <v>4.0</v>
      </c>
      <c r="C16" s="479">
        <v>1.0</v>
      </c>
      <c r="D16" s="479" t="s">
        <v>1787</v>
      </c>
      <c r="E16" s="479" t="s">
        <v>1765</v>
      </c>
      <c r="F16" s="479">
        <v>200.0</v>
      </c>
      <c r="G16" s="480" t="s">
        <v>1760</v>
      </c>
      <c r="H16" s="481"/>
      <c r="I16" s="481"/>
      <c r="J16" s="503" t="s">
        <v>1788</v>
      </c>
      <c r="N16" s="481"/>
      <c r="O16" s="481"/>
      <c r="P16" s="481"/>
      <c r="Q16" s="481"/>
      <c r="R16" s="481"/>
      <c r="S16" s="481"/>
      <c r="T16" s="481"/>
      <c r="U16" s="481"/>
      <c r="V16" s="481"/>
      <c r="W16" s="481"/>
      <c r="X16" s="481"/>
      <c r="Y16" s="481"/>
      <c r="Z16" s="481"/>
      <c r="AA16" s="481"/>
      <c r="AB16" s="481"/>
      <c r="AC16" s="481"/>
    </row>
    <row r="17">
      <c r="A17" s="483" t="s">
        <v>1511</v>
      </c>
      <c r="B17" s="484">
        <v>3.0</v>
      </c>
      <c r="C17" s="485">
        <v>2.0</v>
      </c>
      <c r="D17" s="485" t="s">
        <v>1789</v>
      </c>
      <c r="E17" s="485" t="s">
        <v>26</v>
      </c>
      <c r="F17" s="485">
        <v>400.0</v>
      </c>
      <c r="G17" s="486" t="s">
        <v>1760</v>
      </c>
      <c r="H17" s="481"/>
      <c r="I17" s="481"/>
      <c r="J17" s="481"/>
      <c r="K17" s="481"/>
      <c r="L17" s="481"/>
      <c r="M17" s="481"/>
      <c r="N17" s="481"/>
      <c r="O17" s="481"/>
      <c r="P17" s="481"/>
      <c r="Q17" s="481"/>
      <c r="R17" s="481"/>
      <c r="S17" s="481"/>
      <c r="T17" s="481"/>
      <c r="U17" s="481"/>
      <c r="V17" s="481"/>
      <c r="W17" s="481"/>
      <c r="X17" s="481"/>
      <c r="Y17" s="481"/>
      <c r="Z17" s="481"/>
      <c r="AA17" s="481"/>
      <c r="AB17" s="481"/>
      <c r="AC17" s="481"/>
    </row>
    <row r="18">
      <c r="A18" s="477" t="s">
        <v>1513</v>
      </c>
      <c r="B18" s="490">
        <v>3.0</v>
      </c>
      <c r="C18" s="497">
        <v>1.0</v>
      </c>
      <c r="D18" s="479" t="s">
        <v>1790</v>
      </c>
      <c r="E18" s="479" t="s">
        <v>26</v>
      </c>
      <c r="F18" s="479">
        <v>1200.0</v>
      </c>
      <c r="G18" s="480" t="s">
        <v>1760</v>
      </c>
      <c r="H18" s="481"/>
      <c r="I18" s="481"/>
      <c r="J18" s="481"/>
      <c r="K18" s="481"/>
      <c r="L18" s="481"/>
      <c r="M18" s="481"/>
      <c r="N18" s="481"/>
      <c r="O18" s="481"/>
      <c r="P18" s="481"/>
      <c r="Q18" s="481"/>
      <c r="R18" s="481"/>
      <c r="S18" s="481"/>
      <c r="T18" s="481"/>
      <c r="U18" s="481"/>
      <c r="V18" s="481"/>
      <c r="W18" s="481"/>
      <c r="X18" s="481"/>
      <c r="Y18" s="481"/>
      <c r="Z18" s="481"/>
      <c r="AA18" s="481"/>
      <c r="AB18" s="481"/>
      <c r="AC18" s="481"/>
    </row>
    <row r="19">
      <c r="A19" s="504" t="s">
        <v>1515</v>
      </c>
      <c r="B19" s="486">
        <v>6.0</v>
      </c>
      <c r="C19" s="486">
        <v>2.0</v>
      </c>
      <c r="D19" s="505" t="s">
        <v>1791</v>
      </c>
      <c r="E19" s="505" t="s">
        <v>26</v>
      </c>
      <c r="F19" s="505" t="s">
        <v>341</v>
      </c>
      <c r="G19" s="486" t="s">
        <v>1760</v>
      </c>
      <c r="H19" s="481"/>
      <c r="I19" s="481"/>
      <c r="J19" s="481"/>
      <c r="K19" s="481"/>
      <c r="L19" s="481"/>
      <c r="M19" s="481"/>
      <c r="N19" s="481"/>
      <c r="O19" s="481"/>
      <c r="P19" s="481"/>
      <c r="Q19" s="481"/>
      <c r="R19" s="481"/>
      <c r="S19" s="481"/>
      <c r="T19" s="481"/>
      <c r="U19" s="481"/>
      <c r="V19" s="481"/>
      <c r="W19" s="481"/>
      <c r="X19" s="481"/>
      <c r="Y19" s="481"/>
      <c r="Z19" s="481"/>
      <c r="AA19" s="481"/>
      <c r="AB19" s="481"/>
      <c r="AC19" s="481"/>
    </row>
    <row r="20">
      <c r="A20" s="477" t="s">
        <v>1517</v>
      </c>
      <c r="B20" s="480">
        <v>6.0</v>
      </c>
      <c r="C20" s="480">
        <v>2.0</v>
      </c>
      <c r="D20" s="479" t="s">
        <v>1792</v>
      </c>
      <c r="E20" s="497" t="s">
        <v>26</v>
      </c>
      <c r="F20" s="497" t="s">
        <v>1793</v>
      </c>
      <c r="G20" s="506" t="s">
        <v>1760</v>
      </c>
      <c r="H20" s="481"/>
      <c r="I20" s="481"/>
      <c r="J20" s="481"/>
      <c r="K20" s="481"/>
      <c r="L20" s="481"/>
      <c r="M20" s="481"/>
      <c r="N20" s="481"/>
      <c r="O20" s="481"/>
      <c r="P20" s="481"/>
      <c r="Q20" s="481"/>
      <c r="R20" s="481"/>
      <c r="S20" s="481"/>
      <c r="T20" s="481"/>
      <c r="U20" s="481"/>
      <c r="V20" s="481"/>
      <c r="W20" s="481"/>
      <c r="X20" s="481"/>
      <c r="Y20" s="481"/>
      <c r="Z20" s="481"/>
      <c r="AA20" s="481"/>
      <c r="AB20" s="481"/>
      <c r="AC20" s="481"/>
    </row>
    <row r="21" hidden="1">
      <c r="A21" s="504" t="s">
        <v>1520</v>
      </c>
      <c r="B21" s="486">
        <v>3.0</v>
      </c>
      <c r="C21" s="486">
        <v>1.0</v>
      </c>
      <c r="D21" s="507"/>
      <c r="E21" s="507"/>
      <c r="F21" s="505" t="s">
        <v>1794</v>
      </c>
      <c r="G21" s="486" t="s">
        <v>1768</v>
      </c>
      <c r="H21" s="481"/>
      <c r="I21" s="481"/>
      <c r="J21" s="481"/>
      <c r="K21" s="481"/>
      <c r="L21" s="481"/>
      <c r="M21" s="481"/>
      <c r="N21" s="481"/>
      <c r="O21" s="481"/>
      <c r="P21" s="481"/>
      <c r="Q21" s="481"/>
      <c r="R21" s="481"/>
      <c r="S21" s="481"/>
      <c r="T21" s="481"/>
      <c r="U21" s="481"/>
      <c r="V21" s="481"/>
      <c r="W21" s="481"/>
      <c r="X21" s="481"/>
      <c r="Y21" s="481"/>
      <c r="Z21" s="481"/>
      <c r="AA21" s="481"/>
      <c r="AB21" s="481"/>
      <c r="AC21" s="481"/>
    </row>
    <row r="22" hidden="1">
      <c r="A22" s="496" t="s">
        <v>1523</v>
      </c>
      <c r="B22" s="480">
        <v>1.0</v>
      </c>
      <c r="C22" s="480">
        <v>1.0</v>
      </c>
      <c r="D22" s="497" t="s">
        <v>1795</v>
      </c>
      <c r="E22" s="497" t="s">
        <v>26</v>
      </c>
      <c r="F22" s="508" t="s">
        <v>1796</v>
      </c>
      <c r="G22" s="480" t="s">
        <v>1768</v>
      </c>
      <c r="H22" s="481"/>
      <c r="I22" s="481"/>
      <c r="J22" s="481"/>
      <c r="K22" s="481"/>
      <c r="L22" s="481"/>
      <c r="M22" s="481"/>
      <c r="N22" s="481"/>
      <c r="O22" s="481"/>
      <c r="P22" s="481"/>
      <c r="Q22" s="481"/>
      <c r="R22" s="481"/>
      <c r="S22" s="481"/>
      <c r="T22" s="481"/>
      <c r="U22" s="481"/>
      <c r="V22" s="481"/>
      <c r="W22" s="481"/>
      <c r="X22" s="481"/>
      <c r="Y22" s="481"/>
      <c r="Z22" s="481"/>
      <c r="AA22" s="481"/>
      <c r="AB22" s="481"/>
      <c r="AC22" s="481"/>
    </row>
    <row r="23" hidden="1">
      <c r="A23" s="504" t="s">
        <v>1526</v>
      </c>
      <c r="B23" s="486">
        <v>2.0</v>
      </c>
      <c r="C23" s="486">
        <v>1.0</v>
      </c>
      <c r="D23" s="505" t="s">
        <v>1797</v>
      </c>
      <c r="E23" s="505" t="s">
        <v>26</v>
      </c>
      <c r="F23" s="500" t="s">
        <v>1798</v>
      </c>
      <c r="G23" s="486" t="s">
        <v>1768</v>
      </c>
      <c r="H23" s="481"/>
      <c r="I23" s="481"/>
      <c r="J23" s="481"/>
      <c r="K23" s="481"/>
      <c r="L23" s="481"/>
      <c r="M23" s="481"/>
      <c r="N23" s="481"/>
      <c r="O23" s="481"/>
      <c r="P23" s="481"/>
      <c r="Q23" s="481"/>
      <c r="R23" s="481"/>
      <c r="S23" s="481"/>
      <c r="T23" s="481"/>
      <c r="U23" s="481"/>
      <c r="V23" s="481"/>
      <c r="W23" s="481"/>
      <c r="X23" s="481"/>
      <c r="Y23" s="481"/>
      <c r="Z23" s="481"/>
      <c r="AA23" s="481"/>
      <c r="AB23" s="481"/>
      <c r="AC23" s="481"/>
    </row>
    <row r="24" hidden="1">
      <c r="A24" s="477" t="s">
        <v>1528</v>
      </c>
      <c r="B24" s="480">
        <v>2.0</v>
      </c>
      <c r="C24" s="480">
        <v>1.0</v>
      </c>
      <c r="D24" s="497" t="s">
        <v>1799</v>
      </c>
      <c r="E24" s="497" t="s">
        <v>26</v>
      </c>
      <c r="F24" s="508" t="s">
        <v>1800</v>
      </c>
      <c r="G24" s="506" t="s">
        <v>1768</v>
      </c>
      <c r="H24" s="481"/>
      <c r="I24" s="481"/>
      <c r="J24" s="481"/>
      <c r="K24" s="509"/>
      <c r="L24" s="510"/>
      <c r="M24" s="481"/>
      <c r="N24" s="481"/>
      <c r="O24" s="481"/>
      <c r="P24" s="481"/>
      <c r="Q24" s="481"/>
      <c r="R24" s="481"/>
      <c r="S24" s="481"/>
      <c r="T24" s="481"/>
      <c r="U24" s="481"/>
      <c r="V24" s="481"/>
      <c r="W24" s="481"/>
      <c r="X24" s="481"/>
      <c r="Y24" s="481"/>
      <c r="Z24" s="481"/>
      <c r="AA24" s="481"/>
      <c r="AB24" s="481"/>
      <c r="AC24" s="481"/>
    </row>
    <row r="25" hidden="1">
      <c r="A25" s="504" t="s">
        <v>1801</v>
      </c>
      <c r="B25" s="486">
        <v>2.0</v>
      </c>
      <c r="C25" s="486">
        <v>1.0</v>
      </c>
      <c r="D25" s="505" t="s">
        <v>1802</v>
      </c>
      <c r="E25" s="505" t="s">
        <v>26</v>
      </c>
      <c r="F25" s="500" t="s">
        <v>1803</v>
      </c>
      <c r="G25" s="486" t="s">
        <v>1768</v>
      </c>
      <c r="H25" s="481"/>
      <c r="I25" s="481"/>
      <c r="J25" s="481"/>
      <c r="K25" s="509"/>
      <c r="L25" s="510"/>
      <c r="M25" s="481"/>
      <c r="N25" s="481"/>
      <c r="O25" s="481"/>
      <c r="P25" s="481"/>
      <c r="Q25" s="481"/>
      <c r="R25" s="481"/>
      <c r="S25" s="481"/>
      <c r="T25" s="481"/>
      <c r="U25" s="481"/>
      <c r="V25" s="481"/>
      <c r="W25" s="481"/>
      <c r="X25" s="481"/>
      <c r="Y25" s="481"/>
      <c r="Z25" s="481"/>
      <c r="AA25" s="481"/>
      <c r="AB25" s="481"/>
      <c r="AC25" s="481"/>
    </row>
    <row r="26" hidden="1">
      <c r="A26" s="496" t="s">
        <v>1532</v>
      </c>
      <c r="B26" s="480">
        <v>3.0</v>
      </c>
      <c r="C26" s="480">
        <v>1.0</v>
      </c>
      <c r="D26" s="497" t="s">
        <v>1804</v>
      </c>
      <c r="E26" s="497" t="s">
        <v>26</v>
      </c>
      <c r="F26" s="508" t="s">
        <v>1805</v>
      </c>
      <c r="G26" s="480" t="s">
        <v>1768</v>
      </c>
      <c r="H26" s="481"/>
      <c r="I26" s="481"/>
      <c r="J26" s="481"/>
      <c r="K26" s="509"/>
      <c r="L26" s="510"/>
      <c r="M26" s="481"/>
      <c r="N26" s="481"/>
      <c r="O26" s="481"/>
      <c r="P26" s="481"/>
      <c r="Q26" s="481"/>
      <c r="R26" s="481"/>
      <c r="S26" s="481"/>
      <c r="T26" s="481"/>
      <c r="U26" s="481"/>
      <c r="V26" s="481"/>
      <c r="W26" s="481"/>
      <c r="X26" s="481"/>
      <c r="Y26" s="481"/>
      <c r="Z26" s="481"/>
      <c r="AA26" s="481"/>
      <c r="AB26" s="481"/>
      <c r="AC26" s="481"/>
    </row>
    <row r="27" hidden="1">
      <c r="A27" s="504" t="s">
        <v>1534</v>
      </c>
      <c r="B27" s="486">
        <v>3.0</v>
      </c>
      <c r="C27" s="486">
        <v>1.0</v>
      </c>
      <c r="D27" s="505" t="s">
        <v>1806</v>
      </c>
      <c r="E27" s="505" t="s">
        <v>26</v>
      </c>
      <c r="F27" s="500" t="s">
        <v>1807</v>
      </c>
      <c r="G27" s="486" t="s">
        <v>1768</v>
      </c>
      <c r="H27" s="481"/>
      <c r="I27" s="481"/>
      <c r="J27" s="481"/>
      <c r="K27" s="509"/>
      <c r="L27" s="510"/>
      <c r="M27" s="481"/>
      <c r="N27" s="481"/>
      <c r="O27" s="481"/>
      <c r="P27" s="481"/>
      <c r="Q27" s="481"/>
      <c r="R27" s="481"/>
      <c r="S27" s="481"/>
      <c r="T27" s="481"/>
      <c r="U27" s="481"/>
      <c r="V27" s="481"/>
      <c r="W27" s="481"/>
      <c r="X27" s="481"/>
      <c r="Y27" s="481"/>
      <c r="Z27" s="481"/>
      <c r="AA27" s="481"/>
      <c r="AB27" s="481"/>
      <c r="AC27" s="481"/>
    </row>
    <row r="28" hidden="1">
      <c r="A28" s="496" t="s">
        <v>1536</v>
      </c>
      <c r="B28" s="480">
        <v>3.0</v>
      </c>
      <c r="C28" s="480">
        <v>1.0</v>
      </c>
      <c r="D28" s="497" t="s">
        <v>1808</v>
      </c>
      <c r="E28" s="497" t="s">
        <v>26</v>
      </c>
      <c r="F28" s="508" t="s">
        <v>1809</v>
      </c>
      <c r="G28" s="480" t="s">
        <v>1768</v>
      </c>
      <c r="H28" s="481"/>
      <c r="I28" s="481"/>
      <c r="J28" s="481"/>
      <c r="K28" s="509"/>
      <c r="L28" s="510"/>
      <c r="M28" s="481"/>
      <c r="N28" s="481"/>
      <c r="O28" s="481"/>
      <c r="P28" s="481"/>
      <c r="Q28" s="481"/>
      <c r="R28" s="481"/>
      <c r="S28" s="481"/>
      <c r="T28" s="481"/>
      <c r="U28" s="481"/>
      <c r="V28" s="481"/>
      <c r="W28" s="481"/>
      <c r="X28" s="481"/>
      <c r="Y28" s="481"/>
      <c r="Z28" s="481"/>
      <c r="AA28" s="481"/>
      <c r="AB28" s="481"/>
      <c r="AC28" s="481"/>
    </row>
    <row r="29" hidden="1">
      <c r="A29" s="504" t="s">
        <v>1538</v>
      </c>
      <c r="B29" s="486">
        <v>3.0</v>
      </c>
      <c r="C29" s="486">
        <v>1.0</v>
      </c>
      <c r="D29" s="505" t="s">
        <v>1810</v>
      </c>
      <c r="E29" s="505" t="s">
        <v>26</v>
      </c>
      <c r="F29" s="500" t="s">
        <v>1811</v>
      </c>
      <c r="G29" s="486" t="s">
        <v>1768</v>
      </c>
      <c r="H29" s="481"/>
      <c r="I29" s="481"/>
      <c r="J29" s="481"/>
      <c r="K29" s="509"/>
      <c r="L29" s="510"/>
      <c r="M29" s="481"/>
      <c r="N29" s="481"/>
      <c r="O29" s="481"/>
      <c r="P29" s="481"/>
      <c r="Q29" s="481"/>
      <c r="R29" s="481"/>
      <c r="S29" s="481"/>
      <c r="T29" s="481"/>
      <c r="U29" s="481"/>
      <c r="V29" s="481"/>
      <c r="W29" s="481"/>
      <c r="X29" s="481"/>
      <c r="Y29" s="481"/>
      <c r="Z29" s="481"/>
      <c r="AA29" s="481"/>
      <c r="AB29" s="481"/>
      <c r="AC29" s="481"/>
    </row>
    <row r="30" hidden="1">
      <c r="A30" s="496" t="s">
        <v>1540</v>
      </c>
      <c r="B30" s="480">
        <v>5.0</v>
      </c>
      <c r="C30" s="480">
        <v>1.0</v>
      </c>
      <c r="D30" s="497" t="s">
        <v>1812</v>
      </c>
      <c r="E30" s="497" t="s">
        <v>26</v>
      </c>
      <c r="F30" s="508" t="s">
        <v>1813</v>
      </c>
      <c r="G30" s="480" t="s">
        <v>1768</v>
      </c>
      <c r="H30" s="481"/>
      <c r="I30" s="481"/>
      <c r="J30" s="481"/>
      <c r="K30" s="509"/>
      <c r="L30" s="510"/>
      <c r="M30" s="481"/>
      <c r="N30" s="481"/>
      <c r="O30" s="481"/>
      <c r="P30" s="481"/>
      <c r="Q30" s="481"/>
      <c r="R30" s="481"/>
      <c r="S30" s="481"/>
      <c r="T30" s="481"/>
      <c r="U30" s="481"/>
      <c r="V30" s="481"/>
      <c r="W30" s="481"/>
      <c r="X30" s="481"/>
      <c r="Y30" s="481"/>
      <c r="Z30" s="481"/>
      <c r="AA30" s="481"/>
      <c r="AB30" s="481"/>
      <c r="AC30" s="481"/>
    </row>
    <row r="31" hidden="1">
      <c r="A31" s="504" t="s">
        <v>1542</v>
      </c>
      <c r="B31" s="486">
        <v>1.0</v>
      </c>
      <c r="C31" s="486">
        <v>0.0</v>
      </c>
      <c r="D31" s="505" t="s">
        <v>1814</v>
      </c>
      <c r="E31" s="505" t="s">
        <v>26</v>
      </c>
      <c r="F31" s="505">
        <v>10.0</v>
      </c>
      <c r="G31" s="486" t="s">
        <v>1815</v>
      </c>
      <c r="H31" s="481"/>
      <c r="I31" s="481"/>
      <c r="J31" s="481"/>
      <c r="K31" s="509"/>
      <c r="L31" s="510"/>
      <c r="M31" s="481"/>
      <c r="N31" s="481"/>
      <c r="O31" s="481"/>
      <c r="P31" s="481"/>
      <c r="Q31" s="481"/>
      <c r="R31" s="481"/>
      <c r="S31" s="481"/>
      <c r="T31" s="481"/>
      <c r="U31" s="481"/>
      <c r="V31" s="481"/>
      <c r="W31" s="481"/>
      <c r="X31" s="481"/>
      <c r="Y31" s="481"/>
      <c r="Z31" s="481"/>
      <c r="AA31" s="481"/>
      <c r="AB31" s="481"/>
      <c r="AC31" s="481"/>
    </row>
    <row r="32" hidden="1">
      <c r="A32" s="496" t="s">
        <v>1544</v>
      </c>
      <c r="B32" s="480">
        <v>1.0</v>
      </c>
      <c r="C32" s="480">
        <v>0.0</v>
      </c>
      <c r="D32" s="497" t="s">
        <v>1814</v>
      </c>
      <c r="E32" s="497" t="s">
        <v>26</v>
      </c>
      <c r="F32" s="497">
        <v>15.0</v>
      </c>
      <c r="G32" s="480" t="s">
        <v>1815</v>
      </c>
      <c r="H32" s="481"/>
      <c r="I32" s="481"/>
      <c r="J32" s="481"/>
      <c r="K32" s="509"/>
      <c r="L32" s="510"/>
      <c r="M32" s="481"/>
      <c r="N32" s="481"/>
      <c r="O32" s="481"/>
      <c r="P32" s="481"/>
      <c r="Q32" s="481"/>
      <c r="R32" s="481"/>
      <c r="S32" s="481"/>
      <c r="T32" s="481"/>
      <c r="U32" s="481"/>
      <c r="V32" s="481"/>
      <c r="W32" s="481"/>
      <c r="X32" s="481"/>
      <c r="Y32" s="481"/>
      <c r="Z32" s="481"/>
      <c r="AA32" s="481"/>
      <c r="AB32" s="481"/>
      <c r="AC32" s="481"/>
    </row>
    <row r="33" hidden="1">
      <c r="A33" s="504" t="s">
        <v>1546</v>
      </c>
      <c r="B33" s="486">
        <v>2.0</v>
      </c>
      <c r="C33" s="486">
        <v>0.0</v>
      </c>
      <c r="D33" s="505" t="s">
        <v>1816</v>
      </c>
      <c r="E33" s="505" t="s">
        <v>26</v>
      </c>
      <c r="F33" s="505">
        <v>30.0</v>
      </c>
      <c r="G33" s="486" t="s">
        <v>1815</v>
      </c>
      <c r="H33" s="481"/>
      <c r="I33" s="481"/>
      <c r="J33" s="481"/>
      <c r="K33" s="509"/>
      <c r="L33" s="510"/>
      <c r="M33" s="481"/>
      <c r="N33" s="481"/>
      <c r="O33" s="481"/>
      <c r="P33" s="481"/>
      <c r="Q33" s="481"/>
      <c r="R33" s="481"/>
      <c r="S33" s="481"/>
      <c r="T33" s="481"/>
      <c r="U33" s="481"/>
      <c r="V33" s="481"/>
      <c r="W33" s="481"/>
      <c r="X33" s="481"/>
      <c r="Y33" s="481"/>
      <c r="Z33" s="481"/>
      <c r="AA33" s="481"/>
      <c r="AB33" s="481"/>
      <c r="AC33" s="481"/>
    </row>
    <row r="34" hidden="1">
      <c r="A34" s="496" t="s">
        <v>1548</v>
      </c>
      <c r="B34" s="480">
        <v>1.0</v>
      </c>
      <c r="C34" s="480">
        <v>0.0</v>
      </c>
      <c r="D34" s="497" t="s">
        <v>1817</v>
      </c>
      <c r="E34" s="497" t="s">
        <v>26</v>
      </c>
      <c r="F34" s="497">
        <v>12.0</v>
      </c>
      <c r="G34" s="480" t="s">
        <v>1815</v>
      </c>
      <c r="H34" s="481"/>
      <c r="I34" s="481"/>
      <c r="J34" s="481"/>
      <c r="K34" s="509"/>
      <c r="L34" s="510"/>
      <c r="M34" s="481"/>
      <c r="N34" s="481"/>
      <c r="O34" s="481"/>
      <c r="P34" s="481"/>
      <c r="Q34" s="481"/>
      <c r="R34" s="481"/>
      <c r="S34" s="481"/>
      <c r="T34" s="481"/>
      <c r="U34" s="481"/>
      <c r="V34" s="481"/>
      <c r="W34" s="481"/>
      <c r="X34" s="481"/>
      <c r="Y34" s="481"/>
      <c r="Z34" s="481"/>
      <c r="AA34" s="481"/>
      <c r="AB34" s="481"/>
      <c r="AC34" s="481"/>
    </row>
    <row r="35" hidden="1">
      <c r="A35" s="504" t="s">
        <v>1550</v>
      </c>
      <c r="B35" s="486">
        <v>1.0</v>
      </c>
      <c r="C35" s="486">
        <v>0.0</v>
      </c>
      <c r="D35" s="505" t="s">
        <v>1818</v>
      </c>
      <c r="E35" s="505" t="s">
        <v>26</v>
      </c>
      <c r="F35" s="505">
        <v>60.0</v>
      </c>
      <c r="G35" s="486" t="s">
        <v>1815</v>
      </c>
      <c r="H35" s="481"/>
      <c r="I35" s="481"/>
      <c r="J35" s="481"/>
      <c r="K35" s="481"/>
      <c r="L35" s="481"/>
      <c r="M35" s="481"/>
      <c r="N35" s="481"/>
      <c r="O35" s="481"/>
      <c r="P35" s="481"/>
      <c r="Q35" s="481"/>
      <c r="R35" s="481"/>
      <c r="S35" s="481"/>
      <c r="T35" s="481"/>
      <c r="U35" s="481"/>
      <c r="V35" s="481"/>
      <c r="W35" s="481"/>
      <c r="X35" s="481"/>
      <c r="Y35" s="481"/>
      <c r="Z35" s="481"/>
      <c r="AA35" s="481"/>
      <c r="AB35" s="481"/>
      <c r="AC35" s="481"/>
    </row>
    <row r="36" hidden="1">
      <c r="A36" s="496" t="s">
        <v>1819</v>
      </c>
      <c r="B36" s="480">
        <v>3.0</v>
      </c>
      <c r="C36" s="480">
        <v>0.0</v>
      </c>
      <c r="D36" s="497" t="s">
        <v>1820</v>
      </c>
      <c r="E36" s="497" t="s">
        <v>26</v>
      </c>
      <c r="F36" s="497">
        <v>120.0</v>
      </c>
      <c r="G36" s="480" t="s">
        <v>1815</v>
      </c>
      <c r="H36" s="481"/>
      <c r="I36" s="481"/>
      <c r="J36" s="481"/>
      <c r="K36" s="481"/>
      <c r="L36" s="481"/>
      <c r="M36" s="481"/>
      <c r="N36" s="481"/>
      <c r="O36" s="481"/>
      <c r="P36" s="481"/>
      <c r="Q36" s="481"/>
      <c r="R36" s="481"/>
      <c r="S36" s="481"/>
      <c r="T36" s="481"/>
      <c r="U36" s="481"/>
      <c r="V36" s="481"/>
      <c r="W36" s="481"/>
      <c r="X36" s="481"/>
      <c r="Y36" s="481"/>
      <c r="Z36" s="481"/>
      <c r="AA36" s="481"/>
      <c r="AB36" s="481"/>
      <c r="AC36" s="481"/>
    </row>
    <row r="37" hidden="1">
      <c r="A37" s="504" t="s">
        <v>1554</v>
      </c>
      <c r="B37" s="486">
        <v>1.0</v>
      </c>
      <c r="C37" s="486">
        <v>0.0</v>
      </c>
      <c r="D37" s="505" t="s">
        <v>1821</v>
      </c>
      <c r="E37" s="505" t="s">
        <v>26</v>
      </c>
      <c r="F37" s="505">
        <v>8.0</v>
      </c>
      <c r="G37" s="486" t="s">
        <v>1815</v>
      </c>
      <c r="H37" s="481"/>
      <c r="I37" s="481"/>
      <c r="J37" s="481"/>
      <c r="K37" s="481"/>
      <c r="L37" s="481"/>
      <c r="M37" s="481"/>
      <c r="N37" s="481"/>
      <c r="O37" s="481"/>
      <c r="P37" s="481"/>
      <c r="Q37" s="481"/>
      <c r="R37" s="481"/>
      <c r="S37" s="481"/>
      <c r="T37" s="481"/>
      <c r="U37" s="481"/>
      <c r="V37" s="481"/>
      <c r="W37" s="481"/>
      <c r="X37" s="481"/>
      <c r="Y37" s="481"/>
      <c r="Z37" s="481"/>
      <c r="AA37" s="481"/>
      <c r="AB37" s="481"/>
      <c r="AC37" s="481"/>
    </row>
    <row r="38" hidden="1">
      <c r="A38" s="496" t="s">
        <v>1556</v>
      </c>
      <c r="B38" s="480">
        <v>2.0</v>
      </c>
      <c r="C38" s="480">
        <v>0.0</v>
      </c>
      <c r="D38" s="497" t="s">
        <v>1822</v>
      </c>
      <c r="E38" s="497" t="s">
        <v>26</v>
      </c>
      <c r="F38" s="497">
        <v>45.0</v>
      </c>
      <c r="G38" s="480" t="s">
        <v>1815</v>
      </c>
      <c r="H38" s="481"/>
      <c r="I38" s="481"/>
      <c r="J38" s="481"/>
      <c r="K38" s="481"/>
      <c r="L38" s="481"/>
      <c r="M38" s="481"/>
      <c r="N38" s="481"/>
      <c r="O38" s="481"/>
      <c r="P38" s="481"/>
      <c r="Q38" s="481"/>
      <c r="R38" s="481"/>
      <c r="S38" s="481"/>
      <c r="T38" s="481"/>
      <c r="U38" s="481"/>
      <c r="V38" s="481"/>
      <c r="W38" s="481"/>
      <c r="X38" s="481"/>
      <c r="Y38" s="481"/>
      <c r="Z38" s="481"/>
      <c r="AA38" s="481"/>
      <c r="AB38" s="481"/>
      <c r="AC38" s="481"/>
    </row>
    <row r="39" hidden="1">
      <c r="A39" s="504" t="s">
        <v>1558</v>
      </c>
      <c r="B39" s="486">
        <v>2.0</v>
      </c>
      <c r="C39" s="486">
        <v>0.0</v>
      </c>
      <c r="D39" s="505" t="s">
        <v>1822</v>
      </c>
      <c r="E39" s="505" t="s">
        <v>26</v>
      </c>
      <c r="F39" s="505">
        <v>80.0</v>
      </c>
      <c r="G39" s="486" t="s">
        <v>1815</v>
      </c>
      <c r="H39" s="481"/>
      <c r="I39" s="481"/>
      <c r="J39" s="481"/>
      <c r="K39" s="481"/>
      <c r="L39" s="481"/>
      <c r="M39" s="481"/>
      <c r="N39" s="481"/>
      <c r="O39" s="481"/>
      <c r="P39" s="481"/>
      <c r="Q39" s="481"/>
      <c r="R39" s="481"/>
      <c r="S39" s="481"/>
      <c r="T39" s="481"/>
      <c r="U39" s="481"/>
      <c r="V39" s="481"/>
      <c r="W39" s="481"/>
      <c r="X39" s="481"/>
      <c r="Y39" s="481"/>
      <c r="Z39" s="481"/>
      <c r="AA39" s="481"/>
      <c r="AB39" s="481"/>
      <c r="AC39" s="481"/>
    </row>
    <row r="40" hidden="1">
      <c r="A40" s="496" t="s">
        <v>1823</v>
      </c>
      <c r="B40" s="480">
        <v>4.0</v>
      </c>
      <c r="C40" s="480">
        <v>0.0</v>
      </c>
      <c r="D40" s="497" t="s">
        <v>1824</v>
      </c>
      <c r="E40" s="497" t="s">
        <v>26</v>
      </c>
      <c r="F40" s="497">
        <v>100.0</v>
      </c>
      <c r="G40" s="480" t="s">
        <v>1815</v>
      </c>
      <c r="H40" s="481"/>
      <c r="I40" s="481"/>
      <c r="J40" s="481"/>
      <c r="K40" s="481"/>
      <c r="L40" s="481"/>
      <c r="M40" s="481"/>
      <c r="N40" s="481"/>
      <c r="O40" s="481"/>
      <c r="P40" s="481"/>
      <c r="Q40" s="481"/>
      <c r="R40" s="481"/>
      <c r="S40" s="481"/>
      <c r="T40" s="481"/>
      <c r="U40" s="481"/>
      <c r="V40" s="481"/>
      <c r="W40" s="481"/>
      <c r="X40" s="481"/>
      <c r="Y40" s="481"/>
      <c r="Z40" s="481"/>
      <c r="AA40" s="481"/>
      <c r="AB40" s="481"/>
      <c r="AC40" s="481"/>
    </row>
    <row r="41" hidden="1">
      <c r="A41" s="504" t="s">
        <v>1562</v>
      </c>
      <c r="B41" s="486">
        <v>3.0</v>
      </c>
      <c r="C41" s="486">
        <v>0.0</v>
      </c>
      <c r="D41" s="505" t="s">
        <v>1825</v>
      </c>
      <c r="E41" s="505" t="s">
        <v>26</v>
      </c>
      <c r="F41" s="505">
        <v>200.0</v>
      </c>
      <c r="G41" s="486" t="s">
        <v>1815</v>
      </c>
      <c r="H41" s="481"/>
      <c r="I41" s="481"/>
      <c r="J41" s="481"/>
      <c r="K41" s="481"/>
      <c r="L41" s="481"/>
      <c r="M41" s="481"/>
      <c r="N41" s="481"/>
      <c r="O41" s="481"/>
      <c r="P41" s="481"/>
      <c r="Q41" s="481"/>
      <c r="R41" s="481"/>
      <c r="S41" s="481"/>
      <c r="T41" s="481"/>
      <c r="U41" s="481"/>
      <c r="V41" s="481"/>
      <c r="W41" s="481"/>
      <c r="X41" s="481"/>
      <c r="Y41" s="481"/>
      <c r="Z41" s="481"/>
      <c r="AA41" s="481"/>
      <c r="AB41" s="481"/>
      <c r="AC41" s="481"/>
    </row>
    <row r="42" hidden="1">
      <c r="A42" s="477" t="s">
        <v>1564</v>
      </c>
      <c r="B42" s="479">
        <v>7.0</v>
      </c>
      <c r="C42" s="480">
        <v>2.0</v>
      </c>
      <c r="D42" s="497" t="s">
        <v>1826</v>
      </c>
      <c r="E42" s="497" t="s">
        <v>26</v>
      </c>
      <c r="F42" s="497" t="s">
        <v>1566</v>
      </c>
      <c r="G42" s="480" t="s">
        <v>1827</v>
      </c>
      <c r="H42" s="481"/>
      <c r="I42" s="481"/>
      <c r="J42" s="481"/>
      <c r="K42" s="481"/>
      <c r="L42" s="481"/>
      <c r="M42" s="481"/>
      <c r="N42" s="481"/>
      <c r="O42" s="481"/>
      <c r="P42" s="481"/>
      <c r="Q42" s="481"/>
      <c r="R42" s="481"/>
      <c r="S42" s="481"/>
      <c r="T42" s="481"/>
      <c r="U42" s="481"/>
      <c r="V42" s="481"/>
      <c r="W42" s="481"/>
      <c r="X42" s="481"/>
      <c r="Y42" s="481"/>
      <c r="Z42" s="481"/>
      <c r="AA42" s="481"/>
      <c r="AB42" s="481"/>
      <c r="AC42" s="481"/>
    </row>
    <row r="43" hidden="1">
      <c r="A43" s="504" t="s">
        <v>1567</v>
      </c>
      <c r="B43" s="486">
        <v>7.0</v>
      </c>
      <c r="C43" s="486">
        <v>2.0</v>
      </c>
      <c r="D43" s="505" t="s">
        <v>1828</v>
      </c>
      <c r="E43" s="505" t="s">
        <v>26</v>
      </c>
      <c r="F43" s="505" t="s">
        <v>1829</v>
      </c>
      <c r="G43" s="486" t="s">
        <v>1827</v>
      </c>
      <c r="H43" s="481"/>
      <c r="I43" s="481"/>
      <c r="J43" s="481"/>
      <c r="K43" s="481"/>
      <c r="L43" s="481"/>
      <c r="M43" s="481"/>
      <c r="N43" s="481"/>
      <c r="O43" s="481"/>
      <c r="P43" s="481"/>
      <c r="Q43" s="481"/>
      <c r="R43" s="481"/>
      <c r="S43" s="481"/>
      <c r="T43" s="481"/>
      <c r="U43" s="481"/>
      <c r="V43" s="481"/>
      <c r="W43" s="481"/>
      <c r="X43" s="481"/>
      <c r="Y43" s="481"/>
      <c r="Z43" s="481"/>
      <c r="AA43" s="481"/>
      <c r="AB43" s="481"/>
      <c r="AC43" s="481"/>
    </row>
    <row r="44" hidden="1">
      <c r="A44" s="496" t="s">
        <v>1571</v>
      </c>
      <c r="B44" s="480">
        <v>4.0</v>
      </c>
      <c r="C44" s="480">
        <v>1.0</v>
      </c>
      <c r="D44" s="497" t="s">
        <v>1830</v>
      </c>
      <c r="E44" s="497" t="s">
        <v>26</v>
      </c>
      <c r="F44" s="508" t="s">
        <v>1831</v>
      </c>
      <c r="G44" s="480" t="s">
        <v>1827</v>
      </c>
      <c r="H44" s="481"/>
      <c r="I44" s="481"/>
      <c r="J44" s="481"/>
      <c r="K44" s="481"/>
      <c r="L44" s="481"/>
      <c r="M44" s="481"/>
      <c r="N44" s="481"/>
      <c r="O44" s="481"/>
      <c r="P44" s="481"/>
      <c r="Q44" s="481"/>
      <c r="R44" s="481"/>
      <c r="S44" s="481"/>
      <c r="T44" s="481"/>
      <c r="U44" s="481"/>
      <c r="V44" s="481"/>
      <c r="W44" s="481"/>
      <c r="X44" s="481"/>
      <c r="Y44" s="481"/>
      <c r="Z44" s="481"/>
      <c r="AA44" s="481"/>
      <c r="AB44" s="481"/>
      <c r="AC44" s="481"/>
    </row>
    <row r="45" hidden="1">
      <c r="A45" s="504" t="s">
        <v>1573</v>
      </c>
      <c r="B45" s="486">
        <v>4.0</v>
      </c>
      <c r="C45" s="486">
        <v>1.0</v>
      </c>
      <c r="D45" s="505" t="s">
        <v>1832</v>
      </c>
      <c r="E45" s="505" t="s">
        <v>26</v>
      </c>
      <c r="F45" s="500" t="s">
        <v>1833</v>
      </c>
      <c r="G45" s="486" t="s">
        <v>1827</v>
      </c>
      <c r="H45" s="481"/>
      <c r="I45" s="481"/>
      <c r="J45" s="481"/>
      <c r="K45" s="481"/>
      <c r="L45" s="481"/>
      <c r="M45" s="481"/>
      <c r="N45" s="481"/>
      <c r="O45" s="481"/>
      <c r="P45" s="481"/>
      <c r="Q45" s="481"/>
      <c r="R45" s="481"/>
      <c r="S45" s="481"/>
      <c r="T45" s="481"/>
      <c r="U45" s="481"/>
      <c r="V45" s="481"/>
      <c r="W45" s="481"/>
      <c r="X45" s="481"/>
      <c r="Y45" s="481"/>
      <c r="Z45" s="481"/>
      <c r="AA45" s="481"/>
      <c r="AB45" s="481"/>
      <c r="AC45" s="481"/>
    </row>
    <row r="46" hidden="1">
      <c r="A46" s="496" t="s">
        <v>1575</v>
      </c>
      <c r="B46" s="480">
        <v>5.0</v>
      </c>
      <c r="C46" s="480">
        <v>2.0</v>
      </c>
      <c r="D46" s="497" t="s">
        <v>1834</v>
      </c>
      <c r="E46" s="497" t="s">
        <v>26</v>
      </c>
      <c r="F46" s="508" t="s">
        <v>1835</v>
      </c>
      <c r="G46" s="480" t="s">
        <v>1827</v>
      </c>
      <c r="H46" s="481"/>
      <c r="I46" s="481"/>
      <c r="J46" s="481"/>
      <c r="K46" s="481"/>
      <c r="L46" s="481"/>
      <c r="M46" s="481"/>
      <c r="N46" s="481"/>
      <c r="O46" s="481"/>
      <c r="P46" s="481"/>
      <c r="Q46" s="481"/>
      <c r="R46" s="481"/>
      <c r="S46" s="481"/>
      <c r="T46" s="481"/>
      <c r="U46" s="481"/>
      <c r="V46" s="481"/>
      <c r="W46" s="481"/>
      <c r="X46" s="481"/>
      <c r="Y46" s="481"/>
      <c r="Z46" s="481"/>
      <c r="AA46" s="481"/>
      <c r="AB46" s="481"/>
      <c r="AC46" s="481"/>
    </row>
    <row r="47" hidden="1">
      <c r="A47" s="483" t="s">
        <v>1578</v>
      </c>
      <c r="B47" s="485">
        <v>3.0</v>
      </c>
      <c r="C47" s="485">
        <v>1.0</v>
      </c>
      <c r="D47" s="485" t="s">
        <v>1836</v>
      </c>
      <c r="E47" s="485" t="s">
        <v>26</v>
      </c>
      <c r="F47" s="485">
        <v>800.0</v>
      </c>
      <c r="G47" s="486" t="s">
        <v>1837</v>
      </c>
      <c r="H47" s="481"/>
      <c r="I47" s="481"/>
      <c r="J47" s="481"/>
      <c r="K47" s="481"/>
      <c r="L47" s="481"/>
      <c r="M47" s="481"/>
      <c r="N47" s="481"/>
      <c r="O47" s="481"/>
      <c r="P47" s="481"/>
      <c r="Q47" s="481"/>
      <c r="R47" s="481"/>
      <c r="S47" s="481"/>
      <c r="T47" s="481"/>
      <c r="U47" s="481"/>
      <c r="V47" s="481"/>
      <c r="W47" s="481"/>
      <c r="X47" s="481"/>
      <c r="Y47" s="481"/>
      <c r="Z47" s="481"/>
      <c r="AA47" s="481"/>
      <c r="AB47" s="481"/>
      <c r="AC47" s="481"/>
    </row>
    <row r="48" hidden="1">
      <c r="A48" s="477" t="s">
        <v>1580</v>
      </c>
      <c r="B48" s="479">
        <v>5.0</v>
      </c>
      <c r="C48" s="479">
        <v>3.0</v>
      </c>
      <c r="D48" s="479" t="s">
        <v>1838</v>
      </c>
      <c r="E48" s="479" t="s">
        <v>26</v>
      </c>
      <c r="F48" s="479">
        <v>1500.0</v>
      </c>
      <c r="G48" s="480" t="s">
        <v>1837</v>
      </c>
      <c r="H48" s="481"/>
      <c r="I48" s="481"/>
      <c r="J48" s="481"/>
      <c r="K48" s="481"/>
      <c r="L48" s="481"/>
      <c r="M48" s="481"/>
      <c r="N48" s="481"/>
      <c r="O48" s="481"/>
      <c r="P48" s="481"/>
      <c r="Q48" s="481"/>
      <c r="R48" s="481"/>
      <c r="S48" s="481"/>
      <c r="T48" s="481"/>
      <c r="U48" s="481"/>
      <c r="V48" s="481"/>
      <c r="W48" s="481"/>
      <c r="X48" s="481"/>
      <c r="Y48" s="481"/>
      <c r="Z48" s="481"/>
      <c r="AA48" s="481"/>
      <c r="AB48" s="481"/>
      <c r="AC48" s="481"/>
    </row>
    <row r="49" hidden="1">
      <c r="A49" s="483" t="s">
        <v>1582</v>
      </c>
      <c r="B49" s="485">
        <v>3.0</v>
      </c>
      <c r="C49" s="485">
        <v>1.0</v>
      </c>
      <c r="D49" s="485" t="s">
        <v>1839</v>
      </c>
      <c r="E49" s="485" t="s">
        <v>26</v>
      </c>
      <c r="F49" s="485">
        <v>100.0</v>
      </c>
      <c r="G49" s="486" t="s">
        <v>1837</v>
      </c>
      <c r="H49" s="481"/>
      <c r="I49" s="481"/>
      <c r="J49" s="481"/>
      <c r="K49" s="481"/>
      <c r="L49" s="481"/>
      <c r="M49" s="481"/>
      <c r="N49" s="481"/>
      <c r="O49" s="481"/>
      <c r="P49" s="481"/>
      <c r="Q49" s="481"/>
      <c r="R49" s="481"/>
      <c r="S49" s="481"/>
      <c r="T49" s="481"/>
      <c r="U49" s="481"/>
      <c r="V49" s="481"/>
      <c r="W49" s="481"/>
      <c r="X49" s="481"/>
      <c r="Y49" s="481"/>
      <c r="Z49" s="481"/>
      <c r="AA49" s="481"/>
      <c r="AB49" s="481"/>
      <c r="AC49" s="481"/>
    </row>
    <row r="50" hidden="1">
      <c r="A50" s="511" t="s">
        <v>1584</v>
      </c>
      <c r="B50" s="479">
        <v>3.0</v>
      </c>
      <c r="C50" s="479">
        <v>1.0</v>
      </c>
      <c r="D50" s="479" t="s">
        <v>1840</v>
      </c>
      <c r="E50" s="479" t="s">
        <v>26</v>
      </c>
      <c r="F50" s="479">
        <v>500.0</v>
      </c>
      <c r="G50" s="480" t="s">
        <v>1837</v>
      </c>
      <c r="H50" s="481"/>
      <c r="I50" s="481"/>
      <c r="J50" s="481"/>
      <c r="K50" s="481"/>
      <c r="L50" s="481"/>
      <c r="M50" s="481"/>
      <c r="N50" s="481"/>
      <c r="O50" s="481"/>
      <c r="P50" s="481"/>
      <c r="Q50" s="481"/>
      <c r="R50" s="481"/>
      <c r="S50" s="481"/>
      <c r="T50" s="481"/>
      <c r="U50" s="481"/>
      <c r="V50" s="481"/>
      <c r="W50" s="481"/>
      <c r="X50" s="481"/>
      <c r="Y50" s="481"/>
      <c r="Z50" s="481"/>
      <c r="AA50" s="481"/>
      <c r="AB50" s="481"/>
      <c r="AC50" s="481"/>
    </row>
    <row r="51" hidden="1">
      <c r="A51" s="512" t="s">
        <v>1586</v>
      </c>
      <c r="B51" s="485">
        <v>3.0</v>
      </c>
      <c r="C51" s="485">
        <v>2.0</v>
      </c>
      <c r="D51" s="485" t="s">
        <v>1841</v>
      </c>
      <c r="E51" s="485" t="s">
        <v>26</v>
      </c>
      <c r="F51" s="485">
        <v>75.0</v>
      </c>
      <c r="G51" s="486" t="s">
        <v>1837</v>
      </c>
      <c r="H51" s="481"/>
      <c r="I51" s="481"/>
      <c r="J51" s="481"/>
      <c r="K51" s="481"/>
      <c r="L51" s="481"/>
      <c r="M51" s="481"/>
      <c r="N51" s="481"/>
      <c r="O51" s="481"/>
      <c r="P51" s="481"/>
      <c r="Q51" s="481"/>
      <c r="R51" s="481"/>
      <c r="S51" s="481"/>
      <c r="T51" s="481"/>
      <c r="U51" s="481"/>
      <c r="V51" s="481"/>
      <c r="W51" s="481"/>
      <c r="X51" s="481"/>
      <c r="Y51" s="481"/>
      <c r="Z51" s="481"/>
      <c r="AA51" s="481"/>
      <c r="AB51" s="481"/>
      <c r="AC51" s="481"/>
    </row>
    <row r="52" hidden="1">
      <c r="A52" s="511" t="s">
        <v>1588</v>
      </c>
      <c r="B52" s="479">
        <v>3.0</v>
      </c>
      <c r="C52" s="479">
        <v>2.0</v>
      </c>
      <c r="D52" s="479" t="s">
        <v>1842</v>
      </c>
      <c r="E52" s="479" t="s">
        <v>26</v>
      </c>
      <c r="F52" s="479">
        <v>300.0</v>
      </c>
      <c r="G52" s="480" t="s">
        <v>1837</v>
      </c>
      <c r="H52" s="481"/>
      <c r="I52" s="481"/>
      <c r="J52" s="481"/>
      <c r="K52" s="481"/>
      <c r="L52" s="481"/>
      <c r="M52" s="481"/>
      <c r="N52" s="481"/>
      <c r="O52" s="481"/>
      <c r="P52" s="481"/>
      <c r="Q52" s="481"/>
      <c r="R52" s="481"/>
      <c r="S52" s="481"/>
      <c r="T52" s="481"/>
      <c r="U52" s="481"/>
      <c r="V52" s="481"/>
      <c r="W52" s="481"/>
      <c r="X52" s="481"/>
      <c r="Y52" s="481"/>
      <c r="Z52" s="481"/>
      <c r="AA52" s="481"/>
      <c r="AB52" s="481"/>
      <c r="AC52" s="481"/>
    </row>
    <row r="53" hidden="1">
      <c r="A53" s="483" t="s">
        <v>1590</v>
      </c>
      <c r="B53" s="485">
        <v>4.0</v>
      </c>
      <c r="C53" s="485">
        <v>2.0</v>
      </c>
      <c r="D53" s="485" t="s">
        <v>1843</v>
      </c>
      <c r="E53" s="485" t="s">
        <v>26</v>
      </c>
      <c r="F53" s="485">
        <v>1000.0</v>
      </c>
      <c r="G53" s="486" t="s">
        <v>1837</v>
      </c>
      <c r="H53" s="481"/>
      <c r="I53" s="481"/>
      <c r="J53" s="481"/>
      <c r="K53" s="481"/>
      <c r="L53" s="481"/>
      <c r="M53" s="481"/>
      <c r="N53" s="481"/>
      <c r="O53" s="481"/>
      <c r="P53" s="481"/>
      <c r="Q53" s="481"/>
      <c r="R53" s="481"/>
      <c r="S53" s="481"/>
      <c r="T53" s="481"/>
      <c r="U53" s="481"/>
      <c r="V53" s="481"/>
      <c r="W53" s="481"/>
      <c r="X53" s="481"/>
      <c r="Y53" s="481"/>
      <c r="Z53" s="481"/>
      <c r="AA53" s="481"/>
      <c r="AB53" s="481"/>
      <c r="AC53" s="481"/>
    </row>
    <row r="54" hidden="1">
      <c r="A54" s="511" t="s">
        <v>1844</v>
      </c>
      <c r="B54" s="479">
        <v>3.0</v>
      </c>
      <c r="C54" s="479">
        <v>1.0</v>
      </c>
      <c r="D54" s="479" t="s">
        <v>1845</v>
      </c>
      <c r="E54" s="479" t="s">
        <v>26</v>
      </c>
      <c r="F54" s="479">
        <v>200.0</v>
      </c>
      <c r="G54" s="480" t="s">
        <v>1837</v>
      </c>
      <c r="H54" s="481"/>
      <c r="I54" s="481"/>
      <c r="J54" s="481"/>
      <c r="K54" s="481"/>
      <c r="L54" s="481"/>
      <c r="M54" s="481"/>
      <c r="N54" s="481"/>
      <c r="O54" s="481"/>
      <c r="P54" s="481"/>
      <c r="Q54" s="481"/>
      <c r="R54" s="481"/>
      <c r="S54" s="481"/>
      <c r="T54" s="481"/>
      <c r="U54" s="481"/>
      <c r="V54" s="481"/>
      <c r="W54" s="481"/>
      <c r="X54" s="481"/>
      <c r="Y54" s="481"/>
      <c r="Z54" s="481"/>
      <c r="AA54" s="481"/>
      <c r="AB54" s="481"/>
      <c r="AC54" s="481"/>
    </row>
    <row r="55" hidden="1">
      <c r="A55" s="513" t="s">
        <v>1846</v>
      </c>
      <c r="B55" s="486">
        <v>2.0</v>
      </c>
      <c r="C55" s="486">
        <v>1.0</v>
      </c>
      <c r="D55" s="505" t="s">
        <v>1847</v>
      </c>
      <c r="E55" s="505" t="s">
        <v>26</v>
      </c>
      <c r="F55" s="505">
        <v>150.0</v>
      </c>
      <c r="G55" s="486" t="s">
        <v>1837</v>
      </c>
      <c r="H55" s="481"/>
      <c r="I55" s="481"/>
      <c r="J55" s="481"/>
      <c r="K55" s="481"/>
      <c r="L55" s="481"/>
      <c r="M55" s="481"/>
      <c r="N55" s="481"/>
      <c r="O55" s="481"/>
      <c r="P55" s="481"/>
      <c r="Q55" s="481"/>
      <c r="R55" s="481"/>
      <c r="S55" s="481"/>
      <c r="T55" s="481"/>
      <c r="U55" s="481"/>
      <c r="V55" s="481"/>
      <c r="W55" s="481"/>
      <c r="X55" s="481"/>
      <c r="Y55" s="481"/>
      <c r="Z55" s="481"/>
      <c r="AA55" s="481"/>
      <c r="AB55" s="481"/>
      <c r="AC55" s="481"/>
    </row>
    <row r="56" hidden="1">
      <c r="A56" s="496" t="s">
        <v>1848</v>
      </c>
      <c r="B56" s="480">
        <v>3.0</v>
      </c>
      <c r="C56" s="480">
        <v>1.0</v>
      </c>
      <c r="D56" s="497" t="s">
        <v>1849</v>
      </c>
      <c r="E56" s="497" t="s">
        <v>26</v>
      </c>
      <c r="F56" s="497">
        <v>500.0</v>
      </c>
      <c r="G56" s="480" t="s">
        <v>1837</v>
      </c>
      <c r="H56" s="481"/>
      <c r="I56" s="481"/>
      <c r="J56" s="481"/>
      <c r="K56" s="481"/>
      <c r="L56" s="481"/>
      <c r="M56" s="481"/>
      <c r="N56" s="481"/>
      <c r="O56" s="481"/>
      <c r="P56" s="481"/>
      <c r="Q56" s="481"/>
      <c r="R56" s="481"/>
      <c r="S56" s="481"/>
      <c r="T56" s="481"/>
      <c r="U56" s="481"/>
      <c r="V56" s="481"/>
      <c r="W56" s="481"/>
      <c r="X56" s="481"/>
      <c r="Y56" s="481"/>
      <c r="Z56" s="481"/>
      <c r="AA56" s="481"/>
      <c r="AB56" s="481"/>
      <c r="AC56" s="481"/>
    </row>
    <row r="57" hidden="1">
      <c r="A57" s="504" t="s">
        <v>1850</v>
      </c>
      <c r="B57" s="486">
        <v>4.0</v>
      </c>
      <c r="C57" s="486">
        <v>2.0</v>
      </c>
      <c r="D57" s="505" t="s">
        <v>1851</v>
      </c>
      <c r="E57" s="505" t="s">
        <v>1852</v>
      </c>
      <c r="F57" s="505">
        <v>300.0</v>
      </c>
      <c r="G57" s="486" t="s">
        <v>1837</v>
      </c>
      <c r="H57" s="481"/>
      <c r="I57" s="481"/>
      <c r="J57" s="481"/>
      <c r="K57" s="481"/>
      <c r="L57" s="481"/>
      <c r="M57" s="481"/>
      <c r="N57" s="481"/>
      <c r="O57" s="481"/>
      <c r="P57" s="481"/>
      <c r="Q57" s="481"/>
      <c r="R57" s="481"/>
      <c r="S57" s="481"/>
      <c r="T57" s="481"/>
      <c r="U57" s="481"/>
      <c r="V57" s="481"/>
      <c r="W57" s="481"/>
      <c r="X57" s="481"/>
      <c r="Y57" s="481"/>
      <c r="Z57" s="481"/>
      <c r="AA57" s="481"/>
      <c r="AB57" s="481"/>
      <c r="AC57" s="481"/>
    </row>
    <row r="58" hidden="1">
      <c r="A58" s="496" t="s">
        <v>1853</v>
      </c>
      <c r="B58" s="480">
        <v>0.0</v>
      </c>
      <c r="C58" s="479">
        <v>1.0</v>
      </c>
      <c r="D58" s="497" t="s">
        <v>1854</v>
      </c>
      <c r="E58" s="497" t="s">
        <v>26</v>
      </c>
      <c r="F58" s="497">
        <v>5.0</v>
      </c>
      <c r="G58" s="480" t="s">
        <v>1837</v>
      </c>
      <c r="H58" s="481"/>
      <c r="I58" s="481"/>
      <c r="J58" s="481"/>
      <c r="K58" s="481"/>
      <c r="L58" s="481"/>
      <c r="M58" s="481"/>
      <c r="N58" s="481"/>
      <c r="O58" s="481"/>
      <c r="P58" s="481"/>
      <c r="Q58" s="481"/>
      <c r="R58" s="481"/>
      <c r="S58" s="481"/>
      <c r="T58" s="481"/>
      <c r="U58" s="481"/>
      <c r="V58" s="481"/>
      <c r="W58" s="481"/>
      <c r="X58" s="481"/>
      <c r="Y58" s="481"/>
      <c r="Z58" s="481"/>
      <c r="AA58" s="481"/>
      <c r="AB58" s="481"/>
      <c r="AC58" s="481"/>
    </row>
    <row r="59" hidden="1">
      <c r="A59" s="504" t="s">
        <v>1855</v>
      </c>
      <c r="B59" s="486">
        <v>1.0</v>
      </c>
      <c r="C59" s="486">
        <v>1.0</v>
      </c>
      <c r="D59" s="505" t="s">
        <v>1856</v>
      </c>
      <c r="E59" s="505" t="s">
        <v>26</v>
      </c>
      <c r="F59" s="505">
        <v>150.0</v>
      </c>
      <c r="G59" s="486" t="s">
        <v>1837</v>
      </c>
      <c r="H59" s="481"/>
      <c r="I59" s="481"/>
      <c r="J59" s="481"/>
      <c r="K59" s="481"/>
      <c r="L59" s="481"/>
      <c r="M59" s="481"/>
      <c r="N59" s="481"/>
      <c r="O59" s="481"/>
      <c r="P59" s="481"/>
      <c r="Q59" s="481"/>
      <c r="R59" s="481"/>
      <c r="S59" s="481"/>
      <c r="T59" s="481"/>
      <c r="U59" s="481"/>
      <c r="V59" s="481"/>
      <c r="W59" s="481"/>
      <c r="X59" s="481"/>
      <c r="Y59" s="481"/>
      <c r="Z59" s="481"/>
      <c r="AA59" s="481"/>
      <c r="AB59" s="481"/>
      <c r="AC59" s="481"/>
    </row>
    <row r="60" hidden="1">
      <c r="A60" s="496" t="s">
        <v>1857</v>
      </c>
      <c r="B60" s="480">
        <v>2.0</v>
      </c>
      <c r="C60" s="480">
        <v>1.0</v>
      </c>
      <c r="D60" s="497" t="s">
        <v>1858</v>
      </c>
      <c r="E60" s="497" t="s">
        <v>26</v>
      </c>
      <c r="F60" s="497">
        <v>600.0</v>
      </c>
      <c r="G60" s="480" t="s">
        <v>1837</v>
      </c>
      <c r="H60" s="481"/>
      <c r="I60" s="481"/>
      <c r="J60" s="481"/>
      <c r="K60" s="481"/>
      <c r="L60" s="481"/>
      <c r="M60" s="481"/>
      <c r="N60" s="481"/>
      <c r="O60" s="481"/>
      <c r="P60" s="481"/>
      <c r="Q60" s="481"/>
      <c r="R60" s="481"/>
      <c r="S60" s="481"/>
      <c r="T60" s="481"/>
      <c r="U60" s="481"/>
      <c r="V60" s="481"/>
      <c r="W60" s="481"/>
      <c r="X60" s="481"/>
      <c r="Y60" s="481"/>
      <c r="Z60" s="481"/>
      <c r="AA60" s="481"/>
      <c r="AB60" s="481"/>
      <c r="AC60" s="481"/>
    </row>
    <row r="61" hidden="1">
      <c r="A61" s="504" t="s">
        <v>1859</v>
      </c>
      <c r="B61" s="486">
        <v>3.0</v>
      </c>
      <c r="C61" s="486">
        <v>1.0</v>
      </c>
      <c r="D61" s="505" t="s">
        <v>1860</v>
      </c>
      <c r="E61" s="505" t="s">
        <v>26</v>
      </c>
      <c r="F61" s="505">
        <v>200.0</v>
      </c>
      <c r="G61" s="486" t="s">
        <v>1837</v>
      </c>
      <c r="H61" s="481"/>
      <c r="I61" s="481"/>
      <c r="J61" s="481"/>
      <c r="K61" s="481"/>
      <c r="L61" s="481"/>
      <c r="M61" s="481"/>
      <c r="N61" s="481"/>
      <c r="O61" s="481"/>
      <c r="P61" s="481"/>
      <c r="Q61" s="481"/>
      <c r="R61" s="481"/>
      <c r="S61" s="481"/>
      <c r="T61" s="481"/>
      <c r="U61" s="481"/>
      <c r="V61" s="481"/>
      <c r="W61" s="481"/>
      <c r="AC61" s="514"/>
    </row>
    <row r="62" hidden="1">
      <c r="A62" s="496" t="s">
        <v>1861</v>
      </c>
      <c r="B62" s="480">
        <v>3.0</v>
      </c>
      <c r="C62" s="480">
        <v>3.0</v>
      </c>
      <c r="D62" s="497" t="s">
        <v>1862</v>
      </c>
      <c r="E62" s="497" t="s">
        <v>1863</v>
      </c>
      <c r="F62" s="508" t="s">
        <v>1864</v>
      </c>
      <c r="G62" s="480" t="s">
        <v>1837</v>
      </c>
      <c r="H62" s="481"/>
      <c r="I62" s="481"/>
      <c r="J62" s="481"/>
      <c r="K62" s="515" t="s">
        <v>365</v>
      </c>
      <c r="L62" s="481"/>
      <c r="M62" s="509">
        <v>2000.0</v>
      </c>
      <c r="N62" s="481"/>
      <c r="O62" s="481"/>
      <c r="P62" s="481"/>
      <c r="Q62" s="481"/>
      <c r="R62" s="481"/>
      <c r="S62" s="481"/>
      <c r="T62" s="481"/>
      <c r="U62" s="481"/>
      <c r="V62" s="481"/>
      <c r="W62" s="481"/>
      <c r="AC62" s="516"/>
    </row>
    <row r="63" hidden="1">
      <c r="A63" s="483" t="s">
        <v>1865</v>
      </c>
      <c r="B63" s="485">
        <v>9.0</v>
      </c>
      <c r="C63" s="485">
        <v>2.0</v>
      </c>
      <c r="D63" s="485" t="s">
        <v>1866</v>
      </c>
      <c r="E63" s="485" t="s">
        <v>26</v>
      </c>
      <c r="F63" s="485">
        <v>800.0</v>
      </c>
      <c r="G63" s="486" t="s">
        <v>1867</v>
      </c>
      <c r="H63" s="481"/>
      <c r="I63" s="481"/>
      <c r="J63" s="481"/>
      <c r="K63" s="515" t="s">
        <v>381</v>
      </c>
      <c r="L63" s="481"/>
      <c r="M63" s="509">
        <v>2500.0</v>
      </c>
      <c r="N63" s="509">
        <v>2750.0</v>
      </c>
      <c r="O63" s="481"/>
      <c r="P63" s="481"/>
      <c r="Q63" s="481"/>
      <c r="R63" s="481"/>
      <c r="S63" s="481"/>
      <c r="T63" s="481"/>
      <c r="U63" s="481"/>
      <c r="V63" s="481"/>
      <c r="W63" s="481"/>
      <c r="AC63" s="516"/>
    </row>
    <row r="64" hidden="1">
      <c r="A64" s="477" t="s">
        <v>1868</v>
      </c>
      <c r="B64" s="479">
        <v>8.0</v>
      </c>
      <c r="C64" s="479">
        <v>5.0</v>
      </c>
      <c r="D64" s="479" t="s">
        <v>1869</v>
      </c>
      <c r="E64" s="479" t="s">
        <v>1863</v>
      </c>
      <c r="F64" s="479">
        <v>3000.0</v>
      </c>
      <c r="G64" s="480" t="s">
        <v>1867</v>
      </c>
      <c r="H64" s="481"/>
      <c r="I64" s="481"/>
      <c r="J64" s="481"/>
      <c r="K64" s="515" t="s">
        <v>583</v>
      </c>
      <c r="L64" s="481"/>
      <c r="M64" s="509">
        <v>3000.0</v>
      </c>
      <c r="N64" s="481"/>
      <c r="O64" s="481"/>
      <c r="P64" s="481"/>
      <c r="Q64" s="481"/>
      <c r="R64" s="481"/>
      <c r="S64" s="481"/>
      <c r="T64" s="481"/>
      <c r="U64" s="481"/>
      <c r="V64" s="481"/>
      <c r="W64" s="481"/>
      <c r="AC64" s="516"/>
    </row>
    <row r="65" hidden="1">
      <c r="A65" s="483" t="s">
        <v>1870</v>
      </c>
      <c r="B65" s="485">
        <v>7.0</v>
      </c>
      <c r="C65" s="485">
        <v>2.0</v>
      </c>
      <c r="D65" s="485" t="s">
        <v>1871</v>
      </c>
      <c r="E65" s="485" t="s">
        <v>1872</v>
      </c>
      <c r="F65" s="485">
        <v>200.0</v>
      </c>
      <c r="G65" s="486" t="s">
        <v>1867</v>
      </c>
      <c r="H65" s="481"/>
      <c r="I65" s="481"/>
      <c r="J65" s="481"/>
      <c r="K65" s="515" t="s">
        <v>372</v>
      </c>
      <c r="L65" s="481"/>
      <c r="M65" s="509">
        <v>3500.0</v>
      </c>
      <c r="N65" s="509">
        <v>3750.0</v>
      </c>
      <c r="O65" s="481"/>
      <c r="P65" s="481"/>
      <c r="Q65" s="481"/>
      <c r="R65" s="481"/>
      <c r="S65" s="481"/>
      <c r="T65" s="481"/>
      <c r="U65" s="481"/>
      <c r="V65" s="481"/>
      <c r="W65" s="481"/>
      <c r="X65" s="481"/>
      <c r="Y65" s="481"/>
      <c r="Z65" s="481"/>
      <c r="AA65" s="481"/>
      <c r="AB65" s="481"/>
      <c r="AC65" s="517"/>
    </row>
    <row r="66" hidden="1">
      <c r="A66" s="496" t="s">
        <v>1873</v>
      </c>
      <c r="B66" s="480">
        <v>7.0</v>
      </c>
      <c r="C66" s="518"/>
      <c r="D66" s="519"/>
      <c r="E66" s="519"/>
      <c r="F66" s="519"/>
      <c r="G66" s="480" t="s">
        <v>1867</v>
      </c>
      <c r="H66" s="481"/>
      <c r="I66" s="481"/>
      <c r="J66" s="481"/>
      <c r="K66" s="515" t="s">
        <v>593</v>
      </c>
      <c r="L66" s="481"/>
      <c r="M66" s="509">
        <v>4000.0</v>
      </c>
      <c r="N66" s="481"/>
      <c r="O66" s="481"/>
      <c r="P66" s="481"/>
      <c r="Q66" s="481"/>
      <c r="R66" s="481"/>
      <c r="S66" s="481"/>
      <c r="T66" s="481"/>
      <c r="U66" s="481"/>
      <c r="V66" s="481"/>
      <c r="W66" s="481"/>
      <c r="X66" s="481"/>
      <c r="Y66" s="481"/>
      <c r="Z66" s="481"/>
      <c r="AA66" s="481"/>
      <c r="AB66" s="481"/>
      <c r="AC66" s="481"/>
    </row>
    <row r="67" hidden="1">
      <c r="A67" s="504" t="s">
        <v>1874</v>
      </c>
      <c r="B67" s="486">
        <v>7.0</v>
      </c>
      <c r="C67" s="520"/>
      <c r="D67" s="507"/>
      <c r="E67" s="507"/>
      <c r="F67" s="507"/>
      <c r="G67" s="486" t="s">
        <v>1867</v>
      </c>
      <c r="H67" s="481"/>
      <c r="I67" s="481"/>
      <c r="J67" s="481"/>
      <c r="K67" s="481"/>
      <c r="L67" s="481"/>
      <c r="M67" s="481"/>
      <c r="N67" s="481"/>
      <c r="O67" s="481"/>
      <c r="P67" s="481"/>
      <c r="Q67" s="481"/>
      <c r="R67" s="481"/>
      <c r="S67" s="481"/>
      <c r="T67" s="481"/>
      <c r="U67" s="481"/>
      <c r="V67" s="481"/>
      <c r="W67" s="481"/>
      <c r="X67" s="481"/>
      <c r="Y67" s="481"/>
      <c r="Z67" s="481"/>
      <c r="AA67" s="481"/>
      <c r="AB67" s="481"/>
      <c r="AC67" s="481"/>
    </row>
    <row r="68" hidden="1">
      <c r="A68" s="521" t="s">
        <v>1875</v>
      </c>
      <c r="B68" s="518"/>
      <c r="C68" s="518"/>
      <c r="D68" s="519"/>
      <c r="E68" s="519"/>
      <c r="F68" s="519"/>
      <c r="G68" s="480" t="s">
        <v>1867</v>
      </c>
      <c r="H68" s="481"/>
      <c r="I68" s="481"/>
      <c r="J68" s="481"/>
      <c r="K68" s="481"/>
      <c r="L68" s="481"/>
      <c r="M68" s="481"/>
      <c r="N68" s="481"/>
      <c r="O68" s="481"/>
      <c r="P68" s="481"/>
      <c r="Q68" s="481"/>
      <c r="R68" s="481"/>
      <c r="S68" s="481"/>
      <c r="T68" s="481"/>
      <c r="U68" s="481"/>
      <c r="V68" s="481"/>
      <c r="W68" s="481"/>
      <c r="X68" s="481"/>
      <c r="Y68" s="481"/>
      <c r="Z68" s="481"/>
      <c r="AA68" s="481"/>
      <c r="AB68" s="481"/>
      <c r="AC68" s="481"/>
    </row>
    <row r="69" hidden="1">
      <c r="A69" s="522" t="s">
        <v>1876</v>
      </c>
      <c r="B69" s="485"/>
      <c r="C69" s="486"/>
      <c r="D69" s="507"/>
      <c r="E69" s="507"/>
      <c r="F69" s="507"/>
      <c r="G69" s="486" t="s">
        <v>1867</v>
      </c>
      <c r="H69" s="481"/>
      <c r="I69" s="481"/>
      <c r="J69" s="481"/>
      <c r="K69" s="481"/>
      <c r="L69" s="481"/>
      <c r="M69" s="481"/>
      <c r="N69" s="481"/>
      <c r="O69" s="481"/>
      <c r="P69" s="481"/>
      <c r="Q69" s="481"/>
      <c r="R69" s="481"/>
      <c r="S69" s="481"/>
      <c r="T69" s="481"/>
      <c r="U69" s="481"/>
      <c r="V69" s="481"/>
      <c r="W69" s="481"/>
      <c r="X69" s="481"/>
      <c r="Y69" s="481"/>
      <c r="Z69" s="481"/>
      <c r="AA69" s="481"/>
      <c r="AB69" s="481"/>
      <c r="AC69" s="481"/>
    </row>
    <row r="70" hidden="1">
      <c r="A70" s="521" t="s">
        <v>1877</v>
      </c>
      <c r="B70" s="479"/>
      <c r="C70" s="480"/>
      <c r="D70" s="519"/>
      <c r="E70" s="519"/>
      <c r="F70" s="519"/>
      <c r="G70" s="480" t="s">
        <v>1867</v>
      </c>
      <c r="H70" s="481"/>
      <c r="I70" s="481"/>
      <c r="J70" s="481"/>
      <c r="K70" s="481"/>
      <c r="L70" s="481"/>
      <c r="M70" s="481"/>
      <c r="N70" s="481"/>
      <c r="O70" s="481"/>
      <c r="P70" s="481"/>
      <c r="Q70" s="481"/>
      <c r="R70" s="481"/>
      <c r="S70" s="481"/>
      <c r="T70" s="481"/>
      <c r="U70" s="481"/>
      <c r="V70" s="481"/>
      <c r="W70" s="481"/>
      <c r="X70" s="481"/>
      <c r="Y70" s="481"/>
      <c r="Z70" s="481"/>
      <c r="AA70" s="481"/>
      <c r="AB70" s="481"/>
      <c r="AC70" s="481"/>
    </row>
    <row r="71" hidden="1">
      <c r="A71" s="483" t="s">
        <v>1878</v>
      </c>
      <c r="B71" s="485"/>
      <c r="C71" s="486"/>
      <c r="D71" s="507"/>
      <c r="E71" s="507"/>
      <c r="F71" s="507"/>
      <c r="G71" s="486" t="s">
        <v>1867</v>
      </c>
      <c r="H71" s="481"/>
      <c r="I71" s="481"/>
      <c r="J71" s="481"/>
      <c r="K71" s="481"/>
      <c r="L71" s="481"/>
      <c r="M71" s="481"/>
      <c r="N71" s="481"/>
      <c r="O71" s="481"/>
      <c r="P71" s="481"/>
      <c r="Q71" s="481"/>
      <c r="R71" s="481"/>
      <c r="S71" s="481"/>
      <c r="T71" s="481"/>
      <c r="U71" s="481"/>
      <c r="V71" s="481"/>
      <c r="W71" s="481"/>
      <c r="X71" s="481"/>
      <c r="Y71" s="481"/>
      <c r="Z71" s="481"/>
      <c r="AA71" s="481"/>
      <c r="AB71" s="481"/>
      <c r="AC71" s="481"/>
    </row>
    <row r="72" hidden="1">
      <c r="A72" s="521" t="s">
        <v>1879</v>
      </c>
      <c r="B72" s="518"/>
      <c r="C72" s="480"/>
      <c r="D72" s="519"/>
      <c r="E72" s="519"/>
      <c r="F72" s="519"/>
      <c r="G72" s="480" t="s">
        <v>1867</v>
      </c>
      <c r="H72" s="481"/>
      <c r="I72" s="481"/>
      <c r="J72" s="481"/>
      <c r="K72" s="481"/>
      <c r="L72" s="481"/>
      <c r="M72" s="481"/>
      <c r="N72" s="481"/>
      <c r="O72" s="481"/>
      <c r="P72" s="481"/>
      <c r="Q72" s="481"/>
      <c r="R72" s="481"/>
      <c r="S72" s="481"/>
      <c r="T72" s="481"/>
      <c r="U72" s="481"/>
      <c r="V72" s="481"/>
      <c r="W72" s="481"/>
      <c r="X72" s="481"/>
      <c r="Y72" s="481"/>
      <c r="Z72" s="481"/>
      <c r="AA72" s="481"/>
      <c r="AB72" s="481"/>
      <c r="AC72" s="481"/>
    </row>
    <row r="73" hidden="1">
      <c r="A73" s="522" t="s">
        <v>1880</v>
      </c>
      <c r="B73" s="485"/>
      <c r="C73" s="486"/>
      <c r="D73" s="507"/>
      <c r="E73" s="507"/>
      <c r="F73" s="507"/>
      <c r="G73" s="486" t="s">
        <v>1867</v>
      </c>
      <c r="H73" s="481"/>
      <c r="I73" s="481"/>
      <c r="J73" s="481"/>
      <c r="K73" s="481"/>
      <c r="L73" s="481"/>
      <c r="M73" s="481"/>
      <c r="N73" s="481"/>
      <c r="O73" s="481"/>
      <c r="P73" s="481"/>
      <c r="Q73" s="481"/>
      <c r="R73" s="481"/>
      <c r="S73" s="481"/>
      <c r="T73" s="481"/>
      <c r="U73" s="481"/>
      <c r="V73" s="481"/>
      <c r="W73" s="481"/>
      <c r="X73" s="481"/>
      <c r="Y73" s="481"/>
      <c r="Z73" s="481"/>
      <c r="AA73" s="481"/>
      <c r="AB73" s="481"/>
      <c r="AC73" s="481"/>
    </row>
    <row r="74" hidden="1">
      <c r="A74" s="496" t="s">
        <v>1881</v>
      </c>
      <c r="B74" s="480">
        <v>7.0</v>
      </c>
      <c r="C74" s="480">
        <v>3.0</v>
      </c>
      <c r="D74" s="497" t="s">
        <v>1882</v>
      </c>
      <c r="E74" s="497" t="s">
        <v>1883</v>
      </c>
      <c r="F74" s="497" t="s">
        <v>1488</v>
      </c>
      <c r="G74" s="480" t="s">
        <v>1867</v>
      </c>
      <c r="H74" s="481"/>
      <c r="I74" s="481"/>
      <c r="J74" s="481"/>
      <c r="K74" s="481"/>
      <c r="L74" s="481"/>
      <c r="M74" s="481"/>
      <c r="N74" s="481"/>
      <c r="O74" s="481"/>
      <c r="P74" s="481"/>
      <c r="Q74" s="481"/>
      <c r="R74" s="481"/>
      <c r="S74" s="481"/>
      <c r="T74" s="481"/>
      <c r="U74" s="481"/>
      <c r="V74" s="481"/>
      <c r="W74" s="481"/>
      <c r="X74" s="481"/>
      <c r="Y74" s="481"/>
      <c r="Z74" s="481"/>
      <c r="AA74" s="481"/>
      <c r="AB74" s="481"/>
      <c r="AC74" s="481"/>
    </row>
    <row r="75" hidden="1">
      <c r="A75" s="504" t="s">
        <v>1884</v>
      </c>
      <c r="B75" s="486">
        <v>8.0</v>
      </c>
      <c r="C75" s="486">
        <v>2.0</v>
      </c>
      <c r="D75" s="505" t="s">
        <v>1885</v>
      </c>
      <c r="E75" s="505" t="s">
        <v>1886</v>
      </c>
      <c r="F75" s="505" t="s">
        <v>365</v>
      </c>
      <c r="G75" s="486" t="s">
        <v>1867</v>
      </c>
      <c r="H75" s="481"/>
      <c r="I75" s="481"/>
      <c r="J75" s="481"/>
      <c r="K75" s="481"/>
      <c r="L75" s="481"/>
      <c r="M75" s="481"/>
      <c r="N75" s="481"/>
      <c r="O75" s="481"/>
      <c r="P75" s="481"/>
      <c r="Q75" s="481"/>
      <c r="R75" s="481"/>
      <c r="S75" s="481"/>
      <c r="T75" s="481"/>
      <c r="U75" s="481"/>
      <c r="V75" s="481"/>
      <c r="W75" s="481"/>
      <c r="X75" s="481"/>
      <c r="Y75" s="481"/>
      <c r="Z75" s="481"/>
      <c r="AA75" s="481"/>
      <c r="AB75" s="481"/>
      <c r="AC75" s="481"/>
    </row>
    <row r="76" hidden="1">
      <c r="A76" s="523" t="s">
        <v>1887</v>
      </c>
      <c r="B76" s="480">
        <v>7.0</v>
      </c>
      <c r="C76" s="480">
        <v>2.0</v>
      </c>
      <c r="D76" s="497" t="s">
        <v>1888</v>
      </c>
      <c r="E76" s="497" t="s">
        <v>26</v>
      </c>
      <c r="F76" s="497" t="s">
        <v>409</v>
      </c>
      <c r="G76" s="480" t="s">
        <v>1867</v>
      </c>
      <c r="H76" s="481"/>
      <c r="I76" s="481"/>
      <c r="J76" s="481"/>
      <c r="K76" s="481"/>
      <c r="L76" s="481"/>
      <c r="M76" s="481"/>
      <c r="N76" s="481"/>
      <c r="O76" s="481"/>
      <c r="P76" s="481"/>
      <c r="Q76" s="481"/>
      <c r="R76" s="481"/>
      <c r="S76" s="481"/>
      <c r="T76" s="481"/>
      <c r="U76" s="481"/>
      <c r="V76" s="481"/>
      <c r="W76" s="481"/>
      <c r="X76" s="481"/>
      <c r="Y76" s="481"/>
      <c r="Z76" s="481"/>
      <c r="AA76" s="481"/>
      <c r="AB76" s="481"/>
      <c r="AC76" s="481"/>
    </row>
    <row r="77" hidden="1">
      <c r="A77" s="504" t="s">
        <v>1889</v>
      </c>
      <c r="B77" s="486">
        <v>9.0</v>
      </c>
      <c r="C77" s="486">
        <v>3.0</v>
      </c>
      <c r="D77" s="505" t="s">
        <v>1890</v>
      </c>
      <c r="E77" s="507"/>
      <c r="F77" s="505" t="s">
        <v>1891</v>
      </c>
      <c r="G77" s="486" t="s">
        <v>1892</v>
      </c>
      <c r="H77" s="481"/>
      <c r="I77" s="481"/>
      <c r="J77" s="481"/>
      <c r="K77" s="481"/>
      <c r="L77" s="481"/>
      <c r="M77" s="481"/>
      <c r="N77" s="481"/>
      <c r="O77" s="481"/>
      <c r="P77" s="481"/>
      <c r="Q77" s="481"/>
      <c r="R77" s="481"/>
      <c r="S77" s="481"/>
      <c r="T77" s="481"/>
      <c r="U77" s="481"/>
      <c r="V77" s="481"/>
      <c r="W77" s="481"/>
      <c r="X77" s="481"/>
      <c r="Y77" s="481"/>
      <c r="Z77" s="481"/>
      <c r="AA77" s="481"/>
      <c r="AB77" s="481"/>
      <c r="AC77" s="481"/>
    </row>
    <row r="78" hidden="1">
      <c r="A78" s="496" t="s">
        <v>1893</v>
      </c>
      <c r="B78" s="480">
        <v>10.0</v>
      </c>
      <c r="C78" s="480">
        <v>3.0</v>
      </c>
      <c r="D78" s="497" t="s">
        <v>1894</v>
      </c>
      <c r="E78" s="479" t="s">
        <v>1895</v>
      </c>
      <c r="F78" s="497" t="s">
        <v>1896</v>
      </c>
      <c r="G78" s="480" t="s">
        <v>1892</v>
      </c>
      <c r="H78" s="481"/>
      <c r="I78" s="481"/>
      <c r="J78" s="481"/>
      <c r="K78" s="481"/>
      <c r="L78" s="481"/>
      <c r="M78" s="481"/>
      <c r="N78" s="481"/>
      <c r="O78" s="481"/>
      <c r="P78" s="481"/>
      <c r="Q78" s="481"/>
      <c r="R78" s="481"/>
      <c r="S78" s="481"/>
      <c r="T78" s="481"/>
      <c r="U78" s="481"/>
      <c r="V78" s="481"/>
      <c r="W78" s="481"/>
      <c r="X78" s="481"/>
      <c r="Y78" s="481"/>
      <c r="Z78" s="481"/>
      <c r="AA78" s="481"/>
      <c r="AB78" s="481"/>
      <c r="AC78" s="481"/>
    </row>
    <row r="79" hidden="1">
      <c r="A79" s="504" t="s">
        <v>1897</v>
      </c>
      <c r="B79" s="486">
        <v>7.0</v>
      </c>
      <c r="C79" s="486">
        <v>3.0</v>
      </c>
      <c r="D79" s="505" t="s">
        <v>1898</v>
      </c>
      <c r="E79" s="505" t="s">
        <v>26</v>
      </c>
      <c r="F79" s="500" t="s">
        <v>1899</v>
      </c>
      <c r="G79" s="486" t="s">
        <v>1892</v>
      </c>
      <c r="H79" s="481"/>
      <c r="I79" s="481"/>
      <c r="J79" s="481"/>
      <c r="K79" s="481"/>
      <c r="L79" s="481"/>
      <c r="M79" s="481"/>
      <c r="N79" s="481"/>
      <c r="O79" s="481"/>
      <c r="P79" s="481"/>
      <c r="Q79" s="481"/>
      <c r="R79" s="481"/>
      <c r="S79" s="481"/>
      <c r="T79" s="481"/>
      <c r="U79" s="481"/>
      <c r="V79" s="481"/>
      <c r="W79" s="481"/>
      <c r="X79" s="481"/>
      <c r="Y79" s="481"/>
      <c r="Z79" s="481"/>
      <c r="AA79" s="481"/>
      <c r="AB79" s="481"/>
      <c r="AC79" s="481"/>
    </row>
    <row r="80" hidden="1">
      <c r="A80" s="496" t="s">
        <v>1900</v>
      </c>
      <c r="B80" s="480">
        <v>8.0</v>
      </c>
      <c r="C80" s="480">
        <v>3.0</v>
      </c>
      <c r="D80" s="497" t="s">
        <v>1901</v>
      </c>
      <c r="E80" s="497" t="s">
        <v>26</v>
      </c>
      <c r="F80" s="508" t="s">
        <v>1902</v>
      </c>
      <c r="G80" s="480" t="s">
        <v>1892</v>
      </c>
      <c r="H80" s="481"/>
      <c r="I80" s="481"/>
      <c r="J80" s="481"/>
      <c r="K80" s="481"/>
      <c r="L80" s="481"/>
      <c r="M80" s="481"/>
      <c r="N80" s="481"/>
      <c r="O80" s="481"/>
      <c r="P80" s="481"/>
      <c r="Q80" s="481"/>
      <c r="R80" s="481"/>
      <c r="S80" s="481"/>
      <c r="T80" s="481"/>
      <c r="U80" s="481"/>
      <c r="V80" s="481"/>
      <c r="W80" s="481"/>
      <c r="X80" s="481"/>
      <c r="Y80" s="481"/>
      <c r="Z80" s="481"/>
      <c r="AA80" s="481"/>
      <c r="AB80" s="481"/>
      <c r="AC80" s="481"/>
    </row>
    <row r="81" hidden="1">
      <c r="A81" s="504" t="s">
        <v>1903</v>
      </c>
      <c r="B81" s="486">
        <v>9.0</v>
      </c>
      <c r="C81" s="486">
        <v>2.0</v>
      </c>
      <c r="D81" s="505" t="s">
        <v>1904</v>
      </c>
      <c r="E81" s="505" t="s">
        <v>1905</v>
      </c>
      <c r="F81" s="500" t="s">
        <v>1906</v>
      </c>
      <c r="G81" s="486" t="s">
        <v>1892</v>
      </c>
      <c r="H81" s="481"/>
      <c r="I81" s="481"/>
      <c r="J81" s="481"/>
      <c r="K81" s="481"/>
      <c r="L81" s="481"/>
      <c r="M81" s="481"/>
      <c r="N81" s="481"/>
      <c r="O81" s="481"/>
      <c r="P81" s="481"/>
      <c r="Q81" s="481"/>
      <c r="R81" s="481"/>
      <c r="S81" s="481"/>
      <c r="T81" s="481"/>
      <c r="U81" s="481"/>
      <c r="V81" s="481"/>
      <c r="W81" s="481"/>
      <c r="X81" s="481"/>
      <c r="Y81" s="481"/>
      <c r="Z81" s="481"/>
      <c r="AA81" s="481"/>
      <c r="AB81" s="481"/>
      <c r="AC81" s="481"/>
    </row>
    <row r="82" hidden="1">
      <c r="A82" s="496" t="s">
        <v>1907</v>
      </c>
      <c r="B82" s="480">
        <v>3.0</v>
      </c>
      <c r="C82" s="480">
        <v>2.0</v>
      </c>
      <c r="D82" s="497" t="s">
        <v>1908</v>
      </c>
      <c r="E82" s="497" t="s">
        <v>1909</v>
      </c>
      <c r="F82" s="497" t="s">
        <v>267</v>
      </c>
      <c r="G82" s="480" t="s">
        <v>1748</v>
      </c>
      <c r="H82" s="481"/>
      <c r="I82" s="481"/>
      <c r="J82" s="481"/>
      <c r="K82" s="481"/>
      <c r="L82" s="481"/>
      <c r="M82" s="481"/>
      <c r="N82" s="481"/>
      <c r="O82" s="481"/>
      <c r="P82" s="481"/>
      <c r="Q82" s="481"/>
      <c r="R82" s="481"/>
      <c r="S82" s="481"/>
      <c r="T82" s="481"/>
      <c r="U82" s="481"/>
      <c r="V82" s="481"/>
      <c r="W82" s="481"/>
      <c r="X82" s="481"/>
      <c r="Y82" s="481"/>
      <c r="Z82" s="481"/>
      <c r="AA82" s="481"/>
      <c r="AB82" s="481"/>
      <c r="AC82" s="481"/>
    </row>
    <row r="83" hidden="1">
      <c r="A83" s="524"/>
      <c r="B83" s="520"/>
      <c r="C83" s="520"/>
      <c r="D83" s="507"/>
      <c r="E83" s="507"/>
      <c r="F83" s="507"/>
      <c r="G83" s="520"/>
      <c r="H83" s="481"/>
      <c r="I83" s="481"/>
      <c r="J83" s="481"/>
      <c r="K83" s="481"/>
      <c r="L83" s="481"/>
      <c r="M83" s="481"/>
      <c r="N83" s="481"/>
      <c r="O83" s="481"/>
      <c r="P83" s="481"/>
      <c r="Q83" s="481"/>
      <c r="R83" s="481"/>
      <c r="S83" s="481"/>
      <c r="T83" s="481"/>
      <c r="U83" s="481"/>
      <c r="V83" s="481"/>
      <c r="W83" s="481"/>
      <c r="X83" s="481"/>
      <c r="Y83" s="481"/>
      <c r="Z83" s="481"/>
      <c r="AA83" s="481"/>
      <c r="AB83" s="481"/>
      <c r="AC83" s="481"/>
    </row>
    <row r="84" hidden="1">
      <c r="A84" s="525"/>
      <c r="B84" s="518"/>
      <c r="C84" s="518"/>
      <c r="D84" s="519"/>
      <c r="E84" s="519"/>
      <c r="F84" s="519"/>
      <c r="G84" s="518"/>
      <c r="H84" s="481"/>
      <c r="I84" s="481"/>
      <c r="J84" s="481"/>
      <c r="K84" s="481"/>
      <c r="L84" s="481"/>
      <c r="M84" s="481"/>
      <c r="N84" s="481"/>
      <c r="O84" s="481"/>
      <c r="P84" s="481"/>
      <c r="Q84" s="481"/>
      <c r="R84" s="481"/>
      <c r="S84" s="481"/>
      <c r="T84" s="481"/>
      <c r="U84" s="481"/>
      <c r="V84" s="481"/>
      <c r="W84" s="481"/>
      <c r="X84" s="481"/>
      <c r="Y84" s="481"/>
      <c r="Z84" s="481"/>
      <c r="AA84" s="481"/>
      <c r="AB84" s="481"/>
      <c r="AC84" s="481"/>
    </row>
    <row r="85" hidden="1">
      <c r="A85" s="524"/>
      <c r="B85" s="520"/>
      <c r="C85" s="520"/>
      <c r="D85" s="507"/>
      <c r="E85" s="507"/>
      <c r="F85" s="507"/>
      <c r="G85" s="520"/>
      <c r="H85" s="481"/>
      <c r="I85" s="481"/>
      <c r="J85" s="481"/>
      <c r="K85" s="481"/>
      <c r="L85" s="481"/>
      <c r="M85" s="481"/>
      <c r="N85" s="481"/>
      <c r="O85" s="481"/>
      <c r="P85" s="481"/>
      <c r="Q85" s="481"/>
      <c r="R85" s="481"/>
      <c r="S85" s="481"/>
      <c r="T85" s="481"/>
      <c r="U85" s="481"/>
      <c r="V85" s="481"/>
      <c r="W85" s="481"/>
      <c r="X85" s="481"/>
      <c r="Y85" s="481"/>
      <c r="Z85" s="481"/>
      <c r="AA85" s="481"/>
      <c r="AB85" s="481"/>
      <c r="AC85" s="481"/>
    </row>
    <row r="86" hidden="1">
      <c r="A86" s="525"/>
      <c r="B86" s="518"/>
      <c r="C86" s="518"/>
      <c r="D86" s="519"/>
      <c r="E86" s="519"/>
      <c r="F86" s="519"/>
      <c r="G86" s="518"/>
      <c r="H86" s="481"/>
      <c r="I86" s="481"/>
      <c r="J86" s="481"/>
      <c r="K86" s="481"/>
      <c r="L86" s="481"/>
      <c r="M86" s="481"/>
      <c r="N86" s="481"/>
      <c r="O86" s="481"/>
      <c r="P86" s="481"/>
      <c r="Q86" s="481"/>
      <c r="R86" s="481"/>
      <c r="S86" s="481"/>
      <c r="T86" s="481"/>
      <c r="U86" s="481"/>
      <c r="V86" s="481"/>
      <c r="W86" s="481"/>
      <c r="X86" s="481"/>
      <c r="Y86" s="481"/>
      <c r="Z86" s="481"/>
      <c r="AA86" s="481"/>
      <c r="AB86" s="481"/>
      <c r="AC86" s="481"/>
    </row>
    <row r="87" hidden="1">
      <c r="A87" s="524"/>
      <c r="B87" s="520"/>
      <c r="C87" s="520"/>
      <c r="D87" s="507"/>
      <c r="E87" s="507"/>
      <c r="F87" s="507"/>
      <c r="G87" s="520"/>
      <c r="H87" s="481"/>
      <c r="I87" s="481"/>
      <c r="J87" s="481"/>
      <c r="K87" s="481"/>
      <c r="L87" s="481"/>
      <c r="M87" s="481"/>
      <c r="N87" s="481"/>
      <c r="O87" s="481"/>
      <c r="P87" s="481"/>
      <c r="Q87" s="481"/>
      <c r="R87" s="481"/>
      <c r="S87" s="481"/>
      <c r="T87" s="481"/>
      <c r="U87" s="481"/>
      <c r="V87" s="481"/>
      <c r="W87" s="481"/>
      <c r="X87" s="481"/>
      <c r="Y87" s="481"/>
      <c r="Z87" s="481"/>
      <c r="AA87" s="481"/>
      <c r="AB87" s="481"/>
      <c r="AC87" s="481"/>
    </row>
    <row r="88" hidden="1">
      <c r="A88" s="525"/>
      <c r="B88" s="518"/>
      <c r="C88" s="518"/>
      <c r="D88" s="519"/>
      <c r="E88" s="519"/>
      <c r="F88" s="519"/>
      <c r="G88" s="518"/>
      <c r="H88" s="481"/>
      <c r="I88" s="481"/>
      <c r="J88" s="481"/>
      <c r="K88" s="481"/>
      <c r="L88" s="481"/>
      <c r="M88" s="481"/>
      <c r="N88" s="481"/>
      <c r="O88" s="481"/>
      <c r="P88" s="481"/>
      <c r="Q88" s="481"/>
      <c r="R88" s="481"/>
      <c r="S88" s="481"/>
      <c r="T88" s="481"/>
      <c r="U88" s="481"/>
      <c r="V88" s="481"/>
      <c r="W88" s="481"/>
      <c r="X88" s="481"/>
      <c r="Y88" s="481"/>
      <c r="Z88" s="481"/>
      <c r="AA88" s="481"/>
      <c r="AB88" s="481"/>
      <c r="AC88" s="481"/>
    </row>
    <row r="89" hidden="1">
      <c r="A89" s="524"/>
      <c r="B89" s="520"/>
      <c r="C89" s="520"/>
      <c r="D89" s="507"/>
      <c r="E89" s="507"/>
      <c r="F89" s="507"/>
      <c r="G89" s="520"/>
      <c r="H89" s="481"/>
      <c r="I89" s="481"/>
      <c r="J89" s="481"/>
      <c r="K89" s="481"/>
      <c r="L89" s="481"/>
      <c r="M89" s="481"/>
      <c r="N89" s="481"/>
      <c r="O89" s="481"/>
      <c r="P89" s="481"/>
      <c r="Q89" s="481"/>
      <c r="R89" s="481"/>
      <c r="S89" s="481"/>
      <c r="T89" s="481"/>
      <c r="U89" s="481"/>
      <c r="V89" s="481"/>
      <c r="W89" s="481"/>
      <c r="X89" s="481"/>
      <c r="Y89" s="481"/>
      <c r="Z89" s="481"/>
      <c r="AA89" s="481"/>
      <c r="AB89" s="481"/>
      <c r="AC89" s="481"/>
    </row>
    <row r="90" hidden="1">
      <c r="A90" s="525"/>
      <c r="B90" s="518"/>
      <c r="C90" s="518"/>
      <c r="D90" s="519"/>
      <c r="E90" s="519"/>
      <c r="F90" s="519"/>
      <c r="G90" s="518"/>
      <c r="H90" s="481"/>
      <c r="I90" s="481"/>
      <c r="J90" s="481"/>
      <c r="K90" s="481"/>
      <c r="L90" s="481"/>
      <c r="M90" s="481"/>
      <c r="N90" s="481"/>
      <c r="O90" s="481"/>
      <c r="P90" s="481"/>
      <c r="Q90" s="481"/>
      <c r="R90" s="481"/>
      <c r="S90" s="481"/>
      <c r="T90" s="481"/>
      <c r="U90" s="481"/>
      <c r="V90" s="481"/>
      <c r="W90" s="481"/>
      <c r="X90" s="481"/>
      <c r="Y90" s="481"/>
      <c r="Z90" s="481"/>
      <c r="AA90" s="481"/>
      <c r="AB90" s="481"/>
      <c r="AC90" s="481"/>
    </row>
    <row r="91" hidden="1">
      <c r="A91" s="524"/>
      <c r="B91" s="520"/>
      <c r="C91" s="520"/>
      <c r="D91" s="507"/>
      <c r="E91" s="507"/>
      <c r="F91" s="507"/>
      <c r="G91" s="520"/>
      <c r="H91" s="481"/>
      <c r="I91" s="481"/>
      <c r="J91" s="481"/>
      <c r="K91" s="481"/>
      <c r="L91" s="481"/>
      <c r="M91" s="481"/>
      <c r="N91" s="481"/>
      <c r="O91" s="481"/>
      <c r="P91" s="481"/>
      <c r="Q91" s="481"/>
      <c r="R91" s="481"/>
      <c r="S91" s="481"/>
      <c r="T91" s="481"/>
      <c r="U91" s="481"/>
      <c r="V91" s="481"/>
      <c r="W91" s="481"/>
      <c r="X91" s="481"/>
      <c r="Y91" s="481"/>
      <c r="Z91" s="481"/>
      <c r="AA91" s="481"/>
      <c r="AB91" s="481"/>
      <c r="AC91" s="481"/>
    </row>
    <row r="92" hidden="1">
      <c r="A92" s="526"/>
      <c r="B92" s="527"/>
      <c r="C92" s="527"/>
      <c r="D92" s="528"/>
      <c r="E92" s="528"/>
      <c r="F92" s="528"/>
      <c r="G92" s="527"/>
      <c r="H92" s="481"/>
      <c r="I92" s="481"/>
      <c r="J92" s="481"/>
      <c r="K92" s="481"/>
      <c r="L92" s="481"/>
      <c r="M92" s="481"/>
      <c r="N92" s="481"/>
      <c r="O92" s="481"/>
      <c r="P92" s="481"/>
      <c r="Q92" s="481"/>
      <c r="R92" s="481"/>
      <c r="S92" s="481"/>
      <c r="T92" s="481"/>
      <c r="U92" s="481"/>
      <c r="V92" s="481"/>
      <c r="W92" s="481"/>
      <c r="X92" s="481"/>
      <c r="Y92" s="481"/>
      <c r="Z92" s="481"/>
      <c r="AA92" s="481"/>
      <c r="AB92" s="481"/>
      <c r="AC92" s="481"/>
    </row>
    <row r="93" hidden="1">
      <c r="A93" s="529"/>
      <c r="B93" s="530"/>
      <c r="C93" s="530"/>
      <c r="D93" s="531"/>
      <c r="E93" s="531"/>
      <c r="F93" s="531"/>
      <c r="G93" s="530"/>
      <c r="H93" s="481"/>
      <c r="I93" s="481"/>
      <c r="J93" s="481"/>
      <c r="K93" s="481"/>
      <c r="L93" s="481"/>
      <c r="M93" s="481"/>
      <c r="N93" s="481"/>
      <c r="O93" s="481"/>
      <c r="P93" s="481"/>
      <c r="Q93" s="481"/>
      <c r="R93" s="481"/>
      <c r="S93" s="481"/>
      <c r="T93" s="481"/>
      <c r="U93" s="481"/>
      <c r="V93" s="481"/>
      <c r="W93" s="481"/>
      <c r="X93" s="481"/>
      <c r="Y93" s="481"/>
      <c r="Z93" s="481"/>
      <c r="AA93" s="481"/>
      <c r="AB93" s="481"/>
      <c r="AC93" s="481"/>
    </row>
    <row r="94" hidden="1">
      <c r="A94" s="526"/>
      <c r="B94" s="527"/>
      <c r="C94" s="527"/>
      <c r="D94" s="528"/>
      <c r="E94" s="528"/>
      <c r="F94" s="528"/>
      <c r="G94" s="527"/>
      <c r="H94" s="481"/>
      <c r="I94" s="481"/>
      <c r="J94" s="481"/>
      <c r="K94" s="481"/>
      <c r="L94" s="481"/>
      <c r="M94" s="481"/>
      <c r="N94" s="481"/>
      <c r="O94" s="481"/>
      <c r="P94" s="481"/>
      <c r="Q94" s="481"/>
      <c r="R94" s="481"/>
      <c r="S94" s="481"/>
      <c r="T94" s="481"/>
      <c r="U94" s="481"/>
      <c r="V94" s="481"/>
      <c r="W94" s="481"/>
      <c r="X94" s="481"/>
      <c r="Y94" s="481"/>
      <c r="Z94" s="481"/>
      <c r="AA94" s="481"/>
      <c r="AB94" s="481"/>
      <c r="AC94" s="481"/>
    </row>
    <row r="95" hidden="1">
      <c r="A95" s="529"/>
      <c r="B95" s="530"/>
      <c r="C95" s="530"/>
      <c r="D95" s="531"/>
      <c r="E95" s="531"/>
      <c r="F95" s="531"/>
      <c r="G95" s="530"/>
      <c r="H95" s="481"/>
      <c r="I95" s="481"/>
      <c r="J95" s="481"/>
      <c r="K95" s="481"/>
      <c r="L95" s="481"/>
      <c r="M95" s="481"/>
      <c r="N95" s="481"/>
      <c r="O95" s="481"/>
      <c r="P95" s="481"/>
      <c r="Q95" s="481"/>
      <c r="R95" s="481"/>
      <c r="S95" s="481"/>
      <c r="T95" s="481"/>
      <c r="U95" s="481"/>
      <c r="V95" s="481"/>
      <c r="W95" s="481"/>
      <c r="X95" s="481"/>
      <c r="Y95" s="481"/>
      <c r="Z95" s="481"/>
      <c r="AA95" s="481"/>
      <c r="AB95" s="481"/>
      <c r="AC95" s="481"/>
    </row>
    <row r="96" hidden="1">
      <c r="A96" s="526"/>
      <c r="B96" s="527"/>
      <c r="C96" s="527"/>
      <c r="D96" s="528"/>
      <c r="E96" s="528"/>
      <c r="F96" s="528"/>
      <c r="G96" s="527"/>
      <c r="H96" s="481"/>
      <c r="I96" s="481"/>
      <c r="J96" s="481"/>
      <c r="K96" s="481"/>
      <c r="L96" s="481"/>
      <c r="M96" s="481"/>
      <c r="N96" s="481"/>
      <c r="O96" s="481"/>
      <c r="P96" s="481"/>
      <c r="Q96" s="481"/>
      <c r="R96" s="481"/>
      <c r="S96" s="481"/>
      <c r="T96" s="481"/>
      <c r="U96" s="481"/>
      <c r="V96" s="481"/>
      <c r="W96" s="481"/>
      <c r="X96" s="481"/>
      <c r="Y96" s="481"/>
      <c r="Z96" s="481"/>
      <c r="AA96" s="481"/>
      <c r="AB96" s="481"/>
      <c r="AC96" s="481"/>
    </row>
    <row r="97" hidden="1">
      <c r="A97" s="529"/>
      <c r="B97" s="530"/>
      <c r="C97" s="530"/>
      <c r="D97" s="531"/>
      <c r="E97" s="531"/>
      <c r="F97" s="531"/>
      <c r="G97" s="530"/>
      <c r="H97" s="481"/>
      <c r="I97" s="481"/>
      <c r="J97" s="481"/>
      <c r="K97" s="481"/>
      <c r="L97" s="481"/>
      <c r="M97" s="481"/>
      <c r="N97" s="481"/>
      <c r="O97" s="481"/>
      <c r="P97" s="481"/>
      <c r="Q97" s="481"/>
      <c r="R97" s="481"/>
      <c r="S97" s="481"/>
      <c r="T97" s="481"/>
      <c r="U97" s="481"/>
      <c r="V97" s="481"/>
      <c r="W97" s="481"/>
      <c r="X97" s="481"/>
      <c r="Y97" s="481"/>
      <c r="Z97" s="481"/>
      <c r="AA97" s="481"/>
      <c r="AB97" s="481"/>
      <c r="AC97" s="481"/>
    </row>
    <row r="98" hidden="1">
      <c r="A98" s="526"/>
      <c r="B98" s="527"/>
      <c r="C98" s="527"/>
      <c r="D98" s="528"/>
      <c r="E98" s="528"/>
      <c r="F98" s="528"/>
      <c r="G98" s="527"/>
      <c r="H98" s="481"/>
      <c r="I98" s="481"/>
      <c r="J98" s="481"/>
      <c r="K98" s="481"/>
      <c r="L98" s="481"/>
      <c r="M98" s="481"/>
      <c r="N98" s="481"/>
      <c r="O98" s="481"/>
      <c r="P98" s="481"/>
      <c r="Q98" s="481"/>
      <c r="R98" s="481"/>
      <c r="S98" s="481"/>
      <c r="T98" s="481"/>
      <c r="U98" s="481"/>
      <c r="V98" s="481"/>
      <c r="W98" s="481"/>
      <c r="X98" s="481"/>
      <c r="Y98" s="481"/>
      <c r="Z98" s="481"/>
      <c r="AA98" s="481"/>
      <c r="AB98" s="481"/>
      <c r="AC98" s="481"/>
    </row>
    <row r="99" hidden="1">
      <c r="A99" s="529"/>
      <c r="B99" s="530"/>
      <c r="C99" s="530"/>
      <c r="D99" s="531"/>
      <c r="E99" s="531"/>
      <c r="F99" s="531"/>
      <c r="G99" s="530"/>
      <c r="H99" s="481"/>
      <c r="I99" s="481"/>
      <c r="J99" s="481"/>
      <c r="K99" s="481"/>
      <c r="L99" s="481"/>
      <c r="M99" s="481"/>
      <c r="N99" s="481"/>
      <c r="O99" s="481"/>
      <c r="P99" s="481"/>
      <c r="Q99" s="481"/>
      <c r="R99" s="481"/>
      <c r="S99" s="481"/>
      <c r="T99" s="481"/>
      <c r="U99" s="481"/>
      <c r="V99" s="481"/>
      <c r="W99" s="481"/>
      <c r="X99" s="481"/>
      <c r="Y99" s="481"/>
      <c r="Z99" s="481"/>
      <c r="AA99" s="481"/>
      <c r="AB99" s="481"/>
      <c r="AC99" s="481"/>
    </row>
    <row r="100" hidden="1">
      <c r="A100" s="526"/>
      <c r="B100" s="527"/>
      <c r="C100" s="527"/>
      <c r="D100" s="528"/>
      <c r="E100" s="528"/>
      <c r="F100" s="528"/>
      <c r="G100" s="527"/>
      <c r="H100" s="481"/>
      <c r="I100" s="481"/>
      <c r="J100" s="481"/>
      <c r="K100" s="481"/>
      <c r="L100" s="481"/>
      <c r="M100" s="481"/>
      <c r="N100" s="481"/>
      <c r="O100" s="481"/>
      <c r="P100" s="481"/>
      <c r="Q100" s="481"/>
      <c r="R100" s="481"/>
      <c r="S100" s="481"/>
      <c r="T100" s="481"/>
      <c r="U100" s="481"/>
      <c r="V100" s="481"/>
      <c r="W100" s="481"/>
      <c r="X100" s="481"/>
      <c r="Y100" s="481"/>
      <c r="Z100" s="481"/>
      <c r="AA100" s="481"/>
      <c r="AB100" s="481"/>
      <c r="AC100" s="481"/>
    </row>
    <row r="101" hidden="1">
      <c r="A101" s="529"/>
      <c r="B101" s="530"/>
      <c r="C101" s="530"/>
      <c r="D101" s="531"/>
      <c r="E101" s="531"/>
      <c r="F101" s="531"/>
      <c r="G101" s="530"/>
      <c r="H101" s="481"/>
      <c r="I101" s="481"/>
      <c r="J101" s="481"/>
      <c r="K101" s="481"/>
      <c r="L101" s="481"/>
      <c r="M101" s="481"/>
      <c r="N101" s="481"/>
      <c r="O101" s="481"/>
      <c r="P101" s="481"/>
      <c r="Q101" s="481"/>
      <c r="R101" s="481"/>
      <c r="S101" s="481"/>
      <c r="T101" s="481"/>
      <c r="U101" s="481"/>
      <c r="V101" s="481"/>
      <c r="W101" s="481"/>
      <c r="X101" s="481"/>
      <c r="Y101" s="481"/>
      <c r="Z101" s="481"/>
      <c r="AA101" s="481"/>
      <c r="AB101" s="481"/>
      <c r="AC101" s="481"/>
    </row>
    <row r="102" hidden="1">
      <c r="A102" s="526"/>
      <c r="B102" s="527"/>
      <c r="C102" s="527"/>
      <c r="D102" s="528"/>
      <c r="E102" s="528"/>
      <c r="F102" s="528"/>
      <c r="G102" s="527"/>
      <c r="H102" s="481"/>
      <c r="I102" s="481"/>
      <c r="J102" s="481"/>
      <c r="K102" s="481"/>
      <c r="L102" s="481"/>
      <c r="M102" s="481"/>
      <c r="N102" s="481"/>
      <c r="O102" s="481"/>
      <c r="P102" s="481"/>
      <c r="Q102" s="481"/>
      <c r="R102" s="481"/>
      <c r="S102" s="481"/>
      <c r="T102" s="481"/>
      <c r="U102" s="481"/>
      <c r="V102" s="481"/>
      <c r="W102" s="481"/>
      <c r="X102" s="481"/>
      <c r="Y102" s="481"/>
      <c r="Z102" s="481"/>
      <c r="AA102" s="481"/>
      <c r="AB102" s="481"/>
      <c r="AC102" s="481"/>
    </row>
    <row r="103" hidden="1">
      <c r="A103" s="529"/>
      <c r="B103" s="530"/>
      <c r="C103" s="530"/>
      <c r="D103" s="531"/>
      <c r="E103" s="531"/>
      <c r="F103" s="531"/>
      <c r="G103" s="530"/>
      <c r="H103" s="481"/>
      <c r="I103" s="481"/>
      <c r="J103" s="481"/>
      <c r="K103" s="481"/>
      <c r="L103" s="481"/>
      <c r="M103" s="481"/>
      <c r="N103" s="481"/>
      <c r="O103" s="481"/>
      <c r="P103" s="481"/>
      <c r="Q103" s="481"/>
      <c r="R103" s="481"/>
      <c r="S103" s="481"/>
      <c r="T103" s="481"/>
      <c r="U103" s="509">
        <v>1.0</v>
      </c>
      <c r="V103" s="509">
        <v>4.8</v>
      </c>
      <c r="W103" s="481">
        <f t="shared" ref="W103:W122" si="1">ROUNDUP(U103/V103,0)</f>
        <v>1</v>
      </c>
      <c r="X103" s="481"/>
      <c r="Y103" s="481"/>
      <c r="Z103" s="481"/>
      <c r="AA103" s="481"/>
      <c r="AB103" s="481"/>
      <c r="AC103" s="481"/>
    </row>
    <row r="104" hidden="1">
      <c r="A104" s="526"/>
      <c r="B104" s="527"/>
      <c r="C104" s="527"/>
      <c r="D104" s="528"/>
      <c r="E104" s="528"/>
      <c r="F104" s="528"/>
      <c r="G104" s="527"/>
      <c r="H104" s="481"/>
      <c r="I104" s="481"/>
      <c r="J104" s="481"/>
      <c r="K104" s="481"/>
      <c r="L104" s="481"/>
      <c r="M104" s="481"/>
      <c r="N104" s="481"/>
      <c r="O104" s="481"/>
      <c r="P104" s="481"/>
      <c r="Q104" s="481"/>
      <c r="R104" s="481"/>
      <c r="S104" s="481"/>
      <c r="T104" s="481"/>
      <c r="U104" s="509">
        <v>2.0</v>
      </c>
      <c r="V104" s="509">
        <f t="shared" ref="V104:V122" si="2">V103</f>
        <v>4.8</v>
      </c>
      <c r="W104" s="481">
        <f t="shared" si="1"/>
        <v>1</v>
      </c>
      <c r="X104" s="481"/>
      <c r="Y104" s="481"/>
      <c r="Z104" s="481"/>
      <c r="AA104" s="481"/>
      <c r="AB104" s="481"/>
      <c r="AC104" s="481"/>
    </row>
    <row r="105" hidden="1">
      <c r="A105" s="529"/>
      <c r="B105" s="530"/>
      <c r="C105" s="530"/>
      <c r="D105" s="531"/>
      <c r="E105" s="531"/>
      <c r="F105" s="531"/>
      <c r="G105" s="530"/>
      <c r="H105" s="481"/>
      <c r="I105" s="481"/>
      <c r="J105" s="481"/>
      <c r="K105" s="481"/>
      <c r="L105" s="481"/>
      <c r="M105" s="481"/>
      <c r="N105" s="481"/>
      <c r="O105" s="481"/>
      <c r="P105" s="481"/>
      <c r="Q105" s="481"/>
      <c r="R105" s="481"/>
      <c r="S105" s="481"/>
      <c r="T105" s="481"/>
      <c r="U105" s="509">
        <v>3.0</v>
      </c>
      <c r="V105" s="509">
        <f t="shared" si="2"/>
        <v>4.8</v>
      </c>
      <c r="W105" s="481">
        <f t="shared" si="1"/>
        <v>1</v>
      </c>
      <c r="X105" s="481"/>
      <c r="Y105" s="481"/>
      <c r="Z105" s="481"/>
      <c r="AA105" s="481"/>
      <c r="AB105" s="481"/>
      <c r="AC105" s="481"/>
    </row>
    <row r="106" hidden="1">
      <c r="A106" s="526"/>
      <c r="B106" s="527"/>
      <c r="C106" s="527"/>
      <c r="D106" s="528"/>
      <c r="E106" s="528"/>
      <c r="F106" s="528"/>
      <c r="G106" s="527"/>
      <c r="H106" s="481"/>
      <c r="I106" s="481"/>
      <c r="J106" s="481"/>
      <c r="K106" s="481"/>
      <c r="L106" s="481"/>
      <c r="M106" s="481"/>
      <c r="N106" s="481"/>
      <c r="O106" s="481"/>
      <c r="P106" s="481"/>
      <c r="Q106" s="481"/>
      <c r="R106" s="481"/>
      <c r="S106" s="481"/>
      <c r="T106" s="481"/>
      <c r="U106" s="509">
        <v>4.0</v>
      </c>
      <c r="V106" s="509">
        <f t="shared" si="2"/>
        <v>4.8</v>
      </c>
      <c r="W106" s="481">
        <f t="shared" si="1"/>
        <v>1</v>
      </c>
      <c r="X106" s="481"/>
      <c r="Y106" s="481"/>
      <c r="Z106" s="481"/>
      <c r="AA106" s="481"/>
      <c r="AB106" s="481"/>
      <c r="AC106" s="481"/>
    </row>
    <row r="107" hidden="1">
      <c r="A107" s="529"/>
      <c r="B107" s="530"/>
      <c r="C107" s="530"/>
      <c r="D107" s="531"/>
      <c r="E107" s="531"/>
      <c r="F107" s="531"/>
      <c r="G107" s="530"/>
      <c r="H107" s="481"/>
      <c r="I107" s="481"/>
      <c r="J107" s="481"/>
      <c r="K107" s="481"/>
      <c r="L107" s="481"/>
      <c r="M107" s="481"/>
      <c r="N107" s="481"/>
      <c r="O107" s="481"/>
      <c r="P107" s="481"/>
      <c r="Q107" s="481"/>
      <c r="R107" s="481"/>
      <c r="S107" s="481"/>
      <c r="T107" s="481"/>
      <c r="U107" s="509">
        <v>5.0</v>
      </c>
      <c r="V107" s="509">
        <f t="shared" si="2"/>
        <v>4.8</v>
      </c>
      <c r="W107" s="481">
        <f t="shared" si="1"/>
        <v>2</v>
      </c>
      <c r="X107" s="481"/>
      <c r="Y107" s="481"/>
      <c r="Z107" s="481"/>
      <c r="AA107" s="481"/>
      <c r="AB107" s="481"/>
      <c r="AC107" s="481"/>
    </row>
    <row r="108" hidden="1">
      <c r="A108" s="526"/>
      <c r="B108" s="527"/>
      <c r="C108" s="527"/>
      <c r="D108" s="528"/>
      <c r="E108" s="528"/>
      <c r="F108" s="528"/>
      <c r="G108" s="527"/>
      <c r="H108" s="481"/>
      <c r="I108" s="481"/>
      <c r="J108" s="481"/>
      <c r="K108" s="481"/>
      <c r="L108" s="481"/>
      <c r="M108" s="481"/>
      <c r="N108" s="481"/>
      <c r="O108" s="481"/>
      <c r="P108" s="481"/>
      <c r="Q108" s="481"/>
      <c r="R108" s="481"/>
      <c r="S108" s="481"/>
      <c r="T108" s="481"/>
      <c r="U108" s="509">
        <v>6.0</v>
      </c>
      <c r="V108" s="509">
        <f t="shared" si="2"/>
        <v>4.8</v>
      </c>
      <c r="W108" s="481">
        <f t="shared" si="1"/>
        <v>2</v>
      </c>
      <c r="X108" s="481"/>
      <c r="Y108" s="481"/>
      <c r="Z108" s="481"/>
      <c r="AA108" s="481"/>
      <c r="AB108" s="481"/>
      <c r="AC108" s="481"/>
    </row>
    <row r="109" hidden="1">
      <c r="A109" s="529"/>
      <c r="B109" s="530"/>
      <c r="C109" s="530"/>
      <c r="D109" s="531"/>
      <c r="E109" s="531"/>
      <c r="F109" s="531"/>
      <c r="G109" s="530"/>
      <c r="H109" s="481"/>
      <c r="I109" s="481"/>
      <c r="J109" s="481"/>
      <c r="K109" s="481"/>
      <c r="L109" s="481"/>
      <c r="M109" s="481"/>
      <c r="N109" s="481"/>
      <c r="O109" s="481"/>
      <c r="P109" s="481"/>
      <c r="Q109" s="481"/>
      <c r="R109" s="481"/>
      <c r="S109" s="481"/>
      <c r="T109" s="481"/>
      <c r="U109" s="509">
        <v>7.0</v>
      </c>
      <c r="V109" s="509">
        <f t="shared" si="2"/>
        <v>4.8</v>
      </c>
      <c r="W109" s="481">
        <f t="shared" si="1"/>
        <v>2</v>
      </c>
      <c r="X109" s="481"/>
      <c r="Y109" s="481"/>
      <c r="Z109" s="481"/>
      <c r="AA109" s="481"/>
      <c r="AB109" s="481"/>
      <c r="AC109" s="481"/>
    </row>
    <row r="110" hidden="1">
      <c r="A110" s="526"/>
      <c r="B110" s="527"/>
      <c r="C110" s="527"/>
      <c r="D110" s="528"/>
      <c r="E110" s="528"/>
      <c r="F110" s="528"/>
      <c r="G110" s="527"/>
      <c r="H110" s="481"/>
      <c r="I110" s="481"/>
      <c r="J110" s="481"/>
      <c r="K110" s="481"/>
      <c r="L110" s="481"/>
      <c r="M110" s="481"/>
      <c r="N110" s="481"/>
      <c r="O110" s="481"/>
      <c r="P110" s="481"/>
      <c r="Q110" s="481"/>
      <c r="R110" s="481"/>
      <c r="S110" s="481"/>
      <c r="T110" s="481"/>
      <c r="U110" s="509">
        <v>8.0</v>
      </c>
      <c r="V110" s="509">
        <f t="shared" si="2"/>
        <v>4.8</v>
      </c>
      <c r="W110" s="481">
        <f t="shared" si="1"/>
        <v>2</v>
      </c>
      <c r="X110" s="481"/>
      <c r="Y110" s="481"/>
      <c r="Z110" s="481"/>
      <c r="AA110" s="481"/>
      <c r="AB110" s="481"/>
      <c r="AC110" s="481"/>
    </row>
    <row r="111" hidden="1">
      <c r="A111" s="529"/>
      <c r="B111" s="530"/>
      <c r="C111" s="530"/>
      <c r="D111" s="531"/>
      <c r="E111" s="531"/>
      <c r="F111" s="531"/>
      <c r="G111" s="530"/>
      <c r="H111" s="481"/>
      <c r="I111" s="481"/>
      <c r="J111" s="481"/>
      <c r="K111" s="481"/>
      <c r="L111" s="481"/>
      <c r="M111" s="481"/>
      <c r="N111" s="481"/>
      <c r="O111" s="481"/>
      <c r="P111" s="481"/>
      <c r="Q111" s="481"/>
      <c r="R111" s="481"/>
      <c r="S111" s="481"/>
      <c r="T111" s="481"/>
      <c r="U111" s="509">
        <v>9.0</v>
      </c>
      <c r="V111" s="509">
        <f t="shared" si="2"/>
        <v>4.8</v>
      </c>
      <c r="W111" s="481">
        <f t="shared" si="1"/>
        <v>2</v>
      </c>
      <c r="X111" s="481"/>
      <c r="Y111" s="481"/>
      <c r="Z111" s="481"/>
      <c r="AA111" s="481"/>
      <c r="AB111" s="481"/>
      <c r="AC111" s="481"/>
    </row>
    <row r="112" hidden="1">
      <c r="A112" s="526"/>
      <c r="B112" s="527"/>
      <c r="C112" s="527"/>
      <c r="D112" s="528"/>
      <c r="E112" s="528"/>
      <c r="F112" s="528"/>
      <c r="G112" s="527"/>
      <c r="H112" s="481"/>
      <c r="I112" s="481"/>
      <c r="J112" s="481"/>
      <c r="K112" s="481"/>
      <c r="L112" s="481"/>
      <c r="M112" s="481"/>
      <c r="N112" s="481"/>
      <c r="O112" s="481"/>
      <c r="P112" s="481"/>
      <c r="Q112" s="481"/>
      <c r="R112" s="481"/>
      <c r="S112" s="481"/>
      <c r="T112" s="481"/>
      <c r="U112" s="509">
        <v>10.0</v>
      </c>
      <c r="V112" s="509">
        <f t="shared" si="2"/>
        <v>4.8</v>
      </c>
      <c r="W112" s="481">
        <f t="shared" si="1"/>
        <v>3</v>
      </c>
      <c r="X112" s="481"/>
      <c r="Y112" s="481"/>
      <c r="Z112" s="481"/>
      <c r="AA112" s="481"/>
      <c r="AB112" s="481"/>
      <c r="AC112" s="481"/>
    </row>
    <row r="113" hidden="1">
      <c r="A113" s="529"/>
      <c r="B113" s="530"/>
      <c r="C113" s="530"/>
      <c r="D113" s="531"/>
      <c r="E113" s="531"/>
      <c r="F113" s="531"/>
      <c r="G113" s="530"/>
      <c r="H113" s="481"/>
      <c r="I113" s="481"/>
      <c r="J113" s="481"/>
      <c r="K113" s="481"/>
      <c r="L113" s="481"/>
      <c r="M113" s="481"/>
      <c r="N113" s="481"/>
      <c r="O113" s="481"/>
      <c r="P113" s="481"/>
      <c r="Q113" s="481"/>
      <c r="R113" s="481"/>
      <c r="S113" s="481"/>
      <c r="T113" s="481"/>
      <c r="U113" s="509">
        <v>11.0</v>
      </c>
      <c r="V113" s="509">
        <f t="shared" si="2"/>
        <v>4.8</v>
      </c>
      <c r="W113" s="481">
        <f t="shared" si="1"/>
        <v>3</v>
      </c>
      <c r="X113" s="481"/>
      <c r="Y113" s="481"/>
      <c r="Z113" s="481"/>
      <c r="AA113" s="481"/>
      <c r="AB113" s="481"/>
      <c r="AC113" s="481"/>
    </row>
    <row r="114" hidden="1">
      <c r="A114" s="526"/>
      <c r="B114" s="527"/>
      <c r="C114" s="527"/>
      <c r="D114" s="528"/>
      <c r="E114" s="528"/>
      <c r="F114" s="528"/>
      <c r="G114" s="527"/>
      <c r="H114" s="481"/>
      <c r="I114" s="481"/>
      <c r="J114" s="481"/>
      <c r="K114" s="481"/>
      <c r="L114" s="481"/>
      <c r="M114" s="481"/>
      <c r="N114" s="481"/>
      <c r="O114" s="481"/>
      <c r="P114" s="481"/>
      <c r="Q114" s="481"/>
      <c r="R114" s="481"/>
      <c r="S114" s="481"/>
      <c r="T114" s="481"/>
      <c r="U114" s="509">
        <v>12.0</v>
      </c>
      <c r="V114" s="509">
        <f t="shared" si="2"/>
        <v>4.8</v>
      </c>
      <c r="W114" s="481">
        <f t="shared" si="1"/>
        <v>3</v>
      </c>
      <c r="X114" s="481"/>
      <c r="Y114" s="481"/>
      <c r="Z114" s="481"/>
      <c r="AA114" s="481"/>
      <c r="AB114" s="481"/>
      <c r="AC114" s="481"/>
    </row>
    <row r="115" hidden="1">
      <c r="A115" s="529"/>
      <c r="B115" s="530"/>
      <c r="C115" s="530"/>
      <c r="D115" s="531"/>
      <c r="E115" s="531"/>
      <c r="F115" s="531"/>
      <c r="G115" s="530"/>
      <c r="H115" s="481"/>
      <c r="I115" s="481"/>
      <c r="J115" s="481"/>
      <c r="K115" s="481"/>
      <c r="L115" s="481"/>
      <c r="M115" s="481"/>
      <c r="N115" s="481"/>
      <c r="O115" s="481"/>
      <c r="P115" s="481"/>
      <c r="Q115" s="481"/>
      <c r="R115" s="481"/>
      <c r="S115" s="481"/>
      <c r="T115" s="481"/>
      <c r="U115" s="509">
        <v>13.0</v>
      </c>
      <c r="V115" s="509">
        <f t="shared" si="2"/>
        <v>4.8</v>
      </c>
      <c r="W115" s="481">
        <f t="shared" si="1"/>
        <v>3</v>
      </c>
      <c r="X115" s="481"/>
      <c r="Y115" s="481"/>
      <c r="Z115" s="481"/>
      <c r="AA115" s="481"/>
      <c r="AB115" s="481"/>
      <c r="AC115" s="481"/>
    </row>
    <row r="116" hidden="1">
      <c r="A116" s="526"/>
      <c r="B116" s="527"/>
      <c r="C116" s="527"/>
      <c r="D116" s="528"/>
      <c r="E116" s="528"/>
      <c r="F116" s="528"/>
      <c r="G116" s="527"/>
      <c r="H116" s="481"/>
      <c r="I116" s="481"/>
      <c r="J116" s="481"/>
      <c r="K116" s="481"/>
      <c r="L116" s="481"/>
      <c r="M116" s="481"/>
      <c r="N116" s="481"/>
      <c r="O116" s="481"/>
      <c r="P116" s="481"/>
      <c r="Q116" s="481"/>
      <c r="R116" s="481"/>
      <c r="S116" s="481"/>
      <c r="T116" s="481"/>
      <c r="U116" s="509">
        <v>14.0</v>
      </c>
      <c r="V116" s="509">
        <f t="shared" si="2"/>
        <v>4.8</v>
      </c>
      <c r="W116" s="481">
        <f t="shared" si="1"/>
        <v>3</v>
      </c>
      <c r="X116" s="481"/>
      <c r="Y116" s="481"/>
      <c r="Z116" s="481"/>
      <c r="AA116" s="481"/>
      <c r="AB116" s="481"/>
      <c r="AC116" s="481"/>
    </row>
    <row r="117" hidden="1">
      <c r="A117" s="529"/>
      <c r="B117" s="530"/>
      <c r="C117" s="530"/>
      <c r="D117" s="531"/>
      <c r="E117" s="531"/>
      <c r="F117" s="531"/>
      <c r="G117" s="530"/>
      <c r="H117" s="481"/>
      <c r="I117" s="481"/>
      <c r="J117" s="481"/>
      <c r="K117" s="481"/>
      <c r="L117" s="481"/>
      <c r="M117" s="481"/>
      <c r="N117" s="481"/>
      <c r="O117" s="481"/>
      <c r="P117" s="481"/>
      <c r="Q117" s="481"/>
      <c r="R117" s="481"/>
      <c r="S117" s="481"/>
      <c r="T117" s="481"/>
      <c r="U117" s="509">
        <v>15.0</v>
      </c>
      <c r="V117" s="509">
        <f t="shared" si="2"/>
        <v>4.8</v>
      </c>
      <c r="W117" s="481">
        <f t="shared" si="1"/>
        <v>4</v>
      </c>
      <c r="X117" s="481"/>
      <c r="Y117" s="481"/>
      <c r="Z117" s="481"/>
      <c r="AA117" s="481"/>
      <c r="AB117" s="481"/>
      <c r="AC117" s="481"/>
    </row>
    <row r="118" hidden="1">
      <c r="A118" s="526"/>
      <c r="B118" s="527"/>
      <c r="C118" s="527"/>
      <c r="D118" s="528"/>
      <c r="E118" s="528"/>
      <c r="F118" s="528"/>
      <c r="G118" s="527"/>
      <c r="H118" s="481"/>
      <c r="I118" s="481"/>
      <c r="J118" s="481"/>
      <c r="K118" s="481"/>
      <c r="L118" s="481"/>
      <c r="M118" s="481"/>
      <c r="N118" s="481"/>
      <c r="O118" s="481"/>
      <c r="P118" s="481"/>
      <c r="Q118" s="481"/>
      <c r="R118" s="481"/>
      <c r="S118" s="481"/>
      <c r="T118" s="481"/>
      <c r="U118" s="509">
        <v>16.0</v>
      </c>
      <c r="V118" s="509">
        <f t="shared" si="2"/>
        <v>4.8</v>
      </c>
      <c r="W118" s="481">
        <f t="shared" si="1"/>
        <v>4</v>
      </c>
      <c r="X118" s="481"/>
      <c r="Y118" s="481"/>
      <c r="Z118" s="481"/>
      <c r="AA118" s="481"/>
      <c r="AB118" s="481"/>
      <c r="AC118" s="481"/>
    </row>
    <row r="119" hidden="1">
      <c r="A119" s="529"/>
      <c r="B119" s="530"/>
      <c r="C119" s="530"/>
      <c r="D119" s="531"/>
      <c r="E119" s="531"/>
      <c r="F119" s="531"/>
      <c r="G119" s="530"/>
      <c r="H119" s="481"/>
      <c r="I119" s="481"/>
      <c r="J119" s="481"/>
      <c r="K119" s="481"/>
      <c r="L119" s="481"/>
      <c r="M119" s="481"/>
      <c r="N119" s="481"/>
      <c r="O119" s="481"/>
      <c r="P119" s="481"/>
      <c r="Q119" s="481"/>
      <c r="R119" s="481"/>
      <c r="S119" s="481"/>
      <c r="T119" s="481"/>
      <c r="U119" s="509">
        <v>17.0</v>
      </c>
      <c r="V119" s="509">
        <f t="shared" si="2"/>
        <v>4.8</v>
      </c>
      <c r="W119" s="481">
        <f t="shared" si="1"/>
        <v>4</v>
      </c>
      <c r="X119" s="481"/>
      <c r="Y119" s="481"/>
      <c r="Z119" s="481"/>
      <c r="AA119" s="481"/>
      <c r="AB119" s="481"/>
      <c r="AC119" s="481"/>
    </row>
    <row r="120" hidden="1">
      <c r="A120" s="526"/>
      <c r="B120" s="527"/>
      <c r="C120" s="527"/>
      <c r="D120" s="528"/>
      <c r="E120" s="528"/>
      <c r="F120" s="528"/>
      <c r="G120" s="527"/>
      <c r="H120" s="481"/>
      <c r="I120" s="481"/>
      <c r="J120" s="481"/>
      <c r="K120" s="481"/>
      <c r="L120" s="481"/>
      <c r="M120" s="481"/>
      <c r="N120" s="481"/>
      <c r="O120" s="481"/>
      <c r="P120" s="481"/>
      <c r="Q120" s="481"/>
      <c r="R120" s="481"/>
      <c r="S120" s="481"/>
      <c r="T120" s="481"/>
      <c r="U120" s="509">
        <v>18.0</v>
      </c>
      <c r="V120" s="509">
        <f t="shared" si="2"/>
        <v>4.8</v>
      </c>
      <c r="W120" s="481">
        <f t="shared" si="1"/>
        <v>4</v>
      </c>
      <c r="X120" s="481"/>
      <c r="Y120" s="481"/>
      <c r="Z120" s="481"/>
      <c r="AA120" s="481"/>
      <c r="AB120" s="481"/>
      <c r="AC120" s="481"/>
    </row>
    <row r="121" hidden="1">
      <c r="A121" s="529"/>
      <c r="B121" s="530"/>
      <c r="C121" s="530"/>
      <c r="D121" s="531"/>
      <c r="E121" s="531"/>
      <c r="F121" s="531"/>
      <c r="G121" s="530"/>
      <c r="H121" s="481"/>
      <c r="I121" s="481"/>
      <c r="J121" s="481"/>
      <c r="K121" s="481"/>
      <c r="L121" s="481"/>
      <c r="M121" s="481"/>
      <c r="N121" s="481"/>
      <c r="O121" s="481"/>
      <c r="P121" s="481"/>
      <c r="Q121" s="481"/>
      <c r="R121" s="481"/>
      <c r="S121" s="481"/>
      <c r="T121" s="481"/>
      <c r="U121" s="509">
        <v>19.0</v>
      </c>
      <c r="V121" s="509">
        <f t="shared" si="2"/>
        <v>4.8</v>
      </c>
      <c r="W121" s="481">
        <f t="shared" si="1"/>
        <v>4</v>
      </c>
      <c r="X121" s="481"/>
      <c r="Y121" s="481"/>
      <c r="Z121" s="481"/>
      <c r="AA121" s="481"/>
      <c r="AB121" s="481"/>
      <c r="AC121" s="481"/>
    </row>
    <row r="122" hidden="1">
      <c r="A122" s="526"/>
      <c r="B122" s="527"/>
      <c r="C122" s="527"/>
      <c r="D122" s="528"/>
      <c r="E122" s="528"/>
      <c r="F122" s="528"/>
      <c r="G122" s="527"/>
      <c r="H122" s="481"/>
      <c r="I122" s="481"/>
      <c r="J122" s="481"/>
      <c r="K122" s="481"/>
      <c r="L122" s="481"/>
      <c r="M122" s="481"/>
      <c r="N122" s="481"/>
      <c r="O122" s="481"/>
      <c r="P122" s="481"/>
      <c r="Q122" s="481"/>
      <c r="R122" s="481"/>
      <c r="S122" s="481"/>
      <c r="T122" s="481"/>
      <c r="U122" s="509">
        <v>20.0</v>
      </c>
      <c r="V122" s="509">
        <f t="shared" si="2"/>
        <v>4.8</v>
      </c>
      <c r="W122" s="481">
        <f t="shared" si="1"/>
        <v>5</v>
      </c>
      <c r="X122" s="481"/>
      <c r="Y122" s="481"/>
      <c r="Z122" s="481"/>
      <c r="AA122" s="481"/>
      <c r="AB122" s="481"/>
      <c r="AC122" s="481"/>
    </row>
    <row r="123" hidden="1">
      <c r="A123" s="529"/>
      <c r="B123" s="530"/>
      <c r="C123" s="530"/>
      <c r="D123" s="531"/>
      <c r="E123" s="531"/>
      <c r="F123" s="531"/>
      <c r="G123" s="530"/>
      <c r="H123" s="481"/>
      <c r="I123" s="481"/>
      <c r="J123" s="481"/>
      <c r="K123" s="481"/>
      <c r="L123" s="481"/>
      <c r="M123" s="481"/>
      <c r="N123" s="481"/>
      <c r="O123" s="481"/>
      <c r="P123" s="481"/>
      <c r="Q123" s="481"/>
      <c r="R123" s="481"/>
      <c r="S123" s="481"/>
      <c r="T123" s="481"/>
      <c r="U123" s="481"/>
      <c r="V123" s="481"/>
      <c r="W123" s="481"/>
      <c r="X123" s="481"/>
      <c r="Y123" s="481"/>
      <c r="Z123" s="481"/>
      <c r="AA123" s="481"/>
      <c r="AB123" s="481"/>
      <c r="AC123" s="481"/>
    </row>
    <row r="124" hidden="1">
      <c r="A124" s="526"/>
      <c r="B124" s="527"/>
      <c r="C124" s="527"/>
      <c r="D124" s="528"/>
      <c r="E124" s="528"/>
      <c r="F124" s="528"/>
      <c r="G124" s="527"/>
      <c r="H124" s="481"/>
      <c r="I124" s="481"/>
      <c r="J124" s="481"/>
      <c r="K124" s="481"/>
      <c r="L124" s="481"/>
      <c r="M124" s="481"/>
      <c r="N124" s="481"/>
      <c r="O124" s="481"/>
      <c r="P124" s="481"/>
      <c r="Q124" s="481"/>
      <c r="R124" s="481"/>
      <c r="S124" s="481"/>
      <c r="T124" s="481"/>
      <c r="U124" s="481"/>
      <c r="V124" s="481"/>
      <c r="W124" s="481"/>
      <c r="X124" s="481"/>
      <c r="Y124" s="481"/>
      <c r="Z124" s="481"/>
      <c r="AA124" s="481"/>
      <c r="AB124" s="481"/>
      <c r="AC124" s="481"/>
    </row>
    <row r="125" hidden="1">
      <c r="A125" s="529"/>
      <c r="B125" s="530"/>
      <c r="C125" s="530"/>
      <c r="D125" s="531"/>
      <c r="E125" s="531"/>
      <c r="F125" s="531"/>
      <c r="G125" s="530"/>
      <c r="H125" s="481"/>
      <c r="I125" s="481"/>
      <c r="J125" s="481"/>
      <c r="K125" s="481"/>
      <c r="L125" s="481"/>
      <c r="M125" s="481"/>
      <c r="N125" s="481"/>
      <c r="O125" s="481"/>
      <c r="P125" s="481"/>
      <c r="Q125" s="481"/>
      <c r="R125" s="481"/>
      <c r="S125" s="481"/>
      <c r="T125" s="481"/>
      <c r="U125" s="481"/>
      <c r="V125" s="481"/>
      <c r="W125" s="481"/>
      <c r="X125" s="481"/>
      <c r="Y125" s="481"/>
      <c r="Z125" s="481"/>
      <c r="AA125" s="481"/>
      <c r="AB125" s="481"/>
      <c r="AC125" s="481"/>
    </row>
    <row r="126" hidden="1">
      <c r="A126" s="526"/>
      <c r="B126" s="527"/>
      <c r="C126" s="527"/>
      <c r="D126" s="528"/>
      <c r="E126" s="528"/>
      <c r="F126" s="528"/>
      <c r="G126" s="527"/>
      <c r="H126" s="481"/>
      <c r="I126" s="481"/>
      <c r="J126" s="481"/>
      <c r="K126" s="481"/>
      <c r="L126" s="481"/>
      <c r="M126" s="481"/>
      <c r="N126" s="481"/>
      <c r="O126" s="481"/>
      <c r="P126" s="481"/>
      <c r="Q126" s="481"/>
      <c r="R126" s="481"/>
      <c r="S126" s="481"/>
      <c r="T126" s="481"/>
      <c r="U126" s="481"/>
      <c r="V126" s="481"/>
      <c r="W126" s="481"/>
      <c r="X126" s="481"/>
      <c r="Y126" s="481"/>
      <c r="Z126" s="481"/>
      <c r="AA126" s="481"/>
      <c r="AB126" s="481"/>
      <c r="AC126" s="481"/>
    </row>
    <row r="127" hidden="1">
      <c r="A127" s="529"/>
      <c r="B127" s="530"/>
      <c r="C127" s="530"/>
      <c r="D127" s="531"/>
      <c r="E127" s="531"/>
      <c r="F127" s="531"/>
      <c r="G127" s="530"/>
      <c r="H127" s="481"/>
      <c r="I127" s="481"/>
      <c r="J127" s="481"/>
      <c r="K127" s="481"/>
      <c r="L127" s="481"/>
      <c r="M127" s="481"/>
      <c r="N127" s="481"/>
      <c r="O127" s="481"/>
      <c r="P127" s="481"/>
      <c r="Q127" s="481"/>
      <c r="R127" s="481"/>
      <c r="S127" s="481"/>
      <c r="T127" s="481"/>
      <c r="U127" s="481"/>
      <c r="V127" s="481"/>
      <c r="W127" s="481"/>
      <c r="X127" s="481"/>
      <c r="Y127" s="481"/>
      <c r="Z127" s="481"/>
      <c r="AA127" s="481"/>
      <c r="AB127" s="481"/>
      <c r="AC127" s="481"/>
    </row>
    <row r="128" hidden="1">
      <c r="A128" s="526"/>
      <c r="B128" s="527"/>
      <c r="C128" s="527"/>
      <c r="D128" s="528"/>
      <c r="E128" s="528"/>
      <c r="F128" s="528"/>
      <c r="G128" s="527"/>
      <c r="H128" s="481"/>
      <c r="I128" s="481"/>
      <c r="J128" s="481"/>
      <c r="K128" s="481"/>
      <c r="L128" s="481"/>
      <c r="M128" s="481"/>
      <c r="N128" s="481"/>
      <c r="O128" s="481"/>
      <c r="P128" s="481"/>
      <c r="Q128" s="481"/>
      <c r="R128" s="481"/>
      <c r="S128" s="481"/>
      <c r="T128" s="481"/>
      <c r="U128" s="481"/>
      <c r="V128" s="481"/>
      <c r="W128" s="481"/>
      <c r="X128" s="481"/>
      <c r="Y128" s="481"/>
      <c r="Z128" s="481"/>
      <c r="AA128" s="481"/>
      <c r="AB128" s="481"/>
      <c r="AC128" s="481"/>
    </row>
    <row r="129" hidden="1">
      <c r="A129" s="529"/>
      <c r="B129" s="530"/>
      <c r="C129" s="530"/>
      <c r="D129" s="531"/>
      <c r="E129" s="531"/>
      <c r="F129" s="531"/>
      <c r="G129" s="530"/>
      <c r="H129" s="481"/>
      <c r="I129" s="481"/>
      <c r="J129" s="481"/>
      <c r="K129" s="481"/>
      <c r="L129" s="481"/>
      <c r="M129" s="481"/>
      <c r="N129" s="481"/>
      <c r="O129" s="481"/>
      <c r="P129" s="481"/>
      <c r="Q129" s="481"/>
      <c r="R129" s="481"/>
      <c r="S129" s="481"/>
      <c r="T129" s="481"/>
      <c r="U129" s="481"/>
      <c r="V129" s="481"/>
      <c r="W129" s="481"/>
      <c r="X129" s="481"/>
      <c r="Y129" s="481"/>
      <c r="Z129" s="481"/>
      <c r="AA129" s="481"/>
      <c r="AB129" s="481"/>
      <c r="AC129" s="481"/>
    </row>
    <row r="130" hidden="1">
      <c r="A130" s="526"/>
      <c r="B130" s="527"/>
      <c r="C130" s="527"/>
      <c r="D130" s="528"/>
      <c r="E130" s="528"/>
      <c r="F130" s="528"/>
      <c r="G130" s="527"/>
      <c r="H130" s="481"/>
      <c r="I130" s="481"/>
      <c r="J130" s="481"/>
      <c r="K130" s="481"/>
      <c r="L130" s="481"/>
      <c r="M130" s="481"/>
      <c r="N130" s="481"/>
      <c r="O130" s="481"/>
      <c r="P130" s="481"/>
      <c r="Q130" s="481"/>
      <c r="R130" s="481"/>
      <c r="S130" s="481"/>
      <c r="T130" s="481"/>
      <c r="U130" s="481"/>
      <c r="V130" s="481"/>
      <c r="W130" s="481"/>
      <c r="X130" s="481"/>
      <c r="Y130" s="481"/>
      <c r="Z130" s="481"/>
      <c r="AA130" s="481"/>
      <c r="AB130" s="481"/>
      <c r="AC130" s="481"/>
    </row>
    <row r="131" hidden="1">
      <c r="A131" s="529"/>
      <c r="B131" s="530"/>
      <c r="C131" s="530"/>
      <c r="D131" s="531"/>
      <c r="E131" s="531"/>
      <c r="F131" s="531"/>
      <c r="G131" s="530"/>
      <c r="H131" s="481"/>
      <c r="I131" s="481"/>
      <c r="J131" s="481"/>
      <c r="K131" s="481"/>
      <c r="L131" s="481"/>
      <c r="M131" s="481"/>
      <c r="N131" s="481"/>
      <c r="O131" s="481"/>
      <c r="P131" s="481"/>
      <c r="Q131" s="481"/>
      <c r="R131" s="481"/>
      <c r="S131" s="481"/>
      <c r="T131" s="481"/>
      <c r="U131" s="481"/>
      <c r="V131" s="481"/>
      <c r="W131" s="481"/>
      <c r="X131" s="481"/>
      <c r="Y131" s="481"/>
      <c r="Z131" s="481"/>
      <c r="AA131" s="481"/>
      <c r="AB131" s="481"/>
      <c r="AC131" s="481"/>
    </row>
    <row r="132" hidden="1">
      <c r="A132" s="526"/>
      <c r="B132" s="527"/>
      <c r="C132" s="527"/>
      <c r="D132" s="528"/>
      <c r="E132" s="528"/>
      <c r="F132" s="528"/>
      <c r="G132" s="527"/>
      <c r="H132" s="481"/>
      <c r="I132" s="481"/>
      <c r="J132" s="481"/>
      <c r="K132" s="481"/>
      <c r="L132" s="481"/>
      <c r="M132" s="481"/>
      <c r="N132" s="481"/>
      <c r="O132" s="481"/>
      <c r="P132" s="481"/>
      <c r="Q132" s="481"/>
      <c r="R132" s="481"/>
      <c r="S132" s="481"/>
      <c r="T132" s="481"/>
      <c r="U132" s="481"/>
      <c r="V132" s="481"/>
      <c r="W132" s="481"/>
      <c r="X132" s="481"/>
      <c r="Y132" s="481"/>
      <c r="Z132" s="481"/>
      <c r="AA132" s="481"/>
      <c r="AB132" s="481"/>
      <c r="AC132" s="481"/>
    </row>
    <row r="133" hidden="1">
      <c r="A133" s="529"/>
      <c r="B133" s="530"/>
      <c r="C133" s="530"/>
      <c r="D133" s="531"/>
      <c r="E133" s="531"/>
      <c r="F133" s="531"/>
      <c r="G133" s="530"/>
      <c r="H133" s="481"/>
      <c r="I133" s="481"/>
      <c r="J133" s="481"/>
      <c r="K133" s="481"/>
      <c r="L133" s="481"/>
      <c r="M133" s="481"/>
      <c r="N133" s="481"/>
      <c r="O133" s="481"/>
      <c r="P133" s="481"/>
      <c r="Q133" s="481"/>
      <c r="R133" s="481"/>
      <c r="S133" s="481"/>
      <c r="T133" s="481"/>
      <c r="U133" s="481"/>
      <c r="V133" s="481"/>
      <c r="W133" s="481"/>
      <c r="X133" s="481"/>
      <c r="Y133" s="481"/>
      <c r="Z133" s="481"/>
      <c r="AA133" s="481"/>
      <c r="AB133" s="481"/>
      <c r="AC133" s="481"/>
    </row>
    <row r="134" hidden="1">
      <c r="A134" s="532"/>
      <c r="B134" s="533"/>
      <c r="C134" s="533"/>
      <c r="D134" s="534"/>
      <c r="E134" s="534"/>
      <c r="F134" s="534"/>
      <c r="G134" s="533"/>
      <c r="H134" s="481"/>
      <c r="I134" s="481"/>
      <c r="J134" s="481"/>
      <c r="K134" s="481"/>
      <c r="L134" s="481"/>
      <c r="M134" s="481"/>
      <c r="N134" s="481"/>
      <c r="O134" s="481"/>
      <c r="P134" s="481"/>
      <c r="Q134" s="481"/>
      <c r="R134" s="481"/>
      <c r="S134" s="481"/>
      <c r="T134" s="481"/>
      <c r="U134" s="481"/>
      <c r="V134" s="481"/>
      <c r="W134" s="481"/>
      <c r="X134" s="481"/>
      <c r="Y134" s="481"/>
      <c r="Z134" s="481"/>
      <c r="AA134" s="481"/>
      <c r="AB134" s="481"/>
      <c r="AC134" s="481"/>
    </row>
    <row r="135" hidden="1">
      <c r="A135" s="535"/>
      <c r="B135" s="536"/>
      <c r="C135" s="536"/>
      <c r="D135" s="537"/>
      <c r="E135" s="537"/>
      <c r="F135" s="537"/>
      <c r="G135" s="536"/>
      <c r="H135" s="481"/>
      <c r="I135" s="481"/>
      <c r="J135" s="481"/>
      <c r="K135" s="481"/>
      <c r="L135" s="481"/>
      <c r="M135" s="481"/>
      <c r="N135" s="481"/>
      <c r="O135" s="481"/>
      <c r="P135" s="481"/>
      <c r="Q135" s="481"/>
      <c r="R135" s="481"/>
      <c r="S135" s="481"/>
      <c r="T135" s="481"/>
      <c r="U135" s="481"/>
      <c r="V135" s="481"/>
      <c r="W135" s="481"/>
      <c r="X135" s="481"/>
      <c r="Y135" s="481"/>
      <c r="Z135" s="481"/>
      <c r="AA135" s="481"/>
      <c r="AB135" s="481"/>
      <c r="AC135" s="481"/>
    </row>
    <row r="136" hidden="1">
      <c r="A136" s="532"/>
      <c r="B136" s="533"/>
      <c r="C136" s="533"/>
      <c r="D136" s="534"/>
      <c r="E136" s="534"/>
      <c r="F136" s="534"/>
      <c r="G136" s="533"/>
      <c r="H136" s="481"/>
      <c r="I136" s="481"/>
      <c r="J136" s="481"/>
      <c r="K136" s="481"/>
      <c r="L136" s="481"/>
      <c r="M136" s="481"/>
      <c r="N136" s="481"/>
      <c r="O136" s="481"/>
      <c r="P136" s="481"/>
      <c r="Q136" s="481"/>
      <c r="R136" s="481"/>
      <c r="S136" s="481"/>
      <c r="T136" s="481"/>
      <c r="U136" s="481"/>
      <c r="V136" s="481"/>
      <c r="W136" s="481"/>
      <c r="X136" s="481"/>
      <c r="Y136" s="481"/>
      <c r="Z136" s="481"/>
      <c r="AA136" s="481"/>
      <c r="AB136" s="481"/>
      <c r="AC136" s="481"/>
    </row>
    <row r="137" hidden="1">
      <c r="A137" s="535"/>
      <c r="B137" s="536"/>
      <c r="C137" s="536"/>
      <c r="D137" s="537"/>
      <c r="E137" s="537"/>
      <c r="F137" s="537"/>
      <c r="G137" s="536"/>
      <c r="H137" s="481"/>
      <c r="I137" s="481"/>
      <c r="J137" s="481"/>
      <c r="K137" s="481"/>
      <c r="L137" s="481"/>
      <c r="M137" s="481"/>
      <c r="N137" s="481"/>
      <c r="O137" s="481"/>
      <c r="P137" s="481"/>
      <c r="Q137" s="481"/>
      <c r="R137" s="481"/>
      <c r="S137" s="481"/>
      <c r="T137" s="481"/>
      <c r="U137" s="481"/>
      <c r="V137" s="481"/>
      <c r="W137" s="481"/>
      <c r="X137" s="481"/>
      <c r="Y137" s="481"/>
      <c r="Z137" s="481"/>
      <c r="AA137" s="481"/>
      <c r="AB137" s="481"/>
      <c r="AC137" s="481"/>
    </row>
    <row r="138" hidden="1">
      <c r="A138" s="532"/>
      <c r="B138" s="533"/>
      <c r="C138" s="533"/>
      <c r="D138" s="534"/>
      <c r="E138" s="534"/>
      <c r="F138" s="534"/>
      <c r="G138" s="533"/>
      <c r="H138" s="481"/>
      <c r="I138" s="481"/>
      <c r="J138" s="481"/>
      <c r="K138" s="481"/>
      <c r="L138" s="481"/>
      <c r="M138" s="481"/>
      <c r="N138" s="481"/>
      <c r="O138" s="481"/>
      <c r="P138" s="481"/>
      <c r="Q138" s="481"/>
      <c r="R138" s="481"/>
      <c r="S138" s="481"/>
      <c r="T138" s="481"/>
      <c r="U138" s="481"/>
      <c r="V138" s="481"/>
      <c r="W138" s="481"/>
      <c r="X138" s="481"/>
      <c r="Y138" s="481"/>
      <c r="Z138" s="481"/>
      <c r="AA138" s="481"/>
      <c r="AB138" s="481"/>
      <c r="AC138" s="481"/>
    </row>
    <row r="139" hidden="1">
      <c r="A139" s="535"/>
      <c r="B139" s="536"/>
      <c r="C139" s="536"/>
      <c r="D139" s="537"/>
      <c r="E139" s="537"/>
      <c r="F139" s="537"/>
      <c r="G139" s="536"/>
      <c r="H139" s="481"/>
      <c r="I139" s="481"/>
      <c r="J139" s="481"/>
      <c r="K139" s="481"/>
      <c r="L139" s="481"/>
      <c r="M139" s="481"/>
      <c r="N139" s="481"/>
      <c r="O139" s="481"/>
      <c r="P139" s="481"/>
      <c r="Q139" s="481"/>
      <c r="R139" s="481"/>
      <c r="S139" s="481"/>
      <c r="T139" s="481"/>
      <c r="U139" s="481"/>
      <c r="V139" s="481"/>
      <c r="W139" s="481"/>
      <c r="X139" s="481"/>
      <c r="Y139" s="481"/>
      <c r="Z139" s="481"/>
      <c r="AA139" s="481"/>
      <c r="AB139" s="481"/>
      <c r="AC139" s="481"/>
    </row>
    <row r="140" hidden="1">
      <c r="A140" s="532"/>
      <c r="B140" s="533"/>
      <c r="C140" s="533"/>
      <c r="D140" s="534"/>
      <c r="E140" s="534"/>
      <c r="F140" s="534"/>
      <c r="G140" s="533"/>
      <c r="H140" s="481"/>
      <c r="I140" s="481"/>
      <c r="J140" s="481"/>
      <c r="K140" s="481"/>
      <c r="L140" s="481"/>
      <c r="M140" s="481"/>
      <c r="N140" s="481"/>
      <c r="O140" s="481"/>
      <c r="P140" s="481"/>
      <c r="Q140" s="481"/>
      <c r="R140" s="481"/>
      <c r="S140" s="481"/>
      <c r="T140" s="481"/>
      <c r="U140" s="481"/>
      <c r="V140" s="481"/>
      <c r="W140" s="481"/>
      <c r="X140" s="481"/>
      <c r="Y140" s="481"/>
      <c r="Z140" s="481"/>
      <c r="AA140" s="481"/>
      <c r="AB140" s="481"/>
      <c r="AC140" s="481"/>
    </row>
    <row r="141" hidden="1">
      <c r="A141" s="535"/>
      <c r="B141" s="536"/>
      <c r="C141" s="536"/>
      <c r="D141" s="537"/>
      <c r="E141" s="537"/>
      <c r="F141" s="537"/>
      <c r="G141" s="536"/>
      <c r="H141" s="481"/>
      <c r="I141" s="481"/>
      <c r="J141" s="481"/>
      <c r="K141" s="481"/>
      <c r="L141" s="481"/>
      <c r="M141" s="481"/>
      <c r="N141" s="481"/>
      <c r="O141" s="481"/>
      <c r="P141" s="481"/>
      <c r="Q141" s="481"/>
      <c r="R141" s="481"/>
      <c r="S141" s="481"/>
      <c r="T141" s="481"/>
      <c r="U141" s="481"/>
      <c r="V141" s="481"/>
      <c r="W141" s="481"/>
      <c r="X141" s="481"/>
      <c r="Y141" s="481"/>
      <c r="Z141" s="481"/>
      <c r="AA141" s="481"/>
      <c r="AB141" s="481"/>
      <c r="AC141" s="481"/>
    </row>
    <row r="142" hidden="1">
      <c r="A142" s="532"/>
      <c r="B142" s="533"/>
      <c r="C142" s="533"/>
      <c r="D142" s="534"/>
      <c r="E142" s="534"/>
      <c r="F142" s="534"/>
      <c r="G142" s="533"/>
      <c r="H142" s="481"/>
      <c r="I142" s="481"/>
      <c r="J142" s="481"/>
      <c r="K142" s="481"/>
      <c r="L142" s="481"/>
      <c r="M142" s="481"/>
      <c r="N142" s="481"/>
      <c r="O142" s="481"/>
      <c r="P142" s="481"/>
      <c r="Q142" s="481"/>
      <c r="R142" s="481"/>
      <c r="S142" s="481"/>
      <c r="T142" s="481"/>
      <c r="U142" s="481"/>
      <c r="V142" s="481"/>
      <c r="W142" s="481"/>
      <c r="X142" s="481"/>
      <c r="Y142" s="481"/>
      <c r="Z142" s="481"/>
      <c r="AA142" s="481"/>
      <c r="AB142" s="481"/>
      <c r="AC142" s="481"/>
    </row>
    <row r="143" hidden="1">
      <c r="A143" s="535"/>
      <c r="B143" s="536"/>
      <c r="C143" s="536"/>
      <c r="D143" s="537"/>
      <c r="E143" s="537"/>
      <c r="F143" s="537"/>
      <c r="G143" s="536"/>
      <c r="H143" s="481"/>
      <c r="I143" s="481"/>
      <c r="J143" s="481"/>
      <c r="K143" s="481"/>
      <c r="L143" s="481"/>
      <c r="M143" s="481"/>
      <c r="N143" s="481"/>
      <c r="O143" s="481"/>
      <c r="P143" s="481"/>
      <c r="Q143" s="481"/>
      <c r="R143" s="481"/>
      <c r="S143" s="481"/>
      <c r="T143" s="481"/>
      <c r="U143" s="481"/>
      <c r="V143" s="481"/>
      <c r="W143" s="481"/>
      <c r="X143" s="481"/>
      <c r="Y143" s="481"/>
      <c r="Z143" s="481"/>
      <c r="AA143" s="481"/>
      <c r="AB143" s="481"/>
      <c r="AC143" s="481"/>
    </row>
    <row r="144" hidden="1">
      <c r="A144" s="532"/>
      <c r="B144" s="533"/>
      <c r="C144" s="533"/>
      <c r="D144" s="534"/>
      <c r="E144" s="534"/>
      <c r="F144" s="534"/>
      <c r="G144" s="533"/>
      <c r="H144" s="481"/>
      <c r="I144" s="481"/>
      <c r="J144" s="481"/>
      <c r="K144" s="481"/>
      <c r="L144" s="481"/>
      <c r="M144" s="481"/>
      <c r="N144" s="481"/>
      <c r="O144" s="481"/>
      <c r="P144" s="481"/>
      <c r="Q144" s="481"/>
      <c r="R144" s="481"/>
      <c r="S144" s="481"/>
      <c r="T144" s="481"/>
      <c r="U144" s="481"/>
      <c r="V144" s="481"/>
      <c r="W144" s="481"/>
      <c r="X144" s="481"/>
      <c r="Y144" s="481"/>
      <c r="Z144" s="481"/>
      <c r="AA144" s="481"/>
      <c r="AB144" s="481"/>
      <c r="AC144" s="481"/>
    </row>
    <row r="145" hidden="1">
      <c r="A145" s="535"/>
      <c r="B145" s="536"/>
      <c r="C145" s="536"/>
      <c r="D145" s="537"/>
      <c r="E145" s="537"/>
      <c r="F145" s="537"/>
      <c r="G145" s="536"/>
      <c r="H145" s="481"/>
      <c r="I145" s="481"/>
      <c r="J145" s="481"/>
      <c r="K145" s="481"/>
      <c r="L145" s="481"/>
      <c r="M145" s="481"/>
      <c r="N145" s="481"/>
      <c r="O145" s="481"/>
      <c r="P145" s="481"/>
      <c r="Q145" s="481"/>
      <c r="R145" s="481"/>
      <c r="S145" s="481"/>
      <c r="T145" s="481"/>
      <c r="U145" s="481"/>
      <c r="V145" s="481"/>
      <c r="W145" s="481"/>
      <c r="X145" s="481"/>
      <c r="Y145" s="481"/>
      <c r="Z145" s="481"/>
      <c r="AA145" s="481"/>
      <c r="AB145" s="481"/>
      <c r="AC145" s="481"/>
    </row>
    <row r="146" hidden="1">
      <c r="A146" s="532"/>
      <c r="B146" s="533"/>
      <c r="C146" s="533"/>
      <c r="D146" s="534"/>
      <c r="E146" s="534"/>
      <c r="F146" s="534"/>
      <c r="G146" s="533"/>
      <c r="H146" s="481"/>
      <c r="I146" s="481"/>
      <c r="J146" s="481"/>
      <c r="K146" s="481"/>
      <c r="L146" s="481"/>
      <c r="M146" s="481"/>
      <c r="N146" s="481"/>
      <c r="O146" s="481"/>
      <c r="P146" s="481"/>
      <c r="Q146" s="481"/>
      <c r="R146" s="481"/>
      <c r="S146" s="481"/>
      <c r="T146" s="481"/>
      <c r="U146" s="481"/>
      <c r="V146" s="481"/>
      <c r="W146" s="481"/>
      <c r="X146" s="481"/>
      <c r="Y146" s="481"/>
      <c r="Z146" s="481"/>
      <c r="AA146" s="481"/>
      <c r="AB146" s="481"/>
      <c r="AC146" s="481"/>
    </row>
    <row r="147" hidden="1">
      <c r="A147" s="535"/>
      <c r="B147" s="536"/>
      <c r="C147" s="536"/>
      <c r="D147" s="537"/>
      <c r="E147" s="537"/>
      <c r="F147" s="537"/>
      <c r="G147" s="536"/>
      <c r="H147" s="481"/>
      <c r="I147" s="481"/>
      <c r="J147" s="481"/>
      <c r="K147" s="481"/>
      <c r="L147" s="481"/>
      <c r="M147" s="481"/>
      <c r="N147" s="481"/>
      <c r="O147" s="481"/>
      <c r="P147" s="481"/>
      <c r="Q147" s="481"/>
      <c r="R147" s="481"/>
      <c r="S147" s="481"/>
      <c r="T147" s="481"/>
      <c r="U147" s="481"/>
      <c r="V147" s="481"/>
      <c r="W147" s="481"/>
      <c r="X147" s="481"/>
      <c r="Y147" s="481"/>
      <c r="Z147" s="481"/>
      <c r="AA147" s="481"/>
      <c r="AB147" s="481"/>
      <c r="AC147" s="481"/>
    </row>
    <row r="148" hidden="1">
      <c r="A148" s="532"/>
      <c r="B148" s="533"/>
      <c r="C148" s="533"/>
      <c r="D148" s="534"/>
      <c r="E148" s="534"/>
      <c r="F148" s="534"/>
      <c r="G148" s="533"/>
      <c r="H148" s="481"/>
      <c r="I148" s="481"/>
      <c r="J148" s="481"/>
      <c r="K148" s="481"/>
      <c r="L148" s="481"/>
      <c r="M148" s="481"/>
      <c r="N148" s="481"/>
      <c r="O148" s="481"/>
      <c r="P148" s="481"/>
      <c r="Q148" s="481"/>
      <c r="R148" s="481"/>
      <c r="S148" s="481"/>
      <c r="T148" s="481"/>
      <c r="U148" s="481"/>
      <c r="V148" s="481"/>
      <c r="W148" s="481"/>
      <c r="X148" s="481"/>
      <c r="Y148" s="481"/>
      <c r="Z148" s="481"/>
      <c r="AA148" s="481"/>
      <c r="AB148" s="481"/>
      <c r="AC148" s="481"/>
    </row>
    <row r="149" hidden="1">
      <c r="A149" s="535"/>
      <c r="B149" s="536"/>
      <c r="C149" s="536"/>
      <c r="D149" s="537"/>
      <c r="E149" s="537"/>
      <c r="F149" s="537"/>
      <c r="G149" s="536"/>
      <c r="H149" s="481"/>
      <c r="I149" s="481"/>
      <c r="J149" s="481"/>
      <c r="K149" s="481"/>
      <c r="L149" s="481"/>
      <c r="M149" s="481"/>
      <c r="N149" s="481"/>
      <c r="O149" s="481"/>
      <c r="P149" s="481"/>
      <c r="Q149" s="481"/>
      <c r="R149" s="481"/>
      <c r="S149" s="481"/>
      <c r="T149" s="481"/>
      <c r="U149" s="481"/>
      <c r="V149" s="481"/>
      <c r="W149" s="481"/>
      <c r="X149" s="481"/>
      <c r="Y149" s="481"/>
      <c r="Z149" s="481"/>
      <c r="AA149" s="481"/>
      <c r="AB149" s="481"/>
      <c r="AC149" s="481"/>
    </row>
    <row r="150" hidden="1">
      <c r="A150" s="532"/>
      <c r="B150" s="533"/>
      <c r="C150" s="533"/>
      <c r="D150" s="534"/>
      <c r="E150" s="534"/>
      <c r="F150" s="534"/>
      <c r="G150" s="533"/>
      <c r="H150" s="481"/>
      <c r="I150" s="481"/>
      <c r="J150" s="481"/>
      <c r="K150" s="481"/>
      <c r="L150" s="481"/>
      <c r="M150" s="481"/>
      <c r="N150" s="481"/>
      <c r="O150" s="481"/>
      <c r="P150" s="481"/>
      <c r="Q150" s="481"/>
      <c r="R150" s="481"/>
      <c r="S150" s="481"/>
      <c r="T150" s="481"/>
      <c r="U150" s="481"/>
      <c r="V150" s="481"/>
      <c r="W150" s="481"/>
      <c r="X150" s="481"/>
      <c r="Y150" s="481"/>
      <c r="Z150" s="481"/>
      <c r="AA150" s="481"/>
      <c r="AB150" s="481"/>
      <c r="AC150" s="481"/>
    </row>
    <row r="151" hidden="1">
      <c r="A151" s="535"/>
      <c r="B151" s="536"/>
      <c r="C151" s="536"/>
      <c r="D151" s="537"/>
      <c r="E151" s="537"/>
      <c r="F151" s="537"/>
      <c r="G151" s="536"/>
      <c r="H151" s="481"/>
      <c r="I151" s="481"/>
      <c r="J151" s="481"/>
      <c r="K151" s="481"/>
      <c r="L151" s="481"/>
      <c r="M151" s="481"/>
      <c r="N151" s="481"/>
      <c r="O151" s="481"/>
      <c r="P151" s="481"/>
      <c r="Q151" s="481"/>
      <c r="R151" s="481"/>
      <c r="S151" s="481"/>
      <c r="T151" s="481"/>
      <c r="U151" s="481"/>
      <c r="V151" s="481"/>
      <c r="W151" s="481"/>
      <c r="X151" s="481"/>
      <c r="Y151" s="481"/>
      <c r="Z151" s="481"/>
      <c r="AA151" s="481"/>
      <c r="AB151" s="481"/>
      <c r="AC151" s="481"/>
    </row>
    <row r="152" hidden="1">
      <c r="A152" s="532"/>
      <c r="B152" s="533"/>
      <c r="C152" s="533"/>
      <c r="D152" s="534"/>
      <c r="E152" s="534"/>
      <c r="F152" s="534"/>
      <c r="G152" s="533"/>
      <c r="H152" s="481"/>
      <c r="I152" s="481"/>
      <c r="J152" s="481"/>
      <c r="K152" s="481"/>
      <c r="L152" s="481"/>
      <c r="M152" s="481"/>
      <c r="N152" s="481"/>
      <c r="O152" s="481"/>
      <c r="P152" s="481"/>
      <c r="Q152" s="481"/>
      <c r="R152" s="481"/>
      <c r="S152" s="481"/>
      <c r="T152" s="481"/>
      <c r="U152" s="481"/>
      <c r="V152" s="481"/>
      <c r="W152" s="481"/>
      <c r="X152" s="481"/>
      <c r="Y152" s="481"/>
      <c r="Z152" s="481"/>
      <c r="AA152" s="481"/>
      <c r="AB152" s="481"/>
      <c r="AC152" s="481"/>
    </row>
    <row r="153" hidden="1">
      <c r="A153" s="535"/>
      <c r="B153" s="536"/>
      <c r="C153" s="536"/>
      <c r="D153" s="537"/>
      <c r="E153" s="537"/>
      <c r="F153" s="537"/>
      <c r="G153" s="536"/>
      <c r="H153" s="481"/>
      <c r="I153" s="481"/>
      <c r="J153" s="481"/>
      <c r="K153" s="481"/>
      <c r="L153" s="481"/>
      <c r="M153" s="481"/>
      <c r="N153" s="481"/>
      <c r="O153" s="481"/>
      <c r="P153" s="481"/>
      <c r="Q153" s="481"/>
      <c r="R153" s="481"/>
      <c r="S153" s="481"/>
      <c r="T153" s="481"/>
      <c r="U153" s="481"/>
      <c r="V153" s="481"/>
      <c r="W153" s="481"/>
      <c r="X153" s="481"/>
      <c r="Y153" s="481"/>
      <c r="Z153" s="481"/>
      <c r="AA153" s="481"/>
      <c r="AB153" s="481"/>
      <c r="AC153" s="481"/>
    </row>
    <row r="154" hidden="1">
      <c r="A154" s="532"/>
      <c r="B154" s="533"/>
      <c r="C154" s="533"/>
      <c r="D154" s="534"/>
      <c r="E154" s="534"/>
      <c r="F154" s="534"/>
      <c r="G154" s="533"/>
      <c r="H154" s="481"/>
      <c r="I154" s="481"/>
      <c r="J154" s="481"/>
      <c r="K154" s="481"/>
      <c r="L154" s="481"/>
      <c r="M154" s="481"/>
      <c r="N154" s="481"/>
      <c r="O154" s="481"/>
      <c r="P154" s="481"/>
      <c r="Q154" s="481"/>
      <c r="R154" s="481"/>
      <c r="S154" s="481"/>
      <c r="T154" s="481"/>
      <c r="U154" s="481"/>
      <c r="V154" s="481"/>
      <c r="W154" s="481"/>
      <c r="X154" s="481"/>
      <c r="Y154" s="481"/>
      <c r="Z154" s="481"/>
      <c r="AA154" s="481"/>
      <c r="AB154" s="481"/>
      <c r="AC154" s="481"/>
    </row>
    <row r="155" hidden="1">
      <c r="A155" s="535"/>
      <c r="B155" s="536"/>
      <c r="C155" s="536"/>
      <c r="D155" s="537"/>
      <c r="E155" s="537"/>
      <c r="F155" s="537"/>
      <c r="G155" s="536"/>
      <c r="H155" s="481"/>
      <c r="I155" s="481"/>
      <c r="J155" s="481"/>
      <c r="K155" s="481"/>
      <c r="L155" s="481"/>
      <c r="M155" s="481"/>
      <c r="N155" s="481"/>
      <c r="O155" s="481"/>
      <c r="P155" s="481"/>
      <c r="Q155" s="481"/>
      <c r="R155" s="481"/>
      <c r="S155" s="481"/>
      <c r="T155" s="481"/>
      <c r="U155" s="481"/>
      <c r="V155" s="481"/>
      <c r="W155" s="481"/>
      <c r="X155" s="481"/>
      <c r="Y155" s="481"/>
      <c r="Z155" s="481"/>
      <c r="AA155" s="481"/>
      <c r="AB155" s="481"/>
      <c r="AC155" s="481"/>
    </row>
    <row r="156" hidden="1">
      <c r="A156" s="532"/>
      <c r="B156" s="533"/>
      <c r="C156" s="533"/>
      <c r="D156" s="534"/>
      <c r="E156" s="534"/>
      <c r="F156" s="534"/>
      <c r="G156" s="533"/>
      <c r="H156" s="481"/>
      <c r="I156" s="481"/>
      <c r="J156" s="481"/>
      <c r="K156" s="481"/>
      <c r="L156" s="481"/>
      <c r="M156" s="481"/>
      <c r="N156" s="481"/>
      <c r="O156" s="481"/>
      <c r="P156" s="481"/>
      <c r="Q156" s="481"/>
      <c r="R156" s="481"/>
      <c r="S156" s="481"/>
      <c r="T156" s="481"/>
      <c r="U156" s="481"/>
      <c r="V156" s="481"/>
      <c r="W156" s="481"/>
      <c r="X156" s="481"/>
      <c r="Y156" s="481"/>
      <c r="Z156" s="481"/>
      <c r="AA156" s="481"/>
      <c r="AB156" s="481"/>
      <c r="AC156" s="481"/>
    </row>
    <row r="157" hidden="1">
      <c r="A157" s="535"/>
      <c r="B157" s="536"/>
      <c r="C157" s="536"/>
      <c r="D157" s="537"/>
      <c r="E157" s="537"/>
      <c r="F157" s="537"/>
      <c r="G157" s="536"/>
      <c r="H157" s="481"/>
      <c r="I157" s="481"/>
      <c r="J157" s="481"/>
      <c r="K157" s="481"/>
      <c r="L157" s="481"/>
      <c r="M157" s="481"/>
      <c r="N157" s="481"/>
      <c r="O157" s="481"/>
      <c r="P157" s="481"/>
      <c r="Q157" s="481"/>
      <c r="R157" s="481"/>
      <c r="S157" s="481"/>
      <c r="T157" s="481"/>
      <c r="U157" s="481"/>
      <c r="V157" s="481"/>
      <c r="W157" s="481"/>
      <c r="X157" s="481"/>
      <c r="Y157" s="481"/>
      <c r="Z157" s="481"/>
      <c r="AA157" s="481"/>
      <c r="AB157" s="481"/>
      <c r="AC157" s="481"/>
    </row>
    <row r="158" hidden="1">
      <c r="A158" s="532"/>
      <c r="B158" s="533"/>
      <c r="C158" s="533"/>
      <c r="D158" s="534"/>
      <c r="E158" s="534"/>
      <c r="F158" s="534"/>
      <c r="G158" s="533"/>
      <c r="H158" s="481"/>
      <c r="I158" s="481"/>
      <c r="J158" s="481"/>
      <c r="K158" s="481"/>
      <c r="L158" s="481"/>
      <c r="M158" s="481"/>
      <c r="N158" s="481"/>
      <c r="O158" s="481"/>
      <c r="P158" s="481"/>
      <c r="Q158" s="481"/>
      <c r="R158" s="481"/>
      <c r="S158" s="481"/>
      <c r="T158" s="481"/>
      <c r="U158" s="481"/>
      <c r="V158" s="481"/>
      <c r="W158" s="481"/>
      <c r="X158" s="481"/>
      <c r="Y158" s="481"/>
      <c r="Z158" s="481"/>
      <c r="AA158" s="481"/>
      <c r="AB158" s="481"/>
      <c r="AC158" s="481"/>
    </row>
    <row r="159" hidden="1">
      <c r="A159" s="535"/>
      <c r="B159" s="536"/>
      <c r="C159" s="536"/>
      <c r="D159" s="537"/>
      <c r="E159" s="537"/>
      <c r="F159" s="537"/>
      <c r="G159" s="536"/>
      <c r="H159" s="481"/>
      <c r="I159" s="481"/>
      <c r="J159" s="481"/>
      <c r="K159" s="481"/>
      <c r="L159" s="481"/>
      <c r="M159" s="481"/>
      <c r="N159" s="481"/>
      <c r="O159" s="481"/>
      <c r="P159" s="481"/>
      <c r="Q159" s="481"/>
      <c r="R159" s="481"/>
      <c r="S159" s="481"/>
      <c r="T159" s="481"/>
      <c r="U159" s="481"/>
      <c r="V159" s="481"/>
      <c r="W159" s="481"/>
      <c r="X159" s="481"/>
      <c r="Y159" s="481"/>
      <c r="Z159" s="481"/>
      <c r="AA159" s="481"/>
      <c r="AB159" s="481"/>
      <c r="AC159" s="481"/>
    </row>
    <row r="160" hidden="1">
      <c r="A160" s="532"/>
      <c r="B160" s="533"/>
      <c r="C160" s="533"/>
      <c r="D160" s="534"/>
      <c r="E160" s="534"/>
      <c r="F160" s="534"/>
      <c r="G160" s="533"/>
      <c r="H160" s="481"/>
      <c r="I160" s="481"/>
      <c r="J160" s="481"/>
      <c r="K160" s="481"/>
      <c r="L160" s="481"/>
      <c r="M160" s="481"/>
      <c r="N160" s="481"/>
      <c r="O160" s="481"/>
      <c r="P160" s="481"/>
      <c r="Q160" s="481"/>
      <c r="R160" s="481"/>
      <c r="S160" s="481"/>
      <c r="T160" s="481"/>
      <c r="U160" s="481"/>
      <c r="V160" s="481"/>
      <c r="W160" s="481"/>
      <c r="X160" s="481"/>
      <c r="Y160" s="481"/>
      <c r="Z160" s="481"/>
      <c r="AA160" s="481"/>
      <c r="AB160" s="481"/>
      <c r="AC160" s="481"/>
    </row>
    <row r="161" hidden="1">
      <c r="A161" s="535"/>
      <c r="B161" s="536"/>
      <c r="C161" s="536"/>
      <c r="D161" s="537"/>
      <c r="E161" s="537"/>
      <c r="F161" s="537"/>
      <c r="G161" s="536"/>
      <c r="H161" s="481"/>
      <c r="I161" s="481"/>
      <c r="J161" s="481"/>
      <c r="K161" s="481"/>
      <c r="L161" s="481"/>
      <c r="M161" s="481"/>
      <c r="N161" s="481"/>
      <c r="O161" s="481"/>
      <c r="P161" s="481"/>
      <c r="Q161" s="481"/>
      <c r="R161" s="481"/>
      <c r="S161" s="481"/>
      <c r="T161" s="481"/>
      <c r="U161" s="481"/>
      <c r="V161" s="481"/>
      <c r="W161" s="481"/>
      <c r="X161" s="481"/>
      <c r="Y161" s="481"/>
      <c r="Z161" s="481"/>
      <c r="AA161" s="481"/>
      <c r="AB161" s="481"/>
      <c r="AC161" s="481"/>
    </row>
    <row r="162" hidden="1">
      <c r="A162" s="532"/>
      <c r="B162" s="533"/>
      <c r="C162" s="533"/>
      <c r="D162" s="534"/>
      <c r="E162" s="534"/>
      <c r="F162" s="534"/>
      <c r="G162" s="533"/>
      <c r="H162" s="481"/>
      <c r="I162" s="481"/>
      <c r="J162" s="481"/>
      <c r="K162" s="481"/>
      <c r="L162" s="481"/>
      <c r="M162" s="481"/>
      <c r="N162" s="481"/>
      <c r="O162" s="481"/>
      <c r="P162" s="481"/>
      <c r="Q162" s="481"/>
      <c r="R162" s="481"/>
      <c r="S162" s="481"/>
      <c r="T162" s="481"/>
      <c r="U162" s="481"/>
      <c r="V162" s="481"/>
      <c r="W162" s="481"/>
      <c r="X162" s="481"/>
      <c r="Y162" s="481"/>
      <c r="Z162" s="481"/>
      <c r="AA162" s="481"/>
      <c r="AB162" s="481"/>
      <c r="AC162" s="481"/>
    </row>
    <row r="163" hidden="1">
      <c r="A163" s="535"/>
      <c r="B163" s="536"/>
      <c r="C163" s="536"/>
      <c r="D163" s="537"/>
      <c r="E163" s="537"/>
      <c r="F163" s="537"/>
      <c r="G163" s="536"/>
      <c r="H163" s="481"/>
      <c r="I163" s="481"/>
      <c r="J163" s="481"/>
      <c r="K163" s="481"/>
      <c r="L163" s="481"/>
      <c r="M163" s="481"/>
      <c r="N163" s="481"/>
      <c r="O163" s="481"/>
      <c r="P163" s="481"/>
      <c r="Q163" s="481"/>
      <c r="R163" s="481"/>
      <c r="S163" s="481"/>
      <c r="T163" s="481"/>
      <c r="U163" s="481"/>
      <c r="V163" s="481"/>
      <c r="W163" s="481"/>
      <c r="X163" s="481"/>
      <c r="Y163" s="481"/>
      <c r="Z163" s="481"/>
      <c r="AA163" s="481"/>
      <c r="AB163" s="481"/>
      <c r="AC163" s="481"/>
    </row>
    <row r="164" hidden="1">
      <c r="A164" s="532"/>
      <c r="B164" s="533"/>
      <c r="C164" s="533"/>
      <c r="D164" s="534"/>
      <c r="E164" s="534"/>
      <c r="F164" s="534"/>
      <c r="G164" s="533"/>
      <c r="H164" s="481"/>
      <c r="I164" s="481"/>
      <c r="J164" s="481"/>
      <c r="K164" s="481"/>
      <c r="L164" s="481"/>
      <c r="M164" s="481"/>
      <c r="N164" s="481"/>
      <c r="O164" s="481"/>
      <c r="P164" s="481"/>
      <c r="Q164" s="481"/>
      <c r="R164" s="481"/>
      <c r="S164" s="481"/>
      <c r="T164" s="481"/>
      <c r="U164" s="481"/>
      <c r="V164" s="481"/>
      <c r="W164" s="481"/>
      <c r="X164" s="481"/>
      <c r="Y164" s="481"/>
      <c r="Z164" s="481"/>
      <c r="AA164" s="481"/>
      <c r="AB164" s="481"/>
      <c r="AC164" s="481"/>
    </row>
    <row r="165" hidden="1">
      <c r="A165" s="535"/>
      <c r="B165" s="536"/>
      <c r="C165" s="536"/>
      <c r="D165" s="537"/>
      <c r="E165" s="537"/>
      <c r="F165" s="537"/>
      <c r="G165" s="536"/>
      <c r="H165" s="481"/>
      <c r="I165" s="481"/>
      <c r="J165" s="481"/>
      <c r="K165" s="481"/>
      <c r="L165" s="481"/>
      <c r="M165" s="481"/>
      <c r="N165" s="481"/>
      <c r="O165" s="481"/>
      <c r="P165" s="481"/>
      <c r="Q165" s="481"/>
      <c r="R165" s="481"/>
      <c r="S165" s="481"/>
      <c r="T165" s="481"/>
      <c r="U165" s="481"/>
      <c r="V165" s="481"/>
      <c r="W165" s="481"/>
      <c r="X165" s="481"/>
      <c r="Y165" s="481"/>
      <c r="Z165" s="481"/>
      <c r="AA165" s="481"/>
      <c r="AB165" s="481"/>
      <c r="AC165" s="481"/>
    </row>
    <row r="166" hidden="1">
      <c r="A166" s="532"/>
      <c r="B166" s="533"/>
      <c r="C166" s="533"/>
      <c r="D166" s="534"/>
      <c r="E166" s="534"/>
      <c r="F166" s="534"/>
      <c r="G166" s="533"/>
      <c r="H166" s="481"/>
      <c r="I166" s="481"/>
      <c r="J166" s="481"/>
      <c r="K166" s="481"/>
      <c r="L166" s="481"/>
      <c r="M166" s="481"/>
      <c r="N166" s="481"/>
      <c r="O166" s="481"/>
      <c r="P166" s="481"/>
      <c r="Q166" s="481"/>
      <c r="R166" s="481"/>
      <c r="S166" s="481"/>
      <c r="T166" s="481"/>
      <c r="U166" s="481"/>
      <c r="V166" s="481"/>
      <c r="W166" s="481"/>
      <c r="X166" s="481"/>
      <c r="Y166" s="481"/>
      <c r="Z166" s="481"/>
      <c r="AA166" s="481"/>
      <c r="AB166" s="481"/>
      <c r="AC166" s="481"/>
    </row>
    <row r="167" hidden="1">
      <c r="A167" s="535"/>
      <c r="B167" s="536"/>
      <c r="C167" s="536"/>
      <c r="D167" s="537"/>
      <c r="E167" s="537"/>
      <c r="F167" s="537"/>
      <c r="G167" s="536"/>
      <c r="H167" s="481"/>
      <c r="I167" s="481"/>
      <c r="J167" s="481"/>
      <c r="K167" s="481"/>
      <c r="L167" s="481"/>
      <c r="M167" s="481"/>
      <c r="N167" s="481"/>
      <c r="O167" s="481"/>
      <c r="P167" s="481"/>
      <c r="Q167" s="481"/>
      <c r="R167" s="481"/>
      <c r="S167" s="481"/>
      <c r="T167" s="481"/>
      <c r="U167" s="481"/>
      <c r="V167" s="481"/>
      <c r="W167" s="481"/>
      <c r="X167" s="481"/>
      <c r="Y167" s="481"/>
      <c r="Z167" s="481"/>
      <c r="AA167" s="481"/>
      <c r="AB167" s="481"/>
      <c r="AC167" s="481"/>
    </row>
    <row r="168" hidden="1">
      <c r="A168" s="532"/>
      <c r="B168" s="533"/>
      <c r="C168" s="533"/>
      <c r="D168" s="534"/>
      <c r="E168" s="534"/>
      <c r="F168" s="534"/>
      <c r="G168" s="533"/>
      <c r="H168" s="481"/>
      <c r="I168" s="481"/>
      <c r="J168" s="481"/>
      <c r="K168" s="481"/>
      <c r="L168" s="481"/>
      <c r="M168" s="481"/>
      <c r="N168" s="481"/>
      <c r="O168" s="481"/>
      <c r="P168" s="481"/>
      <c r="Q168" s="481"/>
      <c r="R168" s="481"/>
      <c r="S168" s="481"/>
      <c r="T168" s="481"/>
      <c r="U168" s="481"/>
      <c r="V168" s="481"/>
      <c r="W168" s="481"/>
      <c r="X168" s="481"/>
      <c r="Y168" s="481"/>
      <c r="Z168" s="481"/>
      <c r="AA168" s="481"/>
      <c r="AB168" s="481"/>
      <c r="AC168" s="481"/>
    </row>
    <row r="169" hidden="1">
      <c r="A169" s="535"/>
      <c r="B169" s="536"/>
      <c r="C169" s="536"/>
      <c r="D169" s="537"/>
      <c r="E169" s="537"/>
      <c r="F169" s="537"/>
      <c r="G169" s="536"/>
      <c r="H169" s="481"/>
      <c r="I169" s="481"/>
      <c r="J169" s="481"/>
      <c r="K169" s="481"/>
      <c r="L169" s="481"/>
      <c r="M169" s="481"/>
      <c r="N169" s="481"/>
      <c r="O169" s="481"/>
      <c r="P169" s="481"/>
      <c r="Q169" s="481"/>
      <c r="R169" s="481"/>
      <c r="S169" s="481"/>
      <c r="T169" s="481"/>
      <c r="U169" s="481"/>
      <c r="V169" s="481"/>
      <c r="W169" s="481"/>
      <c r="X169" s="481"/>
      <c r="Y169" s="481"/>
      <c r="Z169" s="481"/>
      <c r="AA169" s="481"/>
      <c r="AB169" s="481"/>
      <c r="AC169" s="481"/>
    </row>
    <row r="170" hidden="1">
      <c r="A170" s="532"/>
      <c r="B170" s="533"/>
      <c r="C170" s="533"/>
      <c r="D170" s="534"/>
      <c r="E170" s="534"/>
      <c r="F170" s="534"/>
      <c r="G170" s="533"/>
      <c r="H170" s="481"/>
      <c r="I170" s="481"/>
      <c r="J170" s="481"/>
      <c r="K170" s="481"/>
      <c r="L170" s="481"/>
      <c r="M170" s="481"/>
      <c r="N170" s="481"/>
      <c r="O170" s="481"/>
      <c r="P170" s="481"/>
      <c r="Q170" s="481"/>
      <c r="R170" s="481"/>
      <c r="S170" s="481"/>
      <c r="T170" s="481"/>
      <c r="U170" s="481"/>
      <c r="V170" s="481"/>
      <c r="W170" s="481"/>
      <c r="X170" s="481"/>
      <c r="Y170" s="481"/>
      <c r="Z170" s="481"/>
      <c r="AA170" s="481"/>
      <c r="AB170" s="481"/>
      <c r="AC170" s="481"/>
    </row>
    <row r="171" hidden="1">
      <c r="A171" s="535"/>
      <c r="B171" s="536"/>
      <c r="C171" s="536"/>
      <c r="D171" s="537"/>
      <c r="E171" s="537"/>
      <c r="F171" s="537"/>
      <c r="G171" s="536"/>
      <c r="H171" s="481"/>
      <c r="I171" s="481"/>
      <c r="J171" s="481"/>
      <c r="K171" s="481"/>
      <c r="L171" s="481"/>
      <c r="M171" s="481"/>
      <c r="N171" s="481"/>
      <c r="O171" s="481"/>
      <c r="P171" s="481"/>
      <c r="Q171" s="481"/>
      <c r="R171" s="481"/>
      <c r="S171" s="481"/>
      <c r="T171" s="481"/>
      <c r="U171" s="481"/>
      <c r="V171" s="481"/>
      <c r="W171" s="481"/>
      <c r="X171" s="481"/>
      <c r="Y171" s="481"/>
      <c r="Z171" s="481"/>
      <c r="AA171" s="481"/>
      <c r="AB171" s="481"/>
      <c r="AC171" s="481"/>
    </row>
    <row r="172" hidden="1">
      <c r="A172" s="532"/>
      <c r="B172" s="533"/>
      <c r="C172" s="533"/>
      <c r="D172" s="534"/>
      <c r="E172" s="534"/>
      <c r="F172" s="534"/>
      <c r="G172" s="533"/>
      <c r="H172" s="481"/>
      <c r="I172" s="481"/>
      <c r="J172" s="481"/>
      <c r="K172" s="481"/>
      <c r="L172" s="481"/>
      <c r="M172" s="481"/>
      <c r="N172" s="481"/>
      <c r="O172" s="481"/>
      <c r="P172" s="481"/>
      <c r="Q172" s="481"/>
      <c r="R172" s="481"/>
      <c r="S172" s="481"/>
      <c r="T172" s="481"/>
      <c r="U172" s="481"/>
      <c r="V172" s="481"/>
      <c r="W172" s="481"/>
      <c r="X172" s="481"/>
      <c r="Y172" s="481"/>
      <c r="Z172" s="481"/>
      <c r="AA172" s="481"/>
      <c r="AB172" s="481"/>
      <c r="AC172" s="481"/>
    </row>
    <row r="173" hidden="1">
      <c r="A173" s="535"/>
      <c r="B173" s="536"/>
      <c r="C173" s="536"/>
      <c r="D173" s="537"/>
      <c r="E173" s="537"/>
      <c r="F173" s="537"/>
      <c r="G173" s="536"/>
      <c r="H173" s="481"/>
      <c r="I173" s="481"/>
      <c r="J173" s="481"/>
      <c r="K173" s="481"/>
      <c r="L173" s="481"/>
      <c r="M173" s="481"/>
      <c r="N173" s="481"/>
      <c r="O173" s="481"/>
      <c r="P173" s="481"/>
      <c r="Q173" s="481"/>
      <c r="R173" s="481"/>
      <c r="S173" s="481"/>
      <c r="T173" s="481"/>
      <c r="U173" s="481"/>
      <c r="V173" s="481"/>
      <c r="W173" s="481"/>
      <c r="X173" s="481"/>
      <c r="Y173" s="481"/>
      <c r="Z173" s="481"/>
      <c r="AA173" s="481"/>
      <c r="AB173" s="481"/>
      <c r="AC173" s="481"/>
    </row>
    <row r="174" hidden="1">
      <c r="A174" s="532"/>
      <c r="B174" s="533"/>
      <c r="C174" s="533"/>
      <c r="D174" s="534"/>
      <c r="E174" s="534"/>
      <c r="F174" s="534"/>
      <c r="G174" s="533"/>
      <c r="H174" s="481"/>
      <c r="I174" s="481"/>
      <c r="J174" s="481"/>
      <c r="K174" s="481"/>
      <c r="L174" s="481"/>
      <c r="M174" s="481"/>
      <c r="N174" s="481"/>
      <c r="O174" s="481"/>
      <c r="P174" s="481"/>
      <c r="Q174" s="481"/>
      <c r="R174" s="481"/>
      <c r="S174" s="481"/>
      <c r="T174" s="481"/>
      <c r="U174" s="481"/>
      <c r="V174" s="481"/>
      <c r="W174" s="481"/>
      <c r="X174" s="481"/>
      <c r="Y174" s="481"/>
      <c r="Z174" s="481"/>
      <c r="AA174" s="481"/>
      <c r="AB174" s="481"/>
      <c r="AC174" s="481"/>
    </row>
    <row r="175" hidden="1">
      <c r="A175" s="535"/>
      <c r="B175" s="536"/>
      <c r="C175" s="536"/>
      <c r="D175" s="537"/>
      <c r="E175" s="537"/>
      <c r="F175" s="537"/>
      <c r="G175" s="536"/>
      <c r="H175" s="481"/>
      <c r="I175" s="481"/>
      <c r="J175" s="481"/>
      <c r="K175" s="481"/>
      <c r="L175" s="481"/>
      <c r="M175" s="481"/>
      <c r="N175" s="481"/>
      <c r="O175" s="481"/>
      <c r="P175" s="481"/>
      <c r="Q175" s="481"/>
      <c r="R175" s="481"/>
      <c r="S175" s="481"/>
      <c r="T175" s="481"/>
      <c r="U175" s="481"/>
      <c r="V175" s="481"/>
      <c r="W175" s="481"/>
      <c r="X175" s="481"/>
      <c r="Y175" s="481"/>
      <c r="Z175" s="481"/>
      <c r="AA175" s="481"/>
      <c r="AB175" s="481"/>
      <c r="AC175" s="481"/>
    </row>
    <row r="176" hidden="1">
      <c r="A176" s="532"/>
      <c r="B176" s="533"/>
      <c r="C176" s="533"/>
      <c r="D176" s="534"/>
      <c r="E176" s="534"/>
      <c r="F176" s="534"/>
      <c r="G176" s="533"/>
      <c r="H176" s="481"/>
      <c r="I176" s="481"/>
      <c r="J176" s="481"/>
      <c r="K176" s="481"/>
      <c r="L176" s="481"/>
      <c r="M176" s="481"/>
      <c r="N176" s="481"/>
      <c r="O176" s="481"/>
      <c r="P176" s="481"/>
      <c r="Q176" s="481"/>
      <c r="R176" s="481"/>
      <c r="S176" s="481"/>
      <c r="T176" s="481"/>
      <c r="U176" s="481"/>
      <c r="V176" s="481"/>
      <c r="W176" s="481"/>
      <c r="X176" s="481"/>
      <c r="Y176" s="481"/>
      <c r="Z176" s="481"/>
      <c r="AA176" s="481"/>
      <c r="AB176" s="481"/>
      <c r="AC176" s="481"/>
    </row>
    <row r="177" hidden="1">
      <c r="A177" s="535"/>
      <c r="B177" s="536"/>
      <c r="C177" s="536"/>
      <c r="D177" s="537"/>
      <c r="E177" s="537"/>
      <c r="F177" s="537"/>
      <c r="G177" s="536"/>
      <c r="H177" s="481"/>
      <c r="I177" s="481"/>
      <c r="J177" s="481"/>
      <c r="K177" s="481"/>
      <c r="L177" s="481"/>
      <c r="M177" s="481"/>
      <c r="N177" s="481"/>
      <c r="O177" s="481"/>
      <c r="P177" s="481"/>
      <c r="Q177" s="481"/>
      <c r="R177" s="481"/>
      <c r="S177" s="481"/>
      <c r="T177" s="481"/>
      <c r="U177" s="481"/>
      <c r="V177" s="481"/>
      <c r="W177" s="481"/>
      <c r="X177" s="481"/>
      <c r="Y177" s="481"/>
      <c r="Z177" s="481"/>
      <c r="AA177" s="481"/>
      <c r="AB177" s="481"/>
      <c r="AC177" s="481"/>
    </row>
    <row r="178" hidden="1">
      <c r="A178" s="532"/>
      <c r="B178" s="533"/>
      <c r="C178" s="533"/>
      <c r="D178" s="534"/>
      <c r="E178" s="534"/>
      <c r="F178" s="534"/>
      <c r="G178" s="533"/>
      <c r="H178" s="481"/>
      <c r="I178" s="481"/>
      <c r="J178" s="481"/>
      <c r="K178" s="481"/>
      <c r="L178" s="481"/>
      <c r="M178" s="481"/>
      <c r="N178" s="481"/>
      <c r="O178" s="481"/>
      <c r="P178" s="481"/>
      <c r="Q178" s="481"/>
      <c r="R178" s="481"/>
      <c r="S178" s="481"/>
      <c r="T178" s="481"/>
      <c r="U178" s="481"/>
      <c r="V178" s="481"/>
      <c r="W178" s="481"/>
      <c r="X178" s="481"/>
      <c r="Y178" s="481"/>
      <c r="Z178" s="481"/>
      <c r="AA178" s="481"/>
      <c r="AB178" s="481"/>
      <c r="AC178" s="481"/>
    </row>
    <row r="179" hidden="1">
      <c r="A179" s="535"/>
      <c r="B179" s="536"/>
      <c r="C179" s="536"/>
      <c r="D179" s="537"/>
      <c r="E179" s="537"/>
      <c r="F179" s="537"/>
      <c r="G179" s="536"/>
      <c r="H179" s="481"/>
      <c r="I179" s="481"/>
      <c r="J179" s="481"/>
      <c r="K179" s="481"/>
      <c r="L179" s="481"/>
      <c r="M179" s="481"/>
      <c r="N179" s="481"/>
      <c r="O179" s="481"/>
      <c r="P179" s="481"/>
      <c r="Q179" s="481"/>
      <c r="R179" s="481"/>
      <c r="S179" s="481"/>
      <c r="T179" s="481"/>
      <c r="U179" s="481"/>
      <c r="V179" s="481"/>
      <c r="W179" s="481"/>
      <c r="X179" s="481"/>
      <c r="Y179" s="481"/>
      <c r="Z179" s="481"/>
      <c r="AA179" s="481"/>
      <c r="AB179" s="481"/>
      <c r="AC179" s="481"/>
    </row>
    <row r="180" hidden="1">
      <c r="A180" s="532"/>
      <c r="B180" s="533"/>
      <c r="C180" s="533"/>
      <c r="D180" s="534"/>
      <c r="E180" s="534"/>
      <c r="F180" s="534"/>
      <c r="G180" s="533"/>
      <c r="H180" s="481"/>
      <c r="I180" s="481"/>
      <c r="J180" s="481"/>
      <c r="K180" s="481"/>
      <c r="L180" s="481"/>
      <c r="M180" s="481"/>
      <c r="N180" s="481"/>
      <c r="O180" s="481"/>
      <c r="P180" s="481"/>
      <c r="Q180" s="481"/>
      <c r="R180" s="481"/>
      <c r="S180" s="481"/>
      <c r="T180" s="481"/>
      <c r="U180" s="481"/>
      <c r="V180" s="481"/>
      <c r="W180" s="481"/>
      <c r="X180" s="481"/>
      <c r="Y180" s="481"/>
      <c r="Z180" s="481"/>
      <c r="AA180" s="481"/>
      <c r="AB180" s="481"/>
      <c r="AC180" s="481"/>
    </row>
    <row r="181" hidden="1">
      <c r="A181" s="535"/>
      <c r="B181" s="536"/>
      <c r="C181" s="536"/>
      <c r="D181" s="537"/>
      <c r="E181" s="537"/>
      <c r="F181" s="537"/>
      <c r="G181" s="536"/>
      <c r="H181" s="481"/>
      <c r="I181" s="481"/>
      <c r="J181" s="481"/>
      <c r="K181" s="481"/>
      <c r="L181" s="481"/>
      <c r="M181" s="481"/>
      <c r="N181" s="481"/>
      <c r="O181" s="481"/>
      <c r="P181" s="481"/>
      <c r="Q181" s="481"/>
      <c r="R181" s="481"/>
      <c r="S181" s="481"/>
      <c r="T181" s="481"/>
      <c r="U181" s="481"/>
      <c r="V181" s="481"/>
      <c r="W181" s="481"/>
      <c r="X181" s="481"/>
      <c r="Y181" s="481"/>
      <c r="Z181" s="481"/>
      <c r="AA181" s="481"/>
      <c r="AB181" s="481"/>
      <c r="AC181" s="481"/>
    </row>
    <row r="182" hidden="1">
      <c r="A182" s="532"/>
      <c r="B182" s="533"/>
      <c r="C182" s="533"/>
      <c r="D182" s="534"/>
      <c r="E182" s="534"/>
      <c r="F182" s="534"/>
      <c r="G182" s="533"/>
      <c r="H182" s="481"/>
      <c r="I182" s="481"/>
      <c r="J182" s="481"/>
      <c r="K182" s="481"/>
      <c r="L182" s="481"/>
      <c r="M182" s="481"/>
      <c r="N182" s="481"/>
      <c r="O182" s="481"/>
      <c r="P182" s="481"/>
      <c r="Q182" s="481"/>
      <c r="R182" s="481"/>
      <c r="S182" s="481"/>
      <c r="T182" s="481"/>
      <c r="U182" s="481"/>
      <c r="V182" s="481"/>
      <c r="W182" s="481"/>
      <c r="X182" s="481"/>
      <c r="Y182" s="481"/>
      <c r="Z182" s="481"/>
      <c r="AA182" s="481"/>
      <c r="AB182" s="481"/>
      <c r="AC182" s="481"/>
    </row>
    <row r="183" hidden="1">
      <c r="A183" s="535"/>
      <c r="B183" s="536"/>
      <c r="C183" s="536"/>
      <c r="D183" s="537"/>
      <c r="E183" s="537"/>
      <c r="F183" s="537"/>
      <c r="G183" s="536"/>
      <c r="H183" s="481"/>
      <c r="I183" s="481"/>
      <c r="J183" s="481"/>
      <c r="K183" s="481"/>
      <c r="L183" s="481"/>
      <c r="M183" s="481"/>
      <c r="N183" s="481"/>
      <c r="O183" s="481"/>
      <c r="P183" s="481"/>
      <c r="Q183" s="481"/>
      <c r="R183" s="481"/>
      <c r="S183" s="481"/>
      <c r="T183" s="481"/>
      <c r="U183" s="481"/>
      <c r="V183" s="481"/>
      <c r="W183" s="481"/>
      <c r="X183" s="481"/>
      <c r="Y183" s="481"/>
      <c r="Z183" s="481"/>
      <c r="AA183" s="481"/>
      <c r="AB183" s="481"/>
      <c r="AC183" s="481"/>
    </row>
    <row r="184" hidden="1">
      <c r="A184" s="532"/>
      <c r="B184" s="533"/>
      <c r="C184" s="533"/>
      <c r="D184" s="534"/>
      <c r="E184" s="534"/>
      <c r="F184" s="534"/>
      <c r="G184" s="533"/>
      <c r="H184" s="481"/>
      <c r="I184" s="481"/>
      <c r="J184" s="481"/>
      <c r="K184" s="481"/>
      <c r="L184" s="481"/>
      <c r="M184" s="481"/>
      <c r="N184" s="481"/>
      <c r="O184" s="481"/>
      <c r="P184" s="481"/>
      <c r="Q184" s="481"/>
      <c r="R184" s="481"/>
      <c r="S184" s="481"/>
      <c r="T184" s="481"/>
      <c r="U184" s="481"/>
      <c r="V184" s="481"/>
      <c r="W184" s="481"/>
      <c r="X184" s="481"/>
      <c r="Y184" s="481"/>
      <c r="Z184" s="481"/>
      <c r="AA184" s="481"/>
      <c r="AB184" s="481"/>
      <c r="AC184" s="481"/>
    </row>
    <row r="185" hidden="1">
      <c r="A185" s="535"/>
      <c r="B185" s="536"/>
      <c r="C185" s="536"/>
      <c r="D185" s="537"/>
      <c r="E185" s="537"/>
      <c r="F185" s="537"/>
      <c r="G185" s="536"/>
      <c r="H185" s="481"/>
      <c r="I185" s="481"/>
      <c r="J185" s="481"/>
      <c r="K185" s="481"/>
      <c r="L185" s="481"/>
      <c r="M185" s="481"/>
      <c r="N185" s="481"/>
      <c r="O185" s="481"/>
      <c r="P185" s="481"/>
      <c r="Q185" s="481"/>
      <c r="R185" s="481"/>
      <c r="S185" s="481"/>
      <c r="T185" s="481"/>
      <c r="U185" s="481"/>
      <c r="V185" s="481"/>
      <c r="W185" s="481"/>
      <c r="X185" s="481"/>
      <c r="Y185" s="481"/>
      <c r="Z185" s="481"/>
      <c r="AA185" s="481"/>
      <c r="AB185" s="481"/>
      <c r="AC185" s="481"/>
    </row>
    <row r="186" hidden="1">
      <c r="A186" s="532"/>
      <c r="B186" s="533"/>
      <c r="C186" s="533"/>
      <c r="D186" s="534"/>
      <c r="E186" s="534"/>
      <c r="F186" s="534"/>
      <c r="G186" s="533"/>
      <c r="H186" s="481"/>
      <c r="I186" s="481"/>
      <c r="J186" s="481"/>
      <c r="K186" s="481"/>
      <c r="L186" s="481"/>
      <c r="M186" s="481"/>
      <c r="N186" s="481"/>
      <c r="O186" s="481"/>
      <c r="P186" s="481"/>
      <c r="Q186" s="481"/>
      <c r="R186" s="481"/>
      <c r="S186" s="481"/>
      <c r="T186" s="481"/>
      <c r="U186" s="481"/>
      <c r="V186" s="481"/>
      <c r="W186" s="481"/>
      <c r="X186" s="481"/>
      <c r="Y186" s="481"/>
      <c r="Z186" s="481"/>
      <c r="AA186" s="481"/>
      <c r="AB186" s="481"/>
      <c r="AC186" s="481"/>
    </row>
    <row r="187" hidden="1">
      <c r="A187" s="535"/>
      <c r="B187" s="536"/>
      <c r="C187" s="536"/>
      <c r="D187" s="537"/>
      <c r="E187" s="537"/>
      <c r="F187" s="537"/>
      <c r="G187" s="536"/>
      <c r="H187" s="481"/>
      <c r="I187" s="481"/>
      <c r="J187" s="481"/>
      <c r="K187" s="481"/>
      <c r="L187" s="481"/>
      <c r="M187" s="481"/>
      <c r="N187" s="481"/>
      <c r="O187" s="481"/>
      <c r="P187" s="481"/>
      <c r="Q187" s="481"/>
      <c r="R187" s="481"/>
      <c r="S187" s="481"/>
      <c r="T187" s="481"/>
      <c r="U187" s="481"/>
      <c r="V187" s="481"/>
      <c r="W187" s="481"/>
      <c r="X187" s="481"/>
      <c r="Y187" s="481"/>
      <c r="Z187" s="481"/>
      <c r="AA187" s="481"/>
      <c r="AB187" s="481"/>
      <c r="AC187" s="481"/>
    </row>
    <row r="188" hidden="1">
      <c r="A188" s="532"/>
      <c r="B188" s="533"/>
      <c r="C188" s="533"/>
      <c r="D188" s="534"/>
      <c r="E188" s="534"/>
      <c r="F188" s="534"/>
      <c r="G188" s="533"/>
      <c r="H188" s="481"/>
      <c r="I188" s="481"/>
      <c r="J188" s="481"/>
      <c r="K188" s="481"/>
      <c r="L188" s="481"/>
      <c r="M188" s="481"/>
      <c r="N188" s="481"/>
      <c r="O188" s="481"/>
      <c r="P188" s="481"/>
      <c r="Q188" s="481"/>
      <c r="R188" s="481"/>
      <c r="S188" s="481"/>
      <c r="T188" s="481"/>
      <c r="U188" s="481"/>
      <c r="V188" s="481"/>
      <c r="W188" s="481"/>
      <c r="X188" s="481"/>
      <c r="Y188" s="481"/>
      <c r="Z188" s="481"/>
      <c r="AA188" s="481"/>
      <c r="AB188" s="481"/>
      <c r="AC188" s="481"/>
    </row>
    <row r="189" hidden="1">
      <c r="A189" s="535"/>
      <c r="B189" s="536"/>
      <c r="C189" s="536"/>
      <c r="D189" s="537"/>
      <c r="E189" s="537"/>
      <c r="F189" s="537"/>
      <c r="G189" s="536"/>
      <c r="H189" s="481"/>
      <c r="I189" s="481"/>
      <c r="J189" s="481"/>
      <c r="K189" s="481"/>
      <c r="L189" s="481"/>
      <c r="M189" s="481"/>
      <c r="N189" s="481"/>
      <c r="O189" s="481"/>
      <c r="P189" s="481"/>
      <c r="Q189" s="481"/>
      <c r="R189" s="481"/>
      <c r="S189" s="481"/>
      <c r="T189" s="481"/>
      <c r="U189" s="481"/>
      <c r="V189" s="481"/>
      <c r="W189" s="481"/>
      <c r="X189" s="481"/>
      <c r="Y189" s="481"/>
      <c r="Z189" s="481"/>
      <c r="AA189" s="481"/>
      <c r="AB189" s="481"/>
      <c r="AC189" s="481"/>
    </row>
    <row r="190" hidden="1">
      <c r="A190" s="532"/>
      <c r="B190" s="533"/>
      <c r="C190" s="533"/>
      <c r="D190" s="534"/>
      <c r="E190" s="534"/>
      <c r="F190" s="534"/>
      <c r="G190" s="533"/>
      <c r="H190" s="481"/>
      <c r="I190" s="481"/>
      <c r="J190" s="481"/>
      <c r="K190" s="481"/>
      <c r="L190" s="481"/>
      <c r="M190" s="481"/>
      <c r="N190" s="481"/>
      <c r="O190" s="481"/>
      <c r="P190" s="481"/>
      <c r="Q190" s="481"/>
      <c r="R190" s="481"/>
      <c r="S190" s="481"/>
      <c r="T190" s="481"/>
      <c r="U190" s="481"/>
      <c r="V190" s="481"/>
      <c r="W190" s="481"/>
      <c r="X190" s="481"/>
      <c r="Y190" s="481"/>
      <c r="Z190" s="481"/>
      <c r="AA190" s="481"/>
      <c r="AB190" s="481"/>
      <c r="AC190" s="481"/>
    </row>
    <row r="191" hidden="1">
      <c r="A191" s="535"/>
      <c r="B191" s="536"/>
      <c r="C191" s="536"/>
      <c r="D191" s="537"/>
      <c r="E191" s="537"/>
      <c r="F191" s="537"/>
      <c r="G191" s="536"/>
      <c r="H191" s="481"/>
      <c r="I191" s="481"/>
      <c r="J191" s="481"/>
      <c r="K191" s="481"/>
      <c r="L191" s="481"/>
      <c r="M191" s="481"/>
      <c r="N191" s="481"/>
      <c r="O191" s="481"/>
      <c r="P191" s="481"/>
      <c r="Q191" s="481"/>
      <c r="R191" s="481"/>
      <c r="S191" s="481"/>
      <c r="T191" s="481"/>
      <c r="U191" s="481"/>
      <c r="V191" s="481"/>
      <c r="W191" s="481"/>
      <c r="X191" s="481"/>
      <c r="Y191" s="481"/>
      <c r="Z191" s="481"/>
      <c r="AA191" s="481"/>
      <c r="AB191" s="481"/>
      <c r="AC191" s="481"/>
    </row>
    <row r="192" hidden="1">
      <c r="A192" s="532"/>
      <c r="B192" s="533"/>
      <c r="C192" s="533"/>
      <c r="D192" s="534"/>
      <c r="E192" s="534"/>
      <c r="F192" s="534"/>
      <c r="G192" s="533"/>
      <c r="H192" s="481"/>
      <c r="I192" s="481"/>
      <c r="J192" s="481"/>
      <c r="K192" s="481"/>
      <c r="L192" s="481"/>
      <c r="M192" s="481"/>
      <c r="N192" s="481"/>
      <c r="O192" s="481"/>
      <c r="P192" s="481"/>
      <c r="Q192" s="481"/>
      <c r="R192" s="481"/>
      <c r="S192" s="481"/>
      <c r="T192" s="481"/>
      <c r="U192" s="481"/>
      <c r="V192" s="481"/>
      <c r="W192" s="481"/>
      <c r="X192" s="481"/>
      <c r="Y192" s="481"/>
      <c r="Z192" s="481"/>
      <c r="AA192" s="481"/>
      <c r="AB192" s="481"/>
      <c r="AC192" s="481"/>
    </row>
    <row r="193" hidden="1">
      <c r="A193" s="535"/>
      <c r="B193" s="536"/>
      <c r="C193" s="536"/>
      <c r="D193" s="537"/>
      <c r="E193" s="537"/>
      <c r="F193" s="537"/>
      <c r="G193" s="536"/>
      <c r="H193" s="481"/>
      <c r="I193" s="481"/>
      <c r="J193" s="481"/>
      <c r="K193" s="481"/>
      <c r="L193" s="481"/>
      <c r="M193" s="481"/>
      <c r="N193" s="481"/>
      <c r="O193" s="481"/>
      <c r="P193" s="481"/>
      <c r="Q193" s="481"/>
      <c r="R193" s="481"/>
      <c r="S193" s="481"/>
      <c r="T193" s="481"/>
      <c r="U193" s="481"/>
      <c r="V193" s="481"/>
      <c r="W193" s="481"/>
      <c r="X193" s="481"/>
      <c r="Y193" s="481"/>
      <c r="Z193" s="481"/>
      <c r="AA193" s="481"/>
      <c r="AB193" s="481"/>
      <c r="AC193" s="481"/>
    </row>
    <row r="194" hidden="1">
      <c r="A194" s="532"/>
      <c r="B194" s="533"/>
      <c r="C194" s="533"/>
      <c r="D194" s="534"/>
      <c r="E194" s="534"/>
      <c r="F194" s="534"/>
      <c r="G194" s="533"/>
      <c r="H194" s="481"/>
      <c r="I194" s="481"/>
      <c r="J194" s="481"/>
      <c r="K194" s="481"/>
      <c r="L194" s="481"/>
      <c r="M194" s="481"/>
      <c r="N194" s="481"/>
      <c r="O194" s="481"/>
      <c r="P194" s="481"/>
      <c r="Q194" s="481"/>
      <c r="R194" s="481"/>
      <c r="S194" s="481"/>
      <c r="T194" s="481"/>
      <c r="U194" s="481"/>
      <c r="V194" s="481"/>
      <c r="W194" s="481"/>
      <c r="X194" s="481"/>
      <c r="Y194" s="481"/>
      <c r="Z194" s="481"/>
      <c r="AA194" s="481"/>
      <c r="AB194" s="481"/>
      <c r="AC194" s="481"/>
    </row>
    <row r="195" hidden="1">
      <c r="A195" s="535"/>
      <c r="B195" s="536"/>
      <c r="C195" s="536"/>
      <c r="D195" s="537"/>
      <c r="E195" s="537"/>
      <c r="F195" s="537"/>
      <c r="G195" s="536"/>
      <c r="H195" s="481"/>
      <c r="I195" s="481"/>
      <c r="J195" s="481"/>
      <c r="K195" s="481"/>
      <c r="L195" s="481"/>
      <c r="M195" s="481"/>
      <c r="N195" s="481"/>
      <c r="O195" s="481"/>
      <c r="P195" s="481"/>
      <c r="Q195" s="481"/>
      <c r="R195" s="481"/>
      <c r="S195" s="481"/>
      <c r="T195" s="481"/>
      <c r="U195" s="481"/>
      <c r="V195" s="481"/>
      <c r="W195" s="481"/>
      <c r="X195" s="481"/>
      <c r="Y195" s="481"/>
      <c r="Z195" s="481"/>
      <c r="AA195" s="481"/>
      <c r="AB195" s="481"/>
      <c r="AC195" s="481"/>
    </row>
    <row r="196" hidden="1">
      <c r="A196" s="532"/>
      <c r="B196" s="533"/>
      <c r="C196" s="533"/>
      <c r="D196" s="534"/>
      <c r="E196" s="534"/>
      <c r="F196" s="534"/>
      <c r="G196" s="533"/>
      <c r="H196" s="481"/>
      <c r="I196" s="481"/>
      <c r="J196" s="481"/>
      <c r="K196" s="481"/>
      <c r="L196" s="481"/>
      <c r="M196" s="481"/>
      <c r="N196" s="481"/>
      <c r="O196" s="481"/>
      <c r="P196" s="481"/>
      <c r="Q196" s="481"/>
      <c r="R196" s="481"/>
      <c r="S196" s="481"/>
      <c r="T196" s="481"/>
      <c r="U196" s="481"/>
      <c r="V196" s="481"/>
      <c r="W196" s="481"/>
      <c r="X196" s="481"/>
      <c r="Y196" s="481"/>
      <c r="Z196" s="481"/>
      <c r="AA196" s="481"/>
      <c r="AB196" s="481"/>
      <c r="AC196" s="481"/>
    </row>
    <row r="197" hidden="1">
      <c r="A197" s="535"/>
      <c r="B197" s="536"/>
      <c r="C197" s="536"/>
      <c r="D197" s="537"/>
      <c r="E197" s="537"/>
      <c r="F197" s="537"/>
      <c r="G197" s="536"/>
      <c r="H197" s="481"/>
      <c r="I197" s="481"/>
      <c r="J197" s="481"/>
      <c r="K197" s="481"/>
      <c r="L197" s="481"/>
      <c r="M197" s="481"/>
      <c r="N197" s="481"/>
      <c r="O197" s="481"/>
      <c r="P197" s="481"/>
      <c r="Q197" s="481"/>
      <c r="R197" s="481"/>
      <c r="S197" s="481"/>
      <c r="T197" s="481"/>
      <c r="U197" s="481"/>
      <c r="V197" s="481"/>
      <c r="W197" s="481"/>
      <c r="X197" s="481"/>
      <c r="Y197" s="481"/>
      <c r="Z197" s="481"/>
      <c r="AA197" s="481"/>
      <c r="AB197" s="481"/>
      <c r="AC197" s="481"/>
    </row>
    <row r="198" hidden="1">
      <c r="A198" s="532"/>
      <c r="B198" s="533"/>
      <c r="C198" s="533"/>
      <c r="D198" s="534"/>
      <c r="E198" s="534"/>
      <c r="F198" s="534"/>
      <c r="G198" s="533"/>
      <c r="H198" s="481"/>
      <c r="I198" s="481"/>
      <c r="J198" s="481"/>
      <c r="K198" s="481"/>
      <c r="L198" s="481"/>
      <c r="M198" s="481"/>
      <c r="N198" s="481"/>
      <c r="O198" s="481"/>
      <c r="P198" s="481"/>
      <c r="Q198" s="481"/>
      <c r="R198" s="481"/>
      <c r="S198" s="481"/>
      <c r="T198" s="481"/>
      <c r="U198" s="481"/>
      <c r="V198" s="481"/>
      <c r="W198" s="481"/>
      <c r="X198" s="481"/>
      <c r="Y198" s="481"/>
      <c r="Z198" s="481"/>
      <c r="AA198" s="481"/>
      <c r="AB198" s="481"/>
      <c r="AC198" s="481"/>
    </row>
    <row r="199" hidden="1">
      <c r="A199" s="535"/>
      <c r="B199" s="536"/>
      <c r="C199" s="536"/>
      <c r="D199" s="537"/>
      <c r="E199" s="537"/>
      <c r="F199" s="537"/>
      <c r="G199" s="536"/>
      <c r="H199" s="481"/>
      <c r="I199" s="481"/>
      <c r="J199" s="481"/>
      <c r="K199" s="481"/>
      <c r="L199" s="481"/>
      <c r="M199" s="481"/>
      <c r="N199" s="481"/>
      <c r="O199" s="481"/>
      <c r="P199" s="481"/>
      <c r="Q199" s="481"/>
      <c r="R199" s="481"/>
      <c r="S199" s="481"/>
      <c r="T199" s="481"/>
      <c r="U199" s="481"/>
      <c r="V199" s="481"/>
      <c r="W199" s="481"/>
      <c r="X199" s="481"/>
      <c r="Y199" s="481"/>
      <c r="Z199" s="481"/>
      <c r="AA199" s="481"/>
      <c r="AB199" s="481"/>
      <c r="AC199" s="481"/>
    </row>
    <row r="200" hidden="1">
      <c r="A200" s="532"/>
      <c r="B200" s="533"/>
      <c r="C200" s="533"/>
      <c r="D200" s="534"/>
      <c r="E200" s="534"/>
      <c r="F200" s="534"/>
      <c r="G200" s="533"/>
      <c r="H200" s="481"/>
      <c r="I200" s="481"/>
      <c r="J200" s="481"/>
      <c r="K200" s="481"/>
      <c r="L200" s="481"/>
      <c r="M200" s="481"/>
      <c r="N200" s="481"/>
      <c r="O200" s="481"/>
      <c r="P200" s="481"/>
      <c r="Q200" s="481"/>
      <c r="R200" s="481"/>
      <c r="S200" s="481"/>
      <c r="T200" s="481"/>
      <c r="U200" s="481"/>
      <c r="V200" s="481"/>
      <c r="W200" s="481"/>
      <c r="X200" s="481"/>
      <c r="Y200" s="481"/>
      <c r="Z200" s="481"/>
      <c r="AA200" s="481"/>
      <c r="AB200" s="481"/>
      <c r="AC200" s="481"/>
    </row>
    <row r="201" hidden="1">
      <c r="A201" s="535"/>
      <c r="B201" s="536"/>
      <c r="C201" s="536"/>
      <c r="D201" s="537"/>
      <c r="E201" s="537"/>
      <c r="F201" s="537"/>
      <c r="G201" s="536"/>
      <c r="H201" s="481"/>
      <c r="I201" s="481"/>
      <c r="J201" s="481"/>
      <c r="K201" s="481"/>
      <c r="L201" s="481"/>
      <c r="M201" s="481"/>
      <c r="N201" s="481"/>
      <c r="O201" s="481"/>
      <c r="P201" s="481"/>
      <c r="Q201" s="481"/>
      <c r="R201" s="481"/>
      <c r="S201" s="481"/>
      <c r="T201" s="481"/>
      <c r="U201" s="481"/>
      <c r="V201" s="481"/>
      <c r="W201" s="481"/>
      <c r="X201" s="481"/>
      <c r="Y201" s="481"/>
      <c r="Z201" s="481"/>
      <c r="AA201" s="481"/>
      <c r="AB201" s="481"/>
      <c r="AC201" s="481"/>
    </row>
    <row r="202" hidden="1">
      <c r="A202" s="532"/>
      <c r="B202" s="533"/>
      <c r="C202" s="533"/>
      <c r="D202" s="534"/>
      <c r="E202" s="534"/>
      <c r="F202" s="534"/>
      <c r="G202" s="533"/>
      <c r="H202" s="481"/>
      <c r="I202" s="481"/>
      <c r="J202" s="481"/>
      <c r="K202" s="481"/>
      <c r="L202" s="481"/>
      <c r="M202" s="481"/>
      <c r="N202" s="481"/>
      <c r="O202" s="481"/>
      <c r="P202" s="481"/>
      <c r="Q202" s="481"/>
      <c r="R202" s="481"/>
      <c r="S202" s="481"/>
      <c r="T202" s="481"/>
      <c r="U202" s="481"/>
      <c r="V202" s="481"/>
      <c r="W202" s="481"/>
      <c r="X202" s="481"/>
      <c r="Y202" s="481"/>
      <c r="Z202" s="481"/>
      <c r="AA202" s="481"/>
      <c r="AB202" s="481"/>
      <c r="AC202" s="481"/>
    </row>
    <row r="203" hidden="1">
      <c r="A203" s="535"/>
      <c r="B203" s="536"/>
      <c r="C203" s="536"/>
      <c r="D203" s="537"/>
      <c r="E203" s="537"/>
      <c r="F203" s="537"/>
      <c r="G203" s="536"/>
      <c r="H203" s="481"/>
      <c r="I203" s="481"/>
      <c r="J203" s="481"/>
      <c r="K203" s="481"/>
      <c r="L203" s="481"/>
      <c r="M203" s="481"/>
      <c r="N203" s="481"/>
      <c r="O203" s="481"/>
      <c r="P203" s="481"/>
      <c r="Q203" s="481"/>
      <c r="R203" s="481"/>
      <c r="S203" s="481"/>
      <c r="T203" s="481"/>
      <c r="U203" s="481"/>
      <c r="V203" s="481"/>
      <c r="W203" s="481"/>
      <c r="X203" s="481"/>
      <c r="Y203" s="481"/>
      <c r="Z203" s="481"/>
      <c r="AA203" s="481"/>
      <c r="AB203" s="481"/>
      <c r="AC203" s="481"/>
    </row>
    <row r="204" hidden="1">
      <c r="A204" s="532"/>
      <c r="B204" s="533"/>
      <c r="C204" s="533"/>
      <c r="D204" s="534"/>
      <c r="E204" s="534"/>
      <c r="F204" s="534"/>
      <c r="G204" s="533"/>
      <c r="H204" s="481"/>
      <c r="I204" s="481"/>
      <c r="J204" s="481"/>
      <c r="K204" s="481"/>
      <c r="L204" s="481"/>
      <c r="M204" s="481"/>
      <c r="N204" s="481"/>
      <c r="O204" s="481"/>
      <c r="P204" s="481"/>
      <c r="Q204" s="481"/>
      <c r="R204" s="481"/>
      <c r="S204" s="481"/>
      <c r="T204" s="481"/>
      <c r="U204" s="481"/>
      <c r="V204" s="481"/>
      <c r="W204" s="481"/>
      <c r="X204" s="481"/>
      <c r="Y204" s="481"/>
      <c r="Z204" s="481"/>
      <c r="AA204" s="481"/>
      <c r="AB204" s="481"/>
      <c r="AC204" s="481"/>
    </row>
    <row r="205" hidden="1">
      <c r="A205" s="535"/>
      <c r="B205" s="536"/>
      <c r="C205" s="536"/>
      <c r="D205" s="537"/>
      <c r="E205" s="537"/>
      <c r="F205" s="537"/>
      <c r="G205" s="536"/>
      <c r="H205" s="481"/>
      <c r="I205" s="481"/>
      <c r="J205" s="481"/>
      <c r="K205" s="481"/>
      <c r="L205" s="481"/>
      <c r="M205" s="481"/>
      <c r="N205" s="481"/>
      <c r="O205" s="481"/>
      <c r="P205" s="481"/>
      <c r="Q205" s="481"/>
      <c r="R205" s="481"/>
      <c r="S205" s="481"/>
      <c r="T205" s="481"/>
      <c r="U205" s="481"/>
      <c r="V205" s="481"/>
      <c r="W205" s="481"/>
      <c r="X205" s="481"/>
      <c r="Y205" s="481"/>
      <c r="Z205" s="481"/>
      <c r="AA205" s="481"/>
      <c r="AB205" s="481"/>
      <c r="AC205" s="481"/>
    </row>
    <row r="206" hidden="1">
      <c r="A206" s="532"/>
      <c r="B206" s="533"/>
      <c r="C206" s="533"/>
      <c r="D206" s="534"/>
      <c r="E206" s="534"/>
      <c r="F206" s="534"/>
      <c r="G206" s="533"/>
      <c r="H206" s="481"/>
      <c r="I206" s="481"/>
      <c r="J206" s="481"/>
      <c r="K206" s="481"/>
      <c r="L206" s="481"/>
      <c r="M206" s="481"/>
      <c r="N206" s="481"/>
      <c r="O206" s="481"/>
      <c r="P206" s="481"/>
      <c r="Q206" s="481"/>
      <c r="R206" s="481"/>
      <c r="S206" s="481"/>
      <c r="T206" s="481"/>
      <c r="U206" s="481"/>
      <c r="V206" s="481"/>
      <c r="W206" s="481"/>
      <c r="X206" s="481"/>
      <c r="Y206" s="481"/>
      <c r="Z206" s="481"/>
      <c r="AA206" s="481"/>
      <c r="AB206" s="481"/>
      <c r="AC206" s="481"/>
    </row>
    <row r="207" hidden="1">
      <c r="A207" s="535"/>
      <c r="B207" s="536"/>
      <c r="C207" s="536"/>
      <c r="D207" s="537"/>
      <c r="E207" s="537"/>
      <c r="F207" s="537"/>
      <c r="G207" s="536"/>
      <c r="H207" s="481"/>
      <c r="I207" s="481"/>
      <c r="J207" s="481"/>
      <c r="K207" s="481"/>
      <c r="L207" s="481"/>
      <c r="M207" s="481"/>
      <c r="N207" s="481"/>
      <c r="O207" s="481"/>
      <c r="P207" s="481"/>
      <c r="Q207" s="481"/>
      <c r="R207" s="481"/>
      <c r="S207" s="481"/>
      <c r="T207" s="481"/>
      <c r="U207" s="481"/>
      <c r="V207" s="481"/>
      <c r="W207" s="481"/>
      <c r="X207" s="481"/>
      <c r="Y207" s="481"/>
      <c r="Z207" s="481"/>
      <c r="AA207" s="481"/>
      <c r="AB207" s="481"/>
      <c r="AC207" s="481"/>
    </row>
    <row r="208" hidden="1">
      <c r="A208" s="532"/>
      <c r="B208" s="533"/>
      <c r="C208" s="533"/>
      <c r="D208" s="534"/>
      <c r="E208" s="534"/>
      <c r="F208" s="534"/>
      <c r="G208" s="533"/>
      <c r="H208" s="481"/>
      <c r="I208" s="481"/>
      <c r="J208" s="481"/>
      <c r="K208" s="481"/>
      <c r="L208" s="481"/>
      <c r="M208" s="481"/>
      <c r="N208" s="481"/>
      <c r="O208" s="481"/>
      <c r="P208" s="481"/>
      <c r="Q208" s="481"/>
      <c r="R208" s="481"/>
      <c r="S208" s="481"/>
      <c r="T208" s="481"/>
      <c r="U208" s="481"/>
      <c r="V208" s="481"/>
      <c r="W208" s="481"/>
      <c r="X208" s="481"/>
      <c r="Y208" s="481"/>
      <c r="Z208" s="481"/>
      <c r="AA208" s="481"/>
      <c r="AB208" s="481"/>
      <c r="AC208" s="481"/>
    </row>
    <row r="209" hidden="1">
      <c r="A209" s="535"/>
      <c r="B209" s="536"/>
      <c r="C209" s="536"/>
      <c r="D209" s="537"/>
      <c r="E209" s="537"/>
      <c r="F209" s="537"/>
      <c r="G209" s="536"/>
      <c r="H209" s="481"/>
      <c r="I209" s="481"/>
      <c r="J209" s="481"/>
      <c r="K209" s="481"/>
      <c r="L209" s="481"/>
      <c r="M209" s="481"/>
      <c r="N209" s="481"/>
      <c r="O209" s="481"/>
      <c r="P209" s="481"/>
      <c r="Q209" s="481"/>
      <c r="R209" s="481"/>
      <c r="S209" s="481"/>
      <c r="T209" s="481"/>
      <c r="U209" s="481"/>
      <c r="V209" s="481"/>
      <c r="W209" s="481"/>
      <c r="X209" s="481"/>
      <c r="Y209" s="481"/>
      <c r="Z209" s="481"/>
      <c r="AA209" s="481"/>
      <c r="AB209" s="481"/>
      <c r="AC209" s="481"/>
    </row>
    <row r="210" hidden="1">
      <c r="A210" s="532"/>
      <c r="B210" s="533"/>
      <c r="C210" s="533"/>
      <c r="D210" s="534"/>
      <c r="E210" s="534"/>
      <c r="F210" s="534"/>
      <c r="G210" s="533"/>
      <c r="H210" s="481"/>
      <c r="I210" s="481"/>
      <c r="J210" s="481"/>
      <c r="K210" s="481"/>
      <c r="L210" s="481"/>
      <c r="M210" s="481"/>
      <c r="N210" s="481"/>
      <c r="O210" s="481"/>
      <c r="P210" s="481"/>
      <c r="Q210" s="481"/>
      <c r="R210" s="481"/>
      <c r="S210" s="481"/>
      <c r="T210" s="481"/>
      <c r="U210" s="481"/>
      <c r="V210" s="481"/>
      <c r="W210" s="481"/>
      <c r="X210" s="481"/>
      <c r="Y210" s="481"/>
      <c r="Z210" s="481"/>
      <c r="AA210" s="481"/>
      <c r="AB210" s="481"/>
      <c r="AC210" s="481"/>
    </row>
    <row r="211" hidden="1">
      <c r="A211" s="535"/>
      <c r="B211" s="536"/>
      <c r="C211" s="536"/>
      <c r="D211" s="537"/>
      <c r="E211" s="537"/>
      <c r="F211" s="537"/>
      <c r="G211" s="536"/>
      <c r="H211" s="481"/>
      <c r="I211" s="481"/>
      <c r="J211" s="481"/>
      <c r="K211" s="481"/>
      <c r="L211" s="481"/>
      <c r="M211" s="481"/>
      <c r="N211" s="481"/>
      <c r="O211" s="481"/>
      <c r="P211" s="481"/>
      <c r="Q211" s="481"/>
      <c r="R211" s="481"/>
      <c r="S211" s="481"/>
      <c r="T211" s="481"/>
      <c r="U211" s="481"/>
      <c r="V211" s="481"/>
      <c r="W211" s="481"/>
      <c r="X211" s="481"/>
      <c r="Y211" s="481"/>
      <c r="Z211" s="481"/>
      <c r="AA211" s="481"/>
      <c r="AB211" s="481"/>
      <c r="AC211" s="481"/>
    </row>
    <row r="212" hidden="1">
      <c r="A212" s="532"/>
      <c r="B212" s="533"/>
      <c r="C212" s="533"/>
      <c r="D212" s="534"/>
      <c r="E212" s="534"/>
      <c r="F212" s="534"/>
      <c r="G212" s="533"/>
      <c r="H212" s="481"/>
      <c r="I212" s="481"/>
      <c r="J212" s="481"/>
      <c r="K212" s="481"/>
      <c r="L212" s="481"/>
      <c r="M212" s="481"/>
      <c r="N212" s="481"/>
      <c r="O212" s="481"/>
      <c r="P212" s="481"/>
      <c r="Q212" s="481"/>
      <c r="R212" s="481"/>
      <c r="S212" s="481"/>
      <c r="T212" s="481"/>
      <c r="U212" s="481"/>
      <c r="V212" s="481"/>
      <c r="W212" s="481"/>
      <c r="X212" s="481"/>
      <c r="Y212" s="481"/>
      <c r="Z212" s="481"/>
      <c r="AA212" s="481"/>
      <c r="AB212" s="481"/>
      <c r="AC212" s="481"/>
    </row>
    <row r="213" hidden="1">
      <c r="A213" s="535"/>
      <c r="B213" s="536"/>
      <c r="C213" s="536"/>
      <c r="D213" s="537"/>
      <c r="E213" s="537"/>
      <c r="F213" s="537"/>
      <c r="G213" s="536"/>
      <c r="H213" s="481"/>
      <c r="I213" s="481"/>
      <c r="J213" s="481"/>
      <c r="K213" s="481"/>
      <c r="L213" s="481"/>
      <c r="M213" s="481"/>
      <c r="N213" s="481"/>
      <c r="O213" s="481"/>
      <c r="P213" s="481"/>
      <c r="Q213" s="481"/>
      <c r="R213" s="481"/>
      <c r="S213" s="481"/>
      <c r="T213" s="481"/>
      <c r="U213" s="481"/>
      <c r="V213" s="481"/>
      <c r="W213" s="481"/>
      <c r="X213" s="481"/>
      <c r="Y213" s="481"/>
      <c r="Z213" s="481"/>
      <c r="AA213" s="481"/>
      <c r="AB213" s="481"/>
      <c r="AC213" s="481"/>
    </row>
    <row r="214" hidden="1">
      <c r="A214" s="532"/>
      <c r="B214" s="533"/>
      <c r="C214" s="533"/>
      <c r="D214" s="534"/>
      <c r="E214" s="534"/>
      <c r="F214" s="534"/>
      <c r="G214" s="533"/>
      <c r="H214" s="481"/>
      <c r="I214" s="481"/>
      <c r="J214" s="481"/>
      <c r="K214" s="481"/>
      <c r="L214" s="481"/>
      <c r="M214" s="481"/>
      <c r="N214" s="481"/>
      <c r="O214" s="481"/>
      <c r="P214" s="481"/>
      <c r="Q214" s="481"/>
      <c r="R214" s="481"/>
      <c r="S214" s="481"/>
      <c r="T214" s="481"/>
      <c r="U214" s="481"/>
      <c r="V214" s="481"/>
      <c r="W214" s="481"/>
      <c r="X214" s="481"/>
      <c r="Y214" s="481"/>
      <c r="Z214" s="481"/>
      <c r="AA214" s="481"/>
      <c r="AB214" s="481"/>
      <c r="AC214" s="481"/>
    </row>
    <row r="215" hidden="1">
      <c r="A215" s="535"/>
      <c r="B215" s="536"/>
      <c r="C215" s="536"/>
      <c r="D215" s="537"/>
      <c r="E215" s="537"/>
      <c r="F215" s="537"/>
      <c r="G215" s="536"/>
      <c r="H215" s="481"/>
      <c r="I215" s="481"/>
      <c r="J215" s="481"/>
      <c r="K215" s="481"/>
      <c r="L215" s="481"/>
      <c r="M215" s="481"/>
      <c r="N215" s="481"/>
      <c r="O215" s="481"/>
      <c r="P215" s="481"/>
      <c r="Q215" s="481"/>
      <c r="R215" s="481"/>
      <c r="S215" s="481"/>
      <c r="T215" s="481"/>
      <c r="U215" s="481"/>
      <c r="V215" s="481"/>
      <c r="W215" s="481"/>
      <c r="X215" s="481"/>
      <c r="Y215" s="481"/>
      <c r="Z215" s="481"/>
      <c r="AA215" s="481"/>
      <c r="AB215" s="481"/>
      <c r="AC215" s="481"/>
    </row>
    <row r="216" hidden="1">
      <c r="A216" s="532"/>
      <c r="B216" s="533"/>
      <c r="C216" s="533"/>
      <c r="D216" s="534"/>
      <c r="E216" s="534"/>
      <c r="F216" s="534"/>
      <c r="G216" s="533"/>
      <c r="H216" s="481"/>
      <c r="I216" s="481"/>
      <c r="J216" s="481"/>
      <c r="K216" s="481"/>
      <c r="L216" s="481"/>
      <c r="M216" s="481"/>
      <c r="N216" s="481"/>
      <c r="O216" s="481"/>
      <c r="P216" s="481"/>
      <c r="Q216" s="481"/>
      <c r="R216" s="481"/>
      <c r="S216" s="481"/>
      <c r="T216" s="481"/>
      <c r="U216" s="481"/>
      <c r="V216" s="481"/>
      <c r="W216" s="481"/>
      <c r="X216" s="481"/>
      <c r="Y216" s="481"/>
      <c r="Z216" s="481"/>
      <c r="AA216" s="481"/>
      <c r="AB216" s="481"/>
      <c r="AC216" s="481"/>
    </row>
    <row r="217" hidden="1">
      <c r="A217" s="535"/>
      <c r="B217" s="536"/>
      <c r="C217" s="536"/>
      <c r="D217" s="537"/>
      <c r="E217" s="537"/>
      <c r="F217" s="537"/>
      <c r="G217" s="536"/>
      <c r="H217" s="481"/>
      <c r="I217" s="481"/>
      <c r="J217" s="481"/>
      <c r="K217" s="481"/>
      <c r="L217" s="481"/>
      <c r="M217" s="481"/>
      <c r="N217" s="481"/>
      <c r="O217" s="481"/>
      <c r="P217" s="481"/>
      <c r="Q217" s="481"/>
      <c r="R217" s="481"/>
      <c r="S217" s="481"/>
      <c r="T217" s="481"/>
      <c r="U217" s="481"/>
      <c r="V217" s="481"/>
      <c r="W217" s="481"/>
      <c r="X217" s="481"/>
      <c r="Y217" s="481"/>
      <c r="Z217" s="481"/>
      <c r="AA217" s="481"/>
      <c r="AB217" s="481"/>
      <c r="AC217" s="481"/>
    </row>
    <row r="218" hidden="1">
      <c r="A218" s="532"/>
      <c r="B218" s="533"/>
      <c r="C218" s="533"/>
      <c r="D218" s="534"/>
      <c r="E218" s="534"/>
      <c r="F218" s="534"/>
      <c r="G218" s="533"/>
      <c r="H218" s="481"/>
      <c r="I218" s="481"/>
      <c r="J218" s="481"/>
      <c r="K218" s="481"/>
      <c r="L218" s="481"/>
      <c r="M218" s="481"/>
      <c r="N218" s="481"/>
      <c r="O218" s="481"/>
      <c r="P218" s="481"/>
      <c r="Q218" s="481"/>
      <c r="R218" s="481"/>
      <c r="S218" s="481"/>
      <c r="T218" s="481"/>
      <c r="U218" s="481"/>
      <c r="V218" s="481"/>
      <c r="W218" s="481"/>
      <c r="X218" s="481"/>
      <c r="Y218" s="481"/>
      <c r="Z218" s="481"/>
      <c r="AA218" s="481"/>
      <c r="AB218" s="481"/>
      <c r="AC218" s="481"/>
    </row>
    <row r="219" hidden="1">
      <c r="A219" s="535"/>
      <c r="B219" s="536"/>
      <c r="C219" s="536"/>
      <c r="D219" s="537"/>
      <c r="E219" s="537"/>
      <c r="F219" s="537"/>
      <c r="G219" s="536"/>
      <c r="H219" s="481"/>
      <c r="I219" s="481"/>
      <c r="J219" s="481"/>
      <c r="K219" s="481"/>
      <c r="L219" s="481"/>
      <c r="M219" s="481"/>
      <c r="N219" s="481"/>
      <c r="O219" s="481"/>
      <c r="P219" s="481"/>
      <c r="Q219" s="481"/>
      <c r="R219" s="481"/>
      <c r="S219" s="481"/>
      <c r="T219" s="481"/>
      <c r="U219" s="481"/>
      <c r="V219" s="481"/>
      <c r="W219" s="481"/>
      <c r="X219" s="481"/>
      <c r="Y219" s="481"/>
      <c r="Z219" s="481"/>
      <c r="AA219" s="481"/>
      <c r="AB219" s="481"/>
      <c r="AC219" s="481"/>
    </row>
    <row r="220" hidden="1">
      <c r="A220" s="532"/>
      <c r="B220" s="533"/>
      <c r="C220" s="533"/>
      <c r="D220" s="534"/>
      <c r="E220" s="534"/>
      <c r="F220" s="534"/>
      <c r="G220" s="533"/>
      <c r="H220" s="481"/>
      <c r="I220" s="481"/>
      <c r="J220" s="481"/>
      <c r="K220" s="481"/>
      <c r="L220" s="481"/>
      <c r="M220" s="481"/>
      <c r="N220" s="481"/>
      <c r="O220" s="481"/>
      <c r="P220" s="481"/>
      <c r="Q220" s="481"/>
      <c r="R220" s="481"/>
      <c r="S220" s="481"/>
      <c r="T220" s="481"/>
      <c r="U220" s="481"/>
      <c r="V220" s="481"/>
      <c r="W220" s="481"/>
      <c r="X220" s="481"/>
      <c r="Y220" s="481"/>
      <c r="Z220" s="481"/>
      <c r="AA220" s="481"/>
      <c r="AB220" s="481"/>
      <c r="AC220" s="481"/>
    </row>
    <row r="221" hidden="1">
      <c r="A221" s="535"/>
      <c r="B221" s="536"/>
      <c r="C221" s="536"/>
      <c r="D221" s="537"/>
      <c r="E221" s="537"/>
      <c r="F221" s="537"/>
      <c r="G221" s="536"/>
      <c r="H221" s="481"/>
      <c r="I221" s="481"/>
      <c r="J221" s="481"/>
      <c r="K221" s="481"/>
      <c r="L221" s="481"/>
      <c r="M221" s="481"/>
      <c r="N221" s="481"/>
      <c r="O221" s="481"/>
      <c r="P221" s="481"/>
      <c r="Q221" s="481"/>
      <c r="R221" s="481"/>
      <c r="S221" s="481"/>
      <c r="T221" s="481"/>
      <c r="U221" s="481"/>
      <c r="V221" s="481"/>
      <c r="W221" s="481"/>
      <c r="X221" s="481"/>
      <c r="Y221" s="481"/>
      <c r="Z221" s="481"/>
      <c r="AA221" s="481"/>
      <c r="AB221" s="481"/>
      <c r="AC221" s="481"/>
    </row>
    <row r="222" hidden="1">
      <c r="A222" s="532"/>
      <c r="B222" s="533"/>
      <c r="C222" s="533"/>
      <c r="D222" s="534"/>
      <c r="E222" s="534"/>
      <c r="F222" s="534"/>
      <c r="G222" s="533"/>
      <c r="H222" s="481"/>
      <c r="I222" s="481"/>
      <c r="J222" s="481"/>
      <c r="K222" s="481"/>
      <c r="L222" s="481"/>
      <c r="M222" s="481"/>
      <c r="N222" s="481"/>
      <c r="O222" s="481"/>
      <c r="P222" s="481"/>
      <c r="Q222" s="481"/>
      <c r="R222" s="481"/>
      <c r="S222" s="481"/>
      <c r="T222" s="481"/>
      <c r="U222" s="481"/>
      <c r="V222" s="481"/>
      <c r="W222" s="481"/>
      <c r="X222" s="481"/>
      <c r="Y222" s="481"/>
      <c r="Z222" s="481"/>
      <c r="AA222" s="481"/>
      <c r="AB222" s="481"/>
      <c r="AC222" s="481"/>
    </row>
    <row r="223" hidden="1">
      <c r="A223" s="535"/>
      <c r="B223" s="536"/>
      <c r="C223" s="536"/>
      <c r="D223" s="537"/>
      <c r="E223" s="537"/>
      <c r="F223" s="537"/>
      <c r="G223" s="536"/>
      <c r="H223" s="481"/>
      <c r="I223" s="481"/>
      <c r="J223" s="481"/>
      <c r="K223" s="481"/>
      <c r="L223" s="481"/>
      <c r="M223" s="481"/>
      <c r="N223" s="481"/>
      <c r="O223" s="481"/>
      <c r="P223" s="481"/>
      <c r="Q223" s="481"/>
      <c r="R223" s="481"/>
      <c r="S223" s="481"/>
      <c r="T223" s="481"/>
      <c r="U223" s="481"/>
      <c r="V223" s="481"/>
      <c r="W223" s="481"/>
      <c r="X223" s="481"/>
      <c r="Y223" s="481"/>
      <c r="Z223" s="481"/>
      <c r="AA223" s="481"/>
      <c r="AB223" s="481"/>
      <c r="AC223" s="481"/>
    </row>
    <row r="224" hidden="1">
      <c r="A224" s="532"/>
      <c r="B224" s="533"/>
      <c r="C224" s="533"/>
      <c r="D224" s="534"/>
      <c r="E224" s="534"/>
      <c r="F224" s="534"/>
      <c r="G224" s="533"/>
      <c r="H224" s="481"/>
      <c r="I224" s="481"/>
      <c r="J224" s="481"/>
      <c r="K224" s="481"/>
      <c r="L224" s="481"/>
      <c r="M224" s="481"/>
      <c r="N224" s="481"/>
      <c r="O224" s="481"/>
      <c r="P224" s="481"/>
      <c r="Q224" s="481"/>
      <c r="R224" s="481"/>
      <c r="S224" s="481"/>
      <c r="T224" s="481"/>
      <c r="U224" s="481"/>
      <c r="V224" s="481"/>
      <c r="W224" s="481"/>
      <c r="X224" s="481"/>
      <c r="Y224" s="481"/>
      <c r="Z224" s="481"/>
      <c r="AA224" s="481"/>
      <c r="AB224" s="481"/>
      <c r="AC224" s="481"/>
    </row>
    <row r="225" hidden="1">
      <c r="A225" s="535"/>
      <c r="B225" s="536"/>
      <c r="C225" s="536"/>
      <c r="D225" s="537"/>
      <c r="E225" s="537"/>
      <c r="F225" s="537"/>
      <c r="G225" s="536"/>
      <c r="H225" s="481"/>
      <c r="I225" s="481"/>
      <c r="J225" s="481"/>
      <c r="K225" s="481"/>
      <c r="L225" s="481"/>
      <c r="M225" s="481"/>
      <c r="N225" s="481"/>
      <c r="O225" s="481"/>
      <c r="P225" s="481"/>
      <c r="Q225" s="481"/>
      <c r="R225" s="481"/>
      <c r="S225" s="481"/>
      <c r="T225" s="481"/>
      <c r="U225" s="481"/>
      <c r="V225" s="481"/>
      <c r="W225" s="481"/>
      <c r="X225" s="481"/>
      <c r="Y225" s="481"/>
      <c r="Z225" s="481"/>
      <c r="AA225" s="481"/>
      <c r="AB225" s="481"/>
      <c r="AC225" s="481"/>
    </row>
    <row r="226" hidden="1">
      <c r="A226" s="532"/>
      <c r="B226" s="533"/>
      <c r="C226" s="533"/>
      <c r="D226" s="534"/>
      <c r="E226" s="534"/>
      <c r="F226" s="534"/>
      <c r="G226" s="533"/>
      <c r="H226" s="481"/>
      <c r="I226" s="481"/>
      <c r="J226" s="481"/>
      <c r="K226" s="481"/>
      <c r="L226" s="481"/>
      <c r="M226" s="481"/>
      <c r="N226" s="481"/>
      <c r="O226" s="481"/>
      <c r="P226" s="481"/>
      <c r="Q226" s="481"/>
      <c r="R226" s="481"/>
      <c r="S226" s="481"/>
      <c r="T226" s="481"/>
      <c r="U226" s="481"/>
      <c r="V226" s="481"/>
      <c r="W226" s="481"/>
      <c r="X226" s="481"/>
      <c r="Y226" s="481"/>
      <c r="Z226" s="481"/>
      <c r="AA226" s="481"/>
      <c r="AB226" s="481"/>
      <c r="AC226" s="481"/>
    </row>
    <row r="227" hidden="1">
      <c r="A227" s="535"/>
      <c r="B227" s="536"/>
      <c r="C227" s="536"/>
      <c r="D227" s="537"/>
      <c r="E227" s="537"/>
      <c r="F227" s="537"/>
      <c r="G227" s="536"/>
      <c r="H227" s="481"/>
      <c r="I227" s="481"/>
      <c r="J227" s="481"/>
      <c r="K227" s="481"/>
      <c r="L227" s="481"/>
      <c r="M227" s="481"/>
      <c r="N227" s="481"/>
      <c r="O227" s="481"/>
      <c r="P227" s="481"/>
      <c r="Q227" s="481"/>
      <c r="R227" s="481"/>
      <c r="S227" s="481"/>
      <c r="T227" s="481"/>
      <c r="U227" s="481"/>
      <c r="V227" s="481"/>
      <c r="W227" s="481"/>
      <c r="X227" s="481"/>
      <c r="Y227" s="481"/>
      <c r="Z227" s="481"/>
      <c r="AA227" s="481"/>
      <c r="AB227" s="481"/>
      <c r="AC227" s="481"/>
    </row>
    <row r="228" hidden="1">
      <c r="A228" s="532"/>
      <c r="B228" s="533"/>
      <c r="C228" s="533"/>
      <c r="D228" s="534"/>
      <c r="E228" s="534"/>
      <c r="F228" s="534"/>
      <c r="G228" s="533"/>
      <c r="H228" s="481"/>
      <c r="I228" s="481"/>
      <c r="J228" s="481"/>
      <c r="K228" s="481"/>
      <c r="L228" s="481"/>
      <c r="M228" s="481"/>
      <c r="N228" s="481"/>
      <c r="O228" s="481"/>
      <c r="P228" s="481"/>
      <c r="Q228" s="481"/>
      <c r="R228" s="481"/>
      <c r="S228" s="481"/>
      <c r="T228" s="481"/>
      <c r="U228" s="481"/>
      <c r="V228" s="481"/>
      <c r="W228" s="481"/>
      <c r="X228" s="481"/>
      <c r="Y228" s="481"/>
      <c r="Z228" s="481"/>
      <c r="AA228" s="481"/>
      <c r="AB228" s="481"/>
      <c r="AC228" s="481"/>
    </row>
    <row r="229" hidden="1">
      <c r="A229" s="535"/>
      <c r="B229" s="536"/>
      <c r="C229" s="536"/>
      <c r="D229" s="537"/>
      <c r="E229" s="537"/>
      <c r="F229" s="537"/>
      <c r="G229" s="536"/>
      <c r="H229" s="481"/>
      <c r="I229" s="481"/>
      <c r="J229" s="481"/>
      <c r="K229" s="481"/>
      <c r="L229" s="481"/>
      <c r="M229" s="481"/>
      <c r="N229" s="481"/>
      <c r="O229" s="481"/>
      <c r="P229" s="481"/>
      <c r="Q229" s="481"/>
      <c r="R229" s="481"/>
      <c r="S229" s="481"/>
      <c r="T229" s="481"/>
      <c r="U229" s="481"/>
      <c r="V229" s="481"/>
      <c r="W229" s="481"/>
      <c r="X229" s="481"/>
      <c r="Y229" s="481"/>
      <c r="Z229" s="481"/>
      <c r="AA229" s="481"/>
      <c r="AB229" s="481"/>
      <c r="AC229" s="481"/>
    </row>
    <row r="230" hidden="1">
      <c r="A230" s="532"/>
      <c r="B230" s="533"/>
      <c r="C230" s="533"/>
      <c r="D230" s="534"/>
      <c r="E230" s="534"/>
      <c r="F230" s="534"/>
      <c r="G230" s="533"/>
      <c r="H230" s="481"/>
      <c r="I230" s="481"/>
      <c r="J230" s="481"/>
      <c r="K230" s="481"/>
      <c r="L230" s="481"/>
      <c r="M230" s="481"/>
      <c r="N230" s="481"/>
      <c r="O230" s="481"/>
      <c r="P230" s="481"/>
      <c r="Q230" s="481"/>
      <c r="R230" s="481"/>
      <c r="S230" s="481"/>
      <c r="T230" s="481"/>
      <c r="U230" s="481"/>
      <c r="V230" s="481"/>
      <c r="W230" s="481"/>
      <c r="X230" s="481"/>
      <c r="Y230" s="481"/>
      <c r="Z230" s="481"/>
      <c r="AA230" s="481"/>
      <c r="AB230" s="481"/>
      <c r="AC230" s="481"/>
    </row>
    <row r="231" hidden="1">
      <c r="A231" s="535"/>
      <c r="B231" s="536"/>
      <c r="C231" s="536"/>
      <c r="D231" s="537"/>
      <c r="E231" s="537"/>
      <c r="F231" s="537"/>
      <c r="G231" s="536"/>
      <c r="H231" s="481"/>
      <c r="I231" s="481"/>
      <c r="J231" s="481"/>
      <c r="K231" s="481"/>
      <c r="L231" s="481"/>
      <c r="M231" s="481"/>
      <c r="N231" s="481"/>
      <c r="O231" s="481"/>
      <c r="P231" s="481"/>
      <c r="Q231" s="481"/>
      <c r="R231" s="481"/>
      <c r="S231" s="481"/>
      <c r="T231" s="481"/>
      <c r="U231" s="481"/>
      <c r="V231" s="481"/>
      <c r="W231" s="481"/>
      <c r="X231" s="481"/>
      <c r="Y231" s="481"/>
      <c r="Z231" s="481"/>
      <c r="AA231" s="481"/>
      <c r="AB231" s="481"/>
      <c r="AC231" s="481"/>
    </row>
    <row r="232" hidden="1">
      <c r="A232" s="532"/>
      <c r="B232" s="533"/>
      <c r="C232" s="533"/>
      <c r="D232" s="534"/>
      <c r="E232" s="534"/>
      <c r="F232" s="534"/>
      <c r="G232" s="533"/>
      <c r="H232" s="481"/>
      <c r="I232" s="481"/>
      <c r="J232" s="481"/>
      <c r="K232" s="481"/>
      <c r="L232" s="481"/>
      <c r="M232" s="481"/>
      <c r="N232" s="481"/>
      <c r="O232" s="481"/>
      <c r="P232" s="481"/>
      <c r="Q232" s="481"/>
      <c r="R232" s="481"/>
      <c r="S232" s="481"/>
      <c r="T232" s="481"/>
      <c r="U232" s="481"/>
      <c r="V232" s="481"/>
      <c r="W232" s="481"/>
      <c r="X232" s="481"/>
      <c r="Y232" s="481"/>
      <c r="Z232" s="481"/>
      <c r="AA232" s="481"/>
      <c r="AB232" s="481"/>
      <c r="AC232" s="481"/>
    </row>
    <row r="233" hidden="1">
      <c r="A233" s="535"/>
      <c r="B233" s="536"/>
      <c r="C233" s="536"/>
      <c r="D233" s="537"/>
      <c r="E233" s="537"/>
      <c r="F233" s="537"/>
      <c r="G233" s="536"/>
      <c r="H233" s="481"/>
      <c r="I233" s="481"/>
      <c r="J233" s="481"/>
      <c r="K233" s="481"/>
      <c r="L233" s="481"/>
      <c r="M233" s="481"/>
      <c r="N233" s="481"/>
      <c r="O233" s="481"/>
      <c r="P233" s="481"/>
      <c r="Q233" s="481"/>
      <c r="R233" s="481"/>
      <c r="S233" s="481"/>
      <c r="T233" s="481"/>
      <c r="U233" s="481"/>
      <c r="V233" s="481"/>
      <c r="W233" s="481"/>
      <c r="X233" s="481"/>
      <c r="Y233" s="481"/>
      <c r="Z233" s="481"/>
      <c r="AA233" s="481"/>
      <c r="AB233" s="481"/>
      <c r="AC233" s="481"/>
    </row>
    <row r="234" hidden="1">
      <c r="A234" s="532"/>
      <c r="B234" s="533"/>
      <c r="C234" s="533"/>
      <c r="D234" s="534"/>
      <c r="E234" s="534"/>
      <c r="F234" s="534"/>
      <c r="G234" s="533"/>
      <c r="H234" s="481"/>
      <c r="I234" s="481"/>
      <c r="J234" s="481"/>
      <c r="K234" s="481"/>
      <c r="L234" s="481"/>
      <c r="M234" s="481"/>
      <c r="N234" s="481"/>
      <c r="O234" s="481"/>
      <c r="P234" s="481"/>
      <c r="Q234" s="481"/>
      <c r="R234" s="481"/>
      <c r="S234" s="481"/>
      <c r="T234" s="481"/>
      <c r="U234" s="481"/>
      <c r="V234" s="481"/>
      <c r="W234" s="481"/>
      <c r="X234" s="481"/>
      <c r="Y234" s="481"/>
      <c r="Z234" s="481"/>
      <c r="AA234" s="481"/>
      <c r="AB234" s="481"/>
      <c r="AC234" s="481"/>
    </row>
    <row r="235" hidden="1">
      <c r="A235" s="535"/>
      <c r="B235" s="536"/>
      <c r="C235" s="536"/>
      <c r="D235" s="537"/>
      <c r="E235" s="537"/>
      <c r="F235" s="537"/>
      <c r="G235" s="536"/>
      <c r="H235" s="481"/>
      <c r="I235" s="481"/>
      <c r="J235" s="481"/>
      <c r="K235" s="481"/>
      <c r="L235" s="481"/>
      <c r="M235" s="481"/>
      <c r="N235" s="481"/>
      <c r="O235" s="481"/>
      <c r="P235" s="481"/>
      <c r="Q235" s="481"/>
      <c r="R235" s="481"/>
      <c r="S235" s="481"/>
      <c r="T235" s="481"/>
      <c r="U235" s="481"/>
      <c r="V235" s="481"/>
      <c r="W235" s="481"/>
      <c r="X235" s="481"/>
      <c r="Y235" s="481"/>
      <c r="Z235" s="481"/>
      <c r="AA235" s="481"/>
      <c r="AB235" s="481"/>
      <c r="AC235" s="481"/>
    </row>
    <row r="236" hidden="1">
      <c r="A236" s="532"/>
      <c r="B236" s="533"/>
      <c r="C236" s="533"/>
      <c r="D236" s="534"/>
      <c r="E236" s="534"/>
      <c r="F236" s="534"/>
      <c r="G236" s="533"/>
      <c r="H236" s="481"/>
      <c r="I236" s="481"/>
      <c r="J236" s="481"/>
      <c r="K236" s="481"/>
      <c r="L236" s="481"/>
      <c r="M236" s="481"/>
      <c r="N236" s="481"/>
      <c r="O236" s="481"/>
      <c r="P236" s="481"/>
      <c r="Q236" s="481"/>
      <c r="R236" s="481"/>
      <c r="S236" s="481"/>
      <c r="T236" s="481"/>
      <c r="U236" s="481"/>
      <c r="V236" s="481"/>
      <c r="W236" s="481"/>
      <c r="X236" s="481"/>
      <c r="Y236" s="481"/>
      <c r="Z236" s="481"/>
      <c r="AA236" s="481"/>
      <c r="AB236" s="481"/>
      <c r="AC236" s="481"/>
    </row>
    <row r="237" hidden="1">
      <c r="A237" s="535"/>
      <c r="B237" s="536"/>
      <c r="C237" s="536"/>
      <c r="D237" s="537"/>
      <c r="E237" s="537"/>
      <c r="F237" s="537"/>
      <c r="G237" s="536"/>
      <c r="H237" s="481"/>
      <c r="I237" s="481"/>
      <c r="J237" s="481"/>
      <c r="K237" s="481"/>
      <c r="L237" s="481"/>
      <c r="M237" s="481"/>
      <c r="N237" s="481"/>
      <c r="O237" s="481"/>
      <c r="P237" s="481"/>
      <c r="Q237" s="481"/>
      <c r="R237" s="481"/>
      <c r="S237" s="481"/>
      <c r="T237" s="481"/>
      <c r="U237" s="481"/>
      <c r="V237" s="481"/>
      <c r="W237" s="481"/>
      <c r="X237" s="481"/>
      <c r="Y237" s="481"/>
      <c r="Z237" s="481"/>
      <c r="AA237" s="481"/>
      <c r="AB237" s="481"/>
      <c r="AC237" s="481"/>
    </row>
    <row r="238" hidden="1">
      <c r="A238" s="532"/>
      <c r="B238" s="533"/>
      <c r="C238" s="533"/>
      <c r="D238" s="534"/>
      <c r="E238" s="534"/>
      <c r="F238" s="534"/>
      <c r="G238" s="533"/>
      <c r="H238" s="481"/>
      <c r="I238" s="481"/>
      <c r="J238" s="481"/>
      <c r="K238" s="481"/>
      <c r="L238" s="481"/>
      <c r="M238" s="481"/>
      <c r="N238" s="481"/>
      <c r="O238" s="481"/>
      <c r="P238" s="481"/>
      <c r="Q238" s="481"/>
      <c r="R238" s="481"/>
      <c r="S238" s="481"/>
      <c r="T238" s="481"/>
      <c r="U238" s="481"/>
      <c r="V238" s="481"/>
      <c r="W238" s="481"/>
      <c r="X238" s="481"/>
      <c r="Y238" s="481"/>
      <c r="Z238" s="481"/>
      <c r="AA238" s="481"/>
      <c r="AB238" s="481"/>
      <c r="AC238" s="481"/>
    </row>
    <row r="239" hidden="1">
      <c r="A239" s="535"/>
      <c r="B239" s="536"/>
      <c r="C239" s="536"/>
      <c r="D239" s="537"/>
      <c r="E239" s="537"/>
      <c r="F239" s="537"/>
      <c r="G239" s="536"/>
      <c r="H239" s="481"/>
      <c r="I239" s="481"/>
      <c r="J239" s="481"/>
      <c r="K239" s="481"/>
      <c r="L239" s="481"/>
      <c r="M239" s="481"/>
      <c r="N239" s="481"/>
      <c r="O239" s="481"/>
      <c r="P239" s="481"/>
      <c r="Q239" s="481"/>
      <c r="R239" s="481"/>
      <c r="S239" s="481"/>
      <c r="T239" s="481"/>
      <c r="U239" s="481"/>
      <c r="V239" s="481"/>
      <c r="W239" s="481"/>
      <c r="X239" s="481"/>
      <c r="Y239" s="481"/>
      <c r="Z239" s="481"/>
      <c r="AA239" s="481"/>
      <c r="AB239" s="481"/>
      <c r="AC239" s="481"/>
    </row>
    <row r="240" hidden="1">
      <c r="A240" s="532"/>
      <c r="B240" s="533"/>
      <c r="C240" s="533"/>
      <c r="D240" s="534"/>
      <c r="E240" s="534"/>
      <c r="F240" s="534"/>
      <c r="G240" s="533"/>
      <c r="H240" s="481"/>
      <c r="I240" s="481"/>
      <c r="J240" s="481"/>
      <c r="K240" s="481"/>
      <c r="L240" s="481"/>
      <c r="M240" s="481"/>
      <c r="N240" s="481"/>
      <c r="O240" s="481"/>
      <c r="P240" s="481"/>
      <c r="Q240" s="481"/>
      <c r="R240" s="481"/>
      <c r="S240" s="481"/>
      <c r="T240" s="481"/>
      <c r="U240" s="481"/>
      <c r="V240" s="481"/>
      <c r="W240" s="481"/>
      <c r="X240" s="481"/>
      <c r="Y240" s="481"/>
      <c r="Z240" s="481"/>
      <c r="AA240" s="481"/>
      <c r="AB240" s="481"/>
      <c r="AC240" s="481"/>
    </row>
    <row r="241" hidden="1">
      <c r="A241" s="535"/>
      <c r="B241" s="536"/>
      <c r="C241" s="536"/>
      <c r="D241" s="537"/>
      <c r="E241" s="537"/>
      <c r="F241" s="537"/>
      <c r="G241" s="536"/>
      <c r="H241" s="481"/>
      <c r="I241" s="481"/>
      <c r="J241" s="481"/>
      <c r="K241" s="481"/>
      <c r="L241" s="481"/>
      <c r="M241" s="481"/>
      <c r="N241" s="481"/>
      <c r="O241" s="481"/>
      <c r="P241" s="481"/>
      <c r="Q241" s="481"/>
      <c r="R241" s="481"/>
      <c r="S241" s="481"/>
      <c r="T241" s="481"/>
      <c r="U241" s="481"/>
      <c r="V241" s="481"/>
      <c r="W241" s="481"/>
      <c r="X241" s="481"/>
      <c r="Y241" s="481"/>
      <c r="Z241" s="481"/>
      <c r="AA241" s="481"/>
      <c r="AB241" s="481"/>
      <c r="AC241" s="481"/>
    </row>
    <row r="242" hidden="1">
      <c r="A242" s="532"/>
      <c r="B242" s="533"/>
      <c r="C242" s="533"/>
      <c r="D242" s="534"/>
      <c r="E242" s="534"/>
      <c r="F242" s="534"/>
      <c r="G242" s="533"/>
      <c r="H242" s="481"/>
      <c r="I242" s="481"/>
      <c r="J242" s="481"/>
      <c r="K242" s="481"/>
      <c r="L242" s="481"/>
      <c r="M242" s="481"/>
      <c r="N242" s="481"/>
      <c r="O242" s="481"/>
      <c r="P242" s="481"/>
      <c r="Q242" s="481"/>
      <c r="R242" s="481"/>
      <c r="S242" s="481"/>
      <c r="T242" s="481"/>
      <c r="U242" s="481"/>
      <c r="V242" s="481"/>
      <c r="W242" s="481"/>
      <c r="X242" s="481"/>
      <c r="Y242" s="481"/>
      <c r="Z242" s="481"/>
      <c r="AA242" s="481"/>
      <c r="AB242" s="481"/>
      <c r="AC242" s="481"/>
    </row>
    <row r="243" hidden="1">
      <c r="A243" s="535"/>
      <c r="B243" s="536"/>
      <c r="C243" s="536"/>
      <c r="D243" s="537"/>
      <c r="E243" s="537"/>
      <c r="F243" s="537"/>
      <c r="G243" s="536"/>
      <c r="H243" s="481"/>
      <c r="I243" s="481"/>
      <c r="J243" s="481"/>
      <c r="K243" s="481"/>
      <c r="L243" s="481"/>
      <c r="M243" s="481"/>
      <c r="N243" s="481"/>
      <c r="O243" s="481"/>
      <c r="P243" s="481"/>
      <c r="Q243" s="481"/>
      <c r="R243" s="481"/>
      <c r="S243" s="481"/>
      <c r="T243" s="481"/>
      <c r="U243" s="481"/>
      <c r="V243" s="481"/>
      <c r="W243" s="481"/>
      <c r="X243" s="481"/>
      <c r="Y243" s="481"/>
      <c r="Z243" s="481"/>
      <c r="AA243" s="481"/>
      <c r="AB243" s="481"/>
      <c r="AC243" s="481"/>
    </row>
    <row r="244" hidden="1">
      <c r="A244" s="532"/>
      <c r="B244" s="533"/>
      <c r="C244" s="533"/>
      <c r="D244" s="534"/>
      <c r="E244" s="534"/>
      <c r="F244" s="534"/>
      <c r="G244" s="533"/>
      <c r="H244" s="481"/>
      <c r="I244" s="481"/>
      <c r="J244" s="481"/>
      <c r="K244" s="481"/>
      <c r="L244" s="481"/>
      <c r="M244" s="481"/>
      <c r="N244" s="481"/>
      <c r="O244" s="481"/>
      <c r="P244" s="481"/>
      <c r="Q244" s="481"/>
      <c r="R244" s="481"/>
      <c r="S244" s="481"/>
      <c r="T244" s="481"/>
      <c r="U244" s="481"/>
      <c r="V244" s="481"/>
      <c r="W244" s="481"/>
      <c r="X244" s="481"/>
      <c r="Y244" s="481"/>
      <c r="Z244" s="481"/>
      <c r="AA244" s="481"/>
      <c r="AB244" s="481"/>
      <c r="AC244" s="481"/>
    </row>
    <row r="245" hidden="1">
      <c r="A245" s="535"/>
      <c r="B245" s="536"/>
      <c r="C245" s="536"/>
      <c r="D245" s="537"/>
      <c r="E245" s="537"/>
      <c r="F245" s="537"/>
      <c r="G245" s="536"/>
      <c r="H245" s="481"/>
      <c r="I245" s="481"/>
      <c r="J245" s="481"/>
      <c r="K245" s="481"/>
      <c r="L245" s="481"/>
      <c r="M245" s="481"/>
      <c r="N245" s="481"/>
      <c r="O245" s="481"/>
      <c r="P245" s="481"/>
      <c r="Q245" s="481"/>
      <c r="R245" s="481"/>
      <c r="S245" s="481"/>
      <c r="T245" s="481"/>
      <c r="U245" s="481"/>
      <c r="V245" s="481"/>
      <c r="W245" s="481"/>
      <c r="X245" s="481"/>
      <c r="Y245" s="481"/>
      <c r="Z245" s="481"/>
      <c r="AA245" s="481"/>
      <c r="AB245" s="481"/>
      <c r="AC245" s="481"/>
    </row>
    <row r="246" hidden="1">
      <c r="A246" s="532"/>
      <c r="B246" s="533"/>
      <c r="C246" s="533"/>
      <c r="D246" s="534"/>
      <c r="E246" s="534"/>
      <c r="F246" s="534"/>
      <c r="G246" s="533"/>
      <c r="H246" s="481"/>
      <c r="I246" s="481"/>
      <c r="J246" s="481"/>
      <c r="K246" s="481"/>
      <c r="L246" s="481"/>
      <c r="M246" s="481"/>
      <c r="N246" s="481"/>
      <c r="O246" s="481"/>
      <c r="P246" s="481"/>
      <c r="Q246" s="481"/>
      <c r="R246" s="481"/>
      <c r="S246" s="481"/>
      <c r="T246" s="481"/>
      <c r="U246" s="481"/>
      <c r="V246" s="481"/>
      <c r="W246" s="481"/>
      <c r="X246" s="481"/>
      <c r="Y246" s="481"/>
      <c r="Z246" s="481"/>
      <c r="AA246" s="481"/>
      <c r="AB246" s="481"/>
      <c r="AC246" s="481"/>
    </row>
    <row r="247" hidden="1">
      <c r="A247" s="535"/>
      <c r="B247" s="536"/>
      <c r="C247" s="536"/>
      <c r="D247" s="537"/>
      <c r="E247" s="537"/>
      <c r="F247" s="537"/>
      <c r="G247" s="536"/>
      <c r="H247" s="481"/>
      <c r="I247" s="481"/>
      <c r="J247" s="481"/>
      <c r="K247" s="481"/>
      <c r="L247" s="481"/>
      <c r="M247" s="481"/>
      <c r="N247" s="481"/>
      <c r="O247" s="481"/>
      <c r="P247" s="481"/>
      <c r="Q247" s="481"/>
      <c r="R247" s="481"/>
      <c r="S247" s="481"/>
      <c r="T247" s="481"/>
      <c r="U247" s="481"/>
      <c r="V247" s="481"/>
      <c r="W247" s="481"/>
      <c r="X247" s="481"/>
      <c r="Y247" s="481"/>
      <c r="Z247" s="481"/>
      <c r="AA247" s="481"/>
      <c r="AB247" s="481"/>
      <c r="AC247" s="481"/>
    </row>
    <row r="248" hidden="1">
      <c r="A248" s="532"/>
      <c r="B248" s="533"/>
      <c r="C248" s="533"/>
      <c r="D248" s="534"/>
      <c r="E248" s="534"/>
      <c r="F248" s="534"/>
      <c r="G248" s="533"/>
      <c r="H248" s="481"/>
      <c r="I248" s="481"/>
      <c r="J248" s="481"/>
      <c r="K248" s="481"/>
      <c r="L248" s="481"/>
      <c r="M248" s="481"/>
      <c r="N248" s="481"/>
      <c r="O248" s="481"/>
      <c r="P248" s="481"/>
      <c r="Q248" s="481"/>
      <c r="R248" s="481"/>
      <c r="S248" s="481"/>
      <c r="T248" s="481"/>
      <c r="U248" s="481"/>
      <c r="V248" s="481"/>
      <c r="W248" s="481"/>
      <c r="X248" s="481"/>
      <c r="Y248" s="481"/>
      <c r="Z248" s="481"/>
      <c r="AA248" s="481"/>
      <c r="AB248" s="481"/>
      <c r="AC248" s="481"/>
    </row>
    <row r="249" hidden="1">
      <c r="A249" s="535"/>
      <c r="B249" s="536"/>
      <c r="C249" s="536"/>
      <c r="D249" s="537"/>
      <c r="E249" s="537"/>
      <c r="F249" s="537"/>
      <c r="G249" s="536"/>
      <c r="H249" s="481"/>
      <c r="I249" s="481"/>
      <c r="J249" s="481"/>
      <c r="K249" s="481"/>
      <c r="L249" s="481"/>
      <c r="M249" s="481"/>
      <c r="N249" s="481"/>
      <c r="O249" s="481"/>
      <c r="P249" s="481"/>
      <c r="Q249" s="481"/>
      <c r="R249" s="481"/>
      <c r="S249" s="481"/>
      <c r="T249" s="481"/>
      <c r="U249" s="481"/>
      <c r="V249" s="481"/>
      <c r="W249" s="481"/>
      <c r="X249" s="481"/>
      <c r="Y249" s="481"/>
      <c r="Z249" s="481"/>
      <c r="AA249" s="481"/>
      <c r="AB249" s="481"/>
      <c r="AC249" s="481"/>
    </row>
    <row r="250" hidden="1">
      <c r="A250" s="532"/>
      <c r="B250" s="533"/>
      <c r="C250" s="533"/>
      <c r="D250" s="534"/>
      <c r="E250" s="534"/>
      <c r="F250" s="534"/>
      <c r="G250" s="533"/>
      <c r="H250" s="481"/>
      <c r="I250" s="481"/>
      <c r="J250" s="481"/>
      <c r="K250" s="481"/>
      <c r="L250" s="481"/>
      <c r="M250" s="481"/>
      <c r="N250" s="481"/>
      <c r="O250" s="481"/>
      <c r="P250" s="481"/>
      <c r="Q250" s="481"/>
      <c r="R250" s="481"/>
      <c r="S250" s="481"/>
      <c r="T250" s="481"/>
      <c r="U250" s="481"/>
      <c r="V250" s="481"/>
      <c r="W250" s="481"/>
      <c r="X250" s="481"/>
      <c r="Y250" s="481"/>
      <c r="Z250" s="481"/>
      <c r="AA250" s="481"/>
      <c r="AB250" s="481"/>
      <c r="AC250" s="481"/>
    </row>
    <row r="251" hidden="1">
      <c r="A251" s="535"/>
      <c r="B251" s="536"/>
      <c r="C251" s="536"/>
      <c r="D251" s="537"/>
      <c r="E251" s="537"/>
      <c r="F251" s="537"/>
      <c r="G251" s="536"/>
      <c r="H251" s="481"/>
      <c r="I251" s="481"/>
      <c r="J251" s="481"/>
      <c r="K251" s="481"/>
      <c r="L251" s="481"/>
      <c r="M251" s="481"/>
      <c r="N251" s="481"/>
      <c r="O251" s="481"/>
      <c r="P251" s="481"/>
      <c r="Q251" s="481"/>
      <c r="R251" s="481"/>
      <c r="S251" s="481"/>
      <c r="T251" s="481"/>
      <c r="U251" s="481"/>
      <c r="V251" s="481"/>
      <c r="W251" s="481"/>
      <c r="X251" s="481"/>
      <c r="Y251" s="481"/>
      <c r="Z251" s="481"/>
      <c r="AA251" s="481"/>
      <c r="AB251" s="481"/>
      <c r="AC251" s="481"/>
    </row>
    <row r="252" hidden="1">
      <c r="A252" s="532"/>
      <c r="B252" s="533"/>
      <c r="C252" s="533"/>
      <c r="D252" s="534"/>
      <c r="E252" s="534"/>
      <c r="F252" s="534"/>
      <c r="G252" s="533"/>
      <c r="H252" s="481"/>
      <c r="I252" s="481"/>
      <c r="J252" s="481"/>
      <c r="K252" s="481"/>
      <c r="L252" s="481"/>
      <c r="M252" s="481"/>
      <c r="N252" s="481"/>
      <c r="O252" s="481"/>
      <c r="P252" s="481"/>
      <c r="Q252" s="481"/>
      <c r="R252" s="481"/>
      <c r="S252" s="481"/>
      <c r="T252" s="481"/>
      <c r="U252" s="481"/>
      <c r="V252" s="481"/>
      <c r="W252" s="481"/>
      <c r="X252" s="481"/>
      <c r="Y252" s="481"/>
      <c r="Z252" s="481"/>
      <c r="AA252" s="481"/>
      <c r="AB252" s="481"/>
      <c r="AC252" s="481"/>
    </row>
    <row r="253" hidden="1">
      <c r="A253" s="535"/>
      <c r="B253" s="536"/>
      <c r="C253" s="536"/>
      <c r="D253" s="537"/>
      <c r="E253" s="537"/>
      <c r="F253" s="537"/>
      <c r="G253" s="536"/>
      <c r="H253" s="481"/>
      <c r="I253" s="481"/>
      <c r="J253" s="481"/>
      <c r="K253" s="481"/>
      <c r="L253" s="481"/>
      <c r="M253" s="481"/>
      <c r="N253" s="481"/>
      <c r="O253" s="481"/>
      <c r="P253" s="481"/>
      <c r="Q253" s="481"/>
      <c r="R253" s="481"/>
      <c r="S253" s="481"/>
      <c r="T253" s="481"/>
      <c r="U253" s="481"/>
      <c r="V253" s="481"/>
      <c r="W253" s="481"/>
      <c r="X253" s="481"/>
      <c r="Y253" s="481"/>
      <c r="Z253" s="481"/>
      <c r="AA253" s="481"/>
      <c r="AB253" s="481"/>
      <c r="AC253" s="481"/>
    </row>
    <row r="254" hidden="1">
      <c r="A254" s="532"/>
      <c r="B254" s="533"/>
      <c r="C254" s="533"/>
      <c r="D254" s="534"/>
      <c r="E254" s="534"/>
      <c r="F254" s="534"/>
      <c r="G254" s="533"/>
      <c r="H254" s="481"/>
      <c r="I254" s="481"/>
      <c r="J254" s="481"/>
      <c r="K254" s="481"/>
      <c r="L254" s="481"/>
      <c r="M254" s="481"/>
      <c r="N254" s="481"/>
      <c r="O254" s="481"/>
      <c r="P254" s="481"/>
      <c r="Q254" s="481"/>
      <c r="R254" s="481"/>
      <c r="S254" s="481"/>
      <c r="T254" s="481"/>
      <c r="U254" s="481"/>
      <c r="V254" s="481"/>
      <c r="W254" s="481"/>
      <c r="X254" s="481"/>
      <c r="Y254" s="481"/>
      <c r="Z254" s="481"/>
      <c r="AA254" s="481"/>
      <c r="AB254" s="481"/>
      <c r="AC254" s="481"/>
    </row>
    <row r="255" hidden="1">
      <c r="A255" s="535"/>
      <c r="B255" s="536"/>
      <c r="C255" s="536"/>
      <c r="D255" s="537"/>
      <c r="E255" s="537"/>
      <c r="F255" s="537"/>
      <c r="G255" s="536"/>
      <c r="H255" s="481"/>
      <c r="I255" s="481"/>
      <c r="J255" s="481"/>
      <c r="K255" s="481"/>
      <c r="L255" s="481"/>
      <c r="M255" s="481"/>
      <c r="N255" s="481"/>
      <c r="O255" s="481"/>
      <c r="P255" s="481"/>
      <c r="Q255" s="481"/>
      <c r="R255" s="481"/>
      <c r="S255" s="481"/>
      <c r="T255" s="481"/>
      <c r="U255" s="481"/>
      <c r="V255" s="481"/>
      <c r="W255" s="481"/>
      <c r="X255" s="481"/>
      <c r="Y255" s="481"/>
      <c r="Z255" s="481"/>
      <c r="AA255" s="481"/>
      <c r="AB255" s="481"/>
      <c r="AC255" s="481"/>
    </row>
    <row r="256" hidden="1">
      <c r="A256" s="532"/>
      <c r="B256" s="533"/>
      <c r="C256" s="533"/>
      <c r="D256" s="534"/>
      <c r="E256" s="534"/>
      <c r="F256" s="534"/>
      <c r="G256" s="533"/>
      <c r="H256" s="481"/>
      <c r="I256" s="481"/>
      <c r="J256" s="481"/>
      <c r="K256" s="481"/>
      <c r="L256" s="481"/>
      <c r="M256" s="481"/>
      <c r="N256" s="481"/>
      <c r="O256" s="481"/>
      <c r="P256" s="481"/>
      <c r="Q256" s="481"/>
      <c r="R256" s="481"/>
      <c r="S256" s="481"/>
      <c r="T256" s="481"/>
      <c r="U256" s="481"/>
      <c r="V256" s="481"/>
      <c r="W256" s="481"/>
      <c r="X256" s="481"/>
      <c r="Y256" s="481"/>
      <c r="Z256" s="481"/>
      <c r="AA256" s="481"/>
      <c r="AB256" s="481"/>
      <c r="AC256" s="481"/>
    </row>
    <row r="257" hidden="1">
      <c r="A257" s="535"/>
      <c r="B257" s="536"/>
      <c r="C257" s="536"/>
      <c r="D257" s="537"/>
      <c r="E257" s="537"/>
      <c r="F257" s="537"/>
      <c r="G257" s="536"/>
      <c r="H257" s="481"/>
      <c r="I257" s="481"/>
      <c r="J257" s="481"/>
      <c r="K257" s="481"/>
      <c r="L257" s="481"/>
      <c r="M257" s="481"/>
      <c r="N257" s="481"/>
      <c r="O257" s="481"/>
      <c r="P257" s="481"/>
      <c r="Q257" s="481"/>
      <c r="R257" s="481"/>
      <c r="S257" s="481"/>
      <c r="T257" s="481"/>
      <c r="U257" s="481"/>
      <c r="V257" s="481"/>
      <c r="W257" s="481"/>
      <c r="X257" s="481"/>
      <c r="Y257" s="481"/>
      <c r="Z257" s="481"/>
      <c r="AA257" s="481"/>
      <c r="AB257" s="481"/>
      <c r="AC257" s="481"/>
    </row>
    <row r="258" hidden="1">
      <c r="A258" s="532"/>
      <c r="B258" s="533"/>
      <c r="C258" s="533"/>
      <c r="D258" s="534"/>
      <c r="E258" s="534"/>
      <c r="F258" s="534"/>
      <c r="G258" s="533"/>
      <c r="H258" s="481"/>
      <c r="I258" s="481"/>
      <c r="J258" s="481"/>
      <c r="K258" s="481"/>
      <c r="L258" s="481"/>
      <c r="M258" s="481"/>
      <c r="N258" s="481"/>
      <c r="O258" s="481"/>
      <c r="P258" s="481"/>
      <c r="Q258" s="481"/>
      <c r="R258" s="481"/>
      <c r="S258" s="481"/>
      <c r="T258" s="481"/>
      <c r="U258" s="481"/>
      <c r="V258" s="481"/>
      <c r="W258" s="481"/>
      <c r="X258" s="481"/>
      <c r="Y258" s="481"/>
      <c r="Z258" s="481"/>
      <c r="AA258" s="481"/>
      <c r="AB258" s="481"/>
      <c r="AC258" s="481"/>
    </row>
    <row r="259" hidden="1">
      <c r="A259" s="535"/>
      <c r="B259" s="536"/>
      <c r="C259" s="536"/>
      <c r="D259" s="537"/>
      <c r="E259" s="537"/>
      <c r="F259" s="537"/>
      <c r="G259" s="536"/>
      <c r="H259" s="481"/>
      <c r="I259" s="481"/>
      <c r="J259" s="481"/>
      <c r="K259" s="481"/>
      <c r="L259" s="481"/>
      <c r="M259" s="481"/>
      <c r="N259" s="481"/>
      <c r="O259" s="481"/>
      <c r="P259" s="481"/>
      <c r="Q259" s="481"/>
      <c r="R259" s="481"/>
      <c r="S259" s="481"/>
      <c r="T259" s="481"/>
      <c r="U259" s="481"/>
      <c r="V259" s="481"/>
      <c r="W259" s="481"/>
      <c r="X259" s="481"/>
      <c r="Y259" s="481"/>
      <c r="Z259" s="481"/>
      <c r="AA259" s="481"/>
      <c r="AB259" s="481"/>
      <c r="AC259" s="481"/>
    </row>
    <row r="260" hidden="1">
      <c r="A260" s="532"/>
      <c r="B260" s="533"/>
      <c r="C260" s="533"/>
      <c r="D260" s="534"/>
      <c r="E260" s="534"/>
      <c r="F260" s="534"/>
      <c r="G260" s="533"/>
      <c r="H260" s="481"/>
      <c r="I260" s="481"/>
      <c r="J260" s="481"/>
      <c r="K260" s="481"/>
      <c r="L260" s="481"/>
      <c r="M260" s="481"/>
      <c r="N260" s="481"/>
      <c r="O260" s="481"/>
      <c r="P260" s="481"/>
      <c r="Q260" s="481"/>
      <c r="R260" s="481"/>
      <c r="S260" s="481"/>
      <c r="T260" s="481"/>
      <c r="U260" s="481"/>
      <c r="V260" s="481"/>
      <c r="W260" s="481"/>
      <c r="X260" s="481"/>
      <c r="Y260" s="481"/>
      <c r="Z260" s="481"/>
      <c r="AA260" s="481"/>
      <c r="AB260" s="481"/>
      <c r="AC260" s="481"/>
    </row>
    <row r="261" hidden="1">
      <c r="A261" s="535"/>
      <c r="B261" s="536"/>
      <c r="C261" s="536"/>
      <c r="D261" s="537"/>
      <c r="E261" s="537"/>
      <c r="F261" s="537"/>
      <c r="G261" s="536"/>
      <c r="H261" s="481"/>
      <c r="I261" s="481"/>
      <c r="J261" s="481"/>
      <c r="K261" s="481"/>
      <c r="L261" s="481"/>
      <c r="M261" s="481"/>
      <c r="N261" s="481"/>
      <c r="O261" s="481"/>
      <c r="P261" s="481"/>
      <c r="Q261" s="481"/>
      <c r="R261" s="481"/>
      <c r="S261" s="481"/>
      <c r="T261" s="481"/>
      <c r="U261" s="481"/>
      <c r="V261" s="481"/>
      <c r="W261" s="481"/>
      <c r="X261" s="481"/>
      <c r="Y261" s="481"/>
      <c r="Z261" s="481"/>
      <c r="AA261" s="481"/>
      <c r="AB261" s="481"/>
      <c r="AC261" s="481"/>
    </row>
    <row r="262" hidden="1">
      <c r="A262" s="532"/>
      <c r="B262" s="533"/>
      <c r="C262" s="533"/>
      <c r="D262" s="534"/>
      <c r="E262" s="534"/>
      <c r="F262" s="534"/>
      <c r="G262" s="533"/>
      <c r="H262" s="481"/>
      <c r="I262" s="481"/>
      <c r="J262" s="481"/>
      <c r="K262" s="481"/>
      <c r="L262" s="481"/>
      <c r="M262" s="481"/>
      <c r="N262" s="481"/>
      <c r="O262" s="481"/>
      <c r="P262" s="481"/>
      <c r="Q262" s="481"/>
      <c r="R262" s="481"/>
      <c r="S262" s="481"/>
      <c r="T262" s="481"/>
      <c r="U262" s="481"/>
      <c r="V262" s="481"/>
      <c r="W262" s="481"/>
      <c r="X262" s="481"/>
      <c r="Y262" s="481"/>
      <c r="Z262" s="481"/>
      <c r="AA262" s="481"/>
      <c r="AB262" s="481"/>
      <c r="AC262" s="481"/>
    </row>
    <row r="263" hidden="1">
      <c r="A263" s="535"/>
      <c r="B263" s="536"/>
      <c r="C263" s="536"/>
      <c r="D263" s="537"/>
      <c r="E263" s="537"/>
      <c r="F263" s="537"/>
      <c r="G263" s="536"/>
      <c r="H263" s="481"/>
      <c r="I263" s="481"/>
      <c r="J263" s="481"/>
      <c r="K263" s="481"/>
      <c r="L263" s="481"/>
      <c r="M263" s="481"/>
      <c r="N263" s="481"/>
      <c r="O263" s="481"/>
      <c r="P263" s="481"/>
      <c r="Q263" s="481"/>
      <c r="R263" s="481"/>
      <c r="S263" s="481"/>
      <c r="T263" s="481"/>
      <c r="U263" s="481"/>
      <c r="V263" s="481"/>
      <c r="W263" s="481"/>
      <c r="X263" s="481"/>
      <c r="Y263" s="481"/>
      <c r="Z263" s="481"/>
      <c r="AA263" s="481"/>
      <c r="AB263" s="481"/>
      <c r="AC263" s="481"/>
    </row>
    <row r="264" hidden="1">
      <c r="A264" s="532"/>
      <c r="B264" s="533"/>
      <c r="C264" s="533"/>
      <c r="D264" s="534"/>
      <c r="E264" s="534"/>
      <c r="F264" s="534"/>
      <c r="G264" s="533"/>
      <c r="H264" s="481"/>
      <c r="I264" s="481"/>
      <c r="J264" s="481"/>
      <c r="K264" s="481"/>
      <c r="L264" s="481"/>
      <c r="M264" s="481"/>
      <c r="N264" s="481"/>
      <c r="O264" s="481"/>
      <c r="P264" s="481"/>
      <c r="Q264" s="481"/>
      <c r="R264" s="481"/>
      <c r="S264" s="481"/>
      <c r="T264" s="481"/>
      <c r="U264" s="481"/>
      <c r="V264" s="481"/>
      <c r="W264" s="481"/>
      <c r="X264" s="481"/>
      <c r="Y264" s="481"/>
      <c r="Z264" s="481"/>
      <c r="AA264" s="481"/>
      <c r="AB264" s="481"/>
      <c r="AC264" s="481"/>
    </row>
    <row r="265" hidden="1">
      <c r="A265" s="535"/>
      <c r="B265" s="536"/>
      <c r="C265" s="536"/>
      <c r="D265" s="537"/>
      <c r="E265" s="537"/>
      <c r="F265" s="537"/>
      <c r="G265" s="536"/>
      <c r="H265" s="481"/>
      <c r="I265" s="481"/>
      <c r="J265" s="481"/>
      <c r="K265" s="481"/>
      <c r="L265" s="481"/>
      <c r="M265" s="481"/>
      <c r="N265" s="481"/>
      <c r="O265" s="481"/>
      <c r="P265" s="481"/>
      <c r="Q265" s="481"/>
      <c r="R265" s="481"/>
      <c r="S265" s="481"/>
      <c r="T265" s="481"/>
      <c r="U265" s="481"/>
      <c r="V265" s="481"/>
      <c r="W265" s="481"/>
      <c r="X265" s="481"/>
      <c r="Y265" s="481"/>
      <c r="Z265" s="481"/>
      <c r="AA265" s="481"/>
      <c r="AB265" s="481"/>
      <c r="AC265" s="481"/>
    </row>
    <row r="266" hidden="1">
      <c r="A266" s="532"/>
      <c r="B266" s="533"/>
      <c r="C266" s="533"/>
      <c r="D266" s="534"/>
      <c r="E266" s="534"/>
      <c r="F266" s="534"/>
      <c r="G266" s="533"/>
      <c r="H266" s="481"/>
      <c r="I266" s="481"/>
      <c r="J266" s="481"/>
      <c r="K266" s="481"/>
      <c r="L266" s="481"/>
      <c r="M266" s="481"/>
      <c r="N266" s="481"/>
      <c r="O266" s="481"/>
      <c r="P266" s="481"/>
      <c r="Q266" s="481"/>
      <c r="R266" s="481"/>
      <c r="S266" s="481"/>
      <c r="T266" s="481"/>
      <c r="U266" s="481"/>
      <c r="V266" s="481"/>
      <c r="W266" s="481"/>
      <c r="X266" s="481"/>
      <c r="Y266" s="481"/>
      <c r="Z266" s="481"/>
      <c r="AA266" s="481"/>
      <c r="AB266" s="481"/>
      <c r="AC266" s="481"/>
    </row>
    <row r="267" hidden="1">
      <c r="A267" s="535"/>
      <c r="B267" s="536"/>
      <c r="C267" s="536"/>
      <c r="D267" s="537"/>
      <c r="E267" s="537"/>
      <c r="F267" s="537"/>
      <c r="G267" s="536"/>
      <c r="H267" s="481"/>
      <c r="I267" s="481"/>
      <c r="J267" s="481"/>
      <c r="K267" s="481"/>
      <c r="L267" s="481"/>
      <c r="M267" s="481"/>
      <c r="N267" s="481"/>
      <c r="O267" s="481"/>
      <c r="P267" s="481"/>
      <c r="Q267" s="481"/>
      <c r="R267" s="481"/>
      <c r="S267" s="481"/>
      <c r="T267" s="481"/>
      <c r="U267" s="481"/>
      <c r="V267" s="481"/>
      <c r="W267" s="481"/>
      <c r="X267" s="481"/>
      <c r="Y267" s="481"/>
      <c r="Z267" s="481"/>
      <c r="AA267" s="481"/>
      <c r="AB267" s="481"/>
      <c r="AC267" s="481"/>
    </row>
    <row r="268" hidden="1">
      <c r="A268" s="532"/>
      <c r="B268" s="533"/>
      <c r="C268" s="533"/>
      <c r="D268" s="534"/>
      <c r="E268" s="534"/>
      <c r="F268" s="534"/>
      <c r="G268" s="533"/>
      <c r="H268" s="481"/>
      <c r="I268" s="481"/>
      <c r="J268" s="481"/>
      <c r="K268" s="481"/>
      <c r="L268" s="481"/>
      <c r="M268" s="481"/>
      <c r="N268" s="481"/>
      <c r="O268" s="481"/>
      <c r="P268" s="481"/>
      <c r="Q268" s="481"/>
      <c r="R268" s="481"/>
      <c r="S268" s="481"/>
      <c r="T268" s="481"/>
      <c r="U268" s="481"/>
      <c r="V268" s="481"/>
      <c r="W268" s="481"/>
      <c r="X268" s="481"/>
      <c r="Y268" s="481"/>
      <c r="Z268" s="481"/>
      <c r="AA268" s="481"/>
      <c r="AB268" s="481"/>
      <c r="AC268" s="481"/>
    </row>
    <row r="269" hidden="1">
      <c r="A269" s="535"/>
      <c r="B269" s="536"/>
      <c r="C269" s="536"/>
      <c r="D269" s="537"/>
      <c r="E269" s="537"/>
      <c r="F269" s="537"/>
      <c r="G269" s="536"/>
      <c r="H269" s="481"/>
      <c r="I269" s="481"/>
      <c r="J269" s="481"/>
      <c r="K269" s="481"/>
      <c r="L269" s="481"/>
      <c r="M269" s="481"/>
      <c r="N269" s="481"/>
      <c r="O269" s="481"/>
      <c r="P269" s="481"/>
      <c r="Q269" s="481"/>
      <c r="R269" s="481"/>
      <c r="S269" s="481"/>
      <c r="T269" s="481"/>
      <c r="U269" s="481"/>
      <c r="V269" s="481"/>
      <c r="W269" s="481"/>
      <c r="X269" s="481"/>
      <c r="Y269" s="481"/>
      <c r="Z269" s="481"/>
      <c r="AA269" s="481"/>
      <c r="AB269" s="481"/>
      <c r="AC269" s="481"/>
    </row>
    <row r="270" hidden="1">
      <c r="A270" s="532"/>
      <c r="B270" s="533"/>
      <c r="C270" s="533"/>
      <c r="D270" s="534"/>
      <c r="E270" s="534"/>
      <c r="F270" s="534"/>
      <c r="G270" s="533"/>
      <c r="H270" s="481"/>
      <c r="I270" s="481"/>
      <c r="J270" s="481"/>
      <c r="K270" s="481"/>
      <c r="L270" s="481"/>
      <c r="M270" s="481"/>
      <c r="N270" s="481"/>
      <c r="O270" s="481"/>
      <c r="P270" s="481"/>
      <c r="Q270" s="481"/>
      <c r="R270" s="481"/>
      <c r="S270" s="481"/>
      <c r="T270" s="481"/>
      <c r="U270" s="481"/>
      <c r="V270" s="481"/>
      <c r="W270" s="481"/>
      <c r="X270" s="481"/>
      <c r="Y270" s="481"/>
      <c r="Z270" s="481"/>
      <c r="AA270" s="481"/>
      <c r="AB270" s="481"/>
      <c r="AC270" s="481"/>
    </row>
    <row r="271" hidden="1">
      <c r="A271" s="535"/>
      <c r="B271" s="536"/>
      <c r="C271" s="536"/>
      <c r="D271" s="537"/>
      <c r="E271" s="537"/>
      <c r="F271" s="537"/>
      <c r="G271" s="536"/>
      <c r="H271" s="481"/>
      <c r="I271" s="481"/>
      <c r="J271" s="481"/>
      <c r="K271" s="481"/>
      <c r="L271" s="481"/>
      <c r="M271" s="481"/>
      <c r="N271" s="481"/>
      <c r="O271" s="481"/>
      <c r="P271" s="481"/>
      <c r="Q271" s="481"/>
      <c r="R271" s="481"/>
      <c r="S271" s="481"/>
      <c r="T271" s="481"/>
      <c r="U271" s="481"/>
      <c r="V271" s="481"/>
      <c r="W271" s="481"/>
      <c r="X271" s="481"/>
      <c r="Y271" s="481"/>
      <c r="Z271" s="481"/>
      <c r="AA271" s="481"/>
      <c r="AB271" s="481"/>
      <c r="AC271" s="481"/>
    </row>
    <row r="272" hidden="1">
      <c r="A272" s="532"/>
      <c r="B272" s="533"/>
      <c r="C272" s="533"/>
      <c r="D272" s="534"/>
      <c r="E272" s="534"/>
      <c r="F272" s="534"/>
      <c r="G272" s="533"/>
      <c r="H272" s="481"/>
      <c r="I272" s="481"/>
      <c r="J272" s="481"/>
      <c r="K272" s="481"/>
      <c r="L272" s="481"/>
      <c r="M272" s="481"/>
      <c r="N272" s="481"/>
      <c r="O272" s="481"/>
      <c r="P272" s="481"/>
      <c r="Q272" s="481"/>
      <c r="R272" s="481"/>
      <c r="S272" s="481"/>
      <c r="T272" s="481"/>
      <c r="U272" s="481"/>
      <c r="V272" s="481"/>
      <c r="W272" s="481"/>
      <c r="X272" s="481"/>
      <c r="Y272" s="481"/>
      <c r="Z272" s="481"/>
      <c r="AA272" s="481"/>
      <c r="AB272" s="481"/>
      <c r="AC272" s="481"/>
    </row>
    <row r="273" hidden="1">
      <c r="A273" s="535"/>
      <c r="B273" s="536"/>
      <c r="C273" s="536"/>
      <c r="D273" s="537"/>
      <c r="E273" s="537"/>
      <c r="F273" s="537"/>
      <c r="G273" s="536"/>
      <c r="H273" s="481"/>
      <c r="I273" s="481"/>
      <c r="J273" s="481"/>
      <c r="K273" s="481"/>
      <c r="L273" s="481"/>
      <c r="M273" s="481"/>
      <c r="N273" s="481"/>
      <c r="O273" s="481"/>
      <c r="P273" s="481"/>
      <c r="Q273" s="481"/>
      <c r="R273" s="481"/>
      <c r="S273" s="481"/>
      <c r="T273" s="481"/>
      <c r="U273" s="481"/>
      <c r="V273" s="481"/>
      <c r="W273" s="481"/>
      <c r="X273" s="481"/>
      <c r="Y273" s="481"/>
      <c r="Z273" s="481"/>
      <c r="AA273" s="481"/>
      <c r="AB273" s="481"/>
      <c r="AC273" s="481"/>
    </row>
    <row r="274" hidden="1">
      <c r="A274" s="532"/>
      <c r="B274" s="533"/>
      <c r="C274" s="533"/>
      <c r="D274" s="534"/>
      <c r="E274" s="534"/>
      <c r="F274" s="534"/>
      <c r="G274" s="533"/>
      <c r="H274" s="481"/>
      <c r="I274" s="481"/>
      <c r="J274" s="481"/>
      <c r="K274" s="481"/>
      <c r="L274" s="481"/>
      <c r="M274" s="481"/>
      <c r="N274" s="481"/>
      <c r="O274" s="481"/>
      <c r="P274" s="481"/>
      <c r="Q274" s="481"/>
      <c r="R274" s="481"/>
      <c r="S274" s="481"/>
      <c r="T274" s="481"/>
      <c r="U274" s="481"/>
      <c r="V274" s="481"/>
      <c r="W274" s="481"/>
      <c r="X274" s="481"/>
      <c r="Y274" s="481"/>
      <c r="Z274" s="481"/>
      <c r="AA274" s="481"/>
      <c r="AB274" s="481"/>
      <c r="AC274" s="481"/>
    </row>
    <row r="275" hidden="1">
      <c r="A275" s="535"/>
      <c r="B275" s="536"/>
      <c r="C275" s="536"/>
      <c r="D275" s="537"/>
      <c r="E275" s="537"/>
      <c r="F275" s="537"/>
      <c r="G275" s="536"/>
      <c r="H275" s="481"/>
      <c r="I275" s="481"/>
      <c r="J275" s="481"/>
      <c r="K275" s="481"/>
      <c r="L275" s="481"/>
      <c r="M275" s="481"/>
      <c r="N275" s="481"/>
      <c r="O275" s="481"/>
      <c r="P275" s="481"/>
      <c r="Q275" s="481"/>
      <c r="R275" s="481"/>
      <c r="S275" s="481"/>
      <c r="T275" s="481"/>
      <c r="U275" s="481"/>
      <c r="V275" s="481"/>
      <c r="W275" s="481"/>
      <c r="X275" s="481"/>
      <c r="Y275" s="481"/>
      <c r="Z275" s="481"/>
      <c r="AA275" s="481"/>
      <c r="AB275" s="481"/>
      <c r="AC275" s="481"/>
    </row>
    <row r="276" hidden="1">
      <c r="A276" s="532"/>
      <c r="B276" s="533"/>
      <c r="C276" s="533"/>
      <c r="D276" s="534"/>
      <c r="E276" s="534"/>
      <c r="F276" s="534"/>
      <c r="G276" s="533"/>
      <c r="H276" s="481"/>
      <c r="I276" s="481"/>
      <c r="J276" s="481"/>
      <c r="K276" s="481"/>
      <c r="L276" s="481"/>
      <c r="M276" s="481"/>
      <c r="N276" s="481"/>
      <c r="O276" s="481"/>
      <c r="P276" s="481"/>
      <c r="Q276" s="481"/>
      <c r="R276" s="481"/>
      <c r="S276" s="481"/>
      <c r="T276" s="481"/>
      <c r="U276" s="481"/>
      <c r="V276" s="481"/>
      <c r="W276" s="481"/>
      <c r="X276" s="481"/>
      <c r="Y276" s="481"/>
      <c r="Z276" s="481"/>
      <c r="AA276" s="481"/>
      <c r="AB276" s="481"/>
      <c r="AC276" s="481"/>
    </row>
    <row r="277" hidden="1">
      <c r="A277" s="535"/>
      <c r="B277" s="536"/>
      <c r="C277" s="536"/>
      <c r="D277" s="537"/>
      <c r="E277" s="537"/>
      <c r="F277" s="537"/>
      <c r="G277" s="536"/>
      <c r="H277" s="481"/>
      <c r="I277" s="481"/>
      <c r="J277" s="481"/>
      <c r="K277" s="481"/>
      <c r="L277" s="481"/>
      <c r="M277" s="481"/>
      <c r="N277" s="481"/>
      <c r="O277" s="481"/>
      <c r="P277" s="481"/>
      <c r="Q277" s="481"/>
      <c r="R277" s="481"/>
      <c r="S277" s="481"/>
      <c r="T277" s="481"/>
      <c r="U277" s="481"/>
      <c r="V277" s="481"/>
      <c r="W277" s="481"/>
      <c r="X277" s="481"/>
      <c r="Y277" s="481"/>
      <c r="Z277" s="481"/>
      <c r="AA277" s="481"/>
      <c r="AB277" s="481"/>
      <c r="AC277" s="481"/>
    </row>
    <row r="278" hidden="1">
      <c r="A278" s="532"/>
      <c r="B278" s="533"/>
      <c r="C278" s="533"/>
      <c r="D278" s="534"/>
      <c r="E278" s="534"/>
      <c r="F278" s="534"/>
      <c r="G278" s="533"/>
      <c r="H278" s="481"/>
      <c r="I278" s="481"/>
      <c r="J278" s="481"/>
      <c r="K278" s="481"/>
      <c r="L278" s="481"/>
      <c r="M278" s="481"/>
      <c r="N278" s="481"/>
      <c r="O278" s="481"/>
      <c r="P278" s="481"/>
      <c r="Q278" s="481"/>
      <c r="R278" s="481"/>
      <c r="S278" s="481"/>
      <c r="T278" s="481"/>
      <c r="U278" s="481"/>
      <c r="V278" s="481"/>
      <c r="W278" s="481"/>
      <c r="X278" s="481"/>
      <c r="Y278" s="481"/>
      <c r="Z278" s="481"/>
      <c r="AA278" s="481"/>
      <c r="AB278" s="481"/>
      <c r="AC278" s="481"/>
    </row>
    <row r="279" hidden="1">
      <c r="A279" s="535"/>
      <c r="B279" s="536"/>
      <c r="C279" s="536"/>
      <c r="D279" s="537"/>
      <c r="E279" s="537"/>
      <c r="F279" s="537"/>
      <c r="G279" s="536"/>
      <c r="H279" s="481"/>
      <c r="I279" s="481"/>
      <c r="J279" s="481"/>
      <c r="K279" s="481"/>
      <c r="L279" s="481"/>
      <c r="M279" s="481"/>
      <c r="N279" s="481"/>
      <c r="O279" s="481"/>
      <c r="P279" s="481"/>
      <c r="Q279" s="481"/>
      <c r="R279" s="481"/>
      <c r="S279" s="481"/>
      <c r="T279" s="481"/>
      <c r="U279" s="481"/>
      <c r="V279" s="481"/>
      <c r="W279" s="481"/>
      <c r="X279" s="481"/>
      <c r="Y279" s="481"/>
      <c r="Z279" s="481"/>
      <c r="AA279" s="481"/>
      <c r="AB279" s="481"/>
      <c r="AC279" s="481"/>
    </row>
    <row r="280" hidden="1">
      <c r="A280" s="532"/>
      <c r="B280" s="533"/>
      <c r="C280" s="533"/>
      <c r="D280" s="534"/>
      <c r="E280" s="534"/>
      <c r="F280" s="534"/>
      <c r="G280" s="533"/>
      <c r="H280" s="481"/>
      <c r="I280" s="481"/>
      <c r="J280" s="481"/>
      <c r="K280" s="481"/>
      <c r="L280" s="481"/>
      <c r="M280" s="481"/>
      <c r="N280" s="481"/>
      <c r="O280" s="481"/>
      <c r="P280" s="481"/>
      <c r="Q280" s="481"/>
      <c r="R280" s="481"/>
      <c r="S280" s="481"/>
      <c r="T280" s="481"/>
      <c r="U280" s="481"/>
      <c r="V280" s="481"/>
      <c r="W280" s="481"/>
      <c r="X280" s="481"/>
      <c r="Y280" s="481"/>
      <c r="Z280" s="481"/>
      <c r="AA280" s="481"/>
      <c r="AB280" s="481"/>
      <c r="AC280" s="481"/>
    </row>
    <row r="281" hidden="1">
      <c r="A281" s="535"/>
      <c r="B281" s="536"/>
      <c r="C281" s="536"/>
      <c r="D281" s="537"/>
      <c r="E281" s="537"/>
      <c r="F281" s="537"/>
      <c r="G281" s="536"/>
      <c r="H281" s="481"/>
      <c r="I281" s="481"/>
      <c r="J281" s="481"/>
      <c r="K281" s="481"/>
      <c r="L281" s="481"/>
      <c r="M281" s="481"/>
      <c r="N281" s="481"/>
      <c r="O281" s="481"/>
      <c r="P281" s="481"/>
      <c r="Q281" s="481"/>
      <c r="R281" s="481"/>
      <c r="S281" s="481"/>
      <c r="T281" s="481"/>
      <c r="U281" s="481"/>
      <c r="V281" s="481"/>
      <c r="W281" s="481"/>
      <c r="X281" s="481"/>
      <c r="Y281" s="481"/>
      <c r="Z281" s="481"/>
      <c r="AA281" s="481"/>
      <c r="AB281" s="481"/>
      <c r="AC281" s="481"/>
    </row>
    <row r="282" hidden="1">
      <c r="A282" s="532"/>
      <c r="B282" s="533"/>
      <c r="C282" s="533"/>
      <c r="D282" s="534"/>
      <c r="E282" s="534"/>
      <c r="F282" s="534"/>
      <c r="G282" s="533"/>
      <c r="H282" s="481"/>
      <c r="I282" s="481"/>
      <c r="J282" s="481"/>
      <c r="K282" s="481"/>
      <c r="L282" s="481"/>
      <c r="M282" s="481"/>
      <c r="N282" s="481"/>
      <c r="O282" s="481"/>
      <c r="P282" s="481"/>
      <c r="Q282" s="481"/>
      <c r="R282" s="481"/>
      <c r="S282" s="481"/>
      <c r="T282" s="481"/>
      <c r="U282" s="481"/>
      <c r="V282" s="481"/>
      <c r="W282" s="481"/>
      <c r="X282" s="481"/>
      <c r="Y282" s="481"/>
      <c r="Z282" s="481"/>
      <c r="AA282" s="481"/>
      <c r="AB282" s="481"/>
      <c r="AC282" s="481"/>
    </row>
    <row r="283" hidden="1">
      <c r="A283" s="535"/>
      <c r="B283" s="536"/>
      <c r="C283" s="536"/>
      <c r="D283" s="537"/>
      <c r="E283" s="537"/>
      <c r="F283" s="537"/>
      <c r="G283" s="536"/>
      <c r="H283" s="481"/>
      <c r="I283" s="481"/>
      <c r="J283" s="481"/>
      <c r="K283" s="481"/>
      <c r="L283" s="481"/>
      <c r="M283" s="481"/>
      <c r="N283" s="481"/>
      <c r="O283" s="481"/>
      <c r="P283" s="481"/>
      <c r="Q283" s="481"/>
      <c r="R283" s="481"/>
      <c r="S283" s="481"/>
      <c r="T283" s="481"/>
      <c r="U283" s="481"/>
      <c r="V283" s="481"/>
      <c r="W283" s="481"/>
      <c r="X283" s="481"/>
      <c r="Y283" s="481"/>
      <c r="Z283" s="481"/>
      <c r="AA283" s="481"/>
      <c r="AB283" s="481"/>
      <c r="AC283" s="481"/>
    </row>
    <row r="284" hidden="1">
      <c r="A284" s="532"/>
      <c r="B284" s="533"/>
      <c r="C284" s="533"/>
      <c r="D284" s="534"/>
      <c r="E284" s="534"/>
      <c r="F284" s="534"/>
      <c r="G284" s="533"/>
      <c r="H284" s="481"/>
      <c r="I284" s="481"/>
      <c r="J284" s="481"/>
      <c r="K284" s="481"/>
      <c r="L284" s="481"/>
      <c r="M284" s="481"/>
      <c r="N284" s="481"/>
      <c r="O284" s="481"/>
      <c r="P284" s="481"/>
      <c r="Q284" s="481"/>
      <c r="R284" s="481"/>
      <c r="S284" s="481"/>
      <c r="T284" s="481"/>
      <c r="U284" s="481"/>
      <c r="V284" s="481"/>
      <c r="W284" s="481"/>
      <c r="X284" s="481"/>
      <c r="Y284" s="481"/>
      <c r="Z284" s="481"/>
      <c r="AA284" s="481"/>
      <c r="AB284" s="481"/>
      <c r="AC284" s="481"/>
    </row>
    <row r="285" hidden="1">
      <c r="A285" s="535"/>
      <c r="B285" s="536"/>
      <c r="C285" s="536"/>
      <c r="D285" s="537"/>
      <c r="E285" s="537"/>
      <c r="F285" s="537"/>
      <c r="G285" s="536"/>
      <c r="H285" s="481"/>
      <c r="I285" s="481"/>
      <c r="J285" s="481"/>
      <c r="K285" s="481"/>
      <c r="L285" s="481"/>
      <c r="M285" s="481"/>
      <c r="N285" s="481"/>
      <c r="O285" s="481"/>
      <c r="P285" s="481"/>
      <c r="Q285" s="481"/>
      <c r="R285" s="481"/>
      <c r="S285" s="481"/>
      <c r="T285" s="481"/>
      <c r="U285" s="481"/>
      <c r="V285" s="481"/>
      <c r="W285" s="481"/>
      <c r="X285" s="481"/>
      <c r="Y285" s="481"/>
      <c r="Z285" s="481"/>
      <c r="AA285" s="481"/>
      <c r="AB285" s="481"/>
      <c r="AC285" s="481"/>
    </row>
    <row r="286" hidden="1">
      <c r="A286" s="532"/>
      <c r="B286" s="533"/>
      <c r="C286" s="533"/>
      <c r="D286" s="534"/>
      <c r="E286" s="534"/>
      <c r="F286" s="534"/>
      <c r="G286" s="533"/>
      <c r="H286" s="481"/>
      <c r="I286" s="481"/>
      <c r="J286" s="481"/>
      <c r="K286" s="481"/>
      <c r="L286" s="481"/>
      <c r="M286" s="481"/>
      <c r="N286" s="481"/>
      <c r="O286" s="481"/>
      <c r="P286" s="481"/>
      <c r="Q286" s="481"/>
      <c r="R286" s="481"/>
      <c r="S286" s="481"/>
      <c r="T286" s="481"/>
      <c r="U286" s="481"/>
      <c r="V286" s="481"/>
      <c r="W286" s="481"/>
      <c r="X286" s="481"/>
      <c r="Y286" s="481"/>
      <c r="Z286" s="481"/>
      <c r="AA286" s="481"/>
      <c r="AB286" s="481"/>
      <c r="AC286" s="481"/>
    </row>
    <row r="287" hidden="1">
      <c r="A287" s="535"/>
      <c r="B287" s="536"/>
      <c r="C287" s="536"/>
      <c r="D287" s="537"/>
      <c r="E287" s="537"/>
      <c r="F287" s="537"/>
      <c r="G287" s="536"/>
      <c r="H287" s="481"/>
      <c r="I287" s="481"/>
      <c r="J287" s="481"/>
      <c r="K287" s="481"/>
      <c r="L287" s="481"/>
      <c r="M287" s="481"/>
      <c r="N287" s="481"/>
      <c r="O287" s="481"/>
      <c r="P287" s="481"/>
      <c r="Q287" s="481"/>
      <c r="R287" s="481"/>
      <c r="S287" s="481"/>
      <c r="T287" s="481"/>
      <c r="U287" s="481"/>
      <c r="V287" s="481"/>
      <c r="W287" s="481"/>
      <c r="X287" s="481"/>
      <c r="Y287" s="481"/>
      <c r="Z287" s="481"/>
      <c r="AA287" s="481"/>
      <c r="AB287" s="481"/>
      <c r="AC287" s="481"/>
    </row>
    <row r="288" hidden="1">
      <c r="A288" s="532"/>
      <c r="B288" s="533"/>
      <c r="C288" s="533"/>
      <c r="D288" s="534"/>
      <c r="E288" s="534"/>
      <c r="F288" s="534"/>
      <c r="G288" s="533"/>
      <c r="H288" s="481"/>
      <c r="I288" s="481"/>
      <c r="J288" s="481"/>
      <c r="K288" s="481"/>
      <c r="L288" s="481"/>
      <c r="M288" s="481"/>
      <c r="N288" s="481"/>
      <c r="O288" s="481"/>
      <c r="P288" s="481"/>
      <c r="Q288" s="481"/>
      <c r="R288" s="481"/>
      <c r="S288" s="481"/>
      <c r="T288" s="481"/>
      <c r="U288" s="481"/>
      <c r="V288" s="481"/>
      <c r="W288" s="481"/>
      <c r="X288" s="481"/>
      <c r="Y288" s="481"/>
      <c r="Z288" s="481"/>
      <c r="AA288" s="481"/>
      <c r="AB288" s="481"/>
      <c r="AC288" s="481"/>
    </row>
    <row r="289" hidden="1">
      <c r="A289" s="535"/>
      <c r="B289" s="536"/>
      <c r="C289" s="536"/>
      <c r="D289" s="537"/>
      <c r="E289" s="537"/>
      <c r="F289" s="537"/>
      <c r="G289" s="536"/>
      <c r="H289" s="481"/>
      <c r="I289" s="481"/>
      <c r="J289" s="481"/>
      <c r="K289" s="481"/>
      <c r="L289" s="481"/>
      <c r="M289" s="481"/>
      <c r="N289" s="481"/>
      <c r="O289" s="481"/>
      <c r="P289" s="481"/>
      <c r="Q289" s="481"/>
      <c r="R289" s="481"/>
      <c r="S289" s="481"/>
      <c r="T289" s="481"/>
      <c r="U289" s="481"/>
      <c r="V289" s="481"/>
      <c r="W289" s="481"/>
      <c r="X289" s="481"/>
      <c r="Y289" s="481"/>
      <c r="Z289" s="481"/>
      <c r="AA289" s="481"/>
      <c r="AB289" s="481"/>
      <c r="AC289" s="481"/>
    </row>
    <row r="290" hidden="1">
      <c r="A290" s="532"/>
      <c r="B290" s="533"/>
      <c r="C290" s="533"/>
      <c r="D290" s="534"/>
      <c r="E290" s="534"/>
      <c r="F290" s="534"/>
      <c r="G290" s="533"/>
      <c r="H290" s="481"/>
      <c r="I290" s="481"/>
      <c r="J290" s="481"/>
      <c r="K290" s="481"/>
      <c r="L290" s="481"/>
      <c r="M290" s="481"/>
      <c r="N290" s="481"/>
      <c r="O290" s="481"/>
      <c r="P290" s="481"/>
      <c r="Q290" s="481"/>
      <c r="R290" s="481"/>
      <c r="S290" s="481"/>
      <c r="T290" s="481"/>
      <c r="U290" s="481"/>
      <c r="V290" s="481"/>
      <c r="W290" s="481"/>
      <c r="X290" s="481"/>
      <c r="Y290" s="481"/>
      <c r="Z290" s="481"/>
      <c r="AA290" s="481"/>
      <c r="AB290" s="481"/>
      <c r="AC290" s="481"/>
    </row>
    <row r="291" hidden="1">
      <c r="A291" s="535"/>
      <c r="B291" s="536"/>
      <c r="C291" s="536"/>
      <c r="D291" s="537"/>
      <c r="E291" s="537"/>
      <c r="F291" s="537"/>
      <c r="G291" s="536"/>
      <c r="H291" s="481"/>
      <c r="I291" s="481"/>
      <c r="J291" s="481"/>
      <c r="K291" s="481"/>
      <c r="L291" s="481"/>
      <c r="M291" s="481"/>
      <c r="N291" s="481"/>
      <c r="O291" s="481"/>
      <c r="P291" s="481"/>
      <c r="Q291" s="481"/>
      <c r="R291" s="481"/>
      <c r="S291" s="481"/>
      <c r="T291" s="481"/>
      <c r="U291" s="481"/>
      <c r="V291" s="481"/>
      <c r="W291" s="481"/>
      <c r="X291" s="481"/>
      <c r="Y291" s="481"/>
      <c r="Z291" s="481"/>
      <c r="AA291" s="481"/>
      <c r="AB291" s="481"/>
      <c r="AC291" s="481"/>
    </row>
    <row r="292" hidden="1">
      <c r="A292" s="532"/>
      <c r="B292" s="533"/>
      <c r="C292" s="533"/>
      <c r="D292" s="534"/>
      <c r="E292" s="534"/>
      <c r="F292" s="534"/>
      <c r="G292" s="533"/>
      <c r="H292" s="481"/>
      <c r="I292" s="481"/>
      <c r="J292" s="481"/>
      <c r="K292" s="481"/>
      <c r="L292" s="481"/>
      <c r="M292" s="481"/>
      <c r="N292" s="481"/>
      <c r="O292" s="481"/>
      <c r="P292" s="481"/>
      <c r="Q292" s="481"/>
      <c r="R292" s="481"/>
      <c r="S292" s="481"/>
      <c r="T292" s="481"/>
      <c r="U292" s="481"/>
      <c r="V292" s="481"/>
      <c r="W292" s="481"/>
      <c r="X292" s="481"/>
      <c r="Y292" s="481"/>
      <c r="Z292" s="481"/>
      <c r="AA292" s="481"/>
      <c r="AB292" s="481"/>
      <c r="AC292" s="481"/>
    </row>
    <row r="293" hidden="1">
      <c r="A293" s="535"/>
      <c r="B293" s="536"/>
      <c r="C293" s="536"/>
      <c r="D293" s="537"/>
      <c r="E293" s="537"/>
      <c r="F293" s="537"/>
      <c r="G293" s="536"/>
      <c r="H293" s="481"/>
      <c r="I293" s="481"/>
      <c r="J293" s="481"/>
      <c r="K293" s="481"/>
      <c r="L293" s="481"/>
      <c r="M293" s="481"/>
      <c r="N293" s="481"/>
      <c r="O293" s="481"/>
      <c r="P293" s="481"/>
      <c r="Q293" s="481"/>
      <c r="R293" s="481"/>
      <c r="S293" s="481"/>
      <c r="T293" s="481"/>
      <c r="U293" s="481"/>
      <c r="V293" s="481"/>
      <c r="W293" s="481"/>
      <c r="X293" s="481"/>
      <c r="Y293" s="481"/>
      <c r="Z293" s="481"/>
      <c r="AA293" s="481"/>
      <c r="AB293" s="481"/>
      <c r="AC293" s="481"/>
    </row>
    <row r="294" hidden="1">
      <c r="A294" s="532"/>
      <c r="B294" s="533"/>
      <c r="C294" s="533"/>
      <c r="D294" s="534"/>
      <c r="E294" s="534"/>
      <c r="F294" s="534"/>
      <c r="G294" s="533"/>
      <c r="H294" s="481"/>
      <c r="I294" s="481"/>
      <c r="J294" s="481"/>
      <c r="K294" s="481"/>
      <c r="L294" s="481"/>
      <c r="M294" s="481"/>
      <c r="N294" s="481"/>
      <c r="O294" s="481"/>
      <c r="P294" s="481"/>
      <c r="Q294" s="481"/>
      <c r="R294" s="481"/>
      <c r="S294" s="481"/>
      <c r="T294" s="481"/>
      <c r="U294" s="481"/>
      <c r="V294" s="481"/>
      <c r="W294" s="481"/>
      <c r="X294" s="481"/>
      <c r="Y294" s="481"/>
      <c r="Z294" s="481"/>
      <c r="AA294" s="481"/>
      <c r="AB294" s="481"/>
      <c r="AC294" s="481"/>
    </row>
    <row r="295" hidden="1">
      <c r="A295" s="535"/>
      <c r="B295" s="536"/>
      <c r="C295" s="536"/>
      <c r="D295" s="537"/>
      <c r="E295" s="537"/>
      <c r="F295" s="537"/>
      <c r="G295" s="536"/>
      <c r="H295" s="481"/>
      <c r="I295" s="481"/>
      <c r="J295" s="481"/>
      <c r="K295" s="481"/>
      <c r="L295" s="481"/>
      <c r="M295" s="481"/>
      <c r="N295" s="481"/>
      <c r="O295" s="481"/>
      <c r="P295" s="481"/>
      <c r="Q295" s="481"/>
      <c r="R295" s="481"/>
      <c r="S295" s="481"/>
      <c r="T295" s="481"/>
      <c r="U295" s="481"/>
      <c r="V295" s="481"/>
      <c r="W295" s="481"/>
      <c r="X295" s="481"/>
      <c r="Y295" s="481"/>
      <c r="Z295" s="481"/>
      <c r="AA295" s="481"/>
      <c r="AB295" s="481"/>
      <c r="AC295" s="481"/>
    </row>
    <row r="296" hidden="1">
      <c r="A296" s="532"/>
      <c r="B296" s="533"/>
      <c r="C296" s="533"/>
      <c r="D296" s="534"/>
      <c r="E296" s="534"/>
      <c r="F296" s="534"/>
      <c r="G296" s="533"/>
      <c r="H296" s="481"/>
      <c r="I296" s="481"/>
      <c r="J296" s="481"/>
      <c r="K296" s="481"/>
      <c r="L296" s="481"/>
      <c r="M296" s="481"/>
      <c r="N296" s="481"/>
      <c r="O296" s="481"/>
      <c r="P296" s="481"/>
      <c r="Q296" s="481"/>
      <c r="R296" s="481"/>
      <c r="S296" s="481"/>
      <c r="T296" s="481"/>
      <c r="U296" s="481"/>
      <c r="V296" s="481"/>
      <c r="W296" s="481"/>
      <c r="X296" s="481"/>
      <c r="Y296" s="481"/>
      <c r="Z296" s="481"/>
      <c r="AA296" s="481"/>
      <c r="AB296" s="481"/>
      <c r="AC296" s="481"/>
    </row>
    <row r="297" hidden="1">
      <c r="A297" s="535"/>
      <c r="B297" s="536"/>
      <c r="C297" s="536"/>
      <c r="D297" s="537"/>
      <c r="E297" s="537"/>
      <c r="F297" s="537"/>
      <c r="G297" s="536"/>
      <c r="H297" s="481"/>
      <c r="I297" s="481"/>
      <c r="J297" s="481"/>
      <c r="K297" s="481"/>
      <c r="L297" s="481"/>
      <c r="M297" s="481"/>
      <c r="N297" s="481"/>
      <c r="O297" s="481"/>
      <c r="P297" s="481"/>
      <c r="Q297" s="481"/>
      <c r="R297" s="481"/>
      <c r="S297" s="481"/>
      <c r="T297" s="481"/>
      <c r="U297" s="481"/>
      <c r="V297" s="481"/>
      <c r="W297" s="481"/>
      <c r="X297" s="481"/>
      <c r="Y297" s="481"/>
      <c r="Z297" s="481"/>
      <c r="AA297" s="481"/>
      <c r="AB297" s="481"/>
      <c r="AC297" s="481"/>
    </row>
    <row r="298" hidden="1">
      <c r="A298" s="532"/>
      <c r="B298" s="533"/>
      <c r="C298" s="533"/>
      <c r="D298" s="534"/>
      <c r="E298" s="534"/>
      <c r="F298" s="534"/>
      <c r="G298" s="533"/>
      <c r="H298" s="481"/>
      <c r="I298" s="481"/>
      <c r="J298" s="481"/>
      <c r="K298" s="481"/>
      <c r="L298" s="481"/>
      <c r="M298" s="481"/>
      <c r="N298" s="481"/>
      <c r="O298" s="481"/>
      <c r="P298" s="481"/>
      <c r="Q298" s="481"/>
      <c r="R298" s="481"/>
      <c r="S298" s="481"/>
      <c r="T298" s="481"/>
      <c r="U298" s="481"/>
      <c r="V298" s="481"/>
      <c r="W298" s="481"/>
      <c r="X298" s="481"/>
      <c r="Y298" s="481"/>
      <c r="Z298" s="481"/>
      <c r="AA298" s="481"/>
      <c r="AB298" s="481"/>
      <c r="AC298" s="481"/>
    </row>
    <row r="299" hidden="1">
      <c r="A299" s="535"/>
      <c r="B299" s="536"/>
      <c r="C299" s="536"/>
      <c r="D299" s="537"/>
      <c r="E299" s="537"/>
      <c r="F299" s="537"/>
      <c r="G299" s="536"/>
      <c r="H299" s="481"/>
      <c r="I299" s="481"/>
      <c r="J299" s="481"/>
      <c r="K299" s="481"/>
      <c r="L299" s="481"/>
      <c r="M299" s="481"/>
      <c r="N299" s="481"/>
      <c r="O299" s="481"/>
      <c r="P299" s="481"/>
      <c r="Q299" s="481"/>
      <c r="R299" s="481"/>
      <c r="S299" s="481"/>
      <c r="T299" s="481"/>
      <c r="U299" s="481"/>
      <c r="V299" s="481"/>
      <c r="W299" s="481"/>
      <c r="X299" s="481"/>
      <c r="Y299" s="481"/>
      <c r="Z299" s="481"/>
      <c r="AA299" s="481"/>
      <c r="AB299" s="481"/>
      <c r="AC299" s="481"/>
    </row>
    <row r="300" hidden="1">
      <c r="A300" s="532"/>
      <c r="B300" s="533"/>
      <c r="C300" s="533"/>
      <c r="D300" s="534"/>
      <c r="E300" s="534"/>
      <c r="F300" s="534"/>
      <c r="G300" s="533"/>
      <c r="H300" s="481"/>
      <c r="I300" s="481"/>
      <c r="J300" s="481"/>
      <c r="K300" s="481"/>
      <c r="L300" s="481"/>
      <c r="M300" s="481"/>
      <c r="N300" s="481"/>
      <c r="O300" s="481"/>
      <c r="P300" s="481"/>
      <c r="Q300" s="481"/>
      <c r="R300" s="481"/>
      <c r="S300" s="481"/>
      <c r="T300" s="481"/>
      <c r="U300" s="481"/>
      <c r="V300" s="481"/>
      <c r="W300" s="481"/>
      <c r="X300" s="481"/>
      <c r="Y300" s="481"/>
      <c r="Z300" s="481"/>
      <c r="AA300" s="481"/>
      <c r="AB300" s="481"/>
      <c r="AC300" s="481"/>
    </row>
    <row r="301" hidden="1">
      <c r="A301" s="535"/>
      <c r="B301" s="536"/>
      <c r="C301" s="536"/>
      <c r="D301" s="537"/>
      <c r="E301" s="537"/>
      <c r="F301" s="537"/>
      <c r="G301" s="536"/>
      <c r="H301" s="481"/>
      <c r="I301" s="481"/>
      <c r="J301" s="481"/>
      <c r="K301" s="481"/>
      <c r="L301" s="481"/>
      <c r="M301" s="481"/>
      <c r="N301" s="481"/>
      <c r="O301" s="481"/>
      <c r="P301" s="481"/>
      <c r="Q301" s="481"/>
      <c r="R301" s="481"/>
      <c r="S301" s="481"/>
      <c r="T301" s="481"/>
      <c r="U301" s="481"/>
      <c r="V301" s="481"/>
      <c r="W301" s="481"/>
      <c r="X301" s="481"/>
      <c r="Y301" s="481"/>
      <c r="Z301" s="481"/>
      <c r="AA301" s="481"/>
      <c r="AB301" s="481"/>
      <c r="AC301" s="481"/>
    </row>
    <row r="302" hidden="1">
      <c r="A302" s="532"/>
      <c r="B302" s="533"/>
      <c r="C302" s="533"/>
      <c r="D302" s="534"/>
      <c r="E302" s="534"/>
      <c r="F302" s="534"/>
      <c r="G302" s="533"/>
      <c r="H302" s="481"/>
      <c r="I302" s="481"/>
      <c r="J302" s="481"/>
      <c r="K302" s="481"/>
      <c r="L302" s="481"/>
      <c r="M302" s="481"/>
      <c r="N302" s="481"/>
      <c r="O302" s="481"/>
      <c r="P302" s="481"/>
      <c r="Q302" s="481"/>
      <c r="R302" s="481"/>
      <c r="S302" s="481"/>
      <c r="T302" s="481"/>
      <c r="U302" s="481"/>
      <c r="V302" s="481"/>
      <c r="W302" s="481"/>
      <c r="X302" s="481"/>
      <c r="Y302" s="481"/>
      <c r="Z302" s="481"/>
      <c r="AA302" s="481"/>
      <c r="AB302" s="481"/>
      <c r="AC302" s="481"/>
    </row>
    <row r="303" hidden="1">
      <c r="A303" s="535"/>
      <c r="B303" s="536"/>
      <c r="C303" s="536"/>
      <c r="D303" s="537"/>
      <c r="E303" s="537"/>
      <c r="F303" s="537"/>
      <c r="G303" s="536"/>
      <c r="H303" s="481"/>
      <c r="I303" s="481"/>
      <c r="J303" s="481"/>
      <c r="K303" s="481"/>
      <c r="L303" s="481"/>
      <c r="M303" s="481"/>
      <c r="N303" s="481"/>
      <c r="O303" s="481"/>
      <c r="P303" s="481"/>
      <c r="Q303" s="481"/>
      <c r="R303" s="481"/>
      <c r="S303" s="481"/>
      <c r="T303" s="481"/>
      <c r="U303" s="481"/>
      <c r="V303" s="481"/>
      <c r="W303" s="481"/>
      <c r="X303" s="481"/>
      <c r="Y303" s="481"/>
      <c r="Z303" s="481"/>
      <c r="AA303" s="481"/>
      <c r="AB303" s="481"/>
      <c r="AC303" s="481"/>
    </row>
    <row r="304" hidden="1">
      <c r="A304" s="532"/>
      <c r="B304" s="533"/>
      <c r="C304" s="533"/>
      <c r="D304" s="534"/>
      <c r="E304" s="534"/>
      <c r="F304" s="534"/>
      <c r="G304" s="533"/>
      <c r="H304" s="481"/>
      <c r="I304" s="481"/>
      <c r="J304" s="481"/>
      <c r="K304" s="481"/>
      <c r="L304" s="481"/>
      <c r="M304" s="481"/>
      <c r="N304" s="481"/>
      <c r="O304" s="481"/>
      <c r="P304" s="481"/>
      <c r="Q304" s="481"/>
      <c r="R304" s="481"/>
      <c r="S304" s="481"/>
      <c r="T304" s="481"/>
      <c r="U304" s="481"/>
      <c r="V304" s="481"/>
      <c r="W304" s="481"/>
      <c r="X304" s="481"/>
      <c r="Y304" s="481"/>
      <c r="Z304" s="481"/>
      <c r="AA304" s="481"/>
      <c r="AB304" s="481"/>
      <c r="AC304" s="481"/>
    </row>
    <row r="305" hidden="1">
      <c r="A305" s="535"/>
      <c r="B305" s="536"/>
      <c r="C305" s="536"/>
      <c r="D305" s="537"/>
      <c r="E305" s="537"/>
      <c r="F305" s="537"/>
      <c r="G305" s="536"/>
      <c r="H305" s="481"/>
      <c r="I305" s="481"/>
      <c r="J305" s="481"/>
      <c r="K305" s="481"/>
      <c r="L305" s="481"/>
      <c r="M305" s="481"/>
      <c r="N305" s="481"/>
      <c r="O305" s="481"/>
      <c r="P305" s="481"/>
      <c r="Q305" s="481"/>
      <c r="R305" s="481"/>
      <c r="S305" s="481"/>
      <c r="T305" s="481"/>
      <c r="U305" s="481"/>
      <c r="V305" s="481"/>
      <c r="W305" s="481"/>
      <c r="X305" s="481"/>
      <c r="Y305" s="481"/>
      <c r="Z305" s="481"/>
      <c r="AA305" s="481"/>
      <c r="AB305" s="481"/>
      <c r="AC305" s="481"/>
    </row>
    <row r="306" hidden="1">
      <c r="A306" s="532"/>
      <c r="B306" s="533"/>
      <c r="C306" s="533"/>
      <c r="D306" s="534"/>
      <c r="E306" s="534"/>
      <c r="F306" s="534"/>
      <c r="G306" s="533"/>
      <c r="H306" s="481"/>
      <c r="I306" s="481"/>
      <c r="J306" s="481"/>
      <c r="K306" s="481"/>
      <c r="L306" s="481"/>
      <c r="M306" s="481"/>
      <c r="N306" s="481"/>
      <c r="O306" s="481"/>
      <c r="P306" s="481"/>
      <c r="Q306" s="481"/>
      <c r="R306" s="481"/>
      <c r="S306" s="481"/>
      <c r="T306" s="481"/>
      <c r="U306" s="481"/>
      <c r="V306" s="481"/>
      <c r="W306" s="481"/>
      <c r="X306" s="481"/>
      <c r="Y306" s="481"/>
      <c r="Z306" s="481"/>
      <c r="AA306" s="481"/>
      <c r="AB306" s="481"/>
      <c r="AC306" s="481"/>
    </row>
    <row r="307" hidden="1">
      <c r="A307" s="535"/>
      <c r="B307" s="536"/>
      <c r="C307" s="536"/>
      <c r="D307" s="537"/>
      <c r="E307" s="537"/>
      <c r="F307" s="537"/>
      <c r="G307" s="536"/>
      <c r="H307" s="481"/>
      <c r="I307" s="481"/>
      <c r="J307" s="481"/>
      <c r="K307" s="481"/>
      <c r="L307" s="481"/>
      <c r="M307" s="481"/>
      <c r="N307" s="481"/>
      <c r="O307" s="481"/>
      <c r="P307" s="481"/>
      <c r="Q307" s="481"/>
      <c r="R307" s="481"/>
      <c r="S307" s="481"/>
      <c r="T307" s="481"/>
      <c r="U307" s="481"/>
      <c r="V307" s="481"/>
      <c r="W307" s="481"/>
      <c r="X307" s="481"/>
      <c r="Y307" s="481"/>
      <c r="Z307" s="481"/>
      <c r="AA307" s="481"/>
      <c r="AB307" s="481"/>
      <c r="AC307" s="481"/>
    </row>
    <row r="308" hidden="1">
      <c r="A308" s="532"/>
      <c r="B308" s="533"/>
      <c r="C308" s="533"/>
      <c r="D308" s="534"/>
      <c r="E308" s="534"/>
      <c r="F308" s="534"/>
      <c r="G308" s="533"/>
      <c r="H308" s="481"/>
      <c r="I308" s="481"/>
      <c r="J308" s="481"/>
      <c r="K308" s="481"/>
      <c r="L308" s="481"/>
      <c r="M308" s="481"/>
      <c r="N308" s="481"/>
      <c r="O308" s="481"/>
      <c r="P308" s="481"/>
      <c r="Q308" s="481"/>
      <c r="R308" s="481"/>
      <c r="S308" s="481"/>
      <c r="T308" s="481"/>
      <c r="U308" s="481"/>
      <c r="V308" s="481"/>
      <c r="W308" s="481"/>
      <c r="X308" s="481"/>
      <c r="Y308" s="481"/>
      <c r="Z308" s="481"/>
      <c r="AA308" s="481"/>
      <c r="AB308" s="481"/>
      <c r="AC308" s="481"/>
    </row>
    <row r="309" hidden="1">
      <c r="A309" s="535"/>
      <c r="B309" s="536"/>
      <c r="C309" s="536"/>
      <c r="D309" s="537"/>
      <c r="E309" s="537"/>
      <c r="F309" s="537"/>
      <c r="G309" s="536"/>
      <c r="H309" s="481"/>
      <c r="I309" s="481"/>
      <c r="J309" s="481"/>
      <c r="K309" s="481"/>
      <c r="L309" s="481"/>
      <c r="M309" s="481"/>
      <c r="N309" s="481"/>
      <c r="O309" s="481"/>
      <c r="P309" s="481"/>
      <c r="Q309" s="481"/>
      <c r="R309" s="481"/>
      <c r="S309" s="481"/>
      <c r="T309" s="481"/>
      <c r="U309" s="481"/>
      <c r="V309" s="481"/>
      <c r="W309" s="481"/>
      <c r="X309" s="481"/>
      <c r="Y309" s="481"/>
      <c r="Z309" s="481"/>
      <c r="AA309" s="481"/>
      <c r="AB309" s="481"/>
      <c r="AC309" s="481"/>
    </row>
    <row r="310" hidden="1">
      <c r="A310" s="532"/>
      <c r="B310" s="533"/>
      <c r="C310" s="533"/>
      <c r="D310" s="534"/>
      <c r="E310" s="534"/>
      <c r="F310" s="534"/>
      <c r="G310" s="533"/>
      <c r="H310" s="481"/>
      <c r="I310" s="481"/>
      <c r="J310" s="481"/>
      <c r="K310" s="481"/>
      <c r="L310" s="481"/>
      <c r="M310" s="481"/>
      <c r="N310" s="481"/>
      <c r="O310" s="481"/>
      <c r="P310" s="481"/>
      <c r="Q310" s="481"/>
      <c r="R310" s="481"/>
      <c r="S310" s="481"/>
      <c r="T310" s="481"/>
      <c r="U310" s="481"/>
      <c r="V310" s="481"/>
      <c r="W310" s="481"/>
      <c r="X310" s="481"/>
      <c r="Y310" s="481"/>
      <c r="Z310" s="481"/>
      <c r="AA310" s="481"/>
      <c r="AB310" s="481"/>
      <c r="AC310" s="481"/>
    </row>
    <row r="311" hidden="1">
      <c r="A311" s="535"/>
      <c r="B311" s="536"/>
      <c r="C311" s="536"/>
      <c r="D311" s="537"/>
      <c r="E311" s="537"/>
      <c r="F311" s="537"/>
      <c r="G311" s="536"/>
      <c r="H311" s="481"/>
      <c r="I311" s="481"/>
      <c r="J311" s="481"/>
      <c r="K311" s="481"/>
      <c r="L311" s="481"/>
      <c r="M311" s="481"/>
      <c r="N311" s="481"/>
      <c r="O311" s="481"/>
      <c r="P311" s="481"/>
      <c r="Q311" s="481"/>
      <c r="R311" s="481"/>
      <c r="S311" s="481"/>
      <c r="T311" s="481"/>
      <c r="U311" s="481"/>
      <c r="V311" s="481"/>
      <c r="W311" s="481"/>
      <c r="X311" s="481"/>
      <c r="Y311" s="481"/>
      <c r="Z311" s="481"/>
      <c r="AA311" s="481"/>
      <c r="AB311" s="481"/>
      <c r="AC311" s="481"/>
    </row>
    <row r="312" hidden="1">
      <c r="A312" s="532"/>
      <c r="B312" s="533"/>
      <c r="C312" s="533"/>
      <c r="D312" s="534"/>
      <c r="E312" s="534"/>
      <c r="F312" s="534"/>
      <c r="G312" s="533"/>
      <c r="H312" s="481"/>
      <c r="I312" s="481"/>
      <c r="J312" s="481"/>
      <c r="K312" s="481"/>
      <c r="L312" s="481"/>
      <c r="M312" s="481"/>
      <c r="N312" s="481"/>
      <c r="O312" s="481"/>
      <c r="P312" s="481"/>
      <c r="Q312" s="481"/>
      <c r="R312" s="481"/>
      <c r="S312" s="481"/>
      <c r="T312" s="481"/>
      <c r="U312" s="481"/>
      <c r="V312" s="481"/>
      <c r="W312" s="481"/>
      <c r="X312" s="481"/>
      <c r="Y312" s="481"/>
      <c r="Z312" s="481"/>
      <c r="AA312" s="481"/>
      <c r="AB312" s="481"/>
      <c r="AC312" s="481"/>
    </row>
    <row r="313" hidden="1">
      <c r="A313" s="535"/>
      <c r="B313" s="536"/>
      <c r="C313" s="536"/>
      <c r="D313" s="537"/>
      <c r="E313" s="537"/>
      <c r="F313" s="537"/>
      <c r="G313" s="536"/>
      <c r="H313" s="481"/>
      <c r="I313" s="481"/>
      <c r="J313" s="481"/>
      <c r="K313" s="481"/>
      <c r="L313" s="481"/>
      <c r="M313" s="481"/>
      <c r="N313" s="481"/>
      <c r="O313" s="481"/>
      <c r="P313" s="481"/>
      <c r="Q313" s="481"/>
      <c r="R313" s="481"/>
      <c r="S313" s="481"/>
      <c r="T313" s="481"/>
      <c r="U313" s="481"/>
      <c r="V313" s="481"/>
      <c r="W313" s="481"/>
      <c r="X313" s="481"/>
      <c r="Y313" s="481"/>
      <c r="Z313" s="481"/>
      <c r="AA313" s="481"/>
      <c r="AB313" s="481"/>
      <c r="AC313" s="481"/>
    </row>
    <row r="314" hidden="1">
      <c r="A314" s="532"/>
      <c r="B314" s="533"/>
      <c r="C314" s="533"/>
      <c r="D314" s="534"/>
      <c r="E314" s="534"/>
      <c r="F314" s="534"/>
      <c r="G314" s="533"/>
      <c r="H314" s="481"/>
      <c r="I314" s="481"/>
      <c r="J314" s="481"/>
      <c r="K314" s="481"/>
      <c r="L314" s="481"/>
      <c r="M314" s="481"/>
      <c r="N314" s="481"/>
      <c r="O314" s="481"/>
      <c r="P314" s="481"/>
      <c r="Q314" s="481"/>
      <c r="R314" s="481"/>
      <c r="S314" s="481"/>
      <c r="T314" s="481"/>
      <c r="U314" s="481"/>
      <c r="V314" s="481"/>
      <c r="W314" s="481"/>
      <c r="X314" s="481"/>
      <c r="Y314" s="481"/>
      <c r="Z314" s="481"/>
      <c r="AA314" s="481"/>
      <c r="AB314" s="481"/>
      <c r="AC314" s="481"/>
    </row>
    <row r="315" hidden="1">
      <c r="A315" s="535"/>
      <c r="B315" s="536"/>
      <c r="C315" s="536"/>
      <c r="D315" s="537"/>
      <c r="E315" s="537"/>
      <c r="F315" s="537"/>
      <c r="G315" s="536"/>
      <c r="H315" s="481"/>
      <c r="I315" s="481"/>
      <c r="J315" s="481"/>
      <c r="K315" s="481"/>
      <c r="L315" s="481"/>
      <c r="M315" s="481"/>
      <c r="N315" s="481"/>
      <c r="O315" s="481"/>
      <c r="P315" s="481"/>
      <c r="Q315" s="481"/>
      <c r="R315" s="481"/>
      <c r="S315" s="481"/>
      <c r="T315" s="481"/>
      <c r="U315" s="481"/>
      <c r="V315" s="481"/>
      <c r="W315" s="481"/>
      <c r="X315" s="481"/>
      <c r="Y315" s="481"/>
      <c r="Z315" s="481"/>
      <c r="AA315" s="481"/>
      <c r="AB315" s="481"/>
      <c r="AC315" s="481"/>
    </row>
    <row r="316" hidden="1">
      <c r="A316" s="532"/>
      <c r="B316" s="533"/>
      <c r="C316" s="533"/>
      <c r="D316" s="534"/>
      <c r="E316" s="534"/>
      <c r="F316" s="534"/>
      <c r="G316" s="533"/>
      <c r="H316" s="481"/>
      <c r="I316" s="481"/>
      <c r="J316" s="481"/>
      <c r="K316" s="481"/>
      <c r="L316" s="481"/>
      <c r="M316" s="481"/>
      <c r="N316" s="481"/>
      <c r="O316" s="481"/>
      <c r="P316" s="481"/>
      <c r="Q316" s="481"/>
      <c r="R316" s="481"/>
      <c r="S316" s="481"/>
      <c r="T316" s="481"/>
      <c r="U316" s="481"/>
      <c r="V316" s="481"/>
      <c r="W316" s="481"/>
      <c r="X316" s="481"/>
      <c r="Y316" s="481"/>
      <c r="Z316" s="481"/>
      <c r="AA316" s="481"/>
      <c r="AB316" s="481"/>
      <c r="AC316" s="481"/>
    </row>
    <row r="317" hidden="1">
      <c r="A317" s="535"/>
      <c r="B317" s="536"/>
      <c r="C317" s="536"/>
      <c r="D317" s="537"/>
      <c r="E317" s="537"/>
      <c r="F317" s="537"/>
      <c r="G317" s="536"/>
      <c r="H317" s="481"/>
      <c r="I317" s="481"/>
      <c r="J317" s="481"/>
      <c r="K317" s="481"/>
      <c r="L317" s="481"/>
      <c r="M317" s="481"/>
      <c r="N317" s="481"/>
      <c r="O317" s="481"/>
      <c r="P317" s="481"/>
      <c r="Q317" s="481"/>
      <c r="R317" s="481"/>
      <c r="S317" s="481"/>
      <c r="T317" s="481"/>
      <c r="U317" s="481"/>
      <c r="V317" s="481"/>
      <c r="W317" s="481"/>
      <c r="X317" s="481"/>
      <c r="Y317" s="481"/>
      <c r="Z317" s="481"/>
      <c r="AA317" s="481"/>
      <c r="AB317" s="481"/>
      <c r="AC317" s="481"/>
    </row>
    <row r="318" hidden="1">
      <c r="A318" s="532"/>
      <c r="B318" s="533"/>
      <c r="C318" s="533"/>
      <c r="D318" s="534"/>
      <c r="E318" s="534"/>
      <c r="F318" s="534"/>
      <c r="G318" s="533"/>
      <c r="H318" s="481"/>
      <c r="I318" s="481"/>
      <c r="J318" s="481"/>
      <c r="K318" s="481"/>
      <c r="L318" s="481"/>
      <c r="M318" s="481"/>
      <c r="N318" s="481"/>
      <c r="O318" s="481"/>
      <c r="P318" s="481"/>
      <c r="Q318" s="481"/>
      <c r="R318" s="481"/>
      <c r="S318" s="481"/>
      <c r="T318" s="481"/>
      <c r="U318" s="481"/>
      <c r="V318" s="481"/>
      <c r="W318" s="481"/>
      <c r="X318" s="481"/>
      <c r="Y318" s="481"/>
      <c r="Z318" s="481"/>
      <c r="AA318" s="481"/>
      <c r="AB318" s="481"/>
      <c r="AC318" s="481"/>
    </row>
    <row r="319" hidden="1">
      <c r="A319" s="535"/>
      <c r="B319" s="536"/>
      <c r="C319" s="536"/>
      <c r="D319" s="537"/>
      <c r="E319" s="537"/>
      <c r="F319" s="537"/>
      <c r="G319" s="536"/>
      <c r="H319" s="481"/>
      <c r="I319" s="481"/>
      <c r="J319" s="481"/>
      <c r="K319" s="481"/>
      <c r="L319" s="481"/>
      <c r="M319" s="481"/>
      <c r="N319" s="481"/>
      <c r="O319" s="481"/>
      <c r="P319" s="481"/>
      <c r="Q319" s="481"/>
      <c r="R319" s="481"/>
      <c r="S319" s="481"/>
      <c r="T319" s="481"/>
      <c r="U319" s="481"/>
      <c r="V319" s="481"/>
      <c r="W319" s="481"/>
      <c r="X319" s="481"/>
      <c r="Y319" s="481"/>
      <c r="Z319" s="481"/>
      <c r="AA319" s="481"/>
      <c r="AB319" s="481"/>
      <c r="AC319" s="481"/>
    </row>
    <row r="320" hidden="1">
      <c r="A320" s="532"/>
      <c r="B320" s="533"/>
      <c r="C320" s="533"/>
      <c r="D320" s="534"/>
      <c r="E320" s="534"/>
      <c r="F320" s="534"/>
      <c r="G320" s="533"/>
      <c r="H320" s="481"/>
      <c r="I320" s="481"/>
      <c r="J320" s="481"/>
      <c r="K320" s="481"/>
      <c r="L320" s="481"/>
      <c r="M320" s="481"/>
      <c r="N320" s="481"/>
      <c r="O320" s="481"/>
      <c r="P320" s="481"/>
      <c r="Q320" s="481"/>
      <c r="R320" s="481"/>
      <c r="S320" s="481"/>
      <c r="T320" s="481"/>
      <c r="U320" s="481"/>
      <c r="V320" s="481"/>
      <c r="W320" s="481"/>
      <c r="X320" s="481"/>
      <c r="Y320" s="481"/>
      <c r="Z320" s="481"/>
      <c r="AA320" s="481"/>
      <c r="AB320" s="481"/>
      <c r="AC320" s="481"/>
    </row>
    <row r="321" hidden="1">
      <c r="A321" s="535"/>
      <c r="B321" s="536"/>
      <c r="C321" s="536"/>
      <c r="D321" s="537"/>
      <c r="E321" s="537"/>
      <c r="F321" s="537"/>
      <c r="G321" s="536"/>
      <c r="H321" s="481"/>
      <c r="I321" s="481"/>
      <c r="J321" s="481"/>
      <c r="K321" s="481"/>
      <c r="L321" s="481"/>
      <c r="M321" s="481"/>
      <c r="N321" s="481"/>
      <c r="O321" s="481"/>
      <c r="P321" s="481"/>
      <c r="Q321" s="481"/>
      <c r="R321" s="481"/>
      <c r="S321" s="481"/>
      <c r="T321" s="481"/>
      <c r="U321" s="481"/>
      <c r="V321" s="481"/>
      <c r="W321" s="481"/>
      <c r="X321" s="481"/>
      <c r="Y321" s="481"/>
      <c r="Z321" s="481"/>
      <c r="AA321" s="481"/>
      <c r="AB321" s="481"/>
      <c r="AC321" s="481"/>
    </row>
    <row r="322" hidden="1">
      <c r="A322" s="532"/>
      <c r="B322" s="533"/>
      <c r="C322" s="533"/>
      <c r="D322" s="534"/>
      <c r="E322" s="534"/>
      <c r="F322" s="534"/>
      <c r="G322" s="533"/>
      <c r="H322" s="481"/>
      <c r="I322" s="481"/>
      <c r="J322" s="481"/>
      <c r="K322" s="481"/>
      <c r="L322" s="481"/>
      <c r="M322" s="481"/>
      <c r="N322" s="481"/>
      <c r="O322" s="481"/>
      <c r="P322" s="481"/>
      <c r="Q322" s="481"/>
      <c r="R322" s="481"/>
      <c r="S322" s="481"/>
      <c r="T322" s="481"/>
      <c r="U322" s="481"/>
      <c r="V322" s="481"/>
      <c r="W322" s="481"/>
      <c r="X322" s="481"/>
      <c r="Y322" s="481"/>
      <c r="Z322" s="481"/>
      <c r="AA322" s="481"/>
      <c r="AB322" s="481"/>
      <c r="AC322" s="481"/>
    </row>
    <row r="323" hidden="1">
      <c r="A323" s="535"/>
      <c r="B323" s="536"/>
      <c r="C323" s="536"/>
      <c r="D323" s="537"/>
      <c r="E323" s="537"/>
      <c r="F323" s="537"/>
      <c r="G323" s="536"/>
      <c r="H323" s="481"/>
      <c r="I323" s="481"/>
      <c r="J323" s="481"/>
      <c r="K323" s="481"/>
      <c r="L323" s="481"/>
      <c r="M323" s="481"/>
      <c r="N323" s="481"/>
      <c r="O323" s="481"/>
      <c r="P323" s="481"/>
      <c r="Q323" s="481"/>
      <c r="R323" s="481"/>
      <c r="S323" s="481"/>
      <c r="T323" s="481"/>
      <c r="U323" s="481"/>
      <c r="V323" s="481"/>
      <c r="W323" s="481"/>
      <c r="X323" s="481"/>
      <c r="Y323" s="481"/>
      <c r="Z323" s="481"/>
      <c r="AA323" s="481"/>
      <c r="AB323" s="481"/>
      <c r="AC323" s="481"/>
    </row>
    <row r="324" hidden="1">
      <c r="A324" s="532"/>
      <c r="B324" s="533"/>
      <c r="C324" s="533"/>
      <c r="D324" s="534"/>
      <c r="E324" s="534"/>
      <c r="F324" s="534"/>
      <c r="G324" s="533"/>
      <c r="H324" s="481"/>
      <c r="I324" s="481"/>
      <c r="J324" s="481"/>
      <c r="K324" s="481"/>
      <c r="L324" s="481"/>
      <c r="M324" s="481"/>
      <c r="N324" s="481"/>
      <c r="O324" s="481"/>
      <c r="P324" s="481"/>
      <c r="Q324" s="481"/>
      <c r="R324" s="481"/>
      <c r="S324" s="481"/>
      <c r="T324" s="481"/>
      <c r="U324" s="481"/>
      <c r="V324" s="481"/>
      <c r="W324" s="481"/>
      <c r="X324" s="481"/>
      <c r="Y324" s="481"/>
      <c r="Z324" s="481"/>
      <c r="AA324" s="481"/>
      <c r="AB324" s="481"/>
      <c r="AC324" s="481"/>
    </row>
    <row r="325" hidden="1">
      <c r="A325" s="535"/>
      <c r="B325" s="536"/>
      <c r="C325" s="536"/>
      <c r="D325" s="537"/>
      <c r="E325" s="537"/>
      <c r="F325" s="537"/>
      <c r="G325" s="536"/>
      <c r="H325" s="481"/>
      <c r="I325" s="481"/>
      <c r="J325" s="481"/>
      <c r="K325" s="481"/>
      <c r="L325" s="481"/>
      <c r="M325" s="481"/>
      <c r="N325" s="481"/>
      <c r="O325" s="481"/>
      <c r="P325" s="481"/>
      <c r="Q325" s="481"/>
      <c r="R325" s="481"/>
      <c r="S325" s="481"/>
      <c r="T325" s="481"/>
      <c r="U325" s="481"/>
      <c r="V325" s="481"/>
      <c r="W325" s="481"/>
      <c r="X325" s="481"/>
      <c r="Y325" s="481"/>
      <c r="Z325" s="481"/>
      <c r="AA325" s="481"/>
      <c r="AB325" s="481"/>
      <c r="AC325" s="481"/>
    </row>
    <row r="326" hidden="1">
      <c r="A326" s="532"/>
      <c r="B326" s="533"/>
      <c r="C326" s="533"/>
      <c r="D326" s="534"/>
      <c r="E326" s="534"/>
      <c r="F326" s="534"/>
      <c r="G326" s="533"/>
      <c r="H326" s="481"/>
      <c r="I326" s="481"/>
      <c r="J326" s="481"/>
      <c r="K326" s="481"/>
      <c r="L326" s="481"/>
      <c r="M326" s="481"/>
      <c r="N326" s="481"/>
      <c r="O326" s="481"/>
      <c r="P326" s="481"/>
      <c r="Q326" s="481"/>
      <c r="R326" s="481"/>
      <c r="S326" s="481"/>
      <c r="T326" s="481"/>
      <c r="U326" s="481"/>
      <c r="V326" s="481"/>
      <c r="W326" s="481"/>
      <c r="X326" s="481"/>
      <c r="Y326" s="481"/>
      <c r="Z326" s="481"/>
      <c r="AA326" s="481"/>
      <c r="AB326" s="481"/>
      <c r="AC326" s="481"/>
    </row>
    <row r="327" hidden="1">
      <c r="A327" s="535"/>
      <c r="B327" s="536"/>
      <c r="C327" s="536"/>
      <c r="D327" s="537"/>
      <c r="E327" s="537"/>
      <c r="F327" s="537"/>
      <c r="G327" s="536"/>
      <c r="H327" s="481"/>
      <c r="I327" s="481"/>
      <c r="J327" s="481"/>
      <c r="K327" s="481"/>
      <c r="L327" s="481"/>
      <c r="M327" s="481"/>
      <c r="N327" s="481"/>
      <c r="O327" s="481"/>
      <c r="P327" s="481"/>
      <c r="Q327" s="481"/>
      <c r="R327" s="481"/>
      <c r="S327" s="481"/>
      <c r="T327" s="481"/>
      <c r="U327" s="481"/>
      <c r="V327" s="481"/>
      <c r="W327" s="481"/>
      <c r="X327" s="481"/>
      <c r="Y327" s="481"/>
      <c r="Z327" s="481"/>
      <c r="AA327" s="481"/>
      <c r="AB327" s="481"/>
      <c r="AC327" s="481"/>
    </row>
    <row r="328" hidden="1">
      <c r="A328" s="532"/>
      <c r="B328" s="533"/>
      <c r="C328" s="533"/>
      <c r="D328" s="534"/>
      <c r="E328" s="534"/>
      <c r="F328" s="534"/>
      <c r="G328" s="533"/>
      <c r="H328" s="481"/>
      <c r="I328" s="481"/>
      <c r="J328" s="481"/>
      <c r="K328" s="481"/>
      <c r="L328" s="481"/>
      <c r="M328" s="481"/>
      <c r="N328" s="481"/>
      <c r="O328" s="481"/>
      <c r="P328" s="481"/>
      <c r="Q328" s="481"/>
      <c r="R328" s="481"/>
      <c r="S328" s="481"/>
      <c r="T328" s="481"/>
      <c r="U328" s="481"/>
      <c r="V328" s="481"/>
      <c r="W328" s="481"/>
      <c r="X328" s="481"/>
      <c r="Y328" s="481"/>
      <c r="Z328" s="481"/>
      <c r="AA328" s="481"/>
      <c r="AB328" s="481"/>
      <c r="AC328" s="481"/>
    </row>
    <row r="329" hidden="1">
      <c r="A329" s="535"/>
      <c r="B329" s="536"/>
      <c r="C329" s="536"/>
      <c r="D329" s="537"/>
      <c r="E329" s="537"/>
      <c r="F329" s="537"/>
      <c r="G329" s="536"/>
      <c r="H329" s="481"/>
      <c r="I329" s="481"/>
      <c r="J329" s="481"/>
      <c r="K329" s="481"/>
      <c r="L329" s="481"/>
      <c r="M329" s="481"/>
      <c r="N329" s="481"/>
      <c r="O329" s="481"/>
      <c r="P329" s="481"/>
      <c r="Q329" s="481"/>
      <c r="R329" s="481"/>
      <c r="S329" s="481"/>
      <c r="T329" s="481"/>
      <c r="U329" s="481"/>
      <c r="V329" s="481"/>
      <c r="W329" s="481"/>
      <c r="X329" s="481"/>
      <c r="Y329" s="481"/>
      <c r="Z329" s="481"/>
      <c r="AA329" s="481"/>
      <c r="AB329" s="481"/>
      <c r="AC329" s="481"/>
    </row>
    <row r="330" hidden="1">
      <c r="A330" s="532"/>
      <c r="B330" s="533"/>
      <c r="C330" s="533"/>
      <c r="D330" s="534"/>
      <c r="E330" s="534"/>
      <c r="F330" s="534"/>
      <c r="G330" s="533"/>
      <c r="H330" s="481"/>
      <c r="I330" s="481"/>
      <c r="J330" s="481"/>
      <c r="K330" s="481"/>
      <c r="L330" s="481"/>
      <c r="M330" s="481"/>
      <c r="N330" s="481"/>
      <c r="O330" s="481"/>
      <c r="P330" s="481"/>
      <c r="Q330" s="481"/>
      <c r="R330" s="481"/>
      <c r="S330" s="481"/>
      <c r="T330" s="481"/>
      <c r="U330" s="481"/>
      <c r="V330" s="481"/>
      <c r="W330" s="481"/>
      <c r="X330" s="481"/>
      <c r="Y330" s="481"/>
      <c r="Z330" s="481"/>
      <c r="AA330" s="481"/>
      <c r="AB330" s="481"/>
      <c r="AC330" s="481"/>
    </row>
    <row r="331" hidden="1">
      <c r="A331" s="535"/>
      <c r="B331" s="536"/>
      <c r="C331" s="536"/>
      <c r="D331" s="537"/>
      <c r="E331" s="537"/>
      <c r="F331" s="537"/>
      <c r="G331" s="536"/>
      <c r="H331" s="481"/>
      <c r="I331" s="481"/>
      <c r="J331" s="481"/>
      <c r="K331" s="481"/>
      <c r="L331" s="481"/>
      <c r="M331" s="481"/>
      <c r="N331" s="481"/>
      <c r="O331" s="481"/>
      <c r="P331" s="481"/>
      <c r="Q331" s="481"/>
      <c r="R331" s="481"/>
      <c r="S331" s="481"/>
      <c r="T331" s="481"/>
      <c r="U331" s="481"/>
      <c r="V331" s="481"/>
      <c r="W331" s="481"/>
      <c r="X331" s="481"/>
      <c r="Y331" s="481"/>
      <c r="Z331" s="481"/>
      <c r="AA331" s="481"/>
      <c r="AB331" s="481"/>
      <c r="AC331" s="481"/>
    </row>
    <row r="332" hidden="1">
      <c r="A332" s="532"/>
      <c r="B332" s="533"/>
      <c r="C332" s="533"/>
      <c r="D332" s="534"/>
      <c r="E332" s="534"/>
      <c r="F332" s="534"/>
      <c r="G332" s="533"/>
      <c r="H332" s="481"/>
      <c r="I332" s="481"/>
      <c r="J332" s="481"/>
      <c r="K332" s="481"/>
      <c r="L332" s="481"/>
      <c r="M332" s="481"/>
      <c r="N332" s="481"/>
      <c r="O332" s="481"/>
      <c r="P332" s="481"/>
      <c r="Q332" s="481"/>
      <c r="R332" s="481"/>
      <c r="S332" s="481"/>
      <c r="T332" s="481"/>
      <c r="U332" s="481"/>
      <c r="V332" s="481"/>
      <c r="W332" s="481"/>
      <c r="X332" s="481"/>
      <c r="Y332" s="481"/>
      <c r="Z332" s="481"/>
      <c r="AA332" s="481"/>
      <c r="AB332" s="481"/>
      <c r="AC332" s="481"/>
    </row>
    <row r="333" hidden="1">
      <c r="A333" s="535"/>
      <c r="B333" s="536"/>
      <c r="C333" s="536"/>
      <c r="D333" s="537"/>
      <c r="E333" s="537"/>
      <c r="F333" s="537"/>
      <c r="G333" s="536"/>
      <c r="H333" s="481"/>
      <c r="I333" s="481"/>
      <c r="J333" s="481"/>
      <c r="K333" s="481"/>
      <c r="L333" s="481"/>
      <c r="M333" s="481"/>
      <c r="N333" s="481"/>
      <c r="O333" s="481"/>
      <c r="P333" s="481"/>
      <c r="Q333" s="481"/>
      <c r="R333" s="481"/>
      <c r="S333" s="481"/>
      <c r="T333" s="481"/>
      <c r="U333" s="481"/>
      <c r="V333" s="481"/>
      <c r="W333" s="481"/>
      <c r="X333" s="481"/>
      <c r="Y333" s="481"/>
      <c r="Z333" s="481"/>
      <c r="AA333" s="481"/>
      <c r="AB333" s="481"/>
      <c r="AC333" s="481"/>
    </row>
    <row r="334" hidden="1">
      <c r="A334" s="532"/>
      <c r="B334" s="533"/>
      <c r="C334" s="533"/>
      <c r="D334" s="534"/>
      <c r="E334" s="534"/>
      <c r="F334" s="534"/>
      <c r="G334" s="533"/>
      <c r="H334" s="481"/>
      <c r="I334" s="481"/>
      <c r="J334" s="481"/>
      <c r="K334" s="481"/>
      <c r="L334" s="481"/>
      <c r="M334" s="481"/>
      <c r="N334" s="481"/>
      <c r="O334" s="481"/>
      <c r="P334" s="481"/>
      <c r="Q334" s="481"/>
      <c r="R334" s="481"/>
      <c r="S334" s="481"/>
      <c r="T334" s="481"/>
      <c r="U334" s="481"/>
      <c r="V334" s="481"/>
      <c r="W334" s="481"/>
      <c r="X334" s="481"/>
      <c r="Y334" s="481"/>
      <c r="Z334" s="481"/>
      <c r="AA334" s="481"/>
      <c r="AB334" s="481"/>
      <c r="AC334" s="481"/>
    </row>
    <row r="335" hidden="1">
      <c r="A335" s="535"/>
      <c r="B335" s="536"/>
      <c r="C335" s="536"/>
      <c r="D335" s="537"/>
      <c r="E335" s="537"/>
      <c r="F335" s="537"/>
      <c r="G335" s="536"/>
      <c r="H335" s="481"/>
      <c r="I335" s="481"/>
      <c r="J335" s="481"/>
      <c r="K335" s="481"/>
      <c r="L335" s="481"/>
      <c r="M335" s="481"/>
      <c r="N335" s="481"/>
      <c r="O335" s="481"/>
      <c r="P335" s="481"/>
      <c r="Q335" s="481"/>
      <c r="R335" s="481"/>
      <c r="S335" s="481"/>
      <c r="T335" s="481"/>
      <c r="U335" s="481"/>
      <c r="V335" s="481"/>
      <c r="W335" s="481"/>
      <c r="X335" s="481"/>
      <c r="Y335" s="481"/>
      <c r="Z335" s="481"/>
      <c r="AA335" s="481"/>
      <c r="AB335" s="481"/>
      <c r="AC335" s="481"/>
    </row>
    <row r="336" hidden="1">
      <c r="A336" s="532"/>
      <c r="B336" s="533"/>
      <c r="C336" s="533"/>
      <c r="D336" s="534"/>
      <c r="E336" s="534"/>
      <c r="F336" s="534"/>
      <c r="G336" s="533"/>
      <c r="H336" s="481"/>
      <c r="I336" s="481"/>
      <c r="J336" s="481"/>
      <c r="K336" s="481"/>
      <c r="L336" s="481"/>
      <c r="M336" s="481"/>
      <c r="N336" s="481"/>
      <c r="O336" s="481"/>
      <c r="P336" s="481"/>
      <c r="Q336" s="481"/>
      <c r="R336" s="481"/>
      <c r="S336" s="481"/>
      <c r="T336" s="481"/>
      <c r="U336" s="481"/>
      <c r="V336" s="481"/>
      <c r="W336" s="481"/>
      <c r="X336" s="481"/>
      <c r="Y336" s="481"/>
      <c r="Z336" s="481"/>
      <c r="AA336" s="481"/>
      <c r="AB336" s="481"/>
      <c r="AC336" s="481"/>
    </row>
    <row r="337" hidden="1">
      <c r="A337" s="535"/>
      <c r="B337" s="536"/>
      <c r="C337" s="536"/>
      <c r="D337" s="537"/>
      <c r="E337" s="537"/>
      <c r="F337" s="537"/>
      <c r="G337" s="536"/>
      <c r="H337" s="481"/>
      <c r="I337" s="481"/>
      <c r="J337" s="481"/>
      <c r="K337" s="481"/>
      <c r="L337" s="481"/>
      <c r="M337" s="481"/>
      <c r="N337" s="481"/>
      <c r="O337" s="481"/>
      <c r="P337" s="481"/>
      <c r="Q337" s="481"/>
      <c r="R337" s="481"/>
      <c r="S337" s="481"/>
      <c r="T337" s="481"/>
      <c r="U337" s="481"/>
      <c r="V337" s="481"/>
      <c r="W337" s="481"/>
      <c r="X337" s="481"/>
      <c r="Y337" s="481"/>
      <c r="Z337" s="481"/>
      <c r="AA337" s="481"/>
      <c r="AB337" s="481"/>
      <c r="AC337" s="481"/>
    </row>
    <row r="338" hidden="1">
      <c r="A338" s="532"/>
      <c r="B338" s="533"/>
      <c r="C338" s="533"/>
      <c r="D338" s="534"/>
      <c r="E338" s="534"/>
      <c r="F338" s="534"/>
      <c r="G338" s="533"/>
      <c r="H338" s="481"/>
      <c r="I338" s="481"/>
      <c r="J338" s="481"/>
      <c r="K338" s="481"/>
      <c r="L338" s="481"/>
      <c r="M338" s="481"/>
      <c r="N338" s="481"/>
      <c r="O338" s="481"/>
      <c r="P338" s="481"/>
      <c r="Q338" s="481"/>
      <c r="R338" s="481"/>
      <c r="S338" s="481"/>
      <c r="T338" s="481"/>
      <c r="U338" s="481"/>
      <c r="V338" s="481"/>
      <c r="W338" s="481"/>
      <c r="X338" s="481"/>
      <c r="Y338" s="481"/>
      <c r="Z338" s="481"/>
      <c r="AA338" s="481"/>
      <c r="AB338" s="481"/>
      <c r="AC338" s="481"/>
    </row>
    <row r="339" hidden="1">
      <c r="A339" s="535"/>
      <c r="B339" s="536"/>
      <c r="C339" s="536"/>
      <c r="D339" s="537"/>
      <c r="E339" s="537"/>
      <c r="F339" s="537"/>
      <c r="G339" s="536"/>
      <c r="H339" s="481"/>
      <c r="I339" s="481"/>
      <c r="J339" s="481"/>
      <c r="K339" s="481"/>
      <c r="L339" s="481"/>
      <c r="M339" s="481"/>
      <c r="N339" s="481"/>
      <c r="O339" s="481"/>
      <c r="P339" s="481"/>
      <c r="Q339" s="481"/>
      <c r="R339" s="481"/>
      <c r="S339" s="481"/>
      <c r="T339" s="481"/>
      <c r="U339" s="481"/>
      <c r="V339" s="481"/>
      <c r="W339" s="481"/>
      <c r="X339" s="481"/>
      <c r="Y339" s="481"/>
      <c r="Z339" s="481"/>
      <c r="AA339" s="481"/>
      <c r="AB339" s="481"/>
      <c r="AC339" s="481"/>
    </row>
    <row r="340" hidden="1">
      <c r="A340" s="532"/>
      <c r="B340" s="533"/>
      <c r="C340" s="533"/>
      <c r="D340" s="534"/>
      <c r="E340" s="534"/>
      <c r="F340" s="534"/>
      <c r="G340" s="533"/>
      <c r="H340" s="481"/>
      <c r="I340" s="481"/>
      <c r="J340" s="481"/>
      <c r="K340" s="481"/>
      <c r="L340" s="481"/>
      <c r="M340" s="481"/>
      <c r="N340" s="481"/>
      <c r="O340" s="481"/>
      <c r="P340" s="481"/>
      <c r="Q340" s="481"/>
      <c r="R340" s="481"/>
      <c r="S340" s="481"/>
      <c r="T340" s="481"/>
      <c r="U340" s="481"/>
      <c r="V340" s="481"/>
      <c r="W340" s="481"/>
      <c r="X340" s="481"/>
      <c r="Y340" s="481"/>
      <c r="Z340" s="481"/>
      <c r="AA340" s="481"/>
      <c r="AB340" s="481"/>
      <c r="AC340" s="481"/>
    </row>
    <row r="341" hidden="1">
      <c r="A341" s="535"/>
      <c r="B341" s="536"/>
      <c r="C341" s="536"/>
      <c r="D341" s="537"/>
      <c r="E341" s="537"/>
      <c r="F341" s="537"/>
      <c r="G341" s="536"/>
      <c r="H341" s="481"/>
      <c r="I341" s="481"/>
      <c r="J341" s="481"/>
      <c r="K341" s="481"/>
      <c r="L341" s="481"/>
      <c r="M341" s="481"/>
      <c r="N341" s="481"/>
      <c r="O341" s="481"/>
      <c r="P341" s="481"/>
      <c r="Q341" s="481"/>
      <c r="R341" s="481"/>
      <c r="S341" s="481"/>
      <c r="T341" s="481"/>
      <c r="U341" s="481"/>
      <c r="V341" s="481"/>
      <c r="W341" s="481"/>
      <c r="X341" s="481"/>
      <c r="Y341" s="481"/>
      <c r="Z341" s="481"/>
      <c r="AA341" s="481"/>
      <c r="AB341" s="481"/>
      <c r="AC341" s="481"/>
    </row>
    <row r="342" hidden="1">
      <c r="A342" s="532"/>
      <c r="B342" s="533"/>
      <c r="C342" s="533"/>
      <c r="D342" s="534"/>
      <c r="E342" s="534"/>
      <c r="F342" s="534"/>
      <c r="G342" s="533"/>
      <c r="H342" s="481"/>
      <c r="I342" s="481"/>
      <c r="J342" s="481"/>
      <c r="K342" s="481"/>
      <c r="L342" s="481"/>
      <c r="M342" s="481"/>
      <c r="N342" s="481"/>
      <c r="O342" s="481"/>
      <c r="P342" s="481"/>
      <c r="Q342" s="481"/>
      <c r="R342" s="481"/>
      <c r="S342" s="481"/>
      <c r="T342" s="481"/>
      <c r="U342" s="481"/>
      <c r="V342" s="481"/>
      <c r="W342" s="481"/>
      <c r="X342" s="481"/>
      <c r="Y342" s="481"/>
      <c r="Z342" s="481"/>
      <c r="AA342" s="481"/>
      <c r="AB342" s="481"/>
      <c r="AC342" s="481"/>
    </row>
    <row r="343" hidden="1">
      <c r="A343" s="535"/>
      <c r="B343" s="536"/>
      <c r="C343" s="536"/>
      <c r="D343" s="537"/>
      <c r="E343" s="537"/>
      <c r="F343" s="537"/>
      <c r="G343" s="536"/>
      <c r="H343" s="481"/>
      <c r="I343" s="481"/>
      <c r="J343" s="481"/>
      <c r="K343" s="481"/>
      <c r="L343" s="481"/>
      <c r="M343" s="481"/>
      <c r="N343" s="481"/>
      <c r="O343" s="481"/>
      <c r="P343" s="481"/>
      <c r="Q343" s="481"/>
      <c r="R343" s="481"/>
      <c r="S343" s="481"/>
      <c r="T343" s="481"/>
      <c r="U343" s="481"/>
      <c r="V343" s="481"/>
      <c r="W343" s="481"/>
      <c r="X343" s="481"/>
      <c r="Y343" s="481"/>
      <c r="Z343" s="481"/>
      <c r="AA343" s="481"/>
      <c r="AB343" s="481"/>
      <c r="AC343" s="481"/>
    </row>
    <row r="344" hidden="1">
      <c r="A344" s="532"/>
      <c r="B344" s="533"/>
      <c r="C344" s="533"/>
      <c r="D344" s="534"/>
      <c r="E344" s="534"/>
      <c r="F344" s="534"/>
      <c r="G344" s="533"/>
      <c r="H344" s="481"/>
      <c r="I344" s="481"/>
      <c r="J344" s="481"/>
      <c r="K344" s="481"/>
      <c r="L344" s="481"/>
      <c r="M344" s="481"/>
      <c r="N344" s="481"/>
      <c r="O344" s="481"/>
      <c r="P344" s="481"/>
      <c r="Q344" s="481"/>
      <c r="R344" s="481"/>
      <c r="S344" s="481"/>
      <c r="T344" s="481"/>
      <c r="U344" s="481"/>
      <c r="V344" s="481"/>
      <c r="W344" s="481"/>
      <c r="X344" s="481"/>
      <c r="Y344" s="481"/>
      <c r="Z344" s="481"/>
      <c r="AA344" s="481"/>
      <c r="AB344" s="481"/>
      <c r="AC344" s="481"/>
    </row>
    <row r="345" hidden="1">
      <c r="A345" s="535"/>
      <c r="B345" s="536"/>
      <c r="C345" s="536"/>
      <c r="D345" s="537"/>
      <c r="E345" s="537"/>
      <c r="F345" s="537"/>
      <c r="G345" s="536"/>
      <c r="H345" s="481"/>
      <c r="I345" s="481"/>
      <c r="J345" s="481"/>
      <c r="K345" s="481"/>
      <c r="L345" s="481"/>
      <c r="M345" s="481"/>
      <c r="N345" s="481"/>
      <c r="O345" s="481"/>
      <c r="P345" s="481"/>
      <c r="Q345" s="481"/>
      <c r="R345" s="481"/>
      <c r="S345" s="481"/>
      <c r="T345" s="481"/>
      <c r="U345" s="481"/>
      <c r="V345" s="481"/>
      <c r="W345" s="481"/>
      <c r="X345" s="481"/>
      <c r="Y345" s="481"/>
      <c r="Z345" s="481"/>
      <c r="AA345" s="481"/>
      <c r="AB345" s="481"/>
      <c r="AC345" s="481"/>
    </row>
    <row r="346" hidden="1">
      <c r="A346" s="532"/>
      <c r="B346" s="533"/>
      <c r="C346" s="533"/>
      <c r="D346" s="534"/>
      <c r="E346" s="534"/>
      <c r="F346" s="534"/>
      <c r="G346" s="533"/>
      <c r="H346" s="481"/>
      <c r="I346" s="481"/>
      <c r="J346" s="481"/>
      <c r="K346" s="481"/>
      <c r="L346" s="481"/>
      <c r="M346" s="481"/>
      <c r="N346" s="481"/>
      <c r="O346" s="481"/>
      <c r="P346" s="481"/>
      <c r="Q346" s="481"/>
      <c r="R346" s="481"/>
      <c r="S346" s="481"/>
      <c r="T346" s="481"/>
      <c r="U346" s="481"/>
      <c r="V346" s="481"/>
      <c r="W346" s="481"/>
      <c r="X346" s="481"/>
      <c r="Y346" s="481"/>
      <c r="Z346" s="481"/>
      <c r="AA346" s="481"/>
      <c r="AB346" s="481"/>
      <c r="AC346" s="481"/>
    </row>
    <row r="347" hidden="1">
      <c r="A347" s="535"/>
      <c r="B347" s="536"/>
      <c r="C347" s="536"/>
      <c r="D347" s="537"/>
      <c r="E347" s="537"/>
      <c r="F347" s="537"/>
      <c r="G347" s="536"/>
      <c r="H347" s="481"/>
      <c r="I347" s="481"/>
      <c r="J347" s="481"/>
      <c r="K347" s="481"/>
      <c r="L347" s="481"/>
      <c r="M347" s="481"/>
      <c r="N347" s="481"/>
      <c r="O347" s="481"/>
      <c r="P347" s="481"/>
      <c r="Q347" s="481"/>
      <c r="R347" s="481"/>
      <c r="S347" s="481"/>
      <c r="T347" s="481"/>
      <c r="U347" s="481"/>
      <c r="V347" s="481"/>
      <c r="W347" s="481"/>
      <c r="X347" s="481"/>
      <c r="Y347" s="481"/>
      <c r="Z347" s="481"/>
      <c r="AA347" s="481"/>
      <c r="AB347" s="481"/>
      <c r="AC347" s="481"/>
    </row>
    <row r="348" hidden="1">
      <c r="A348" s="532"/>
      <c r="B348" s="533"/>
      <c r="C348" s="533"/>
      <c r="D348" s="534"/>
      <c r="E348" s="534"/>
      <c r="F348" s="534"/>
      <c r="G348" s="533"/>
      <c r="H348" s="481"/>
      <c r="I348" s="481"/>
      <c r="J348" s="481"/>
      <c r="K348" s="481"/>
      <c r="L348" s="481"/>
      <c r="M348" s="481"/>
      <c r="N348" s="481"/>
      <c r="O348" s="481"/>
      <c r="P348" s="481"/>
      <c r="Q348" s="481"/>
      <c r="R348" s="481"/>
      <c r="S348" s="481"/>
      <c r="T348" s="481"/>
      <c r="U348" s="481"/>
      <c r="V348" s="481"/>
      <c r="W348" s="481"/>
      <c r="X348" s="481"/>
      <c r="Y348" s="481"/>
      <c r="Z348" s="481"/>
      <c r="AA348" s="481"/>
      <c r="AB348" s="481"/>
      <c r="AC348" s="481"/>
    </row>
    <row r="349" hidden="1">
      <c r="A349" s="535"/>
      <c r="B349" s="536"/>
      <c r="C349" s="536"/>
      <c r="D349" s="537"/>
      <c r="E349" s="537"/>
      <c r="F349" s="537"/>
      <c r="G349" s="536"/>
      <c r="H349" s="481"/>
      <c r="I349" s="481"/>
      <c r="J349" s="481"/>
      <c r="K349" s="481"/>
      <c r="L349" s="481"/>
      <c r="M349" s="481"/>
      <c r="N349" s="481"/>
      <c r="O349" s="481"/>
      <c r="P349" s="481"/>
      <c r="Q349" s="481"/>
      <c r="R349" s="481"/>
      <c r="S349" s="481"/>
      <c r="T349" s="481"/>
      <c r="U349" s="481"/>
      <c r="V349" s="481"/>
      <c r="W349" s="481"/>
      <c r="X349" s="481"/>
      <c r="Y349" s="481"/>
      <c r="Z349" s="481"/>
      <c r="AA349" s="481"/>
      <c r="AB349" s="481"/>
      <c r="AC349" s="481"/>
    </row>
    <row r="350" hidden="1">
      <c r="A350" s="532"/>
      <c r="B350" s="533"/>
      <c r="C350" s="533"/>
      <c r="D350" s="534"/>
      <c r="E350" s="534"/>
      <c r="F350" s="534"/>
      <c r="G350" s="533"/>
      <c r="H350" s="481"/>
      <c r="I350" s="481"/>
      <c r="J350" s="481"/>
      <c r="K350" s="481"/>
      <c r="L350" s="481"/>
      <c r="M350" s="481"/>
      <c r="N350" s="481"/>
      <c r="O350" s="481"/>
      <c r="P350" s="481"/>
      <c r="Q350" s="481"/>
      <c r="R350" s="481"/>
      <c r="S350" s="481"/>
      <c r="T350" s="481"/>
      <c r="U350" s="481"/>
      <c r="V350" s="481"/>
      <c r="W350" s="481"/>
      <c r="X350" s="481"/>
      <c r="Y350" s="481"/>
      <c r="Z350" s="481"/>
      <c r="AA350" s="481"/>
      <c r="AB350" s="481"/>
      <c r="AC350" s="481"/>
    </row>
    <row r="351" hidden="1">
      <c r="A351" s="535"/>
      <c r="B351" s="536"/>
      <c r="C351" s="536"/>
      <c r="D351" s="537"/>
      <c r="E351" s="537"/>
      <c r="F351" s="537"/>
      <c r="G351" s="536"/>
      <c r="H351" s="481"/>
      <c r="I351" s="481"/>
      <c r="J351" s="481"/>
      <c r="K351" s="481"/>
      <c r="L351" s="481"/>
      <c r="M351" s="481"/>
      <c r="N351" s="481"/>
      <c r="O351" s="481"/>
      <c r="P351" s="481"/>
      <c r="Q351" s="481"/>
      <c r="R351" s="481"/>
      <c r="S351" s="481"/>
      <c r="T351" s="481"/>
      <c r="U351" s="481"/>
      <c r="V351" s="481"/>
      <c r="W351" s="481"/>
      <c r="X351" s="481"/>
      <c r="Y351" s="481"/>
      <c r="Z351" s="481"/>
      <c r="AA351" s="481"/>
      <c r="AB351" s="481"/>
      <c r="AC351" s="481"/>
    </row>
    <row r="352" hidden="1">
      <c r="A352" s="532"/>
      <c r="B352" s="533"/>
      <c r="C352" s="533"/>
      <c r="D352" s="534"/>
      <c r="E352" s="534"/>
      <c r="F352" s="534"/>
      <c r="G352" s="533"/>
      <c r="H352" s="481"/>
      <c r="I352" s="481"/>
      <c r="J352" s="481"/>
      <c r="K352" s="481"/>
      <c r="L352" s="481"/>
      <c r="M352" s="481"/>
      <c r="N352" s="481"/>
      <c r="O352" s="481"/>
      <c r="P352" s="481"/>
      <c r="Q352" s="481"/>
      <c r="R352" s="481"/>
      <c r="S352" s="481"/>
      <c r="T352" s="481"/>
      <c r="U352" s="481"/>
      <c r="V352" s="481"/>
      <c r="W352" s="481"/>
      <c r="X352" s="481"/>
      <c r="Y352" s="481"/>
      <c r="Z352" s="481"/>
      <c r="AA352" s="481"/>
      <c r="AB352" s="481"/>
      <c r="AC352" s="481"/>
    </row>
    <row r="353" hidden="1">
      <c r="A353" s="535"/>
      <c r="B353" s="536"/>
      <c r="C353" s="536"/>
      <c r="D353" s="537"/>
      <c r="E353" s="537"/>
      <c r="F353" s="537"/>
      <c r="G353" s="536"/>
      <c r="H353" s="481"/>
      <c r="I353" s="481"/>
      <c r="J353" s="481"/>
      <c r="K353" s="481"/>
      <c r="L353" s="481"/>
      <c r="M353" s="481"/>
      <c r="N353" s="481"/>
      <c r="O353" s="481"/>
      <c r="P353" s="481"/>
      <c r="Q353" s="481"/>
      <c r="R353" s="481"/>
      <c r="S353" s="481"/>
      <c r="T353" s="481"/>
      <c r="U353" s="481"/>
      <c r="V353" s="481"/>
      <c r="W353" s="481"/>
      <c r="X353" s="481"/>
      <c r="Y353" s="481"/>
      <c r="Z353" s="481"/>
      <c r="AA353" s="481"/>
      <c r="AB353" s="481"/>
      <c r="AC353" s="481"/>
    </row>
    <row r="354" hidden="1">
      <c r="A354" s="532"/>
      <c r="B354" s="533"/>
      <c r="C354" s="533"/>
      <c r="D354" s="534"/>
      <c r="E354" s="534"/>
      <c r="F354" s="534"/>
      <c r="G354" s="533"/>
      <c r="H354" s="481"/>
      <c r="I354" s="481"/>
      <c r="J354" s="481"/>
      <c r="K354" s="481"/>
      <c r="L354" s="481"/>
      <c r="M354" s="481"/>
      <c r="N354" s="481"/>
      <c r="O354" s="481"/>
      <c r="P354" s="481"/>
      <c r="Q354" s="481"/>
      <c r="R354" s="481"/>
      <c r="S354" s="481"/>
      <c r="T354" s="481"/>
      <c r="U354" s="481"/>
      <c r="V354" s="481"/>
      <c r="W354" s="481"/>
      <c r="X354" s="481"/>
      <c r="Y354" s="481"/>
      <c r="Z354" s="481"/>
      <c r="AA354" s="481"/>
      <c r="AB354" s="481"/>
      <c r="AC354" s="481"/>
    </row>
    <row r="355" hidden="1">
      <c r="A355" s="535"/>
      <c r="B355" s="536"/>
      <c r="C355" s="536"/>
      <c r="D355" s="537"/>
      <c r="E355" s="537"/>
      <c r="F355" s="537"/>
      <c r="G355" s="536"/>
      <c r="H355" s="481"/>
      <c r="I355" s="481"/>
      <c r="J355" s="481"/>
      <c r="K355" s="481"/>
      <c r="L355" s="481"/>
      <c r="M355" s="481"/>
      <c r="N355" s="481"/>
      <c r="O355" s="481"/>
      <c r="P355" s="481"/>
      <c r="Q355" s="481"/>
      <c r="R355" s="481"/>
      <c r="S355" s="481"/>
      <c r="T355" s="481"/>
      <c r="U355" s="481"/>
      <c r="V355" s="481"/>
      <c r="W355" s="481"/>
      <c r="X355" s="481"/>
      <c r="Y355" s="481"/>
      <c r="Z355" s="481"/>
      <c r="AA355" s="481"/>
      <c r="AB355" s="481"/>
      <c r="AC355" s="481"/>
    </row>
    <row r="356" hidden="1">
      <c r="A356" s="532"/>
      <c r="B356" s="533"/>
      <c r="C356" s="533"/>
      <c r="D356" s="534"/>
      <c r="E356" s="534"/>
      <c r="F356" s="534"/>
      <c r="G356" s="533"/>
      <c r="H356" s="481"/>
      <c r="I356" s="481"/>
      <c r="J356" s="481"/>
      <c r="K356" s="481"/>
      <c r="L356" s="481"/>
      <c r="M356" s="481"/>
      <c r="N356" s="481"/>
      <c r="O356" s="481"/>
      <c r="P356" s="481"/>
      <c r="Q356" s="481"/>
      <c r="R356" s="481"/>
      <c r="S356" s="481"/>
      <c r="T356" s="481"/>
      <c r="U356" s="481"/>
      <c r="V356" s="481"/>
      <c r="W356" s="481"/>
      <c r="X356" s="481"/>
      <c r="Y356" s="481"/>
      <c r="Z356" s="481"/>
      <c r="AA356" s="481"/>
      <c r="AB356" s="481"/>
      <c r="AC356" s="481"/>
    </row>
    <row r="357" hidden="1">
      <c r="A357" s="535"/>
      <c r="B357" s="536"/>
      <c r="C357" s="536"/>
      <c r="D357" s="537"/>
      <c r="E357" s="537"/>
      <c r="F357" s="537"/>
      <c r="G357" s="536"/>
      <c r="H357" s="481"/>
      <c r="I357" s="481"/>
      <c r="J357" s="481"/>
      <c r="K357" s="481"/>
      <c r="L357" s="481"/>
      <c r="M357" s="481"/>
      <c r="N357" s="481"/>
      <c r="O357" s="481"/>
      <c r="P357" s="481"/>
      <c r="Q357" s="481"/>
      <c r="R357" s="481"/>
      <c r="S357" s="481"/>
      <c r="T357" s="481"/>
      <c r="U357" s="481"/>
      <c r="V357" s="481"/>
      <c r="W357" s="481"/>
      <c r="X357" s="481"/>
      <c r="Y357" s="481"/>
      <c r="Z357" s="481"/>
      <c r="AA357" s="481"/>
      <c r="AB357" s="481"/>
      <c r="AC357" s="481"/>
    </row>
    <row r="358" hidden="1">
      <c r="A358" s="532"/>
      <c r="B358" s="533"/>
      <c r="C358" s="533"/>
      <c r="D358" s="534"/>
      <c r="E358" s="534"/>
      <c r="F358" s="534"/>
      <c r="G358" s="533"/>
      <c r="H358" s="481"/>
      <c r="I358" s="481"/>
      <c r="J358" s="481"/>
      <c r="K358" s="481"/>
      <c r="L358" s="481"/>
      <c r="M358" s="481"/>
      <c r="N358" s="481"/>
      <c r="O358" s="481"/>
      <c r="P358" s="481"/>
      <c r="Q358" s="481"/>
      <c r="R358" s="481"/>
      <c r="S358" s="481"/>
      <c r="T358" s="481"/>
      <c r="U358" s="481"/>
      <c r="V358" s="481"/>
      <c r="W358" s="481"/>
      <c r="X358" s="481"/>
      <c r="Y358" s="481"/>
      <c r="Z358" s="481"/>
      <c r="AA358" s="481"/>
      <c r="AB358" s="481"/>
      <c r="AC358" s="481"/>
    </row>
    <row r="359" hidden="1">
      <c r="A359" s="535"/>
      <c r="B359" s="536"/>
      <c r="C359" s="536"/>
      <c r="D359" s="537"/>
      <c r="E359" s="537"/>
      <c r="F359" s="537"/>
      <c r="G359" s="536"/>
      <c r="H359" s="481"/>
      <c r="I359" s="481"/>
      <c r="J359" s="481"/>
      <c r="K359" s="481"/>
      <c r="L359" s="481"/>
      <c r="M359" s="481"/>
      <c r="N359" s="481"/>
      <c r="O359" s="481"/>
      <c r="P359" s="481"/>
      <c r="Q359" s="481"/>
      <c r="R359" s="481"/>
      <c r="S359" s="481"/>
      <c r="T359" s="481"/>
      <c r="U359" s="481"/>
      <c r="V359" s="481"/>
      <c r="W359" s="481"/>
      <c r="X359" s="481"/>
      <c r="Y359" s="481"/>
      <c r="Z359" s="481"/>
      <c r="AA359" s="481"/>
      <c r="AB359" s="481"/>
      <c r="AC359" s="481"/>
    </row>
    <row r="360" hidden="1">
      <c r="A360" s="532"/>
      <c r="B360" s="533"/>
      <c r="C360" s="533"/>
      <c r="D360" s="534"/>
      <c r="E360" s="534"/>
      <c r="F360" s="534"/>
      <c r="G360" s="533"/>
      <c r="H360" s="481"/>
      <c r="I360" s="481"/>
      <c r="J360" s="481"/>
      <c r="K360" s="481"/>
      <c r="L360" s="481"/>
      <c r="M360" s="481"/>
      <c r="N360" s="481"/>
      <c r="O360" s="481"/>
      <c r="P360" s="481"/>
      <c r="Q360" s="481"/>
      <c r="R360" s="481"/>
      <c r="S360" s="481"/>
      <c r="T360" s="481"/>
      <c r="U360" s="481"/>
      <c r="V360" s="481"/>
      <c r="W360" s="481"/>
      <c r="X360" s="481"/>
      <c r="Y360" s="481"/>
      <c r="Z360" s="481"/>
      <c r="AA360" s="481"/>
      <c r="AB360" s="481"/>
      <c r="AC360" s="481"/>
    </row>
    <row r="361" hidden="1">
      <c r="A361" s="535"/>
      <c r="B361" s="536"/>
      <c r="C361" s="536"/>
      <c r="D361" s="537"/>
      <c r="E361" s="537"/>
      <c r="F361" s="537"/>
      <c r="G361" s="536"/>
      <c r="H361" s="481"/>
      <c r="I361" s="481"/>
      <c r="J361" s="481"/>
      <c r="K361" s="481"/>
      <c r="L361" s="481"/>
      <c r="M361" s="481"/>
      <c r="N361" s="481"/>
      <c r="O361" s="481"/>
      <c r="P361" s="481"/>
      <c r="Q361" s="481"/>
      <c r="R361" s="481"/>
      <c r="S361" s="481"/>
      <c r="T361" s="481"/>
      <c r="U361" s="481"/>
      <c r="V361" s="481"/>
      <c r="W361" s="481"/>
      <c r="X361" s="481"/>
      <c r="Y361" s="481"/>
      <c r="Z361" s="481"/>
      <c r="AA361" s="481"/>
      <c r="AB361" s="481"/>
      <c r="AC361" s="481"/>
    </row>
    <row r="362" hidden="1">
      <c r="A362" s="532"/>
      <c r="B362" s="533"/>
      <c r="C362" s="533"/>
      <c r="D362" s="534"/>
      <c r="E362" s="534"/>
      <c r="F362" s="534"/>
      <c r="G362" s="533"/>
      <c r="H362" s="481"/>
      <c r="I362" s="481"/>
      <c r="J362" s="481"/>
      <c r="K362" s="481"/>
      <c r="L362" s="481"/>
      <c r="M362" s="481"/>
      <c r="N362" s="481"/>
      <c r="O362" s="481"/>
      <c r="P362" s="481"/>
      <c r="Q362" s="481"/>
      <c r="R362" s="481"/>
      <c r="S362" s="481"/>
      <c r="T362" s="481"/>
      <c r="U362" s="481"/>
      <c r="V362" s="481"/>
      <c r="W362" s="481"/>
      <c r="X362" s="481"/>
      <c r="Y362" s="481"/>
      <c r="Z362" s="481"/>
      <c r="AA362" s="481"/>
      <c r="AB362" s="481"/>
      <c r="AC362" s="481"/>
    </row>
    <row r="363" hidden="1">
      <c r="A363" s="535"/>
      <c r="B363" s="536"/>
      <c r="C363" s="536"/>
      <c r="D363" s="537"/>
      <c r="E363" s="537"/>
      <c r="F363" s="537"/>
      <c r="G363" s="536"/>
      <c r="H363" s="481"/>
      <c r="I363" s="481"/>
      <c r="J363" s="481"/>
      <c r="K363" s="481"/>
      <c r="L363" s="481"/>
      <c r="M363" s="481"/>
      <c r="N363" s="481"/>
      <c r="O363" s="481"/>
      <c r="P363" s="481"/>
      <c r="Q363" s="481"/>
      <c r="R363" s="481"/>
      <c r="S363" s="481"/>
      <c r="T363" s="481"/>
      <c r="U363" s="481"/>
      <c r="V363" s="481"/>
      <c r="W363" s="481"/>
      <c r="X363" s="481"/>
      <c r="Y363" s="481"/>
      <c r="Z363" s="481"/>
      <c r="AA363" s="481"/>
      <c r="AB363" s="481"/>
      <c r="AC363" s="481"/>
    </row>
    <row r="364" hidden="1">
      <c r="A364" s="532"/>
      <c r="B364" s="533"/>
      <c r="C364" s="533"/>
      <c r="D364" s="534"/>
      <c r="E364" s="534"/>
      <c r="F364" s="534"/>
      <c r="G364" s="533"/>
      <c r="H364" s="481"/>
      <c r="I364" s="481"/>
      <c r="J364" s="481"/>
      <c r="K364" s="481"/>
      <c r="L364" s="481"/>
      <c r="M364" s="481"/>
      <c r="N364" s="481"/>
      <c r="O364" s="481"/>
      <c r="P364" s="481"/>
      <c r="Q364" s="481"/>
      <c r="R364" s="481"/>
      <c r="S364" s="481"/>
      <c r="T364" s="481"/>
      <c r="U364" s="481"/>
      <c r="V364" s="481"/>
      <c r="W364" s="481"/>
      <c r="X364" s="481"/>
      <c r="Y364" s="481"/>
      <c r="Z364" s="481"/>
      <c r="AA364" s="481"/>
      <c r="AB364" s="481"/>
      <c r="AC364" s="481"/>
    </row>
    <row r="365" hidden="1">
      <c r="A365" s="535"/>
      <c r="B365" s="536"/>
      <c r="C365" s="536"/>
      <c r="D365" s="537"/>
      <c r="E365" s="537"/>
      <c r="F365" s="537"/>
      <c r="G365" s="536"/>
      <c r="H365" s="481"/>
      <c r="I365" s="481"/>
      <c r="J365" s="481"/>
      <c r="K365" s="481"/>
      <c r="L365" s="481"/>
      <c r="M365" s="481"/>
      <c r="N365" s="481"/>
      <c r="O365" s="481"/>
      <c r="P365" s="481"/>
      <c r="Q365" s="481"/>
      <c r="R365" s="481"/>
      <c r="S365" s="481"/>
      <c r="T365" s="481"/>
      <c r="U365" s="481"/>
      <c r="V365" s="481"/>
      <c r="W365" s="481"/>
      <c r="X365" s="481"/>
      <c r="Y365" s="481"/>
      <c r="Z365" s="481"/>
      <c r="AA365" s="481"/>
      <c r="AB365" s="481"/>
      <c r="AC365" s="481"/>
    </row>
    <row r="366" hidden="1">
      <c r="A366" s="532"/>
      <c r="B366" s="533"/>
      <c r="C366" s="533"/>
      <c r="D366" s="534"/>
      <c r="E366" s="534"/>
      <c r="F366" s="534"/>
      <c r="G366" s="533"/>
      <c r="H366" s="481"/>
      <c r="I366" s="481"/>
      <c r="J366" s="481"/>
      <c r="K366" s="481"/>
      <c r="L366" s="481"/>
      <c r="M366" s="481"/>
      <c r="N366" s="481"/>
      <c r="O366" s="481"/>
      <c r="P366" s="481"/>
      <c r="Q366" s="481"/>
      <c r="R366" s="481"/>
      <c r="S366" s="481"/>
      <c r="T366" s="481"/>
      <c r="U366" s="481"/>
      <c r="V366" s="481"/>
      <c r="W366" s="481"/>
      <c r="X366" s="481"/>
      <c r="Y366" s="481"/>
      <c r="Z366" s="481"/>
      <c r="AA366" s="481"/>
      <c r="AB366" s="481"/>
      <c r="AC366" s="481"/>
    </row>
    <row r="367" hidden="1">
      <c r="A367" s="535"/>
      <c r="B367" s="536"/>
      <c r="C367" s="536"/>
      <c r="D367" s="537"/>
      <c r="E367" s="537"/>
      <c r="F367" s="537"/>
      <c r="G367" s="536"/>
      <c r="H367" s="481"/>
      <c r="I367" s="481"/>
      <c r="J367" s="481"/>
      <c r="K367" s="481"/>
      <c r="L367" s="481"/>
      <c r="M367" s="481"/>
      <c r="N367" s="481"/>
      <c r="O367" s="481"/>
      <c r="P367" s="481"/>
      <c r="Q367" s="481"/>
      <c r="R367" s="481"/>
      <c r="S367" s="481"/>
      <c r="T367" s="481"/>
      <c r="U367" s="481"/>
      <c r="V367" s="481"/>
      <c r="W367" s="481"/>
      <c r="X367" s="481"/>
      <c r="Y367" s="481"/>
      <c r="Z367" s="481"/>
      <c r="AA367" s="481"/>
      <c r="AB367" s="481"/>
      <c r="AC367" s="481"/>
    </row>
    <row r="368" hidden="1">
      <c r="A368" s="532"/>
      <c r="B368" s="533"/>
      <c r="C368" s="533"/>
      <c r="D368" s="534"/>
      <c r="E368" s="534"/>
      <c r="F368" s="534"/>
      <c r="G368" s="533"/>
      <c r="H368" s="481"/>
      <c r="I368" s="481"/>
      <c r="J368" s="481"/>
      <c r="K368" s="481"/>
      <c r="L368" s="481"/>
      <c r="M368" s="481"/>
      <c r="N368" s="481"/>
      <c r="O368" s="481"/>
      <c r="P368" s="481"/>
      <c r="Q368" s="481"/>
      <c r="R368" s="481"/>
      <c r="S368" s="481"/>
      <c r="T368" s="481"/>
      <c r="U368" s="481"/>
      <c r="V368" s="481"/>
      <c r="W368" s="481"/>
      <c r="X368" s="481"/>
      <c r="Y368" s="481"/>
      <c r="Z368" s="481"/>
      <c r="AA368" s="481"/>
      <c r="AB368" s="481"/>
      <c r="AC368" s="481"/>
    </row>
    <row r="369" hidden="1">
      <c r="A369" s="535"/>
      <c r="B369" s="536"/>
      <c r="C369" s="536"/>
      <c r="D369" s="537"/>
      <c r="E369" s="537"/>
      <c r="F369" s="537"/>
      <c r="G369" s="536"/>
      <c r="H369" s="481"/>
      <c r="I369" s="481"/>
      <c r="J369" s="481"/>
      <c r="K369" s="481"/>
      <c r="L369" s="481"/>
      <c r="M369" s="481"/>
      <c r="N369" s="481"/>
      <c r="O369" s="481"/>
      <c r="P369" s="481"/>
      <c r="Q369" s="481"/>
      <c r="R369" s="481"/>
      <c r="S369" s="481"/>
      <c r="T369" s="481"/>
      <c r="U369" s="481"/>
      <c r="V369" s="481"/>
      <c r="W369" s="481"/>
      <c r="X369" s="481"/>
      <c r="Y369" s="481"/>
      <c r="Z369" s="481"/>
      <c r="AA369" s="481"/>
      <c r="AB369" s="481"/>
      <c r="AC369" s="481"/>
    </row>
    <row r="370" hidden="1">
      <c r="A370" s="532"/>
      <c r="B370" s="533"/>
      <c r="C370" s="533"/>
      <c r="D370" s="534"/>
      <c r="E370" s="534"/>
      <c r="F370" s="534"/>
      <c r="G370" s="533"/>
      <c r="H370" s="481"/>
      <c r="I370" s="481"/>
      <c r="J370" s="481"/>
      <c r="K370" s="481"/>
      <c r="L370" s="481"/>
      <c r="M370" s="481"/>
      <c r="N370" s="481"/>
      <c r="O370" s="481"/>
      <c r="P370" s="481"/>
      <c r="Q370" s="481"/>
      <c r="R370" s="481"/>
      <c r="S370" s="481"/>
      <c r="T370" s="481"/>
      <c r="U370" s="481"/>
      <c r="V370" s="481"/>
      <c r="W370" s="481"/>
      <c r="X370" s="481"/>
      <c r="Y370" s="481"/>
      <c r="Z370" s="481"/>
      <c r="AA370" s="481"/>
      <c r="AB370" s="481"/>
      <c r="AC370" s="481"/>
    </row>
    <row r="371" hidden="1">
      <c r="A371" s="535"/>
      <c r="B371" s="536"/>
      <c r="C371" s="536"/>
      <c r="D371" s="537"/>
      <c r="E371" s="537"/>
      <c r="F371" s="537"/>
      <c r="G371" s="536"/>
      <c r="H371" s="481"/>
      <c r="I371" s="481"/>
      <c r="J371" s="481"/>
      <c r="K371" s="481"/>
      <c r="L371" s="481"/>
      <c r="M371" s="481"/>
      <c r="N371" s="481"/>
      <c r="O371" s="481"/>
      <c r="P371" s="481"/>
      <c r="Q371" s="481"/>
      <c r="R371" s="481"/>
      <c r="S371" s="481"/>
      <c r="T371" s="481"/>
      <c r="U371" s="481"/>
      <c r="V371" s="481"/>
      <c r="W371" s="481"/>
      <c r="X371" s="481"/>
      <c r="Y371" s="481"/>
      <c r="Z371" s="481"/>
      <c r="AA371" s="481"/>
      <c r="AB371" s="481"/>
      <c r="AC371" s="481"/>
    </row>
    <row r="372" hidden="1">
      <c r="A372" s="532"/>
      <c r="B372" s="533"/>
      <c r="C372" s="533"/>
      <c r="D372" s="534"/>
      <c r="E372" s="534"/>
      <c r="F372" s="534"/>
      <c r="G372" s="533"/>
      <c r="H372" s="481"/>
      <c r="I372" s="481"/>
      <c r="J372" s="481"/>
      <c r="K372" s="481"/>
      <c r="L372" s="481"/>
      <c r="M372" s="481"/>
      <c r="N372" s="481"/>
      <c r="O372" s="481"/>
      <c r="P372" s="481"/>
      <c r="Q372" s="481"/>
      <c r="R372" s="481"/>
      <c r="S372" s="481"/>
      <c r="T372" s="481"/>
      <c r="U372" s="481"/>
      <c r="V372" s="481"/>
      <c r="W372" s="481"/>
      <c r="X372" s="481"/>
      <c r="Y372" s="481"/>
      <c r="Z372" s="481"/>
      <c r="AA372" s="481"/>
      <c r="AB372" s="481"/>
      <c r="AC372" s="481"/>
    </row>
    <row r="373" hidden="1">
      <c r="A373" s="535"/>
      <c r="B373" s="536"/>
      <c r="C373" s="536"/>
      <c r="D373" s="537"/>
      <c r="E373" s="537"/>
      <c r="F373" s="537"/>
      <c r="G373" s="536"/>
      <c r="H373" s="481"/>
      <c r="I373" s="481"/>
      <c r="J373" s="481"/>
      <c r="K373" s="481"/>
      <c r="L373" s="481"/>
      <c r="M373" s="481"/>
      <c r="N373" s="481"/>
      <c r="O373" s="481"/>
      <c r="P373" s="481"/>
      <c r="Q373" s="481"/>
      <c r="R373" s="481"/>
      <c r="S373" s="481"/>
      <c r="T373" s="481"/>
      <c r="U373" s="481"/>
      <c r="V373" s="481"/>
      <c r="W373" s="481"/>
      <c r="X373" s="481"/>
      <c r="Y373" s="481"/>
      <c r="Z373" s="481"/>
      <c r="AA373" s="481"/>
      <c r="AB373" s="481"/>
      <c r="AC373" s="481"/>
    </row>
    <row r="374" hidden="1">
      <c r="A374" s="532"/>
      <c r="B374" s="533"/>
      <c r="C374" s="533"/>
      <c r="D374" s="534"/>
      <c r="E374" s="534"/>
      <c r="F374" s="534"/>
      <c r="G374" s="533"/>
      <c r="H374" s="481"/>
      <c r="I374" s="481"/>
      <c r="J374" s="481"/>
      <c r="K374" s="481"/>
      <c r="L374" s="481"/>
      <c r="M374" s="481"/>
      <c r="N374" s="481"/>
      <c r="O374" s="481"/>
      <c r="P374" s="481"/>
      <c r="Q374" s="481"/>
      <c r="R374" s="481"/>
      <c r="S374" s="481"/>
      <c r="T374" s="481"/>
      <c r="U374" s="481"/>
      <c r="V374" s="481"/>
      <c r="W374" s="481"/>
      <c r="X374" s="481"/>
      <c r="Y374" s="481"/>
      <c r="Z374" s="481"/>
      <c r="AA374" s="481"/>
      <c r="AB374" s="481"/>
      <c r="AC374" s="481"/>
    </row>
    <row r="375" hidden="1">
      <c r="A375" s="535"/>
      <c r="B375" s="536"/>
      <c r="C375" s="536"/>
      <c r="D375" s="537"/>
      <c r="E375" s="537"/>
      <c r="F375" s="537"/>
      <c r="G375" s="536"/>
      <c r="H375" s="481"/>
      <c r="I375" s="481"/>
      <c r="J375" s="481"/>
      <c r="K375" s="481"/>
      <c r="L375" s="481"/>
      <c r="M375" s="481"/>
      <c r="N375" s="481"/>
      <c r="O375" s="481"/>
      <c r="P375" s="481"/>
      <c r="Q375" s="481"/>
      <c r="R375" s="481"/>
      <c r="S375" s="481"/>
      <c r="T375" s="481"/>
      <c r="U375" s="481"/>
      <c r="V375" s="481"/>
      <c r="W375" s="481"/>
      <c r="X375" s="481"/>
      <c r="Y375" s="481"/>
      <c r="Z375" s="481"/>
      <c r="AA375" s="481"/>
      <c r="AB375" s="481"/>
      <c r="AC375" s="481"/>
    </row>
    <row r="376" hidden="1">
      <c r="A376" s="532"/>
      <c r="B376" s="533"/>
      <c r="C376" s="533"/>
      <c r="D376" s="534"/>
      <c r="E376" s="534"/>
      <c r="F376" s="534"/>
      <c r="G376" s="533"/>
      <c r="H376" s="481"/>
      <c r="I376" s="481"/>
      <c r="J376" s="481"/>
      <c r="K376" s="481"/>
      <c r="L376" s="481"/>
      <c r="M376" s="481"/>
      <c r="N376" s="481"/>
      <c r="O376" s="481"/>
      <c r="P376" s="481"/>
      <c r="Q376" s="481"/>
      <c r="R376" s="481"/>
      <c r="S376" s="481"/>
      <c r="T376" s="481"/>
      <c r="U376" s="481"/>
      <c r="V376" s="481"/>
      <c r="W376" s="481"/>
      <c r="X376" s="481"/>
      <c r="Y376" s="481"/>
      <c r="Z376" s="481"/>
      <c r="AA376" s="481"/>
      <c r="AB376" s="481"/>
      <c r="AC376" s="481"/>
    </row>
    <row r="377" hidden="1">
      <c r="A377" s="535"/>
      <c r="B377" s="536"/>
      <c r="C377" s="536"/>
      <c r="D377" s="537"/>
      <c r="E377" s="537"/>
      <c r="F377" s="537"/>
      <c r="G377" s="536"/>
      <c r="H377" s="481"/>
      <c r="I377" s="481"/>
      <c r="J377" s="481"/>
      <c r="K377" s="481"/>
      <c r="L377" s="481"/>
      <c r="M377" s="481"/>
      <c r="N377" s="481"/>
      <c r="O377" s="481"/>
      <c r="P377" s="481"/>
      <c r="Q377" s="481"/>
      <c r="R377" s="481"/>
      <c r="S377" s="481"/>
      <c r="T377" s="481"/>
      <c r="U377" s="481"/>
      <c r="V377" s="481"/>
      <c r="W377" s="481"/>
      <c r="X377" s="481"/>
      <c r="Y377" s="481"/>
      <c r="Z377" s="481"/>
      <c r="AA377" s="481"/>
      <c r="AB377" s="481"/>
      <c r="AC377" s="481"/>
    </row>
    <row r="378" hidden="1">
      <c r="A378" s="532"/>
      <c r="B378" s="533"/>
      <c r="C378" s="533"/>
      <c r="D378" s="534"/>
      <c r="E378" s="534"/>
      <c r="F378" s="534"/>
      <c r="G378" s="533"/>
      <c r="H378" s="481"/>
      <c r="I378" s="481"/>
      <c r="J378" s="481"/>
      <c r="K378" s="481"/>
      <c r="L378" s="481"/>
      <c r="M378" s="481"/>
      <c r="N378" s="481"/>
      <c r="O378" s="481"/>
      <c r="P378" s="481"/>
      <c r="Q378" s="481"/>
      <c r="R378" s="481"/>
      <c r="S378" s="481"/>
      <c r="T378" s="481"/>
      <c r="U378" s="481"/>
      <c r="V378" s="481"/>
      <c r="W378" s="481"/>
      <c r="X378" s="481"/>
      <c r="Y378" s="481"/>
      <c r="Z378" s="481"/>
      <c r="AA378" s="481"/>
      <c r="AB378" s="481"/>
      <c r="AC378" s="481"/>
    </row>
    <row r="379" hidden="1">
      <c r="A379" s="535"/>
      <c r="B379" s="536"/>
      <c r="C379" s="536"/>
      <c r="D379" s="537"/>
      <c r="E379" s="537"/>
      <c r="F379" s="537"/>
      <c r="G379" s="536"/>
      <c r="H379" s="481"/>
      <c r="I379" s="481"/>
      <c r="J379" s="481"/>
      <c r="K379" s="481"/>
      <c r="L379" s="481"/>
      <c r="M379" s="481"/>
      <c r="N379" s="481"/>
      <c r="O379" s="481"/>
      <c r="P379" s="481"/>
      <c r="Q379" s="481"/>
      <c r="R379" s="481"/>
      <c r="S379" s="481"/>
      <c r="T379" s="481"/>
      <c r="U379" s="481"/>
      <c r="V379" s="481"/>
      <c r="W379" s="481"/>
      <c r="X379" s="481"/>
      <c r="Y379" s="481"/>
      <c r="Z379" s="481"/>
      <c r="AA379" s="481"/>
      <c r="AB379" s="481"/>
      <c r="AC379" s="481"/>
    </row>
    <row r="380" hidden="1">
      <c r="A380" s="532"/>
      <c r="B380" s="533"/>
      <c r="C380" s="533"/>
      <c r="D380" s="534"/>
      <c r="E380" s="534"/>
      <c r="F380" s="534"/>
      <c r="G380" s="533"/>
      <c r="H380" s="481"/>
      <c r="I380" s="481"/>
      <c r="J380" s="481"/>
      <c r="K380" s="481"/>
      <c r="L380" s="481"/>
      <c r="M380" s="481"/>
      <c r="N380" s="481"/>
      <c r="O380" s="481"/>
      <c r="P380" s="481"/>
      <c r="Q380" s="481"/>
      <c r="R380" s="481"/>
      <c r="S380" s="481"/>
      <c r="T380" s="481"/>
      <c r="U380" s="481"/>
      <c r="V380" s="481"/>
      <c r="W380" s="481"/>
      <c r="X380" s="481"/>
      <c r="Y380" s="481"/>
      <c r="Z380" s="481"/>
      <c r="AA380" s="481"/>
      <c r="AB380" s="481"/>
      <c r="AC380" s="481"/>
    </row>
    <row r="381" hidden="1">
      <c r="A381" s="535"/>
      <c r="B381" s="536"/>
      <c r="C381" s="536"/>
      <c r="D381" s="537"/>
      <c r="E381" s="537"/>
      <c r="F381" s="537"/>
      <c r="G381" s="536"/>
      <c r="H381" s="481"/>
      <c r="I381" s="481"/>
      <c r="J381" s="481"/>
      <c r="K381" s="481"/>
      <c r="L381" s="481"/>
      <c r="M381" s="481"/>
      <c r="N381" s="481"/>
      <c r="O381" s="481"/>
      <c r="P381" s="481"/>
      <c r="Q381" s="481"/>
      <c r="R381" s="481"/>
      <c r="S381" s="481"/>
      <c r="T381" s="481"/>
      <c r="U381" s="481"/>
      <c r="V381" s="481"/>
      <c r="W381" s="481"/>
      <c r="X381" s="481"/>
      <c r="Y381" s="481"/>
      <c r="Z381" s="481"/>
      <c r="AA381" s="481"/>
      <c r="AB381" s="481"/>
      <c r="AC381" s="481"/>
    </row>
    <row r="382" hidden="1">
      <c r="A382" s="532"/>
      <c r="B382" s="533"/>
      <c r="C382" s="533"/>
      <c r="D382" s="534"/>
      <c r="E382" s="534"/>
      <c r="F382" s="534"/>
      <c r="G382" s="533"/>
      <c r="H382" s="481"/>
      <c r="I382" s="481"/>
      <c r="J382" s="481"/>
      <c r="K382" s="481"/>
      <c r="L382" s="481"/>
      <c r="M382" s="481"/>
      <c r="N382" s="481"/>
      <c r="O382" s="481"/>
      <c r="P382" s="481"/>
      <c r="Q382" s="481"/>
      <c r="R382" s="481"/>
      <c r="S382" s="481"/>
      <c r="T382" s="481"/>
      <c r="U382" s="481"/>
      <c r="V382" s="481"/>
      <c r="W382" s="481"/>
      <c r="X382" s="481"/>
      <c r="Y382" s="481"/>
      <c r="Z382" s="481"/>
      <c r="AA382" s="481"/>
      <c r="AB382" s="481"/>
      <c r="AC382" s="481"/>
    </row>
    <row r="383" hidden="1">
      <c r="A383" s="535"/>
      <c r="B383" s="536"/>
      <c r="C383" s="536"/>
      <c r="D383" s="537"/>
      <c r="E383" s="537"/>
      <c r="F383" s="537"/>
      <c r="G383" s="536"/>
      <c r="H383" s="481"/>
      <c r="I383" s="481"/>
      <c r="J383" s="481"/>
      <c r="K383" s="481"/>
      <c r="L383" s="481"/>
      <c r="M383" s="481"/>
      <c r="N383" s="481"/>
      <c r="O383" s="481"/>
      <c r="P383" s="481"/>
      <c r="Q383" s="481"/>
      <c r="R383" s="481"/>
      <c r="S383" s="481"/>
      <c r="T383" s="481"/>
      <c r="U383" s="481"/>
      <c r="V383" s="481"/>
      <c r="W383" s="481"/>
      <c r="X383" s="481"/>
      <c r="Y383" s="481"/>
      <c r="Z383" s="481"/>
      <c r="AA383" s="481"/>
      <c r="AB383" s="481"/>
      <c r="AC383" s="481"/>
    </row>
    <row r="384" hidden="1">
      <c r="A384" s="532"/>
      <c r="B384" s="533"/>
      <c r="C384" s="533"/>
      <c r="D384" s="534"/>
      <c r="E384" s="534"/>
      <c r="F384" s="534"/>
      <c r="G384" s="533"/>
      <c r="H384" s="481"/>
      <c r="I384" s="481"/>
      <c r="J384" s="481"/>
      <c r="K384" s="481"/>
      <c r="L384" s="481"/>
      <c r="M384" s="481"/>
      <c r="N384" s="481"/>
      <c r="O384" s="481"/>
      <c r="P384" s="481"/>
      <c r="Q384" s="481"/>
      <c r="R384" s="481"/>
      <c r="S384" s="481"/>
      <c r="T384" s="481"/>
      <c r="U384" s="481"/>
      <c r="V384" s="481"/>
      <c r="W384" s="481"/>
      <c r="X384" s="481"/>
      <c r="Y384" s="481"/>
      <c r="Z384" s="481"/>
      <c r="AA384" s="481"/>
      <c r="AB384" s="481"/>
      <c r="AC384" s="481"/>
    </row>
    <row r="385" hidden="1">
      <c r="A385" s="535"/>
      <c r="B385" s="536"/>
      <c r="C385" s="536"/>
      <c r="D385" s="537"/>
      <c r="E385" s="537"/>
      <c r="F385" s="537"/>
      <c r="G385" s="536"/>
      <c r="H385" s="481"/>
      <c r="I385" s="481"/>
      <c r="J385" s="481"/>
      <c r="K385" s="481"/>
      <c r="L385" s="481"/>
      <c r="M385" s="481"/>
      <c r="N385" s="481"/>
      <c r="O385" s="481"/>
      <c r="P385" s="481"/>
      <c r="Q385" s="481"/>
      <c r="R385" s="481"/>
      <c r="S385" s="481"/>
      <c r="T385" s="481"/>
      <c r="U385" s="481"/>
      <c r="V385" s="481"/>
      <c r="W385" s="481"/>
      <c r="X385" s="481"/>
      <c r="Y385" s="481"/>
      <c r="Z385" s="481"/>
      <c r="AA385" s="481"/>
      <c r="AB385" s="481"/>
      <c r="AC385" s="481"/>
    </row>
    <row r="386" hidden="1">
      <c r="A386" s="532"/>
      <c r="B386" s="533"/>
      <c r="C386" s="533"/>
      <c r="D386" s="534"/>
      <c r="E386" s="534"/>
      <c r="F386" s="534"/>
      <c r="G386" s="533"/>
      <c r="H386" s="481"/>
      <c r="I386" s="481"/>
      <c r="J386" s="481"/>
      <c r="K386" s="481"/>
      <c r="L386" s="481"/>
      <c r="M386" s="481"/>
      <c r="N386" s="481"/>
      <c r="O386" s="481"/>
      <c r="P386" s="481"/>
      <c r="Q386" s="481"/>
      <c r="R386" s="481"/>
      <c r="S386" s="481"/>
      <c r="T386" s="481"/>
      <c r="U386" s="481"/>
      <c r="V386" s="481"/>
      <c r="W386" s="481"/>
      <c r="X386" s="481"/>
      <c r="Y386" s="481"/>
      <c r="Z386" s="481"/>
      <c r="AA386" s="481"/>
      <c r="AB386" s="481"/>
      <c r="AC386" s="481"/>
    </row>
    <row r="387" hidden="1">
      <c r="A387" s="535"/>
      <c r="B387" s="536"/>
      <c r="C387" s="536"/>
      <c r="D387" s="537"/>
      <c r="E387" s="537"/>
      <c r="F387" s="537"/>
      <c r="G387" s="536"/>
      <c r="H387" s="481"/>
      <c r="I387" s="481"/>
      <c r="J387" s="481"/>
      <c r="K387" s="481"/>
      <c r="L387" s="481"/>
      <c r="M387" s="481"/>
      <c r="N387" s="481"/>
      <c r="O387" s="481"/>
      <c r="P387" s="481"/>
      <c r="Q387" s="481"/>
      <c r="R387" s="481"/>
      <c r="S387" s="481"/>
      <c r="T387" s="481"/>
      <c r="U387" s="481"/>
      <c r="V387" s="481"/>
      <c r="W387" s="481"/>
      <c r="X387" s="481"/>
      <c r="Y387" s="481"/>
      <c r="Z387" s="481"/>
      <c r="AA387" s="481"/>
      <c r="AB387" s="481"/>
      <c r="AC387" s="481"/>
    </row>
    <row r="388" hidden="1">
      <c r="A388" s="532"/>
      <c r="B388" s="533"/>
      <c r="C388" s="533"/>
      <c r="D388" s="534"/>
      <c r="E388" s="534"/>
      <c r="F388" s="534"/>
      <c r="G388" s="533"/>
      <c r="H388" s="481"/>
      <c r="I388" s="481"/>
      <c r="J388" s="481"/>
      <c r="K388" s="481"/>
      <c r="L388" s="481"/>
      <c r="M388" s="481"/>
      <c r="N388" s="481"/>
      <c r="O388" s="481"/>
      <c r="P388" s="481"/>
      <c r="Q388" s="481"/>
      <c r="R388" s="481"/>
      <c r="S388" s="481"/>
      <c r="T388" s="481"/>
      <c r="U388" s="481"/>
      <c r="V388" s="481"/>
      <c r="W388" s="481"/>
      <c r="X388" s="481"/>
      <c r="Y388" s="481"/>
      <c r="Z388" s="481"/>
      <c r="AA388" s="481"/>
      <c r="AB388" s="481"/>
      <c r="AC388" s="481"/>
    </row>
    <row r="389" hidden="1">
      <c r="A389" s="535"/>
      <c r="B389" s="536"/>
      <c r="C389" s="536"/>
      <c r="D389" s="537"/>
      <c r="E389" s="537"/>
      <c r="F389" s="537"/>
      <c r="G389" s="536"/>
      <c r="H389" s="481"/>
      <c r="I389" s="481"/>
      <c r="J389" s="481"/>
      <c r="K389" s="481"/>
      <c r="L389" s="481"/>
      <c r="M389" s="481"/>
      <c r="N389" s="481"/>
      <c r="O389" s="481"/>
      <c r="P389" s="481"/>
      <c r="Q389" s="481"/>
      <c r="R389" s="481"/>
      <c r="S389" s="481"/>
      <c r="T389" s="481"/>
      <c r="U389" s="481"/>
      <c r="V389" s="481"/>
      <c r="W389" s="481"/>
      <c r="X389" s="481"/>
      <c r="Y389" s="481"/>
      <c r="Z389" s="481"/>
      <c r="AA389" s="481"/>
      <c r="AB389" s="481"/>
      <c r="AC389" s="481"/>
    </row>
    <row r="390" hidden="1">
      <c r="A390" s="532"/>
      <c r="B390" s="533"/>
      <c r="C390" s="533"/>
      <c r="D390" s="534"/>
      <c r="E390" s="534"/>
      <c r="F390" s="534"/>
      <c r="G390" s="533"/>
      <c r="H390" s="481"/>
      <c r="I390" s="481"/>
      <c r="J390" s="481"/>
      <c r="K390" s="481"/>
      <c r="L390" s="481"/>
      <c r="M390" s="481"/>
      <c r="N390" s="481"/>
      <c r="O390" s="481"/>
      <c r="P390" s="481"/>
      <c r="Q390" s="481"/>
      <c r="R390" s="481"/>
      <c r="S390" s="481"/>
      <c r="T390" s="481"/>
      <c r="U390" s="481"/>
      <c r="V390" s="481"/>
      <c r="W390" s="481"/>
      <c r="X390" s="481"/>
      <c r="Y390" s="481"/>
      <c r="Z390" s="481"/>
      <c r="AA390" s="481"/>
      <c r="AB390" s="481"/>
      <c r="AC390" s="481"/>
    </row>
    <row r="391" hidden="1">
      <c r="A391" s="535"/>
      <c r="B391" s="536"/>
      <c r="C391" s="536"/>
      <c r="D391" s="537"/>
      <c r="E391" s="537"/>
      <c r="F391" s="537"/>
      <c r="G391" s="536"/>
      <c r="H391" s="481"/>
      <c r="I391" s="481"/>
      <c r="J391" s="481"/>
      <c r="K391" s="481"/>
      <c r="L391" s="481"/>
      <c r="M391" s="481"/>
      <c r="N391" s="481"/>
      <c r="O391" s="481"/>
      <c r="P391" s="481"/>
      <c r="Q391" s="481"/>
      <c r="R391" s="481"/>
      <c r="S391" s="481"/>
      <c r="T391" s="481"/>
      <c r="U391" s="481"/>
      <c r="V391" s="481"/>
      <c r="W391" s="481"/>
      <c r="X391" s="481"/>
      <c r="Y391" s="481"/>
      <c r="Z391" s="481"/>
      <c r="AA391" s="481"/>
      <c r="AB391" s="481"/>
      <c r="AC391" s="481"/>
    </row>
    <row r="392" hidden="1">
      <c r="A392" s="532"/>
      <c r="B392" s="533"/>
      <c r="C392" s="533"/>
      <c r="D392" s="534"/>
      <c r="E392" s="534"/>
      <c r="F392" s="534"/>
      <c r="G392" s="533"/>
      <c r="H392" s="481"/>
      <c r="I392" s="481"/>
      <c r="J392" s="481"/>
      <c r="K392" s="481"/>
      <c r="L392" s="481"/>
      <c r="M392" s="481"/>
      <c r="N392" s="481"/>
      <c r="O392" s="481"/>
      <c r="P392" s="481"/>
      <c r="Q392" s="481"/>
      <c r="R392" s="481"/>
      <c r="S392" s="481"/>
      <c r="T392" s="481"/>
      <c r="U392" s="481"/>
      <c r="V392" s="481"/>
      <c r="W392" s="481"/>
      <c r="X392" s="481"/>
      <c r="Y392" s="481"/>
      <c r="Z392" s="481"/>
      <c r="AA392" s="481"/>
      <c r="AB392" s="481"/>
      <c r="AC392" s="481"/>
    </row>
    <row r="393" hidden="1">
      <c r="A393" s="535"/>
      <c r="B393" s="536"/>
      <c r="C393" s="536"/>
      <c r="D393" s="537"/>
      <c r="E393" s="537"/>
      <c r="F393" s="537"/>
      <c r="G393" s="536"/>
      <c r="H393" s="481"/>
      <c r="I393" s="481"/>
      <c r="J393" s="481"/>
      <c r="K393" s="481"/>
      <c r="L393" s="481"/>
      <c r="M393" s="481"/>
      <c r="N393" s="481"/>
      <c r="O393" s="481"/>
      <c r="P393" s="481"/>
      <c r="Q393" s="481"/>
      <c r="R393" s="481"/>
      <c r="S393" s="481"/>
      <c r="T393" s="481"/>
      <c r="U393" s="481"/>
      <c r="V393" s="481"/>
      <c r="W393" s="481"/>
      <c r="X393" s="481"/>
      <c r="Y393" s="481"/>
      <c r="Z393" s="481"/>
      <c r="AA393" s="481"/>
      <c r="AB393" s="481"/>
      <c r="AC393" s="481"/>
    </row>
    <row r="394" hidden="1">
      <c r="A394" s="532"/>
      <c r="B394" s="533"/>
      <c r="C394" s="533"/>
      <c r="D394" s="534"/>
      <c r="E394" s="534"/>
      <c r="F394" s="534"/>
      <c r="G394" s="533"/>
      <c r="H394" s="481"/>
      <c r="I394" s="481"/>
      <c r="J394" s="481"/>
      <c r="K394" s="481"/>
      <c r="L394" s="481"/>
      <c r="M394" s="481"/>
      <c r="N394" s="481"/>
      <c r="O394" s="481"/>
      <c r="P394" s="481"/>
      <c r="Q394" s="481"/>
      <c r="R394" s="481"/>
      <c r="S394" s="481"/>
      <c r="T394" s="481"/>
      <c r="U394" s="481"/>
      <c r="V394" s="481"/>
      <c r="W394" s="481"/>
      <c r="X394" s="481"/>
      <c r="Y394" s="481"/>
      <c r="Z394" s="481"/>
      <c r="AA394" s="481"/>
      <c r="AB394" s="481"/>
      <c r="AC394" s="481"/>
    </row>
    <row r="395" hidden="1">
      <c r="A395" s="535"/>
      <c r="B395" s="536"/>
      <c r="C395" s="536"/>
      <c r="D395" s="537"/>
      <c r="E395" s="537"/>
      <c r="F395" s="537"/>
      <c r="G395" s="536"/>
      <c r="H395" s="481"/>
      <c r="I395" s="481"/>
      <c r="J395" s="481"/>
      <c r="K395" s="481"/>
      <c r="L395" s="481"/>
      <c r="M395" s="481"/>
      <c r="N395" s="481"/>
      <c r="O395" s="481"/>
      <c r="P395" s="481"/>
      <c r="Q395" s="481"/>
      <c r="R395" s="481"/>
      <c r="S395" s="481"/>
      <c r="T395" s="481"/>
      <c r="U395" s="481"/>
      <c r="V395" s="481"/>
      <c r="W395" s="481"/>
      <c r="X395" s="481"/>
      <c r="Y395" s="481"/>
      <c r="Z395" s="481"/>
      <c r="AA395" s="481"/>
      <c r="AB395" s="481"/>
      <c r="AC395" s="481"/>
    </row>
    <row r="396" hidden="1">
      <c r="A396" s="532"/>
      <c r="B396" s="533"/>
      <c r="C396" s="533"/>
      <c r="D396" s="534"/>
      <c r="E396" s="534"/>
      <c r="F396" s="534"/>
      <c r="G396" s="533"/>
      <c r="H396" s="481"/>
      <c r="I396" s="481"/>
      <c r="J396" s="481"/>
      <c r="K396" s="481"/>
      <c r="L396" s="481"/>
      <c r="M396" s="481"/>
      <c r="N396" s="481"/>
      <c r="O396" s="481"/>
      <c r="P396" s="481"/>
      <c r="Q396" s="481"/>
      <c r="R396" s="481"/>
      <c r="S396" s="481"/>
      <c r="T396" s="481"/>
      <c r="U396" s="481"/>
      <c r="V396" s="481"/>
      <c r="W396" s="481"/>
      <c r="X396" s="481"/>
      <c r="Y396" s="481"/>
      <c r="Z396" s="481"/>
      <c r="AA396" s="481"/>
      <c r="AB396" s="481"/>
      <c r="AC396" s="481"/>
    </row>
    <row r="397" hidden="1">
      <c r="A397" s="535"/>
      <c r="B397" s="536"/>
      <c r="C397" s="536"/>
      <c r="D397" s="537"/>
      <c r="E397" s="537"/>
      <c r="F397" s="537"/>
      <c r="G397" s="536"/>
      <c r="H397" s="481"/>
      <c r="I397" s="481"/>
      <c r="J397" s="481"/>
      <c r="K397" s="481"/>
      <c r="L397" s="481"/>
      <c r="M397" s="481"/>
      <c r="N397" s="481"/>
      <c r="O397" s="481"/>
      <c r="P397" s="481"/>
      <c r="Q397" s="481"/>
      <c r="R397" s="481"/>
      <c r="S397" s="481"/>
      <c r="T397" s="481"/>
      <c r="U397" s="481"/>
      <c r="V397" s="481"/>
      <c r="W397" s="481"/>
      <c r="X397" s="481"/>
      <c r="Y397" s="481"/>
      <c r="Z397" s="481"/>
      <c r="AA397" s="481"/>
      <c r="AB397" s="481"/>
      <c r="AC397" s="481"/>
    </row>
    <row r="398" hidden="1">
      <c r="A398" s="532"/>
      <c r="B398" s="533"/>
      <c r="C398" s="533"/>
      <c r="D398" s="534"/>
      <c r="E398" s="534"/>
      <c r="F398" s="534"/>
      <c r="G398" s="533"/>
      <c r="H398" s="481"/>
      <c r="I398" s="481"/>
      <c r="J398" s="481"/>
      <c r="K398" s="481"/>
      <c r="L398" s="481"/>
      <c r="M398" s="481"/>
      <c r="N398" s="481"/>
      <c r="O398" s="481"/>
      <c r="P398" s="481"/>
      <c r="Q398" s="481"/>
      <c r="R398" s="481"/>
      <c r="S398" s="481"/>
      <c r="T398" s="481"/>
      <c r="U398" s="481"/>
      <c r="V398" s="481"/>
      <c r="W398" s="481"/>
      <c r="X398" s="481"/>
      <c r="Y398" s="481"/>
      <c r="Z398" s="481"/>
      <c r="AA398" s="481"/>
      <c r="AB398" s="481"/>
      <c r="AC398" s="481"/>
    </row>
    <row r="399" hidden="1">
      <c r="A399" s="535"/>
      <c r="B399" s="536"/>
      <c r="C399" s="536"/>
      <c r="D399" s="537"/>
      <c r="E399" s="537"/>
      <c r="F399" s="537"/>
      <c r="G399" s="536"/>
      <c r="H399" s="481"/>
      <c r="I399" s="481"/>
      <c r="J399" s="481"/>
      <c r="K399" s="481"/>
      <c r="L399" s="481"/>
      <c r="M399" s="481"/>
      <c r="N399" s="481"/>
      <c r="O399" s="481"/>
      <c r="P399" s="481"/>
      <c r="Q399" s="481"/>
      <c r="R399" s="481"/>
      <c r="S399" s="481"/>
      <c r="T399" s="481"/>
      <c r="U399" s="481"/>
      <c r="V399" s="481"/>
      <c r="W399" s="481"/>
      <c r="X399" s="481"/>
      <c r="Y399" s="481"/>
      <c r="Z399" s="481"/>
      <c r="AA399" s="481"/>
      <c r="AB399" s="481"/>
      <c r="AC399" s="481"/>
    </row>
    <row r="400" hidden="1">
      <c r="A400" s="532"/>
      <c r="B400" s="533"/>
      <c r="C400" s="533"/>
      <c r="D400" s="534"/>
      <c r="E400" s="534"/>
      <c r="F400" s="534"/>
      <c r="G400" s="533"/>
      <c r="H400" s="481"/>
      <c r="I400" s="481"/>
      <c r="J400" s="481"/>
      <c r="K400" s="481"/>
      <c r="L400" s="481"/>
      <c r="M400" s="481"/>
      <c r="N400" s="481"/>
      <c r="O400" s="481"/>
      <c r="P400" s="481"/>
      <c r="Q400" s="481"/>
      <c r="R400" s="481"/>
      <c r="S400" s="481"/>
      <c r="T400" s="481"/>
      <c r="U400" s="481"/>
      <c r="V400" s="481"/>
      <c r="W400" s="481"/>
      <c r="X400" s="481"/>
      <c r="Y400" s="481"/>
      <c r="Z400" s="481"/>
      <c r="AA400" s="481"/>
      <c r="AB400" s="481"/>
      <c r="AC400" s="481"/>
    </row>
    <row r="401" hidden="1">
      <c r="A401" s="535"/>
      <c r="B401" s="536"/>
      <c r="C401" s="536"/>
      <c r="D401" s="537"/>
      <c r="E401" s="537"/>
      <c r="F401" s="537"/>
      <c r="G401" s="536"/>
      <c r="H401" s="481"/>
      <c r="I401" s="481"/>
      <c r="J401" s="481"/>
      <c r="K401" s="481"/>
      <c r="L401" s="481"/>
      <c r="M401" s="481"/>
      <c r="N401" s="481"/>
      <c r="O401" s="481"/>
      <c r="P401" s="481"/>
      <c r="Q401" s="481"/>
      <c r="R401" s="481"/>
      <c r="S401" s="481"/>
      <c r="T401" s="481"/>
      <c r="U401" s="481"/>
      <c r="V401" s="481"/>
      <c r="W401" s="481"/>
      <c r="X401" s="481"/>
      <c r="Y401" s="481"/>
      <c r="Z401" s="481"/>
      <c r="AA401" s="481"/>
      <c r="AB401" s="481"/>
      <c r="AC401" s="481"/>
    </row>
    <row r="402" hidden="1">
      <c r="A402" s="532"/>
      <c r="B402" s="533"/>
      <c r="C402" s="533"/>
      <c r="D402" s="534"/>
      <c r="E402" s="534"/>
      <c r="F402" s="534"/>
      <c r="G402" s="533"/>
      <c r="H402" s="481"/>
      <c r="I402" s="481"/>
      <c r="J402" s="481"/>
      <c r="K402" s="481"/>
      <c r="L402" s="481"/>
      <c r="M402" s="481"/>
      <c r="N402" s="481"/>
      <c r="O402" s="481"/>
      <c r="P402" s="481"/>
      <c r="Q402" s="481"/>
      <c r="R402" s="481"/>
      <c r="S402" s="481"/>
      <c r="T402" s="481"/>
      <c r="U402" s="481"/>
      <c r="V402" s="481"/>
      <c r="W402" s="481"/>
      <c r="X402" s="481"/>
      <c r="Y402" s="481"/>
      <c r="Z402" s="481"/>
      <c r="AA402" s="481"/>
      <c r="AB402" s="481"/>
      <c r="AC402" s="481"/>
    </row>
    <row r="403" hidden="1">
      <c r="A403" s="535"/>
      <c r="B403" s="536"/>
      <c r="C403" s="536"/>
      <c r="D403" s="537"/>
      <c r="E403" s="537"/>
      <c r="F403" s="537"/>
      <c r="G403" s="536"/>
      <c r="H403" s="481"/>
      <c r="I403" s="481"/>
      <c r="J403" s="481"/>
      <c r="K403" s="481"/>
      <c r="L403" s="481"/>
      <c r="M403" s="481"/>
      <c r="N403" s="481"/>
      <c r="O403" s="481"/>
      <c r="P403" s="481"/>
      <c r="Q403" s="481"/>
      <c r="R403" s="481"/>
      <c r="S403" s="481"/>
      <c r="T403" s="481"/>
      <c r="U403" s="481"/>
      <c r="V403" s="481"/>
      <c r="W403" s="481"/>
      <c r="X403" s="481"/>
      <c r="Y403" s="481"/>
      <c r="Z403" s="481"/>
      <c r="AA403" s="481"/>
      <c r="AB403" s="481"/>
      <c r="AC403" s="481"/>
    </row>
    <row r="404" hidden="1">
      <c r="A404" s="532"/>
      <c r="B404" s="533"/>
      <c r="C404" s="533"/>
      <c r="D404" s="534"/>
      <c r="E404" s="534"/>
      <c r="F404" s="534"/>
      <c r="G404" s="533"/>
      <c r="H404" s="481"/>
      <c r="I404" s="481"/>
      <c r="J404" s="481"/>
      <c r="K404" s="481"/>
      <c r="L404" s="481"/>
      <c r="M404" s="481"/>
      <c r="N404" s="481"/>
      <c r="O404" s="481"/>
      <c r="P404" s="481"/>
      <c r="Q404" s="481"/>
      <c r="R404" s="481"/>
      <c r="S404" s="481"/>
      <c r="T404" s="481"/>
      <c r="U404" s="481"/>
      <c r="V404" s="481"/>
      <c r="W404" s="481"/>
      <c r="X404" s="481"/>
      <c r="Y404" s="481"/>
      <c r="Z404" s="481"/>
      <c r="AA404" s="481"/>
      <c r="AB404" s="481"/>
      <c r="AC404" s="481"/>
    </row>
    <row r="405" hidden="1">
      <c r="A405" s="535"/>
      <c r="B405" s="536"/>
      <c r="C405" s="536"/>
      <c r="D405" s="537"/>
      <c r="E405" s="537"/>
      <c r="F405" s="537"/>
      <c r="G405" s="536"/>
      <c r="H405" s="481"/>
      <c r="I405" s="481"/>
      <c r="J405" s="481"/>
      <c r="K405" s="481"/>
      <c r="L405" s="481"/>
      <c r="M405" s="481"/>
      <c r="N405" s="481"/>
      <c r="O405" s="481"/>
      <c r="P405" s="481"/>
      <c r="Q405" s="481"/>
      <c r="R405" s="481"/>
      <c r="S405" s="481"/>
      <c r="T405" s="481"/>
      <c r="U405" s="481"/>
      <c r="V405" s="481"/>
      <c r="W405" s="481"/>
      <c r="X405" s="481"/>
      <c r="Y405" s="481"/>
      <c r="Z405" s="481"/>
      <c r="AA405" s="481"/>
      <c r="AB405" s="481"/>
      <c r="AC405" s="481"/>
    </row>
    <row r="406" hidden="1">
      <c r="A406" s="532"/>
      <c r="B406" s="533"/>
      <c r="C406" s="533"/>
      <c r="D406" s="534"/>
      <c r="E406" s="534"/>
      <c r="F406" s="534"/>
      <c r="G406" s="533"/>
      <c r="H406" s="481"/>
      <c r="I406" s="481"/>
      <c r="J406" s="481"/>
      <c r="K406" s="481"/>
      <c r="L406" s="481"/>
      <c r="M406" s="481"/>
      <c r="N406" s="481"/>
      <c r="O406" s="481"/>
      <c r="P406" s="481"/>
      <c r="Q406" s="481"/>
      <c r="R406" s="481"/>
      <c r="S406" s="481"/>
      <c r="T406" s="481"/>
      <c r="U406" s="481"/>
      <c r="V406" s="481"/>
      <c r="W406" s="481"/>
      <c r="X406" s="481"/>
      <c r="Y406" s="481"/>
      <c r="Z406" s="481"/>
      <c r="AA406" s="481"/>
      <c r="AB406" s="481"/>
      <c r="AC406" s="481"/>
    </row>
    <row r="407" hidden="1">
      <c r="A407" s="535"/>
      <c r="B407" s="536"/>
      <c r="C407" s="536"/>
      <c r="D407" s="537"/>
      <c r="E407" s="537"/>
      <c r="F407" s="537"/>
      <c r="G407" s="536"/>
      <c r="H407" s="481"/>
      <c r="I407" s="481"/>
      <c r="J407" s="481"/>
      <c r="K407" s="481"/>
      <c r="L407" s="481"/>
      <c r="M407" s="481"/>
      <c r="N407" s="481"/>
      <c r="O407" s="481"/>
      <c r="P407" s="481"/>
      <c r="Q407" s="481"/>
      <c r="R407" s="481"/>
      <c r="S407" s="481"/>
      <c r="T407" s="481"/>
      <c r="U407" s="481"/>
      <c r="V407" s="481"/>
      <c r="W407" s="481"/>
      <c r="X407" s="481"/>
      <c r="Y407" s="481"/>
      <c r="Z407" s="481"/>
      <c r="AA407" s="481"/>
      <c r="AB407" s="481"/>
      <c r="AC407" s="481"/>
    </row>
    <row r="408" hidden="1">
      <c r="A408" s="532"/>
      <c r="B408" s="533"/>
      <c r="C408" s="533"/>
      <c r="D408" s="534"/>
      <c r="E408" s="534"/>
      <c r="F408" s="534"/>
      <c r="G408" s="533"/>
      <c r="H408" s="481"/>
      <c r="I408" s="481"/>
      <c r="J408" s="481"/>
      <c r="K408" s="481"/>
      <c r="L408" s="481"/>
      <c r="M408" s="481"/>
      <c r="N408" s="481"/>
      <c r="O408" s="481"/>
      <c r="P408" s="481"/>
      <c r="Q408" s="481"/>
      <c r="R408" s="481"/>
      <c r="S408" s="481"/>
      <c r="T408" s="481"/>
      <c r="U408" s="481"/>
      <c r="V408" s="481"/>
      <c r="W408" s="481"/>
      <c r="X408" s="481"/>
      <c r="Y408" s="481"/>
      <c r="Z408" s="481"/>
      <c r="AA408" s="481"/>
      <c r="AB408" s="481"/>
      <c r="AC408" s="481"/>
    </row>
    <row r="409" hidden="1">
      <c r="A409" s="535"/>
      <c r="B409" s="536"/>
      <c r="C409" s="536"/>
      <c r="D409" s="537"/>
      <c r="E409" s="537"/>
      <c r="F409" s="537"/>
      <c r="G409" s="536"/>
      <c r="H409" s="481"/>
      <c r="I409" s="481"/>
      <c r="J409" s="481"/>
      <c r="K409" s="481"/>
      <c r="L409" s="481"/>
      <c r="M409" s="481"/>
      <c r="N409" s="481"/>
      <c r="O409" s="481"/>
      <c r="P409" s="481"/>
      <c r="Q409" s="481"/>
      <c r="R409" s="481"/>
      <c r="S409" s="481"/>
      <c r="T409" s="481"/>
      <c r="U409" s="481"/>
      <c r="V409" s="481"/>
      <c r="W409" s="481"/>
      <c r="X409" s="481"/>
      <c r="Y409" s="481"/>
      <c r="Z409" s="481"/>
      <c r="AA409" s="481"/>
      <c r="AB409" s="481"/>
      <c r="AC409" s="481"/>
    </row>
    <row r="410" hidden="1">
      <c r="A410" s="532"/>
      <c r="B410" s="533"/>
      <c r="C410" s="533"/>
      <c r="D410" s="534"/>
      <c r="E410" s="534"/>
      <c r="F410" s="534"/>
      <c r="G410" s="533"/>
      <c r="H410" s="481"/>
      <c r="I410" s="481"/>
      <c r="J410" s="481"/>
      <c r="K410" s="481"/>
      <c r="L410" s="481"/>
      <c r="M410" s="481"/>
      <c r="N410" s="481"/>
      <c r="O410" s="481"/>
      <c r="P410" s="481"/>
      <c r="Q410" s="481"/>
      <c r="R410" s="481"/>
      <c r="S410" s="481"/>
      <c r="T410" s="481"/>
      <c r="U410" s="481"/>
      <c r="V410" s="481"/>
      <c r="W410" s="481"/>
      <c r="X410" s="481"/>
      <c r="Y410" s="481"/>
      <c r="Z410" s="481"/>
      <c r="AA410" s="481"/>
      <c r="AB410" s="481"/>
      <c r="AC410" s="481"/>
    </row>
    <row r="411" hidden="1">
      <c r="A411" s="535"/>
      <c r="B411" s="536"/>
      <c r="C411" s="536"/>
      <c r="D411" s="537"/>
      <c r="E411" s="537"/>
      <c r="F411" s="537"/>
      <c r="G411" s="536"/>
      <c r="H411" s="481"/>
      <c r="I411" s="481"/>
      <c r="J411" s="481"/>
      <c r="K411" s="481"/>
      <c r="L411" s="481"/>
      <c r="M411" s="481"/>
      <c r="N411" s="481"/>
      <c r="O411" s="481"/>
      <c r="P411" s="481"/>
      <c r="Q411" s="481"/>
      <c r="R411" s="481"/>
      <c r="S411" s="481"/>
      <c r="T411" s="481"/>
      <c r="U411" s="481"/>
      <c r="V411" s="481"/>
      <c r="W411" s="481"/>
      <c r="X411" s="481"/>
      <c r="Y411" s="481"/>
      <c r="Z411" s="481"/>
      <c r="AA411" s="481"/>
      <c r="AB411" s="481"/>
      <c r="AC411" s="481"/>
    </row>
    <row r="412" hidden="1">
      <c r="A412" s="532"/>
      <c r="B412" s="533"/>
      <c r="C412" s="533"/>
      <c r="D412" s="534"/>
      <c r="E412" s="534"/>
      <c r="F412" s="534"/>
      <c r="G412" s="533"/>
      <c r="H412" s="481"/>
      <c r="I412" s="481"/>
      <c r="J412" s="481"/>
      <c r="K412" s="481"/>
      <c r="L412" s="481"/>
      <c r="M412" s="481"/>
      <c r="N412" s="481"/>
      <c r="O412" s="481"/>
      <c r="P412" s="481"/>
      <c r="Q412" s="481"/>
      <c r="R412" s="481"/>
      <c r="S412" s="481"/>
      <c r="T412" s="481"/>
      <c r="U412" s="481"/>
      <c r="V412" s="481"/>
      <c r="W412" s="481"/>
      <c r="X412" s="481"/>
      <c r="Y412" s="481"/>
      <c r="Z412" s="481"/>
      <c r="AA412" s="481"/>
      <c r="AB412" s="481"/>
      <c r="AC412" s="481"/>
    </row>
    <row r="413" hidden="1">
      <c r="A413" s="535"/>
      <c r="B413" s="536"/>
      <c r="C413" s="536"/>
      <c r="D413" s="537"/>
      <c r="E413" s="537"/>
      <c r="F413" s="537"/>
      <c r="G413" s="536"/>
      <c r="H413" s="481"/>
      <c r="I413" s="481"/>
      <c r="J413" s="481"/>
      <c r="K413" s="481"/>
      <c r="L413" s="481"/>
      <c r="M413" s="481"/>
      <c r="N413" s="481"/>
      <c r="O413" s="481"/>
      <c r="P413" s="481"/>
      <c r="Q413" s="481"/>
      <c r="R413" s="481"/>
      <c r="S413" s="481"/>
      <c r="T413" s="481"/>
      <c r="U413" s="481"/>
      <c r="V413" s="481"/>
      <c r="W413" s="481"/>
      <c r="X413" s="481"/>
      <c r="Y413" s="481"/>
      <c r="Z413" s="481"/>
      <c r="AA413" s="481"/>
      <c r="AB413" s="481"/>
      <c r="AC413" s="481"/>
    </row>
    <row r="414" hidden="1">
      <c r="A414" s="532"/>
      <c r="B414" s="533"/>
      <c r="C414" s="533"/>
      <c r="D414" s="534"/>
      <c r="E414" s="534"/>
      <c r="F414" s="534"/>
      <c r="G414" s="533"/>
      <c r="H414" s="481"/>
      <c r="I414" s="481"/>
      <c r="J414" s="481"/>
      <c r="K414" s="481"/>
      <c r="L414" s="481"/>
      <c r="M414" s="481"/>
      <c r="N414" s="481"/>
      <c r="O414" s="481"/>
      <c r="P414" s="481"/>
      <c r="Q414" s="481"/>
      <c r="R414" s="481"/>
      <c r="S414" s="481"/>
      <c r="T414" s="481"/>
      <c r="U414" s="481"/>
      <c r="V414" s="481"/>
      <c r="W414" s="481"/>
      <c r="X414" s="481"/>
      <c r="Y414" s="481"/>
      <c r="Z414" s="481"/>
      <c r="AA414" s="481"/>
      <c r="AB414" s="481"/>
      <c r="AC414" s="481"/>
    </row>
    <row r="415" hidden="1">
      <c r="A415" s="535"/>
      <c r="B415" s="536"/>
      <c r="C415" s="536"/>
      <c r="D415" s="537"/>
      <c r="E415" s="537"/>
      <c r="F415" s="537"/>
      <c r="G415" s="536"/>
      <c r="H415" s="481"/>
      <c r="I415" s="481"/>
      <c r="J415" s="481"/>
      <c r="K415" s="481"/>
      <c r="L415" s="481"/>
      <c r="M415" s="481"/>
      <c r="N415" s="481"/>
      <c r="O415" s="481"/>
      <c r="P415" s="481"/>
      <c r="Q415" s="481"/>
      <c r="R415" s="481"/>
      <c r="S415" s="481"/>
      <c r="T415" s="481"/>
      <c r="U415" s="481"/>
      <c r="V415" s="481"/>
      <c r="W415" s="481"/>
      <c r="X415" s="481"/>
      <c r="Y415" s="481"/>
      <c r="Z415" s="481"/>
      <c r="AA415" s="481"/>
      <c r="AB415" s="481"/>
      <c r="AC415" s="481"/>
    </row>
    <row r="416" hidden="1">
      <c r="A416" s="532"/>
      <c r="B416" s="533"/>
      <c r="C416" s="533"/>
      <c r="D416" s="534"/>
      <c r="E416" s="534"/>
      <c r="F416" s="534"/>
      <c r="G416" s="533"/>
      <c r="H416" s="481"/>
      <c r="I416" s="481"/>
      <c r="J416" s="481"/>
      <c r="K416" s="481"/>
      <c r="L416" s="481"/>
      <c r="M416" s="481"/>
      <c r="N416" s="481"/>
      <c r="O416" s="481"/>
      <c r="P416" s="481"/>
      <c r="Q416" s="481"/>
      <c r="R416" s="481"/>
      <c r="S416" s="481"/>
      <c r="T416" s="481"/>
      <c r="U416" s="481"/>
      <c r="V416" s="481"/>
      <c r="W416" s="481"/>
      <c r="X416" s="481"/>
      <c r="Y416" s="481"/>
      <c r="Z416" s="481"/>
      <c r="AA416" s="481"/>
      <c r="AB416" s="481"/>
      <c r="AC416" s="481"/>
    </row>
    <row r="417" hidden="1">
      <c r="A417" s="535"/>
      <c r="B417" s="536"/>
      <c r="C417" s="536"/>
      <c r="D417" s="537"/>
      <c r="E417" s="537"/>
      <c r="F417" s="537"/>
      <c r="G417" s="536"/>
      <c r="H417" s="481"/>
      <c r="I417" s="481"/>
      <c r="J417" s="481"/>
      <c r="K417" s="481"/>
      <c r="L417" s="481"/>
      <c r="M417" s="481"/>
      <c r="N417" s="481"/>
      <c r="O417" s="481"/>
      <c r="P417" s="481"/>
      <c r="Q417" s="481"/>
      <c r="R417" s="481"/>
      <c r="S417" s="481"/>
      <c r="T417" s="481"/>
      <c r="U417" s="481"/>
      <c r="V417" s="481"/>
      <c r="W417" s="481"/>
      <c r="X417" s="481"/>
      <c r="Y417" s="481"/>
      <c r="Z417" s="481"/>
      <c r="AA417" s="481"/>
      <c r="AB417" s="481"/>
      <c r="AC417" s="481"/>
    </row>
    <row r="418" hidden="1">
      <c r="A418" s="532"/>
      <c r="B418" s="533"/>
      <c r="C418" s="533"/>
      <c r="D418" s="534"/>
      <c r="E418" s="534"/>
      <c r="F418" s="534"/>
      <c r="G418" s="533"/>
      <c r="H418" s="481"/>
      <c r="I418" s="481"/>
      <c r="J418" s="481"/>
      <c r="K418" s="481"/>
      <c r="L418" s="481"/>
      <c r="M418" s="481"/>
      <c r="N418" s="481"/>
      <c r="O418" s="481"/>
      <c r="P418" s="481"/>
      <c r="Q418" s="481"/>
      <c r="R418" s="481"/>
      <c r="S418" s="481"/>
      <c r="T418" s="481"/>
      <c r="U418" s="481"/>
      <c r="V418" s="481"/>
      <c r="W418" s="481"/>
      <c r="X418" s="481"/>
      <c r="Y418" s="481"/>
      <c r="Z418" s="481"/>
      <c r="AA418" s="481"/>
      <c r="AB418" s="481"/>
      <c r="AC418" s="481"/>
    </row>
    <row r="419" hidden="1">
      <c r="A419" s="535"/>
      <c r="B419" s="536"/>
      <c r="C419" s="536"/>
      <c r="D419" s="537"/>
      <c r="E419" s="537"/>
      <c r="F419" s="537"/>
      <c r="G419" s="536"/>
      <c r="H419" s="481"/>
      <c r="I419" s="481"/>
      <c r="J419" s="481"/>
      <c r="K419" s="481"/>
      <c r="L419" s="481"/>
      <c r="M419" s="481"/>
      <c r="N419" s="481"/>
      <c r="O419" s="481"/>
      <c r="P419" s="481"/>
      <c r="Q419" s="481"/>
      <c r="R419" s="481"/>
      <c r="S419" s="481"/>
      <c r="T419" s="481"/>
      <c r="U419" s="481"/>
      <c r="V419" s="481"/>
      <c r="W419" s="481"/>
      <c r="X419" s="481"/>
      <c r="Y419" s="481"/>
      <c r="Z419" s="481"/>
      <c r="AA419" s="481"/>
      <c r="AB419" s="481"/>
      <c r="AC419" s="481"/>
    </row>
    <row r="420" hidden="1">
      <c r="A420" s="532"/>
      <c r="B420" s="533"/>
      <c r="C420" s="533"/>
      <c r="D420" s="534"/>
      <c r="E420" s="534"/>
      <c r="F420" s="534"/>
      <c r="G420" s="533"/>
      <c r="H420" s="481"/>
      <c r="I420" s="481"/>
      <c r="J420" s="481"/>
      <c r="K420" s="481"/>
      <c r="L420" s="481"/>
      <c r="M420" s="481"/>
      <c r="N420" s="481"/>
      <c r="O420" s="481"/>
      <c r="P420" s="481"/>
      <c r="Q420" s="481"/>
      <c r="R420" s="481"/>
      <c r="S420" s="481"/>
      <c r="T420" s="481"/>
      <c r="U420" s="481"/>
      <c r="V420" s="481"/>
      <c r="W420" s="481"/>
      <c r="X420" s="481"/>
      <c r="Y420" s="481"/>
      <c r="Z420" s="481"/>
      <c r="AA420" s="481"/>
      <c r="AB420" s="481"/>
      <c r="AC420" s="481"/>
    </row>
    <row r="421" hidden="1">
      <c r="A421" s="535"/>
      <c r="B421" s="536"/>
      <c r="C421" s="536"/>
      <c r="D421" s="537"/>
      <c r="E421" s="537"/>
      <c r="F421" s="537"/>
      <c r="G421" s="536"/>
      <c r="H421" s="481"/>
      <c r="I421" s="481"/>
      <c r="J421" s="481"/>
      <c r="K421" s="481"/>
      <c r="L421" s="481"/>
      <c r="M421" s="481"/>
      <c r="N421" s="481"/>
      <c r="O421" s="481"/>
      <c r="P421" s="481"/>
      <c r="Q421" s="481"/>
      <c r="R421" s="481"/>
      <c r="S421" s="481"/>
      <c r="T421" s="481"/>
      <c r="U421" s="481"/>
      <c r="V421" s="481"/>
      <c r="W421" s="481"/>
      <c r="X421" s="481"/>
      <c r="Y421" s="481"/>
      <c r="Z421" s="481"/>
      <c r="AA421" s="481"/>
      <c r="AB421" s="481"/>
      <c r="AC421" s="481"/>
    </row>
    <row r="422" hidden="1">
      <c r="A422" s="532"/>
      <c r="B422" s="533"/>
      <c r="C422" s="533"/>
      <c r="D422" s="534"/>
      <c r="E422" s="534"/>
      <c r="F422" s="534"/>
      <c r="G422" s="533"/>
      <c r="H422" s="481"/>
      <c r="I422" s="481"/>
      <c r="J422" s="481"/>
      <c r="K422" s="481"/>
      <c r="L422" s="481"/>
      <c r="M422" s="481"/>
      <c r="N422" s="481"/>
      <c r="O422" s="481"/>
      <c r="P422" s="481"/>
      <c r="Q422" s="481"/>
      <c r="R422" s="481"/>
      <c r="S422" s="481"/>
      <c r="T422" s="481"/>
      <c r="U422" s="481"/>
      <c r="V422" s="481"/>
      <c r="W422" s="481"/>
      <c r="X422" s="481"/>
      <c r="Y422" s="481"/>
      <c r="Z422" s="481"/>
      <c r="AA422" s="481"/>
      <c r="AB422" s="481"/>
      <c r="AC422" s="481"/>
    </row>
    <row r="423" hidden="1">
      <c r="A423" s="535"/>
      <c r="B423" s="536"/>
      <c r="C423" s="536"/>
      <c r="D423" s="537"/>
      <c r="E423" s="537"/>
      <c r="F423" s="537"/>
      <c r="G423" s="536"/>
      <c r="H423" s="481"/>
      <c r="I423" s="481"/>
      <c r="J423" s="481"/>
      <c r="K423" s="481"/>
      <c r="L423" s="481"/>
      <c r="M423" s="481"/>
      <c r="N423" s="481"/>
      <c r="O423" s="481"/>
      <c r="P423" s="481"/>
      <c r="Q423" s="481"/>
      <c r="R423" s="481"/>
      <c r="S423" s="481"/>
      <c r="T423" s="481"/>
      <c r="U423" s="481"/>
      <c r="V423" s="481"/>
      <c r="W423" s="481"/>
      <c r="X423" s="481"/>
      <c r="Y423" s="481"/>
      <c r="Z423" s="481"/>
      <c r="AA423" s="481"/>
      <c r="AB423" s="481"/>
      <c r="AC423" s="481"/>
    </row>
    <row r="424" hidden="1">
      <c r="A424" s="532"/>
      <c r="B424" s="533"/>
      <c r="C424" s="533"/>
      <c r="D424" s="534"/>
      <c r="E424" s="534"/>
      <c r="F424" s="534"/>
      <c r="G424" s="533"/>
      <c r="H424" s="481"/>
      <c r="I424" s="481"/>
      <c r="J424" s="481"/>
      <c r="K424" s="481"/>
      <c r="L424" s="481"/>
      <c r="M424" s="481"/>
      <c r="N424" s="481"/>
      <c r="O424" s="481"/>
      <c r="P424" s="481"/>
      <c r="Q424" s="481"/>
      <c r="R424" s="481"/>
      <c r="S424" s="481"/>
      <c r="T424" s="481"/>
      <c r="U424" s="481"/>
      <c r="V424" s="481"/>
      <c r="W424" s="481"/>
      <c r="X424" s="481"/>
      <c r="Y424" s="481"/>
      <c r="Z424" s="481"/>
      <c r="AA424" s="481"/>
      <c r="AB424" s="481"/>
      <c r="AC424" s="481"/>
    </row>
    <row r="425" hidden="1">
      <c r="A425" s="535"/>
      <c r="B425" s="536"/>
      <c r="C425" s="536"/>
      <c r="D425" s="537"/>
      <c r="E425" s="537"/>
      <c r="F425" s="537"/>
      <c r="G425" s="536"/>
      <c r="H425" s="481"/>
      <c r="I425" s="481"/>
      <c r="J425" s="481"/>
      <c r="K425" s="481"/>
      <c r="L425" s="481"/>
      <c r="M425" s="481"/>
      <c r="N425" s="481"/>
      <c r="O425" s="481"/>
      <c r="P425" s="481"/>
      <c r="Q425" s="481"/>
      <c r="R425" s="481"/>
      <c r="S425" s="481"/>
      <c r="T425" s="481"/>
      <c r="U425" s="481"/>
      <c r="V425" s="481"/>
      <c r="W425" s="481"/>
      <c r="X425" s="481"/>
      <c r="Y425" s="481"/>
      <c r="Z425" s="481"/>
      <c r="AA425" s="481"/>
      <c r="AB425" s="481"/>
      <c r="AC425" s="481"/>
    </row>
    <row r="426" hidden="1">
      <c r="A426" s="532"/>
      <c r="B426" s="533"/>
      <c r="C426" s="533"/>
      <c r="D426" s="534"/>
      <c r="E426" s="534"/>
      <c r="F426" s="534"/>
      <c r="G426" s="533"/>
      <c r="H426" s="481"/>
      <c r="I426" s="481"/>
      <c r="J426" s="481"/>
      <c r="K426" s="481"/>
      <c r="L426" s="481"/>
      <c r="M426" s="481"/>
      <c r="N426" s="481"/>
      <c r="O426" s="481"/>
      <c r="P426" s="481"/>
      <c r="Q426" s="481"/>
      <c r="R426" s="481"/>
      <c r="S426" s="481"/>
      <c r="T426" s="481"/>
      <c r="U426" s="481"/>
      <c r="V426" s="481"/>
      <c r="W426" s="481"/>
      <c r="X426" s="481"/>
      <c r="Y426" s="481"/>
      <c r="Z426" s="481"/>
      <c r="AA426" s="481"/>
      <c r="AB426" s="481"/>
      <c r="AC426" s="481"/>
    </row>
    <row r="427" hidden="1">
      <c r="A427" s="535"/>
      <c r="B427" s="536"/>
      <c r="C427" s="536"/>
      <c r="D427" s="537"/>
      <c r="E427" s="537"/>
      <c r="F427" s="537"/>
      <c r="G427" s="536"/>
      <c r="H427" s="481"/>
      <c r="I427" s="481"/>
      <c r="J427" s="481"/>
      <c r="K427" s="481"/>
      <c r="L427" s="481"/>
      <c r="M427" s="481"/>
      <c r="N427" s="481"/>
      <c r="O427" s="481"/>
      <c r="P427" s="481"/>
      <c r="Q427" s="481"/>
      <c r="R427" s="481"/>
      <c r="S427" s="481"/>
      <c r="T427" s="481"/>
      <c r="U427" s="481"/>
      <c r="V427" s="481"/>
      <c r="W427" s="481"/>
      <c r="X427" s="481"/>
      <c r="Y427" s="481"/>
      <c r="Z427" s="481"/>
      <c r="AA427" s="481"/>
      <c r="AB427" s="481"/>
      <c r="AC427" s="481"/>
    </row>
    <row r="428" hidden="1">
      <c r="A428" s="532"/>
      <c r="B428" s="533"/>
      <c r="C428" s="533"/>
      <c r="D428" s="534"/>
      <c r="E428" s="534"/>
      <c r="F428" s="534"/>
      <c r="G428" s="533"/>
      <c r="H428" s="481"/>
      <c r="I428" s="481"/>
      <c r="J428" s="481"/>
      <c r="K428" s="481"/>
      <c r="L428" s="481"/>
      <c r="M428" s="481"/>
      <c r="N428" s="481"/>
      <c r="O428" s="481"/>
      <c r="P428" s="481"/>
      <c r="Q428" s="481"/>
      <c r="R428" s="481"/>
      <c r="S428" s="481"/>
      <c r="T428" s="481"/>
      <c r="U428" s="481"/>
      <c r="V428" s="481"/>
      <c r="W428" s="481"/>
      <c r="X428" s="481"/>
      <c r="Y428" s="481"/>
      <c r="Z428" s="481"/>
      <c r="AA428" s="481"/>
      <c r="AB428" s="481"/>
      <c r="AC428" s="481"/>
    </row>
    <row r="429" hidden="1">
      <c r="A429" s="535"/>
      <c r="B429" s="536"/>
      <c r="C429" s="536"/>
      <c r="D429" s="537"/>
      <c r="E429" s="537"/>
      <c r="F429" s="537"/>
      <c r="G429" s="536"/>
      <c r="H429" s="481"/>
      <c r="I429" s="481"/>
      <c r="J429" s="481"/>
      <c r="K429" s="481"/>
      <c r="L429" s="481"/>
      <c r="M429" s="481"/>
      <c r="N429" s="481"/>
      <c r="O429" s="481"/>
      <c r="P429" s="481"/>
      <c r="Q429" s="481"/>
      <c r="R429" s="481"/>
      <c r="S429" s="481"/>
      <c r="T429" s="481"/>
      <c r="U429" s="481"/>
      <c r="V429" s="481"/>
      <c r="W429" s="481"/>
      <c r="X429" s="481"/>
      <c r="Y429" s="481"/>
      <c r="Z429" s="481"/>
      <c r="AA429" s="481"/>
      <c r="AB429" s="481"/>
      <c r="AC429" s="481"/>
    </row>
    <row r="430" hidden="1">
      <c r="A430" s="532"/>
      <c r="B430" s="533"/>
      <c r="C430" s="533"/>
      <c r="D430" s="534"/>
      <c r="E430" s="534"/>
      <c r="F430" s="534"/>
      <c r="G430" s="533"/>
      <c r="H430" s="481"/>
      <c r="I430" s="481"/>
      <c r="J430" s="481"/>
      <c r="K430" s="481"/>
      <c r="L430" s="481"/>
      <c r="M430" s="481"/>
      <c r="N430" s="481"/>
      <c r="O430" s="481"/>
      <c r="P430" s="481"/>
      <c r="Q430" s="481"/>
      <c r="R430" s="481"/>
      <c r="S430" s="481"/>
      <c r="T430" s="481"/>
      <c r="U430" s="481"/>
      <c r="V430" s="481"/>
      <c r="W430" s="481"/>
      <c r="X430" s="481"/>
      <c r="Y430" s="481"/>
      <c r="Z430" s="481"/>
      <c r="AA430" s="481"/>
      <c r="AB430" s="481"/>
      <c r="AC430" s="481"/>
    </row>
    <row r="431" hidden="1">
      <c r="A431" s="535"/>
      <c r="B431" s="536"/>
      <c r="C431" s="536"/>
      <c r="D431" s="537"/>
      <c r="E431" s="537"/>
      <c r="F431" s="537"/>
      <c r="G431" s="536"/>
      <c r="H431" s="481"/>
      <c r="I431" s="481"/>
      <c r="J431" s="481"/>
      <c r="K431" s="481"/>
      <c r="L431" s="481"/>
      <c r="M431" s="481"/>
      <c r="N431" s="481"/>
      <c r="O431" s="481"/>
      <c r="P431" s="481"/>
      <c r="Q431" s="481"/>
      <c r="R431" s="481"/>
      <c r="S431" s="481"/>
      <c r="T431" s="481"/>
      <c r="U431" s="481"/>
      <c r="V431" s="481"/>
      <c r="W431" s="481"/>
      <c r="X431" s="481"/>
      <c r="Y431" s="481"/>
      <c r="Z431" s="481"/>
      <c r="AA431" s="481"/>
      <c r="AB431" s="481"/>
      <c r="AC431" s="481"/>
    </row>
    <row r="432" hidden="1">
      <c r="A432" s="532"/>
      <c r="B432" s="533"/>
      <c r="C432" s="533"/>
      <c r="D432" s="534"/>
      <c r="E432" s="534"/>
      <c r="F432" s="534"/>
      <c r="G432" s="533"/>
      <c r="H432" s="481"/>
      <c r="I432" s="481"/>
      <c r="J432" s="481"/>
      <c r="K432" s="481"/>
      <c r="L432" s="481"/>
      <c r="M432" s="481"/>
      <c r="N432" s="481"/>
      <c r="O432" s="481"/>
      <c r="P432" s="481"/>
      <c r="Q432" s="481"/>
      <c r="R432" s="481"/>
      <c r="S432" s="481"/>
      <c r="T432" s="481"/>
      <c r="U432" s="481"/>
      <c r="V432" s="481"/>
      <c r="W432" s="481"/>
      <c r="X432" s="481"/>
      <c r="Y432" s="481"/>
      <c r="Z432" s="481"/>
      <c r="AA432" s="481"/>
      <c r="AB432" s="481"/>
      <c r="AC432" s="481"/>
    </row>
    <row r="433" hidden="1">
      <c r="A433" s="535"/>
      <c r="B433" s="536"/>
      <c r="C433" s="536"/>
      <c r="D433" s="537"/>
      <c r="E433" s="537"/>
      <c r="F433" s="537"/>
      <c r="G433" s="536"/>
      <c r="H433" s="481"/>
      <c r="I433" s="481"/>
      <c r="J433" s="481"/>
      <c r="K433" s="481"/>
      <c r="L433" s="481"/>
      <c r="M433" s="481"/>
      <c r="N433" s="481"/>
      <c r="O433" s="481"/>
      <c r="P433" s="481"/>
      <c r="Q433" s="481"/>
      <c r="R433" s="481"/>
      <c r="S433" s="481"/>
      <c r="T433" s="481"/>
      <c r="U433" s="481"/>
      <c r="V433" s="481"/>
      <c r="W433" s="481"/>
      <c r="X433" s="481"/>
      <c r="Y433" s="481"/>
      <c r="Z433" s="481"/>
      <c r="AA433" s="481"/>
      <c r="AB433" s="481"/>
      <c r="AC433" s="481"/>
    </row>
    <row r="434" hidden="1">
      <c r="A434" s="532"/>
      <c r="B434" s="533"/>
      <c r="C434" s="533"/>
      <c r="D434" s="534"/>
      <c r="E434" s="534"/>
      <c r="F434" s="534"/>
      <c r="G434" s="533"/>
      <c r="H434" s="481"/>
      <c r="I434" s="481"/>
      <c r="J434" s="481"/>
      <c r="K434" s="481"/>
      <c r="L434" s="481"/>
      <c r="M434" s="481"/>
      <c r="N434" s="481"/>
      <c r="O434" s="481"/>
      <c r="P434" s="481"/>
      <c r="Q434" s="481"/>
      <c r="R434" s="481"/>
      <c r="S434" s="481"/>
      <c r="T434" s="481"/>
      <c r="U434" s="481"/>
      <c r="V434" s="481"/>
      <c r="W434" s="481"/>
      <c r="X434" s="481"/>
      <c r="Y434" s="481"/>
      <c r="Z434" s="481"/>
      <c r="AA434" s="481"/>
      <c r="AB434" s="481"/>
      <c r="AC434" s="481"/>
    </row>
    <row r="435" hidden="1">
      <c r="A435" s="535"/>
      <c r="B435" s="536"/>
      <c r="C435" s="536"/>
      <c r="D435" s="537"/>
      <c r="E435" s="537"/>
      <c r="F435" s="537"/>
      <c r="G435" s="536"/>
      <c r="H435" s="481"/>
      <c r="I435" s="481"/>
      <c r="J435" s="481"/>
      <c r="K435" s="481"/>
      <c r="L435" s="481"/>
      <c r="M435" s="481"/>
      <c r="N435" s="481"/>
      <c r="O435" s="481"/>
      <c r="P435" s="481"/>
      <c r="Q435" s="481"/>
      <c r="R435" s="481"/>
      <c r="S435" s="481"/>
      <c r="T435" s="481"/>
      <c r="U435" s="481"/>
      <c r="V435" s="481"/>
      <c r="W435" s="481"/>
      <c r="X435" s="481"/>
      <c r="Y435" s="481"/>
      <c r="Z435" s="481"/>
      <c r="AA435" s="481"/>
      <c r="AB435" s="481"/>
      <c r="AC435" s="481"/>
    </row>
    <row r="436" hidden="1">
      <c r="A436" s="532"/>
      <c r="B436" s="533"/>
      <c r="C436" s="533"/>
      <c r="D436" s="534"/>
      <c r="E436" s="534"/>
      <c r="F436" s="534"/>
      <c r="G436" s="533"/>
      <c r="H436" s="481"/>
      <c r="I436" s="481"/>
      <c r="J436" s="481"/>
      <c r="K436" s="481"/>
      <c r="L436" s="481"/>
      <c r="M436" s="481"/>
      <c r="N436" s="481"/>
      <c r="O436" s="481"/>
      <c r="P436" s="481"/>
      <c r="Q436" s="481"/>
      <c r="R436" s="481"/>
      <c r="S436" s="481"/>
      <c r="T436" s="481"/>
      <c r="U436" s="481"/>
      <c r="V436" s="481"/>
      <c r="W436" s="481"/>
      <c r="X436" s="481"/>
      <c r="Y436" s="481"/>
      <c r="Z436" s="481"/>
      <c r="AA436" s="481"/>
      <c r="AB436" s="481"/>
      <c r="AC436" s="481"/>
    </row>
    <row r="437" hidden="1">
      <c r="A437" s="535"/>
      <c r="B437" s="536"/>
      <c r="C437" s="536"/>
      <c r="D437" s="537"/>
      <c r="E437" s="537"/>
      <c r="F437" s="537"/>
      <c r="G437" s="536"/>
      <c r="H437" s="481"/>
      <c r="I437" s="481"/>
      <c r="J437" s="481"/>
      <c r="K437" s="481"/>
      <c r="L437" s="481"/>
      <c r="M437" s="481"/>
      <c r="N437" s="481"/>
      <c r="O437" s="481"/>
      <c r="P437" s="481"/>
      <c r="Q437" s="481"/>
      <c r="R437" s="481"/>
      <c r="S437" s="481"/>
      <c r="T437" s="481"/>
      <c r="U437" s="481"/>
      <c r="V437" s="481"/>
      <c r="W437" s="481"/>
      <c r="X437" s="481"/>
      <c r="Y437" s="481"/>
      <c r="Z437" s="481"/>
      <c r="AA437" s="481"/>
      <c r="AB437" s="481"/>
      <c r="AC437" s="481"/>
    </row>
    <row r="438" hidden="1">
      <c r="A438" s="532"/>
      <c r="B438" s="533"/>
      <c r="C438" s="533"/>
      <c r="D438" s="534"/>
      <c r="E438" s="534"/>
      <c r="F438" s="534"/>
      <c r="G438" s="533"/>
      <c r="H438" s="481"/>
      <c r="I438" s="481"/>
      <c r="J438" s="481"/>
      <c r="K438" s="481"/>
      <c r="L438" s="481"/>
      <c r="M438" s="481"/>
      <c r="N438" s="481"/>
      <c r="O438" s="481"/>
      <c r="P438" s="481"/>
      <c r="Q438" s="481"/>
      <c r="R438" s="481"/>
      <c r="S438" s="481"/>
      <c r="T438" s="481"/>
      <c r="U438" s="481"/>
      <c r="V438" s="481"/>
      <c r="W438" s="481"/>
      <c r="X438" s="481"/>
      <c r="Y438" s="481"/>
      <c r="Z438" s="481"/>
      <c r="AA438" s="481"/>
      <c r="AB438" s="481"/>
      <c r="AC438" s="481"/>
    </row>
    <row r="439" hidden="1">
      <c r="A439" s="535"/>
      <c r="B439" s="536"/>
      <c r="C439" s="536"/>
      <c r="D439" s="537"/>
      <c r="E439" s="537"/>
      <c r="F439" s="537"/>
      <c r="G439" s="536"/>
      <c r="H439" s="481"/>
      <c r="I439" s="481"/>
      <c r="J439" s="481"/>
      <c r="K439" s="481"/>
      <c r="L439" s="481"/>
      <c r="M439" s="481"/>
      <c r="N439" s="481"/>
      <c r="O439" s="481"/>
      <c r="P439" s="481"/>
      <c r="Q439" s="481"/>
      <c r="R439" s="481"/>
      <c r="S439" s="481"/>
      <c r="T439" s="481"/>
      <c r="U439" s="481"/>
      <c r="V439" s="481"/>
      <c r="W439" s="481"/>
      <c r="X439" s="481"/>
      <c r="Y439" s="481"/>
      <c r="Z439" s="481"/>
      <c r="AA439" s="481"/>
      <c r="AB439" s="481"/>
      <c r="AC439" s="481"/>
    </row>
    <row r="440" hidden="1">
      <c r="A440" s="532"/>
      <c r="B440" s="533"/>
      <c r="C440" s="533"/>
      <c r="D440" s="534"/>
      <c r="E440" s="534"/>
      <c r="F440" s="534"/>
      <c r="G440" s="533"/>
      <c r="H440" s="481"/>
      <c r="I440" s="481"/>
      <c r="J440" s="481"/>
      <c r="K440" s="481"/>
      <c r="L440" s="481"/>
      <c r="M440" s="481"/>
      <c r="N440" s="481"/>
      <c r="O440" s="481"/>
      <c r="P440" s="481"/>
      <c r="Q440" s="481"/>
      <c r="R440" s="481"/>
      <c r="S440" s="481"/>
      <c r="T440" s="481"/>
      <c r="U440" s="481"/>
      <c r="V440" s="481"/>
      <c r="W440" s="481"/>
      <c r="X440" s="481"/>
      <c r="Y440" s="481"/>
      <c r="Z440" s="481"/>
      <c r="AA440" s="481"/>
      <c r="AB440" s="481"/>
      <c r="AC440" s="481"/>
    </row>
    <row r="441" hidden="1">
      <c r="A441" s="535"/>
      <c r="B441" s="536"/>
      <c r="C441" s="536"/>
      <c r="D441" s="537"/>
      <c r="E441" s="537"/>
      <c r="F441" s="537"/>
      <c r="G441" s="536"/>
      <c r="H441" s="481"/>
      <c r="I441" s="481"/>
      <c r="J441" s="481"/>
      <c r="K441" s="481"/>
      <c r="L441" s="481"/>
      <c r="M441" s="481"/>
      <c r="N441" s="481"/>
      <c r="O441" s="481"/>
      <c r="P441" s="481"/>
      <c r="Q441" s="481"/>
      <c r="R441" s="481"/>
      <c r="S441" s="481"/>
      <c r="T441" s="481"/>
      <c r="U441" s="481"/>
      <c r="V441" s="481"/>
      <c r="W441" s="481"/>
      <c r="X441" s="481"/>
      <c r="Y441" s="481"/>
      <c r="Z441" s="481"/>
      <c r="AA441" s="481"/>
      <c r="AB441" s="481"/>
      <c r="AC441" s="481"/>
    </row>
    <row r="442" hidden="1">
      <c r="A442" s="532"/>
      <c r="B442" s="533"/>
      <c r="C442" s="533"/>
      <c r="D442" s="534"/>
      <c r="E442" s="534"/>
      <c r="F442" s="534"/>
      <c r="G442" s="533"/>
      <c r="H442" s="481"/>
      <c r="I442" s="481"/>
      <c r="J442" s="481"/>
      <c r="K442" s="481"/>
      <c r="L442" s="481"/>
      <c r="M442" s="481"/>
      <c r="N442" s="481"/>
      <c r="O442" s="481"/>
      <c r="P442" s="481"/>
      <c r="Q442" s="481"/>
      <c r="R442" s="481"/>
      <c r="S442" s="481"/>
      <c r="T442" s="481"/>
      <c r="U442" s="481"/>
      <c r="V442" s="481"/>
      <c r="W442" s="481"/>
      <c r="X442" s="481"/>
      <c r="Y442" s="481"/>
      <c r="Z442" s="481"/>
      <c r="AA442" s="481"/>
      <c r="AB442" s="481"/>
      <c r="AC442" s="481"/>
    </row>
    <row r="443" hidden="1">
      <c r="A443" s="535"/>
      <c r="B443" s="536"/>
      <c r="C443" s="536"/>
      <c r="D443" s="537"/>
      <c r="E443" s="537"/>
      <c r="F443" s="537"/>
      <c r="G443" s="536"/>
      <c r="H443" s="481"/>
      <c r="I443" s="481"/>
      <c r="J443" s="481"/>
      <c r="K443" s="481"/>
      <c r="L443" s="481"/>
      <c r="M443" s="481"/>
      <c r="N443" s="481"/>
      <c r="O443" s="481"/>
      <c r="P443" s="481"/>
      <c r="Q443" s="481"/>
      <c r="R443" s="481"/>
      <c r="S443" s="481"/>
      <c r="T443" s="481"/>
      <c r="U443" s="481"/>
      <c r="V443" s="481"/>
      <c r="W443" s="481"/>
      <c r="X443" s="481"/>
      <c r="Y443" s="481"/>
      <c r="Z443" s="481"/>
      <c r="AA443" s="481"/>
      <c r="AB443" s="481"/>
      <c r="AC443" s="481"/>
    </row>
    <row r="444" hidden="1">
      <c r="A444" s="532"/>
      <c r="B444" s="533"/>
      <c r="C444" s="533"/>
      <c r="D444" s="534"/>
      <c r="E444" s="534"/>
      <c r="F444" s="534"/>
      <c r="G444" s="533"/>
      <c r="H444" s="481"/>
      <c r="I444" s="481"/>
      <c r="J444" s="481"/>
      <c r="K444" s="481"/>
      <c r="L444" s="481"/>
      <c r="M444" s="481"/>
      <c r="N444" s="481"/>
      <c r="O444" s="481"/>
      <c r="P444" s="481"/>
      <c r="Q444" s="481"/>
      <c r="R444" s="481"/>
      <c r="S444" s="481"/>
      <c r="T444" s="481"/>
      <c r="U444" s="481"/>
      <c r="V444" s="481"/>
      <c r="W444" s="481"/>
      <c r="X444" s="481"/>
      <c r="Y444" s="481"/>
      <c r="Z444" s="481"/>
      <c r="AA444" s="481"/>
      <c r="AB444" s="481"/>
      <c r="AC444" s="481"/>
    </row>
    <row r="445" hidden="1">
      <c r="A445" s="535"/>
      <c r="B445" s="536"/>
      <c r="C445" s="536"/>
      <c r="D445" s="537"/>
      <c r="E445" s="537"/>
      <c r="F445" s="537"/>
      <c r="G445" s="536"/>
      <c r="H445" s="481"/>
      <c r="I445" s="481"/>
      <c r="J445" s="481"/>
      <c r="K445" s="481"/>
      <c r="L445" s="481"/>
      <c r="M445" s="481"/>
      <c r="N445" s="481"/>
      <c r="O445" s="481"/>
      <c r="P445" s="481"/>
      <c r="Q445" s="481"/>
      <c r="R445" s="481"/>
      <c r="S445" s="481"/>
      <c r="T445" s="481"/>
      <c r="U445" s="481"/>
      <c r="V445" s="481"/>
      <c r="W445" s="481"/>
      <c r="X445" s="481"/>
      <c r="Y445" s="481"/>
      <c r="Z445" s="481"/>
      <c r="AA445" s="481"/>
      <c r="AB445" s="481"/>
      <c r="AC445" s="481"/>
    </row>
    <row r="446" hidden="1">
      <c r="A446" s="532"/>
      <c r="B446" s="533"/>
      <c r="C446" s="533"/>
      <c r="D446" s="534"/>
      <c r="E446" s="534"/>
      <c r="F446" s="534"/>
      <c r="G446" s="533"/>
      <c r="H446" s="481"/>
      <c r="I446" s="481"/>
      <c r="J446" s="481"/>
      <c r="K446" s="481"/>
      <c r="L446" s="481"/>
      <c r="M446" s="481"/>
      <c r="N446" s="481"/>
      <c r="O446" s="481"/>
      <c r="P446" s="481"/>
      <c r="Q446" s="481"/>
      <c r="R446" s="481"/>
      <c r="S446" s="481"/>
      <c r="T446" s="481"/>
      <c r="U446" s="481"/>
      <c r="V446" s="481"/>
      <c r="W446" s="481"/>
      <c r="X446" s="481"/>
      <c r="Y446" s="481"/>
      <c r="Z446" s="481"/>
      <c r="AA446" s="481"/>
      <c r="AB446" s="481"/>
      <c r="AC446" s="481"/>
    </row>
    <row r="447" hidden="1">
      <c r="A447" s="535"/>
      <c r="B447" s="536"/>
      <c r="C447" s="536"/>
      <c r="D447" s="537"/>
      <c r="E447" s="537"/>
      <c r="F447" s="537"/>
      <c r="G447" s="536"/>
      <c r="H447" s="481"/>
      <c r="I447" s="481"/>
      <c r="J447" s="481"/>
      <c r="K447" s="481"/>
      <c r="L447" s="481"/>
      <c r="M447" s="481"/>
      <c r="N447" s="481"/>
      <c r="O447" s="481"/>
      <c r="P447" s="481"/>
      <c r="Q447" s="481"/>
      <c r="R447" s="481"/>
      <c r="S447" s="481"/>
      <c r="T447" s="481"/>
      <c r="U447" s="481"/>
      <c r="V447" s="481"/>
      <c r="W447" s="481"/>
      <c r="X447" s="481"/>
      <c r="Y447" s="481"/>
      <c r="Z447" s="481"/>
      <c r="AA447" s="481"/>
      <c r="AB447" s="481"/>
      <c r="AC447" s="481"/>
    </row>
    <row r="448" hidden="1">
      <c r="A448" s="532"/>
      <c r="B448" s="533"/>
      <c r="C448" s="533"/>
      <c r="D448" s="534"/>
      <c r="E448" s="534"/>
      <c r="F448" s="534"/>
      <c r="G448" s="533"/>
      <c r="H448" s="481"/>
      <c r="I448" s="481"/>
      <c r="J448" s="481"/>
      <c r="K448" s="481"/>
      <c r="L448" s="481"/>
      <c r="M448" s="481"/>
      <c r="N448" s="481"/>
      <c r="O448" s="481"/>
      <c r="P448" s="481"/>
      <c r="Q448" s="481"/>
      <c r="R448" s="481"/>
      <c r="S448" s="481"/>
      <c r="T448" s="481"/>
      <c r="U448" s="481"/>
      <c r="V448" s="481"/>
      <c r="W448" s="481"/>
      <c r="X448" s="481"/>
      <c r="Y448" s="481"/>
      <c r="Z448" s="481"/>
      <c r="AA448" s="481"/>
      <c r="AB448" s="481"/>
      <c r="AC448" s="481"/>
    </row>
    <row r="449" hidden="1">
      <c r="A449" s="535"/>
      <c r="B449" s="536"/>
      <c r="C449" s="536"/>
      <c r="D449" s="537"/>
      <c r="E449" s="537"/>
      <c r="F449" s="537"/>
      <c r="G449" s="536"/>
      <c r="H449" s="481"/>
      <c r="I449" s="481"/>
      <c r="J449" s="481"/>
      <c r="K449" s="481"/>
      <c r="L449" s="481"/>
      <c r="M449" s="481"/>
      <c r="N449" s="481"/>
      <c r="O449" s="481"/>
      <c r="P449" s="481"/>
      <c r="Q449" s="481"/>
      <c r="R449" s="481"/>
      <c r="S449" s="481"/>
      <c r="T449" s="481"/>
      <c r="U449" s="481"/>
      <c r="V449" s="481"/>
      <c r="W449" s="481"/>
      <c r="X449" s="481"/>
      <c r="Y449" s="481"/>
      <c r="Z449" s="481"/>
      <c r="AA449" s="481"/>
      <c r="AB449" s="481"/>
      <c r="AC449" s="481"/>
    </row>
    <row r="450" hidden="1">
      <c r="A450" s="532"/>
      <c r="B450" s="533"/>
      <c r="C450" s="533"/>
      <c r="D450" s="534"/>
      <c r="E450" s="534"/>
      <c r="F450" s="534"/>
      <c r="G450" s="533"/>
      <c r="H450" s="481"/>
      <c r="I450" s="481"/>
      <c r="J450" s="481"/>
      <c r="K450" s="481"/>
      <c r="L450" s="481"/>
      <c r="M450" s="481"/>
      <c r="N450" s="481"/>
      <c r="O450" s="481"/>
      <c r="P450" s="481"/>
      <c r="Q450" s="481"/>
      <c r="R450" s="481"/>
      <c r="S450" s="481"/>
      <c r="T450" s="481"/>
      <c r="U450" s="481"/>
      <c r="V450" s="481"/>
      <c r="W450" s="481"/>
      <c r="X450" s="481"/>
      <c r="Y450" s="481"/>
      <c r="Z450" s="481"/>
      <c r="AA450" s="481"/>
      <c r="AB450" s="481"/>
      <c r="AC450" s="481"/>
    </row>
    <row r="451" hidden="1">
      <c r="A451" s="535"/>
      <c r="B451" s="536"/>
      <c r="C451" s="536"/>
      <c r="D451" s="537"/>
      <c r="E451" s="537"/>
      <c r="F451" s="537"/>
      <c r="G451" s="536"/>
      <c r="H451" s="481"/>
      <c r="I451" s="481"/>
      <c r="J451" s="481"/>
      <c r="K451" s="481"/>
      <c r="L451" s="481"/>
      <c r="M451" s="481"/>
      <c r="N451" s="481"/>
      <c r="O451" s="481"/>
      <c r="P451" s="481"/>
      <c r="Q451" s="481"/>
      <c r="R451" s="481"/>
      <c r="S451" s="481"/>
      <c r="T451" s="481"/>
      <c r="U451" s="481"/>
      <c r="V451" s="481"/>
      <c r="W451" s="481"/>
      <c r="X451" s="481"/>
      <c r="Y451" s="481"/>
      <c r="Z451" s="481"/>
      <c r="AA451" s="481"/>
      <c r="AB451" s="481"/>
      <c r="AC451" s="481"/>
    </row>
    <row r="452" hidden="1">
      <c r="A452" s="532"/>
      <c r="B452" s="533"/>
      <c r="C452" s="533"/>
      <c r="D452" s="534"/>
      <c r="E452" s="534"/>
      <c r="F452" s="534"/>
      <c r="G452" s="533"/>
      <c r="H452" s="481"/>
      <c r="I452" s="481"/>
      <c r="J452" s="481"/>
      <c r="K452" s="481"/>
      <c r="L452" s="481"/>
      <c r="M452" s="481"/>
      <c r="N452" s="481"/>
      <c r="O452" s="481"/>
      <c r="P452" s="481"/>
      <c r="Q452" s="481"/>
      <c r="R452" s="481"/>
      <c r="S452" s="481"/>
      <c r="T452" s="481"/>
      <c r="U452" s="481"/>
      <c r="V452" s="481"/>
      <c r="W452" s="481"/>
      <c r="X452" s="481"/>
      <c r="Y452" s="481"/>
      <c r="Z452" s="481"/>
      <c r="AA452" s="481"/>
      <c r="AB452" s="481"/>
      <c r="AC452" s="481"/>
    </row>
    <row r="453" hidden="1">
      <c r="A453" s="535"/>
      <c r="B453" s="536"/>
      <c r="C453" s="536"/>
      <c r="D453" s="537"/>
      <c r="E453" s="537"/>
      <c r="F453" s="537"/>
      <c r="G453" s="536"/>
      <c r="H453" s="481"/>
      <c r="I453" s="481"/>
      <c r="J453" s="481"/>
      <c r="K453" s="481"/>
      <c r="L453" s="481"/>
      <c r="M453" s="481"/>
      <c r="N453" s="481"/>
      <c r="O453" s="481"/>
      <c r="P453" s="481"/>
      <c r="Q453" s="481"/>
      <c r="R453" s="481"/>
      <c r="S453" s="481"/>
      <c r="T453" s="481"/>
      <c r="U453" s="481"/>
      <c r="V453" s="481"/>
      <c r="W453" s="481"/>
      <c r="X453" s="481"/>
      <c r="Y453" s="481"/>
      <c r="Z453" s="481"/>
      <c r="AA453" s="481"/>
      <c r="AB453" s="481"/>
      <c r="AC453" s="481"/>
    </row>
    <row r="454" hidden="1">
      <c r="A454" s="532"/>
      <c r="B454" s="533"/>
      <c r="C454" s="533"/>
      <c r="D454" s="534"/>
      <c r="E454" s="534"/>
      <c r="F454" s="534"/>
      <c r="G454" s="533"/>
      <c r="H454" s="481"/>
      <c r="I454" s="481"/>
      <c r="J454" s="481"/>
      <c r="K454" s="481"/>
      <c r="L454" s="481"/>
      <c r="M454" s="481"/>
      <c r="N454" s="481"/>
      <c r="O454" s="481"/>
      <c r="P454" s="481"/>
      <c r="Q454" s="481"/>
      <c r="R454" s="481"/>
      <c r="S454" s="481"/>
      <c r="T454" s="481"/>
      <c r="U454" s="481"/>
      <c r="V454" s="481"/>
      <c r="W454" s="481"/>
      <c r="X454" s="481"/>
      <c r="Y454" s="481"/>
      <c r="Z454" s="481"/>
      <c r="AA454" s="481"/>
      <c r="AB454" s="481"/>
      <c r="AC454" s="481"/>
    </row>
    <row r="455" hidden="1">
      <c r="A455" s="535"/>
      <c r="B455" s="536"/>
      <c r="C455" s="536"/>
      <c r="D455" s="537"/>
      <c r="E455" s="537"/>
      <c r="F455" s="537"/>
      <c r="G455" s="536"/>
      <c r="H455" s="481"/>
      <c r="I455" s="481"/>
      <c r="J455" s="481"/>
      <c r="K455" s="481"/>
      <c r="L455" s="481"/>
      <c r="M455" s="481"/>
      <c r="N455" s="481"/>
      <c r="O455" s="481"/>
      <c r="P455" s="481"/>
      <c r="Q455" s="481"/>
      <c r="R455" s="481"/>
      <c r="S455" s="481"/>
      <c r="T455" s="481"/>
      <c r="U455" s="481"/>
      <c r="V455" s="481"/>
      <c r="W455" s="481"/>
      <c r="X455" s="481"/>
      <c r="Y455" s="481"/>
      <c r="Z455" s="481"/>
      <c r="AA455" s="481"/>
      <c r="AB455" s="481"/>
      <c r="AC455" s="481"/>
    </row>
    <row r="456" hidden="1">
      <c r="A456" s="532"/>
      <c r="B456" s="533"/>
      <c r="C456" s="533"/>
      <c r="D456" s="534"/>
      <c r="E456" s="534"/>
      <c r="F456" s="534"/>
      <c r="G456" s="533"/>
      <c r="H456" s="481"/>
      <c r="I456" s="481"/>
      <c r="J456" s="481"/>
      <c r="K456" s="481"/>
      <c r="L456" s="481"/>
      <c r="M456" s="481"/>
      <c r="N456" s="481"/>
      <c r="O456" s="481"/>
      <c r="P456" s="481"/>
      <c r="Q456" s="481"/>
      <c r="R456" s="481"/>
      <c r="S456" s="481"/>
      <c r="T456" s="481"/>
      <c r="U456" s="481"/>
      <c r="V456" s="481"/>
      <c r="W456" s="481"/>
      <c r="X456" s="481"/>
      <c r="Y456" s="481"/>
      <c r="Z456" s="481"/>
      <c r="AA456" s="481"/>
      <c r="AB456" s="481"/>
      <c r="AC456" s="481"/>
    </row>
    <row r="457" hidden="1">
      <c r="A457" s="535"/>
      <c r="B457" s="536"/>
      <c r="C457" s="536"/>
      <c r="D457" s="537"/>
      <c r="E457" s="537"/>
      <c r="F457" s="537"/>
      <c r="G457" s="536"/>
      <c r="H457" s="481"/>
      <c r="I457" s="481"/>
      <c r="J457" s="481"/>
      <c r="K457" s="481"/>
      <c r="L457" s="481"/>
      <c r="M457" s="481"/>
      <c r="N457" s="481"/>
      <c r="O457" s="481"/>
      <c r="P457" s="481"/>
      <c r="Q457" s="481"/>
      <c r="R457" s="481"/>
      <c r="S457" s="481"/>
      <c r="T457" s="481"/>
      <c r="U457" s="481"/>
      <c r="V457" s="481"/>
      <c r="W457" s="481"/>
      <c r="X457" s="481"/>
      <c r="Y457" s="481"/>
      <c r="Z457" s="481"/>
      <c r="AA457" s="481"/>
      <c r="AB457" s="481"/>
      <c r="AC457" s="481"/>
    </row>
    <row r="458" hidden="1">
      <c r="A458" s="532"/>
      <c r="B458" s="533"/>
      <c r="C458" s="533"/>
      <c r="D458" s="534"/>
      <c r="E458" s="534"/>
      <c r="F458" s="534"/>
      <c r="G458" s="533"/>
      <c r="H458" s="481"/>
      <c r="I458" s="481"/>
      <c r="J458" s="481"/>
      <c r="K458" s="481"/>
      <c r="L458" s="481"/>
      <c r="M458" s="481"/>
      <c r="N458" s="481"/>
      <c r="O458" s="481"/>
      <c r="P458" s="481"/>
      <c r="Q458" s="481"/>
      <c r="R458" s="481"/>
      <c r="S458" s="481"/>
      <c r="T458" s="481"/>
      <c r="U458" s="481"/>
      <c r="V458" s="481"/>
      <c r="W458" s="481"/>
      <c r="X458" s="481"/>
      <c r="Y458" s="481"/>
      <c r="Z458" s="481"/>
      <c r="AA458" s="481"/>
      <c r="AB458" s="481"/>
      <c r="AC458" s="481"/>
    </row>
    <row r="459" hidden="1">
      <c r="A459" s="535"/>
      <c r="B459" s="536"/>
      <c r="C459" s="536"/>
      <c r="D459" s="537"/>
      <c r="E459" s="537"/>
      <c r="F459" s="537"/>
      <c r="G459" s="536"/>
      <c r="H459" s="481"/>
      <c r="I459" s="481"/>
      <c r="J459" s="481"/>
      <c r="K459" s="481"/>
      <c r="L459" s="481"/>
      <c r="M459" s="481"/>
      <c r="N459" s="481"/>
      <c r="O459" s="481"/>
      <c r="P459" s="481"/>
      <c r="Q459" s="481"/>
      <c r="R459" s="481"/>
      <c r="S459" s="481"/>
      <c r="T459" s="481"/>
      <c r="U459" s="481"/>
      <c r="V459" s="481"/>
      <c r="W459" s="481"/>
      <c r="X459" s="481"/>
      <c r="Y459" s="481"/>
      <c r="Z459" s="481"/>
      <c r="AA459" s="481"/>
      <c r="AB459" s="481"/>
      <c r="AC459" s="481"/>
    </row>
    <row r="460" hidden="1">
      <c r="A460" s="532"/>
      <c r="B460" s="533"/>
      <c r="C460" s="533"/>
      <c r="D460" s="534"/>
      <c r="E460" s="534"/>
      <c r="F460" s="534"/>
      <c r="G460" s="533"/>
      <c r="H460" s="481"/>
      <c r="I460" s="481"/>
      <c r="J460" s="481"/>
      <c r="K460" s="481"/>
      <c r="L460" s="481"/>
      <c r="M460" s="481"/>
      <c r="N460" s="481"/>
      <c r="O460" s="481"/>
      <c r="P460" s="481"/>
      <c r="Q460" s="481"/>
      <c r="R460" s="481"/>
      <c r="S460" s="481"/>
      <c r="T460" s="481"/>
      <c r="U460" s="481"/>
      <c r="V460" s="481"/>
      <c r="W460" s="481"/>
      <c r="X460" s="481"/>
      <c r="Y460" s="481"/>
      <c r="Z460" s="481"/>
      <c r="AA460" s="481"/>
      <c r="AB460" s="481"/>
      <c r="AC460" s="481"/>
    </row>
    <row r="461" hidden="1">
      <c r="A461" s="535"/>
      <c r="B461" s="536"/>
      <c r="C461" s="536"/>
      <c r="D461" s="537"/>
      <c r="E461" s="537"/>
      <c r="F461" s="537"/>
      <c r="G461" s="536"/>
      <c r="H461" s="481"/>
      <c r="I461" s="481"/>
      <c r="J461" s="481"/>
      <c r="K461" s="481"/>
      <c r="L461" s="481"/>
      <c r="M461" s="481"/>
      <c r="N461" s="481"/>
      <c r="O461" s="481"/>
      <c r="P461" s="481"/>
      <c r="Q461" s="481"/>
      <c r="R461" s="481"/>
      <c r="S461" s="481"/>
      <c r="T461" s="481"/>
      <c r="U461" s="481"/>
      <c r="V461" s="481"/>
      <c r="W461" s="481"/>
      <c r="X461" s="481"/>
      <c r="Y461" s="481"/>
      <c r="Z461" s="481"/>
      <c r="AA461" s="481"/>
      <c r="AB461" s="481"/>
      <c r="AC461" s="481"/>
    </row>
    <row r="462" hidden="1">
      <c r="A462" s="532"/>
      <c r="B462" s="533"/>
      <c r="C462" s="533"/>
      <c r="D462" s="534"/>
      <c r="E462" s="534"/>
      <c r="F462" s="534"/>
      <c r="G462" s="533"/>
      <c r="H462" s="481"/>
      <c r="I462" s="481"/>
      <c r="J462" s="481"/>
      <c r="K462" s="481"/>
      <c r="L462" s="481"/>
      <c r="M462" s="481"/>
      <c r="N462" s="481"/>
      <c r="O462" s="481"/>
      <c r="P462" s="481"/>
      <c r="Q462" s="481"/>
      <c r="R462" s="481"/>
      <c r="S462" s="481"/>
      <c r="T462" s="481"/>
      <c r="U462" s="481"/>
      <c r="V462" s="481"/>
      <c r="W462" s="481"/>
      <c r="X462" s="481"/>
      <c r="Y462" s="481"/>
      <c r="Z462" s="481"/>
      <c r="AA462" s="481"/>
      <c r="AB462" s="481"/>
      <c r="AC462" s="481"/>
    </row>
    <row r="463" hidden="1">
      <c r="A463" s="535"/>
      <c r="B463" s="536"/>
      <c r="C463" s="536"/>
      <c r="D463" s="537"/>
      <c r="E463" s="537"/>
      <c r="F463" s="537"/>
      <c r="G463" s="536"/>
      <c r="H463" s="481"/>
      <c r="I463" s="481"/>
      <c r="J463" s="481"/>
      <c r="K463" s="481"/>
      <c r="L463" s="481"/>
      <c r="M463" s="481"/>
      <c r="N463" s="481"/>
      <c r="O463" s="481"/>
      <c r="P463" s="481"/>
      <c r="Q463" s="481"/>
      <c r="R463" s="481"/>
      <c r="S463" s="481"/>
      <c r="T463" s="481"/>
      <c r="U463" s="481"/>
      <c r="V463" s="481"/>
      <c r="W463" s="481"/>
      <c r="X463" s="481"/>
      <c r="Y463" s="481"/>
      <c r="Z463" s="481"/>
      <c r="AA463" s="481"/>
      <c r="AB463" s="481"/>
      <c r="AC463" s="481"/>
    </row>
    <row r="464" hidden="1">
      <c r="A464" s="532"/>
      <c r="B464" s="533"/>
      <c r="C464" s="533"/>
      <c r="D464" s="534"/>
      <c r="E464" s="534"/>
      <c r="F464" s="534"/>
      <c r="G464" s="533"/>
      <c r="H464" s="481"/>
      <c r="I464" s="481"/>
      <c r="J464" s="481"/>
      <c r="K464" s="481"/>
      <c r="L464" s="481"/>
      <c r="M464" s="481"/>
      <c r="N464" s="481"/>
      <c r="O464" s="481"/>
      <c r="P464" s="481"/>
      <c r="Q464" s="481"/>
      <c r="R464" s="481"/>
      <c r="S464" s="481"/>
      <c r="T464" s="481"/>
      <c r="U464" s="481"/>
      <c r="V464" s="481"/>
      <c r="W464" s="481"/>
      <c r="X464" s="481"/>
      <c r="Y464" s="481"/>
      <c r="Z464" s="481"/>
      <c r="AA464" s="481"/>
      <c r="AB464" s="481"/>
      <c r="AC464" s="481"/>
    </row>
    <row r="465" hidden="1">
      <c r="A465" s="535"/>
      <c r="B465" s="536"/>
      <c r="C465" s="536"/>
      <c r="D465" s="537"/>
      <c r="E465" s="537"/>
      <c r="F465" s="537"/>
      <c r="G465" s="536"/>
      <c r="H465" s="481"/>
      <c r="I465" s="481"/>
      <c r="J465" s="481"/>
      <c r="K465" s="481"/>
      <c r="L465" s="481"/>
      <c r="M465" s="481"/>
      <c r="N465" s="481"/>
      <c r="O465" s="481"/>
      <c r="P465" s="481"/>
      <c r="Q465" s="481"/>
      <c r="R465" s="481"/>
      <c r="S465" s="481"/>
      <c r="T465" s="481"/>
      <c r="U465" s="481"/>
      <c r="V465" s="481"/>
      <c r="W465" s="481"/>
      <c r="X465" s="481"/>
      <c r="Y465" s="481"/>
      <c r="Z465" s="481"/>
      <c r="AA465" s="481"/>
      <c r="AB465" s="481"/>
      <c r="AC465" s="481"/>
    </row>
    <row r="466" hidden="1">
      <c r="A466" s="532"/>
      <c r="B466" s="533"/>
      <c r="C466" s="533"/>
      <c r="D466" s="534"/>
      <c r="E466" s="534"/>
      <c r="F466" s="534"/>
      <c r="G466" s="533"/>
      <c r="H466" s="481"/>
      <c r="I466" s="481"/>
      <c r="J466" s="481"/>
      <c r="K466" s="481"/>
      <c r="L466" s="481"/>
      <c r="M466" s="481"/>
      <c r="N466" s="481"/>
      <c r="O466" s="481"/>
      <c r="P466" s="481"/>
      <c r="Q466" s="481"/>
      <c r="R466" s="481"/>
      <c r="S466" s="481"/>
      <c r="T466" s="481"/>
      <c r="U466" s="481"/>
      <c r="V466" s="481"/>
      <c r="W466" s="481"/>
      <c r="X466" s="481"/>
      <c r="Y466" s="481"/>
      <c r="Z466" s="481"/>
      <c r="AA466" s="481"/>
      <c r="AB466" s="481"/>
      <c r="AC466" s="481"/>
    </row>
    <row r="467" hidden="1">
      <c r="A467" s="535"/>
      <c r="B467" s="536"/>
      <c r="C467" s="536"/>
      <c r="D467" s="537"/>
      <c r="E467" s="537"/>
      <c r="F467" s="537"/>
      <c r="G467" s="536"/>
      <c r="H467" s="481"/>
      <c r="I467" s="481"/>
      <c r="J467" s="481"/>
      <c r="K467" s="481"/>
      <c r="L467" s="481"/>
      <c r="M467" s="481"/>
      <c r="N467" s="481"/>
      <c r="O467" s="481"/>
      <c r="P467" s="481"/>
      <c r="Q467" s="481"/>
      <c r="R467" s="481"/>
      <c r="S467" s="481"/>
      <c r="T467" s="481"/>
      <c r="U467" s="481"/>
      <c r="V467" s="481"/>
      <c r="W467" s="481"/>
      <c r="X467" s="481"/>
      <c r="Y467" s="481"/>
      <c r="Z467" s="481"/>
      <c r="AA467" s="481"/>
      <c r="AB467" s="481"/>
      <c r="AC467" s="481"/>
    </row>
    <row r="468" hidden="1">
      <c r="A468" s="532"/>
      <c r="B468" s="533"/>
      <c r="C468" s="533"/>
      <c r="D468" s="534"/>
      <c r="E468" s="534"/>
      <c r="F468" s="534"/>
      <c r="G468" s="533"/>
      <c r="H468" s="481"/>
      <c r="I468" s="481"/>
      <c r="J468" s="481"/>
      <c r="K468" s="481"/>
      <c r="L468" s="481"/>
      <c r="M468" s="481"/>
      <c r="N468" s="481"/>
      <c r="O468" s="481"/>
      <c r="P468" s="481"/>
      <c r="Q468" s="481"/>
      <c r="R468" s="481"/>
      <c r="S468" s="481"/>
      <c r="T468" s="481"/>
      <c r="U468" s="481"/>
      <c r="V468" s="481"/>
      <c r="W468" s="481"/>
      <c r="X468" s="481"/>
      <c r="Y468" s="481"/>
      <c r="Z468" s="481"/>
      <c r="AA468" s="481"/>
      <c r="AB468" s="481"/>
      <c r="AC468" s="481"/>
    </row>
    <row r="469" hidden="1">
      <c r="A469" s="535"/>
      <c r="B469" s="536"/>
      <c r="C469" s="536"/>
      <c r="D469" s="537"/>
      <c r="E469" s="537"/>
      <c r="F469" s="537"/>
      <c r="G469" s="536"/>
      <c r="H469" s="481"/>
      <c r="I469" s="481"/>
      <c r="J469" s="481"/>
      <c r="K469" s="481"/>
      <c r="L469" s="481"/>
      <c r="M469" s="481"/>
      <c r="N469" s="481"/>
      <c r="O469" s="481"/>
      <c r="P469" s="481"/>
      <c r="Q469" s="481"/>
      <c r="R469" s="481"/>
      <c r="S469" s="481"/>
      <c r="T469" s="481"/>
      <c r="U469" s="481"/>
      <c r="V469" s="481"/>
      <c r="W469" s="481"/>
      <c r="X469" s="481"/>
      <c r="Y469" s="481"/>
      <c r="Z469" s="481"/>
      <c r="AA469" s="481"/>
      <c r="AB469" s="481"/>
      <c r="AC469" s="481"/>
    </row>
    <row r="470" hidden="1">
      <c r="A470" s="532"/>
      <c r="B470" s="533"/>
      <c r="C470" s="533"/>
      <c r="D470" s="534"/>
      <c r="E470" s="534"/>
      <c r="F470" s="534"/>
      <c r="G470" s="533"/>
      <c r="H470" s="481"/>
      <c r="I470" s="481"/>
      <c r="J470" s="481"/>
      <c r="K470" s="481"/>
      <c r="L470" s="481"/>
      <c r="M470" s="481"/>
      <c r="N470" s="481"/>
      <c r="O470" s="481"/>
      <c r="P470" s="481"/>
      <c r="Q470" s="481"/>
      <c r="R470" s="481"/>
      <c r="S470" s="481"/>
      <c r="T470" s="481"/>
      <c r="U470" s="481"/>
      <c r="V470" s="481"/>
      <c r="W470" s="481"/>
      <c r="X470" s="481"/>
      <c r="Y470" s="481"/>
      <c r="Z470" s="481"/>
      <c r="AA470" s="481"/>
      <c r="AB470" s="481"/>
      <c r="AC470" s="481"/>
    </row>
    <row r="471" hidden="1">
      <c r="A471" s="535"/>
      <c r="B471" s="536"/>
      <c r="C471" s="536"/>
      <c r="D471" s="537"/>
      <c r="E471" s="537"/>
      <c r="F471" s="537"/>
      <c r="G471" s="536"/>
      <c r="H471" s="481"/>
      <c r="I471" s="481"/>
      <c r="J471" s="481"/>
      <c r="K471" s="481"/>
      <c r="L471" s="481"/>
      <c r="M471" s="481"/>
      <c r="N471" s="481"/>
      <c r="O471" s="481"/>
      <c r="P471" s="481"/>
      <c r="Q471" s="481"/>
      <c r="R471" s="481"/>
      <c r="S471" s="481"/>
      <c r="T471" s="481"/>
      <c r="U471" s="481"/>
      <c r="V471" s="481"/>
      <c r="W471" s="481"/>
      <c r="X471" s="481"/>
      <c r="Y471" s="481"/>
      <c r="Z471" s="481"/>
      <c r="AA471" s="481"/>
      <c r="AB471" s="481"/>
      <c r="AC471" s="481"/>
    </row>
    <row r="472" hidden="1">
      <c r="A472" s="532"/>
      <c r="B472" s="533"/>
      <c r="C472" s="533"/>
      <c r="D472" s="534"/>
      <c r="E472" s="534"/>
      <c r="F472" s="534"/>
      <c r="G472" s="533"/>
      <c r="H472" s="481"/>
      <c r="I472" s="481"/>
      <c r="J472" s="481"/>
      <c r="K472" s="481"/>
      <c r="L472" s="481"/>
      <c r="M472" s="481"/>
      <c r="N472" s="481"/>
      <c r="O472" s="481"/>
      <c r="P472" s="481"/>
      <c r="Q472" s="481"/>
      <c r="R472" s="481"/>
      <c r="S472" s="481"/>
      <c r="T472" s="481"/>
      <c r="U472" s="481"/>
      <c r="V472" s="481"/>
      <c r="W472" s="481"/>
      <c r="X472" s="481"/>
      <c r="Y472" s="481"/>
      <c r="Z472" s="481"/>
      <c r="AA472" s="481"/>
      <c r="AB472" s="481"/>
      <c r="AC472" s="481"/>
    </row>
    <row r="473" hidden="1">
      <c r="A473" s="535"/>
      <c r="B473" s="536"/>
      <c r="C473" s="536"/>
      <c r="D473" s="537"/>
      <c r="E473" s="537"/>
      <c r="F473" s="537"/>
      <c r="G473" s="536"/>
      <c r="H473" s="481"/>
      <c r="I473" s="481"/>
      <c r="J473" s="481"/>
      <c r="K473" s="481"/>
      <c r="L473" s="481"/>
      <c r="M473" s="481"/>
      <c r="N473" s="481"/>
      <c r="O473" s="481"/>
      <c r="P473" s="481"/>
      <c r="Q473" s="481"/>
      <c r="R473" s="481"/>
      <c r="S473" s="481"/>
      <c r="T473" s="481"/>
      <c r="U473" s="481"/>
      <c r="V473" s="481"/>
      <c r="W473" s="481"/>
      <c r="X473" s="481"/>
      <c r="Y473" s="481"/>
      <c r="Z473" s="481"/>
      <c r="AA473" s="481"/>
      <c r="AB473" s="481"/>
      <c r="AC473" s="481"/>
    </row>
    <row r="474" hidden="1">
      <c r="A474" s="532"/>
      <c r="B474" s="533"/>
      <c r="C474" s="533"/>
      <c r="D474" s="534"/>
      <c r="E474" s="534"/>
      <c r="F474" s="534"/>
      <c r="G474" s="533"/>
      <c r="H474" s="481"/>
      <c r="I474" s="481"/>
      <c r="J474" s="481"/>
      <c r="K474" s="481"/>
      <c r="L474" s="481"/>
      <c r="M474" s="481"/>
      <c r="N474" s="481"/>
      <c r="O474" s="481"/>
      <c r="P474" s="481"/>
      <c r="Q474" s="481"/>
      <c r="R474" s="481"/>
      <c r="S474" s="481"/>
      <c r="T474" s="481"/>
      <c r="U474" s="481"/>
      <c r="V474" s="481"/>
      <c r="W474" s="481"/>
      <c r="X474" s="481"/>
      <c r="Y474" s="481"/>
      <c r="Z474" s="481"/>
      <c r="AA474" s="481"/>
      <c r="AB474" s="481"/>
      <c r="AC474" s="481"/>
    </row>
    <row r="475" hidden="1">
      <c r="A475" s="535"/>
      <c r="B475" s="536"/>
      <c r="C475" s="536"/>
      <c r="D475" s="537"/>
      <c r="E475" s="537"/>
      <c r="F475" s="537"/>
      <c r="G475" s="536"/>
      <c r="H475" s="481"/>
      <c r="I475" s="481"/>
      <c r="J475" s="481"/>
      <c r="K475" s="481"/>
      <c r="L475" s="481"/>
      <c r="M475" s="481"/>
      <c r="N475" s="481"/>
      <c r="O475" s="481"/>
      <c r="P475" s="481"/>
      <c r="Q475" s="481"/>
      <c r="R475" s="481"/>
      <c r="S475" s="481"/>
      <c r="T475" s="481"/>
      <c r="U475" s="481"/>
      <c r="V475" s="481"/>
      <c r="W475" s="481"/>
      <c r="X475" s="481"/>
      <c r="Y475" s="481"/>
      <c r="Z475" s="481"/>
      <c r="AA475" s="481"/>
      <c r="AB475" s="481"/>
      <c r="AC475" s="481"/>
    </row>
    <row r="476" hidden="1">
      <c r="A476" s="532"/>
      <c r="B476" s="533"/>
      <c r="C476" s="533"/>
      <c r="D476" s="534"/>
      <c r="E476" s="534"/>
      <c r="F476" s="534"/>
      <c r="G476" s="533"/>
      <c r="H476" s="481"/>
      <c r="I476" s="481"/>
      <c r="J476" s="481"/>
      <c r="K476" s="481"/>
      <c r="L476" s="481"/>
      <c r="M476" s="481"/>
      <c r="N476" s="481"/>
      <c r="O476" s="481"/>
      <c r="P476" s="481"/>
      <c r="Q476" s="481"/>
      <c r="R476" s="481"/>
      <c r="S476" s="481"/>
      <c r="T476" s="481"/>
      <c r="U476" s="481"/>
      <c r="V476" s="481"/>
      <c r="W476" s="481"/>
      <c r="X476" s="481"/>
      <c r="Y476" s="481"/>
      <c r="Z476" s="481"/>
      <c r="AA476" s="481"/>
      <c r="AB476" s="481"/>
      <c r="AC476" s="481"/>
    </row>
    <row r="477" hidden="1">
      <c r="A477" s="535"/>
      <c r="B477" s="536"/>
      <c r="C477" s="536"/>
      <c r="D477" s="537"/>
      <c r="E477" s="537"/>
      <c r="F477" s="537"/>
      <c r="G477" s="536"/>
      <c r="H477" s="481"/>
      <c r="I477" s="481"/>
      <c r="J477" s="481"/>
      <c r="K477" s="481"/>
      <c r="L477" s="481"/>
      <c r="M477" s="481"/>
      <c r="N477" s="481"/>
      <c r="O477" s="481"/>
      <c r="P477" s="481"/>
      <c r="Q477" s="481"/>
      <c r="R477" s="481"/>
      <c r="S477" s="481"/>
      <c r="T477" s="481"/>
      <c r="U477" s="481"/>
      <c r="V477" s="481"/>
      <c r="W477" s="481"/>
      <c r="X477" s="481"/>
      <c r="Y477" s="481"/>
      <c r="Z477" s="481"/>
      <c r="AA477" s="481"/>
      <c r="AB477" s="481"/>
      <c r="AC477" s="481"/>
    </row>
    <row r="478" hidden="1">
      <c r="A478" s="532"/>
      <c r="B478" s="533"/>
      <c r="C478" s="533"/>
      <c r="D478" s="534"/>
      <c r="E478" s="534"/>
      <c r="F478" s="534"/>
      <c r="G478" s="533"/>
      <c r="H478" s="481"/>
      <c r="I478" s="481"/>
      <c r="J478" s="481"/>
      <c r="K478" s="481"/>
      <c r="L478" s="481"/>
      <c r="M478" s="481"/>
      <c r="N478" s="481"/>
      <c r="O478" s="481"/>
      <c r="P478" s="481"/>
      <c r="Q478" s="481"/>
      <c r="R478" s="481"/>
      <c r="S478" s="481"/>
      <c r="T478" s="481"/>
      <c r="U478" s="481"/>
      <c r="V478" s="481"/>
      <c r="W478" s="481"/>
      <c r="X478" s="481"/>
      <c r="Y478" s="481"/>
      <c r="Z478" s="481"/>
      <c r="AA478" s="481"/>
      <c r="AB478" s="481"/>
      <c r="AC478" s="481"/>
    </row>
    <row r="479" hidden="1">
      <c r="A479" s="535"/>
      <c r="B479" s="536"/>
      <c r="C479" s="536"/>
      <c r="D479" s="537"/>
      <c r="E479" s="537"/>
      <c r="F479" s="537"/>
      <c r="G479" s="536"/>
      <c r="H479" s="481"/>
      <c r="I479" s="481"/>
      <c r="J479" s="481"/>
      <c r="K479" s="481"/>
      <c r="L479" s="481"/>
      <c r="M479" s="481"/>
      <c r="N479" s="481"/>
      <c r="O479" s="481"/>
      <c r="P479" s="481"/>
      <c r="Q479" s="481"/>
      <c r="R479" s="481"/>
      <c r="S479" s="481"/>
      <c r="T479" s="481"/>
      <c r="U479" s="481"/>
      <c r="V479" s="481"/>
      <c r="W479" s="481"/>
      <c r="X479" s="481"/>
      <c r="Y479" s="481"/>
      <c r="Z479" s="481"/>
      <c r="AA479" s="481"/>
      <c r="AB479" s="481"/>
      <c r="AC479" s="481"/>
    </row>
    <row r="480" hidden="1">
      <c r="A480" s="532"/>
      <c r="B480" s="533"/>
      <c r="C480" s="533"/>
      <c r="D480" s="534"/>
      <c r="E480" s="534"/>
      <c r="F480" s="534"/>
      <c r="G480" s="533"/>
      <c r="H480" s="481"/>
      <c r="I480" s="481"/>
      <c r="J480" s="481"/>
      <c r="K480" s="481"/>
      <c r="L480" s="481"/>
      <c r="M480" s="481"/>
      <c r="N480" s="481"/>
      <c r="O480" s="481"/>
      <c r="P480" s="481"/>
      <c r="Q480" s="481"/>
      <c r="R480" s="481"/>
      <c r="S480" s="481"/>
      <c r="T480" s="481"/>
      <c r="U480" s="481"/>
      <c r="V480" s="481"/>
      <c r="W480" s="481"/>
      <c r="X480" s="481"/>
      <c r="Y480" s="481"/>
      <c r="Z480" s="481"/>
      <c r="AA480" s="481"/>
      <c r="AB480" s="481"/>
      <c r="AC480" s="481"/>
    </row>
    <row r="481" hidden="1">
      <c r="A481" s="535"/>
      <c r="B481" s="536"/>
      <c r="C481" s="536"/>
      <c r="D481" s="537"/>
      <c r="E481" s="537"/>
      <c r="F481" s="537"/>
      <c r="G481" s="536"/>
      <c r="H481" s="481"/>
      <c r="I481" s="481"/>
      <c r="J481" s="481"/>
      <c r="K481" s="481"/>
      <c r="L481" s="481"/>
      <c r="M481" s="481"/>
      <c r="N481" s="481"/>
      <c r="O481" s="481"/>
      <c r="P481" s="481"/>
      <c r="Q481" s="481"/>
      <c r="R481" s="481"/>
      <c r="S481" s="481"/>
      <c r="T481" s="481"/>
      <c r="U481" s="481"/>
      <c r="V481" s="481"/>
      <c r="W481" s="481"/>
      <c r="X481" s="481"/>
      <c r="Y481" s="481"/>
      <c r="Z481" s="481"/>
      <c r="AA481" s="481"/>
      <c r="AB481" s="481"/>
      <c r="AC481" s="481"/>
    </row>
    <row r="482" hidden="1">
      <c r="A482" s="532"/>
      <c r="B482" s="533"/>
      <c r="C482" s="533"/>
      <c r="D482" s="534"/>
      <c r="E482" s="534"/>
      <c r="F482" s="534"/>
      <c r="G482" s="533"/>
      <c r="H482" s="481"/>
      <c r="I482" s="481"/>
      <c r="J482" s="481"/>
      <c r="K482" s="481"/>
      <c r="L482" s="481"/>
      <c r="M482" s="481"/>
      <c r="N482" s="481"/>
      <c r="O482" s="481"/>
      <c r="P482" s="481"/>
      <c r="Q482" s="481"/>
      <c r="R482" s="481"/>
      <c r="S482" s="481"/>
      <c r="T482" s="481"/>
      <c r="U482" s="481"/>
      <c r="V482" s="481"/>
      <c r="W482" s="481"/>
      <c r="X482" s="481"/>
      <c r="Y482" s="481"/>
      <c r="Z482" s="481"/>
      <c r="AA482" s="481"/>
      <c r="AB482" s="481"/>
      <c r="AC482" s="481"/>
    </row>
    <row r="483" hidden="1">
      <c r="A483" s="535"/>
      <c r="B483" s="536"/>
      <c r="C483" s="536"/>
      <c r="D483" s="537"/>
      <c r="E483" s="537"/>
      <c r="F483" s="537"/>
      <c r="G483" s="536"/>
      <c r="H483" s="481"/>
      <c r="I483" s="481"/>
      <c r="J483" s="481"/>
      <c r="K483" s="481"/>
      <c r="L483" s="481"/>
      <c r="M483" s="481"/>
      <c r="N483" s="481"/>
      <c r="O483" s="481"/>
      <c r="P483" s="481"/>
      <c r="Q483" s="481"/>
      <c r="R483" s="481"/>
      <c r="S483" s="481"/>
      <c r="T483" s="481"/>
      <c r="U483" s="481"/>
      <c r="V483" s="481"/>
      <c r="W483" s="481"/>
      <c r="X483" s="481"/>
      <c r="Y483" s="481"/>
      <c r="Z483" s="481"/>
      <c r="AA483" s="481"/>
      <c r="AB483" s="481"/>
      <c r="AC483" s="481"/>
    </row>
    <row r="484" hidden="1">
      <c r="A484" s="532"/>
      <c r="B484" s="533"/>
      <c r="C484" s="533"/>
      <c r="D484" s="534"/>
      <c r="E484" s="534"/>
      <c r="F484" s="534"/>
      <c r="G484" s="533"/>
      <c r="H484" s="481"/>
      <c r="I484" s="481"/>
      <c r="J484" s="481"/>
      <c r="K484" s="481"/>
      <c r="L484" s="481"/>
      <c r="M484" s="481"/>
      <c r="N484" s="481"/>
      <c r="O484" s="481"/>
      <c r="P484" s="481"/>
      <c r="Q484" s="481"/>
      <c r="R484" s="481"/>
      <c r="S484" s="481"/>
      <c r="T484" s="481"/>
      <c r="U484" s="481"/>
      <c r="V484" s="481"/>
      <c r="W484" s="481"/>
      <c r="X484" s="481"/>
      <c r="Y484" s="481"/>
      <c r="Z484" s="481"/>
      <c r="AA484" s="481"/>
      <c r="AB484" s="481"/>
      <c r="AC484" s="481"/>
    </row>
    <row r="485" hidden="1">
      <c r="A485" s="535"/>
      <c r="B485" s="536"/>
      <c r="C485" s="536"/>
      <c r="D485" s="537"/>
      <c r="E485" s="537"/>
      <c r="F485" s="537"/>
      <c r="G485" s="536"/>
      <c r="H485" s="481"/>
      <c r="I485" s="481"/>
      <c r="J485" s="481"/>
      <c r="K485" s="481"/>
      <c r="L485" s="481"/>
      <c r="M485" s="481"/>
      <c r="N485" s="481"/>
      <c r="O485" s="481"/>
      <c r="P485" s="481"/>
      <c r="Q485" s="481"/>
      <c r="R485" s="481"/>
      <c r="S485" s="481"/>
      <c r="T485" s="481"/>
      <c r="U485" s="481"/>
      <c r="V485" s="481"/>
      <c r="W485" s="481"/>
      <c r="X485" s="481"/>
      <c r="Y485" s="481"/>
      <c r="Z485" s="481"/>
      <c r="AA485" s="481"/>
      <c r="AB485" s="481"/>
      <c r="AC485" s="481"/>
    </row>
    <row r="486" hidden="1">
      <c r="A486" s="532"/>
      <c r="B486" s="533"/>
      <c r="C486" s="533"/>
      <c r="D486" s="534"/>
      <c r="E486" s="534"/>
      <c r="F486" s="534"/>
      <c r="G486" s="533"/>
      <c r="H486" s="481"/>
      <c r="I486" s="481"/>
      <c r="J486" s="481"/>
      <c r="K486" s="481"/>
      <c r="L486" s="481"/>
      <c r="M486" s="481"/>
      <c r="N486" s="481"/>
      <c r="O486" s="481"/>
      <c r="P486" s="481"/>
      <c r="Q486" s="481"/>
      <c r="R486" s="481"/>
      <c r="S486" s="481"/>
      <c r="T486" s="481"/>
      <c r="U486" s="481"/>
      <c r="V486" s="481"/>
      <c r="W486" s="481"/>
      <c r="X486" s="481"/>
      <c r="Y486" s="481"/>
      <c r="Z486" s="481"/>
      <c r="AA486" s="481"/>
      <c r="AB486" s="481"/>
      <c r="AC486" s="481"/>
    </row>
    <row r="487" hidden="1">
      <c r="A487" s="535"/>
      <c r="B487" s="536"/>
      <c r="C487" s="536"/>
      <c r="D487" s="537"/>
      <c r="E487" s="537"/>
      <c r="F487" s="537"/>
      <c r="G487" s="536"/>
      <c r="H487" s="481"/>
      <c r="I487" s="481"/>
      <c r="J487" s="481"/>
      <c r="K487" s="481"/>
      <c r="L487" s="481"/>
      <c r="M487" s="481"/>
      <c r="N487" s="481"/>
      <c r="O487" s="481"/>
      <c r="P487" s="481"/>
      <c r="Q487" s="481"/>
      <c r="R487" s="481"/>
      <c r="S487" s="481"/>
      <c r="T487" s="481"/>
      <c r="U487" s="481"/>
      <c r="V487" s="481"/>
      <c r="W487" s="481"/>
      <c r="X487" s="481"/>
      <c r="Y487" s="481"/>
      <c r="Z487" s="481"/>
      <c r="AA487" s="481"/>
      <c r="AB487" s="481"/>
      <c r="AC487" s="481"/>
    </row>
    <row r="488" hidden="1">
      <c r="A488" s="532"/>
      <c r="B488" s="533"/>
      <c r="C488" s="533"/>
      <c r="D488" s="534"/>
      <c r="E488" s="534"/>
      <c r="F488" s="534"/>
      <c r="G488" s="533"/>
      <c r="H488" s="481"/>
      <c r="I488" s="481"/>
      <c r="J488" s="481"/>
      <c r="K488" s="481"/>
      <c r="L488" s="481"/>
      <c r="M488" s="481"/>
      <c r="N488" s="481"/>
      <c r="O488" s="481"/>
      <c r="P488" s="481"/>
      <c r="Q488" s="481"/>
      <c r="R488" s="481"/>
      <c r="S488" s="481"/>
      <c r="T488" s="481"/>
      <c r="U488" s="481"/>
      <c r="V488" s="481"/>
      <c r="W488" s="481"/>
      <c r="X488" s="481"/>
      <c r="Y488" s="481"/>
      <c r="Z488" s="481"/>
      <c r="AA488" s="481"/>
      <c r="AB488" s="481"/>
      <c r="AC488" s="481"/>
    </row>
    <row r="489" hidden="1">
      <c r="A489" s="535"/>
      <c r="B489" s="536"/>
      <c r="C489" s="536"/>
      <c r="D489" s="537"/>
      <c r="E489" s="537"/>
      <c r="F489" s="537"/>
      <c r="G489" s="536"/>
      <c r="H489" s="481"/>
      <c r="I489" s="481"/>
      <c r="J489" s="481"/>
      <c r="K489" s="481"/>
      <c r="L489" s="481"/>
      <c r="M489" s="481"/>
      <c r="N489" s="481"/>
      <c r="O489" s="481"/>
      <c r="P489" s="481"/>
      <c r="Q489" s="481"/>
      <c r="R489" s="481"/>
      <c r="S489" s="481"/>
      <c r="T489" s="481"/>
      <c r="U489" s="481"/>
      <c r="V489" s="481"/>
      <c r="W489" s="481"/>
      <c r="X489" s="481"/>
      <c r="Y489" s="481"/>
      <c r="Z489" s="481"/>
      <c r="AA489" s="481"/>
      <c r="AB489" s="481"/>
      <c r="AC489" s="481"/>
    </row>
    <row r="490" hidden="1">
      <c r="A490" s="532"/>
      <c r="B490" s="533"/>
      <c r="C490" s="533"/>
      <c r="D490" s="534"/>
      <c r="E490" s="534"/>
      <c r="F490" s="534"/>
      <c r="G490" s="533"/>
      <c r="H490" s="481"/>
      <c r="I490" s="481"/>
      <c r="J490" s="481"/>
      <c r="K490" s="481"/>
      <c r="L490" s="481"/>
      <c r="M490" s="481"/>
      <c r="N490" s="481"/>
      <c r="O490" s="481"/>
      <c r="P490" s="481"/>
      <c r="Q490" s="481"/>
      <c r="R490" s="481"/>
      <c r="S490" s="481"/>
      <c r="T490" s="481"/>
      <c r="U490" s="481"/>
      <c r="V490" s="481"/>
      <c r="W490" s="481"/>
      <c r="X490" s="481"/>
      <c r="Y490" s="481"/>
      <c r="Z490" s="481"/>
      <c r="AA490" s="481"/>
      <c r="AB490" s="481"/>
      <c r="AC490" s="481"/>
    </row>
    <row r="491" hidden="1">
      <c r="A491" s="535"/>
      <c r="B491" s="536"/>
      <c r="C491" s="536"/>
      <c r="D491" s="537"/>
      <c r="E491" s="537"/>
      <c r="F491" s="537"/>
      <c r="G491" s="536"/>
      <c r="H491" s="481"/>
      <c r="I491" s="481"/>
      <c r="J491" s="481"/>
      <c r="K491" s="481"/>
      <c r="L491" s="481"/>
      <c r="M491" s="481"/>
      <c r="N491" s="481"/>
      <c r="O491" s="481"/>
      <c r="P491" s="481"/>
      <c r="Q491" s="481"/>
      <c r="R491" s="481"/>
      <c r="S491" s="481"/>
      <c r="T491" s="481"/>
      <c r="U491" s="481"/>
      <c r="V491" s="481"/>
      <c r="W491" s="481"/>
      <c r="X491" s="481"/>
      <c r="Y491" s="481"/>
      <c r="Z491" s="481"/>
      <c r="AA491" s="481"/>
      <c r="AB491" s="481"/>
      <c r="AC491" s="481"/>
    </row>
    <row r="492" hidden="1">
      <c r="A492" s="532"/>
      <c r="B492" s="533"/>
      <c r="C492" s="533"/>
      <c r="D492" s="534"/>
      <c r="E492" s="534"/>
      <c r="F492" s="534"/>
      <c r="G492" s="533"/>
      <c r="H492" s="481"/>
      <c r="I492" s="481"/>
      <c r="J492" s="481"/>
      <c r="K492" s="481"/>
      <c r="L492" s="481"/>
      <c r="M492" s="481"/>
      <c r="N492" s="481"/>
      <c r="O492" s="481"/>
      <c r="P492" s="481"/>
      <c r="Q492" s="481"/>
      <c r="R492" s="481"/>
      <c r="S492" s="481"/>
      <c r="T492" s="481"/>
      <c r="U492" s="481"/>
      <c r="V492" s="481"/>
      <c r="W492" s="481"/>
      <c r="X492" s="481"/>
      <c r="Y492" s="481"/>
      <c r="Z492" s="481"/>
      <c r="AA492" s="481"/>
      <c r="AB492" s="481"/>
      <c r="AC492" s="481"/>
    </row>
    <row r="493" hidden="1">
      <c r="A493" s="535"/>
      <c r="B493" s="536"/>
      <c r="C493" s="536"/>
      <c r="D493" s="537"/>
      <c r="E493" s="537"/>
      <c r="F493" s="537"/>
      <c r="G493" s="536"/>
      <c r="H493" s="481"/>
      <c r="I493" s="481"/>
      <c r="J493" s="481"/>
      <c r="K493" s="481"/>
      <c r="L493" s="481"/>
      <c r="M493" s="481"/>
      <c r="N493" s="481"/>
      <c r="O493" s="481"/>
      <c r="P493" s="481"/>
      <c r="Q493" s="481"/>
      <c r="R493" s="481"/>
      <c r="S493" s="481"/>
      <c r="T493" s="481"/>
      <c r="U493" s="481"/>
      <c r="V493" s="481"/>
      <c r="W493" s="481"/>
      <c r="X493" s="481"/>
      <c r="Y493" s="481"/>
      <c r="Z493" s="481"/>
      <c r="AA493" s="481"/>
      <c r="AB493" s="481"/>
      <c r="AC493" s="481"/>
    </row>
    <row r="494" hidden="1">
      <c r="A494" s="532"/>
      <c r="B494" s="533"/>
      <c r="C494" s="533"/>
      <c r="D494" s="534"/>
      <c r="E494" s="534"/>
      <c r="F494" s="534"/>
      <c r="G494" s="533"/>
      <c r="H494" s="481"/>
      <c r="I494" s="481"/>
      <c r="J494" s="481"/>
      <c r="K494" s="481"/>
      <c r="L494" s="481"/>
      <c r="M494" s="481"/>
      <c r="N494" s="481"/>
      <c r="O494" s="481"/>
      <c r="P494" s="481"/>
      <c r="Q494" s="481"/>
      <c r="R494" s="481"/>
      <c r="S494" s="481"/>
      <c r="T494" s="481"/>
      <c r="U494" s="481"/>
      <c r="V494" s="481"/>
      <c r="W494" s="481"/>
      <c r="X494" s="481"/>
      <c r="Y494" s="481"/>
      <c r="Z494" s="481"/>
      <c r="AA494" s="481"/>
      <c r="AB494" s="481"/>
      <c r="AC494" s="481"/>
    </row>
    <row r="495" hidden="1">
      <c r="A495" s="535"/>
      <c r="B495" s="536"/>
      <c r="C495" s="536"/>
      <c r="D495" s="537"/>
      <c r="E495" s="537"/>
      <c r="F495" s="537"/>
      <c r="G495" s="536"/>
      <c r="H495" s="481"/>
      <c r="I495" s="481"/>
      <c r="J495" s="481"/>
      <c r="K495" s="481"/>
      <c r="L495" s="481"/>
      <c r="M495" s="481"/>
      <c r="N495" s="481"/>
      <c r="O495" s="481"/>
      <c r="P495" s="481"/>
      <c r="Q495" s="481"/>
      <c r="R495" s="481"/>
      <c r="S495" s="481"/>
      <c r="T495" s="481"/>
      <c r="U495" s="481"/>
      <c r="V495" s="481"/>
      <c r="W495" s="481"/>
      <c r="X495" s="481"/>
      <c r="Y495" s="481"/>
      <c r="Z495" s="481"/>
      <c r="AA495" s="481"/>
      <c r="AB495" s="481"/>
      <c r="AC495" s="481"/>
    </row>
    <row r="496" hidden="1">
      <c r="A496" s="532"/>
      <c r="B496" s="533"/>
      <c r="C496" s="533"/>
      <c r="D496" s="534"/>
      <c r="E496" s="534"/>
      <c r="F496" s="534"/>
      <c r="G496" s="533"/>
      <c r="H496" s="481"/>
      <c r="I496" s="481"/>
      <c r="J496" s="481"/>
      <c r="K496" s="481"/>
      <c r="L496" s="481"/>
      <c r="M496" s="481"/>
      <c r="N496" s="481"/>
      <c r="O496" s="481"/>
      <c r="P496" s="481"/>
      <c r="Q496" s="481"/>
      <c r="R496" s="481"/>
      <c r="S496" s="481"/>
      <c r="T496" s="481"/>
      <c r="U496" s="481"/>
      <c r="V496" s="481"/>
      <c r="W496" s="481"/>
      <c r="X496" s="481"/>
      <c r="Y496" s="481"/>
      <c r="Z496" s="481"/>
      <c r="AA496" s="481"/>
      <c r="AB496" s="481"/>
      <c r="AC496" s="481"/>
    </row>
    <row r="497" hidden="1">
      <c r="A497" s="535"/>
      <c r="B497" s="536"/>
      <c r="C497" s="536"/>
      <c r="D497" s="537"/>
      <c r="E497" s="537"/>
      <c r="F497" s="537"/>
      <c r="G497" s="536"/>
      <c r="H497" s="481"/>
      <c r="I497" s="481"/>
      <c r="J497" s="481"/>
      <c r="K497" s="481"/>
      <c r="L497" s="481"/>
      <c r="M497" s="481"/>
      <c r="N497" s="481"/>
      <c r="O497" s="481"/>
      <c r="P497" s="481"/>
      <c r="Q497" s="481"/>
      <c r="R497" s="481"/>
      <c r="S497" s="481"/>
      <c r="T497" s="481"/>
      <c r="U497" s="481"/>
      <c r="V497" s="481"/>
      <c r="W497" s="481"/>
      <c r="X497" s="481"/>
      <c r="Y497" s="481"/>
      <c r="Z497" s="481"/>
      <c r="AA497" s="481"/>
      <c r="AB497" s="481"/>
      <c r="AC497" s="481"/>
    </row>
    <row r="498" hidden="1">
      <c r="A498" s="532"/>
      <c r="B498" s="533"/>
      <c r="C498" s="533"/>
      <c r="D498" s="534"/>
      <c r="E498" s="534"/>
      <c r="F498" s="534"/>
      <c r="G498" s="533"/>
      <c r="H498" s="481"/>
      <c r="I498" s="481"/>
      <c r="J498" s="481"/>
      <c r="K498" s="481"/>
      <c r="L498" s="481"/>
      <c r="M498" s="481"/>
      <c r="N498" s="481"/>
      <c r="O498" s="481"/>
      <c r="P498" s="481"/>
      <c r="Q498" s="481"/>
      <c r="R498" s="481"/>
      <c r="S498" s="481"/>
      <c r="T498" s="481"/>
      <c r="U498" s="481"/>
      <c r="V498" s="481"/>
      <c r="W498" s="481"/>
      <c r="X498" s="481"/>
      <c r="Y498" s="481"/>
      <c r="Z498" s="481"/>
      <c r="AA498" s="481"/>
      <c r="AB498" s="481"/>
      <c r="AC498" s="481"/>
    </row>
    <row r="499" hidden="1">
      <c r="A499" s="535"/>
      <c r="B499" s="536"/>
      <c r="C499" s="536"/>
      <c r="D499" s="537"/>
      <c r="E499" s="537"/>
      <c r="F499" s="537"/>
      <c r="G499" s="536"/>
      <c r="H499" s="481"/>
      <c r="I499" s="481"/>
      <c r="J499" s="481"/>
      <c r="K499" s="481"/>
      <c r="L499" s="481"/>
      <c r="M499" s="481"/>
      <c r="N499" s="481"/>
      <c r="O499" s="481"/>
      <c r="P499" s="481"/>
      <c r="Q499" s="481"/>
      <c r="R499" s="481"/>
      <c r="S499" s="481"/>
      <c r="T499" s="481"/>
      <c r="U499" s="481"/>
      <c r="V499" s="481"/>
      <c r="W499" s="481"/>
      <c r="X499" s="481"/>
      <c r="Y499" s="481"/>
      <c r="Z499" s="481"/>
      <c r="AA499" s="481"/>
      <c r="AB499" s="481"/>
      <c r="AC499" s="481"/>
    </row>
    <row r="500" hidden="1">
      <c r="A500" s="532"/>
      <c r="B500" s="533"/>
      <c r="C500" s="533"/>
      <c r="D500" s="534"/>
      <c r="E500" s="534"/>
      <c r="F500" s="534"/>
      <c r="G500" s="533"/>
      <c r="H500" s="481"/>
      <c r="I500" s="481"/>
      <c r="J500" s="481"/>
      <c r="K500" s="481"/>
      <c r="L500" s="481"/>
      <c r="M500" s="481"/>
      <c r="N500" s="481"/>
      <c r="O500" s="481"/>
      <c r="P500" s="481"/>
      <c r="Q500" s="481"/>
      <c r="R500" s="481"/>
      <c r="S500" s="481"/>
      <c r="T500" s="481"/>
      <c r="U500" s="481"/>
      <c r="V500" s="481"/>
      <c r="W500" s="481"/>
      <c r="X500" s="481"/>
      <c r="Y500" s="481"/>
      <c r="Z500" s="481"/>
      <c r="AA500" s="481"/>
      <c r="AB500" s="481"/>
      <c r="AC500" s="481"/>
    </row>
    <row r="501" hidden="1">
      <c r="A501" s="535"/>
      <c r="B501" s="536"/>
      <c r="C501" s="536"/>
      <c r="D501" s="537"/>
      <c r="E501" s="537"/>
      <c r="F501" s="537"/>
      <c r="G501" s="536"/>
      <c r="H501" s="481"/>
      <c r="I501" s="481"/>
      <c r="J501" s="481"/>
      <c r="K501" s="481"/>
      <c r="L501" s="481"/>
      <c r="M501" s="481"/>
      <c r="N501" s="481"/>
      <c r="O501" s="481"/>
      <c r="P501" s="481"/>
      <c r="Q501" s="481"/>
      <c r="R501" s="481"/>
      <c r="S501" s="481"/>
      <c r="T501" s="481"/>
      <c r="U501" s="481"/>
      <c r="V501" s="481"/>
      <c r="W501" s="481"/>
      <c r="X501" s="481"/>
      <c r="Y501" s="481"/>
      <c r="Z501" s="481"/>
      <c r="AA501" s="481"/>
      <c r="AB501" s="481"/>
      <c r="AC501" s="481"/>
    </row>
    <row r="502" hidden="1">
      <c r="A502" s="532"/>
      <c r="B502" s="533"/>
      <c r="C502" s="533"/>
      <c r="D502" s="534"/>
      <c r="E502" s="534"/>
      <c r="F502" s="534"/>
      <c r="G502" s="533"/>
      <c r="H502" s="481"/>
      <c r="I502" s="481"/>
      <c r="J502" s="481"/>
      <c r="K502" s="481"/>
      <c r="L502" s="481"/>
      <c r="M502" s="481"/>
      <c r="N502" s="481"/>
      <c r="O502" s="481"/>
      <c r="P502" s="481"/>
      <c r="Q502" s="481"/>
      <c r="R502" s="481"/>
      <c r="S502" s="481"/>
      <c r="T502" s="481"/>
      <c r="U502" s="481"/>
      <c r="V502" s="481"/>
      <c r="W502" s="481"/>
      <c r="X502" s="481"/>
      <c r="Y502" s="481"/>
      <c r="Z502" s="481"/>
      <c r="AA502" s="481"/>
      <c r="AB502" s="481"/>
      <c r="AC502" s="481"/>
    </row>
    <row r="503" hidden="1">
      <c r="A503" s="535"/>
      <c r="B503" s="536"/>
      <c r="C503" s="536"/>
      <c r="D503" s="537"/>
      <c r="E503" s="537"/>
      <c r="F503" s="537"/>
      <c r="G503" s="536"/>
      <c r="H503" s="481"/>
      <c r="I503" s="481"/>
      <c r="J503" s="481"/>
      <c r="K503" s="481"/>
      <c r="L503" s="481"/>
      <c r="M503" s="481"/>
      <c r="N503" s="481"/>
      <c r="O503" s="481"/>
      <c r="P503" s="481"/>
      <c r="Q503" s="481"/>
      <c r="R503" s="481"/>
      <c r="S503" s="481"/>
      <c r="T503" s="481"/>
      <c r="U503" s="481"/>
      <c r="V503" s="481"/>
      <c r="W503" s="481"/>
      <c r="X503" s="481"/>
      <c r="Y503" s="481"/>
      <c r="Z503" s="481"/>
      <c r="AA503" s="481"/>
      <c r="AB503" s="481"/>
      <c r="AC503" s="481"/>
    </row>
    <row r="504" hidden="1">
      <c r="A504" s="532"/>
      <c r="B504" s="533"/>
      <c r="C504" s="533"/>
      <c r="D504" s="534"/>
      <c r="E504" s="534"/>
      <c r="F504" s="534"/>
      <c r="G504" s="533"/>
      <c r="H504" s="481"/>
      <c r="I504" s="481"/>
      <c r="J504" s="481"/>
      <c r="K504" s="481"/>
      <c r="L504" s="481"/>
      <c r="M504" s="481"/>
      <c r="N504" s="481"/>
      <c r="O504" s="481"/>
      <c r="P504" s="481"/>
      <c r="Q504" s="481"/>
      <c r="R504" s="481"/>
      <c r="S504" s="481"/>
      <c r="T504" s="481"/>
      <c r="U504" s="481"/>
      <c r="V504" s="481"/>
      <c r="W504" s="481"/>
      <c r="X504" s="481"/>
      <c r="Y504" s="481"/>
      <c r="Z504" s="481"/>
      <c r="AA504" s="481"/>
      <c r="AB504" s="481"/>
      <c r="AC504" s="481"/>
    </row>
    <row r="505" hidden="1">
      <c r="A505" s="535"/>
      <c r="B505" s="536"/>
      <c r="C505" s="536"/>
      <c r="D505" s="537"/>
      <c r="E505" s="537"/>
      <c r="F505" s="537"/>
      <c r="G505" s="536"/>
      <c r="H505" s="481"/>
      <c r="I505" s="481"/>
      <c r="J505" s="481"/>
      <c r="K505" s="481"/>
      <c r="L505" s="481"/>
      <c r="M505" s="481"/>
      <c r="N505" s="481"/>
      <c r="O505" s="481"/>
      <c r="P505" s="481"/>
      <c r="Q505" s="481"/>
      <c r="R505" s="481"/>
      <c r="S505" s="481"/>
      <c r="T505" s="481"/>
      <c r="U505" s="481"/>
      <c r="V505" s="481"/>
      <c r="W505" s="481"/>
      <c r="X505" s="481"/>
      <c r="Y505" s="481"/>
      <c r="Z505" s="481"/>
      <c r="AA505" s="481"/>
      <c r="AB505" s="481"/>
      <c r="AC505" s="481"/>
    </row>
    <row r="506" hidden="1">
      <c r="A506" s="532"/>
      <c r="B506" s="533"/>
      <c r="C506" s="533"/>
      <c r="D506" s="534"/>
      <c r="E506" s="534"/>
      <c r="F506" s="534"/>
      <c r="G506" s="533"/>
      <c r="H506" s="481"/>
      <c r="I506" s="481"/>
      <c r="J506" s="481"/>
      <c r="K506" s="481"/>
      <c r="L506" s="481"/>
      <c r="M506" s="481"/>
      <c r="N506" s="481"/>
      <c r="O506" s="481"/>
      <c r="P506" s="481"/>
      <c r="Q506" s="481"/>
      <c r="R506" s="481"/>
      <c r="S506" s="481"/>
      <c r="T506" s="481"/>
      <c r="U506" s="481"/>
      <c r="V506" s="481"/>
      <c r="W506" s="481"/>
      <c r="X506" s="481"/>
      <c r="Y506" s="481"/>
      <c r="Z506" s="481"/>
      <c r="AA506" s="481"/>
      <c r="AB506" s="481"/>
      <c r="AC506" s="481"/>
    </row>
    <row r="507" hidden="1">
      <c r="A507" s="535"/>
      <c r="B507" s="536"/>
      <c r="C507" s="536"/>
      <c r="D507" s="537"/>
      <c r="E507" s="537"/>
      <c r="F507" s="537"/>
      <c r="G507" s="536"/>
      <c r="H507" s="481"/>
      <c r="I507" s="481"/>
      <c r="J507" s="481"/>
      <c r="K507" s="481"/>
      <c r="L507" s="481"/>
      <c r="M507" s="481"/>
      <c r="N507" s="481"/>
      <c r="O507" s="481"/>
      <c r="P507" s="481"/>
      <c r="Q507" s="481"/>
      <c r="R507" s="481"/>
      <c r="S507" s="481"/>
      <c r="T507" s="481"/>
      <c r="U507" s="481"/>
      <c r="V507" s="481"/>
      <c r="W507" s="481"/>
      <c r="X507" s="481"/>
      <c r="Y507" s="481"/>
      <c r="Z507" s="481"/>
      <c r="AA507" s="481"/>
      <c r="AB507" s="481"/>
      <c r="AC507" s="481"/>
    </row>
    <row r="508" hidden="1">
      <c r="A508" s="532"/>
      <c r="B508" s="533"/>
      <c r="C508" s="533"/>
      <c r="D508" s="534"/>
      <c r="E508" s="534"/>
      <c r="F508" s="534"/>
      <c r="G508" s="533"/>
      <c r="H508" s="481"/>
      <c r="I508" s="481"/>
      <c r="J508" s="481"/>
      <c r="K508" s="481"/>
      <c r="L508" s="481"/>
      <c r="M508" s="481"/>
      <c r="N508" s="481"/>
      <c r="O508" s="481"/>
      <c r="P508" s="481"/>
      <c r="Q508" s="481"/>
      <c r="R508" s="481"/>
      <c r="S508" s="481"/>
      <c r="T508" s="481"/>
      <c r="U508" s="481"/>
      <c r="V508" s="481"/>
      <c r="W508" s="481"/>
      <c r="X508" s="481"/>
      <c r="Y508" s="481"/>
      <c r="Z508" s="481"/>
      <c r="AA508" s="481"/>
      <c r="AB508" s="481"/>
      <c r="AC508" s="481"/>
    </row>
    <row r="509" hidden="1">
      <c r="A509" s="535"/>
      <c r="B509" s="536"/>
      <c r="C509" s="536"/>
      <c r="D509" s="537"/>
      <c r="E509" s="537"/>
      <c r="F509" s="537"/>
      <c r="G509" s="536"/>
      <c r="H509" s="481"/>
      <c r="I509" s="481"/>
      <c r="J509" s="481"/>
      <c r="K509" s="481"/>
      <c r="L509" s="481"/>
      <c r="M509" s="481"/>
      <c r="N509" s="481"/>
      <c r="O509" s="481"/>
      <c r="P509" s="481"/>
      <c r="Q509" s="481"/>
      <c r="R509" s="481"/>
      <c r="S509" s="481"/>
      <c r="T509" s="481"/>
      <c r="U509" s="481"/>
      <c r="V509" s="481"/>
      <c r="W509" s="481"/>
      <c r="X509" s="481"/>
      <c r="Y509" s="481"/>
      <c r="Z509" s="481"/>
      <c r="AA509" s="481"/>
      <c r="AB509" s="481"/>
      <c r="AC509" s="481"/>
    </row>
    <row r="510" hidden="1">
      <c r="A510" s="532"/>
      <c r="B510" s="533"/>
      <c r="C510" s="533"/>
      <c r="D510" s="534"/>
      <c r="E510" s="534"/>
      <c r="F510" s="534"/>
      <c r="G510" s="533"/>
      <c r="H510" s="481"/>
      <c r="I510" s="481"/>
      <c r="J510" s="481"/>
      <c r="K510" s="481"/>
      <c r="L510" s="481"/>
      <c r="M510" s="481"/>
      <c r="N510" s="481"/>
      <c r="O510" s="481"/>
      <c r="P510" s="481"/>
      <c r="Q510" s="481"/>
      <c r="R510" s="481"/>
      <c r="S510" s="481"/>
      <c r="T510" s="481"/>
      <c r="U510" s="481"/>
      <c r="V510" s="481"/>
      <c r="W510" s="481"/>
      <c r="X510" s="481"/>
      <c r="Y510" s="481"/>
      <c r="Z510" s="481"/>
      <c r="AA510" s="481"/>
      <c r="AB510" s="481"/>
      <c r="AC510" s="481"/>
    </row>
    <row r="511" hidden="1">
      <c r="A511" s="535"/>
      <c r="B511" s="536"/>
      <c r="C511" s="536"/>
      <c r="D511" s="537"/>
      <c r="E511" s="537"/>
      <c r="F511" s="537"/>
      <c r="G511" s="536"/>
      <c r="H511" s="481"/>
      <c r="I511" s="481"/>
      <c r="J511" s="481"/>
      <c r="K511" s="481"/>
      <c r="L511" s="481"/>
      <c r="M511" s="481"/>
      <c r="N511" s="481"/>
      <c r="O511" s="481"/>
      <c r="P511" s="481"/>
      <c r="Q511" s="481"/>
      <c r="R511" s="481"/>
      <c r="S511" s="481"/>
      <c r="T511" s="481"/>
      <c r="U511" s="481"/>
      <c r="V511" s="481"/>
      <c r="W511" s="481"/>
      <c r="X511" s="481"/>
      <c r="Y511" s="481"/>
      <c r="Z511" s="481"/>
      <c r="AA511" s="481"/>
      <c r="AB511" s="481"/>
      <c r="AC511" s="481"/>
    </row>
    <row r="512" hidden="1">
      <c r="A512" s="532"/>
      <c r="B512" s="533"/>
      <c r="C512" s="533"/>
      <c r="D512" s="534"/>
      <c r="E512" s="534"/>
      <c r="F512" s="534"/>
      <c r="G512" s="533"/>
      <c r="H512" s="481"/>
      <c r="I512" s="481"/>
      <c r="J512" s="481"/>
      <c r="K512" s="481"/>
      <c r="L512" s="481"/>
      <c r="M512" s="481"/>
      <c r="N512" s="481"/>
      <c r="O512" s="481"/>
      <c r="P512" s="481"/>
      <c r="Q512" s="481"/>
      <c r="R512" s="481"/>
      <c r="S512" s="481"/>
      <c r="T512" s="481"/>
      <c r="U512" s="481"/>
      <c r="V512" s="481"/>
      <c r="W512" s="481"/>
      <c r="X512" s="481"/>
      <c r="Y512" s="481"/>
      <c r="Z512" s="481"/>
      <c r="AA512" s="481"/>
      <c r="AB512" s="481"/>
      <c r="AC512" s="481"/>
    </row>
    <row r="513" hidden="1">
      <c r="A513" s="535"/>
      <c r="B513" s="536"/>
      <c r="C513" s="536"/>
      <c r="D513" s="537"/>
      <c r="E513" s="537"/>
      <c r="F513" s="537"/>
      <c r="G513" s="536"/>
      <c r="H513" s="481"/>
      <c r="I513" s="481"/>
      <c r="J513" s="481"/>
      <c r="K513" s="481"/>
      <c r="L513" s="481"/>
      <c r="M513" s="481"/>
      <c r="N513" s="481"/>
      <c r="O513" s="481"/>
      <c r="P513" s="481"/>
      <c r="Q513" s="481"/>
      <c r="R513" s="481"/>
      <c r="S513" s="481"/>
      <c r="T513" s="481"/>
      <c r="U513" s="481"/>
      <c r="V513" s="481"/>
      <c r="W513" s="481"/>
      <c r="X513" s="481"/>
      <c r="Y513" s="481"/>
      <c r="Z513" s="481"/>
      <c r="AA513" s="481"/>
      <c r="AB513" s="481"/>
      <c r="AC513" s="481"/>
    </row>
    <row r="514" hidden="1">
      <c r="A514" s="532"/>
      <c r="B514" s="533"/>
      <c r="C514" s="533"/>
      <c r="D514" s="534"/>
      <c r="E514" s="534"/>
      <c r="F514" s="534"/>
      <c r="G514" s="533"/>
      <c r="H514" s="481"/>
      <c r="I514" s="481"/>
      <c r="J514" s="481"/>
      <c r="K514" s="481"/>
      <c r="L514" s="481"/>
      <c r="M514" s="481"/>
      <c r="N514" s="481"/>
      <c r="O514" s="481"/>
      <c r="P514" s="481"/>
      <c r="Q514" s="481"/>
      <c r="R514" s="481"/>
      <c r="S514" s="481"/>
      <c r="T514" s="481"/>
      <c r="U514" s="481"/>
      <c r="V514" s="481"/>
      <c r="W514" s="481"/>
      <c r="X514" s="481"/>
      <c r="Y514" s="481"/>
      <c r="Z514" s="481"/>
      <c r="AA514" s="481"/>
      <c r="AB514" s="481"/>
      <c r="AC514" s="481"/>
    </row>
    <row r="515" hidden="1">
      <c r="A515" s="535"/>
      <c r="B515" s="536"/>
      <c r="C515" s="536"/>
      <c r="D515" s="537"/>
      <c r="E515" s="537"/>
      <c r="F515" s="537"/>
      <c r="G515" s="536"/>
      <c r="H515" s="481"/>
      <c r="I515" s="481"/>
      <c r="J515" s="481"/>
      <c r="K515" s="481"/>
      <c r="L515" s="481"/>
      <c r="M515" s="481"/>
      <c r="N515" s="481"/>
      <c r="O515" s="481"/>
      <c r="P515" s="481"/>
      <c r="Q515" s="481"/>
      <c r="R515" s="481"/>
      <c r="S515" s="481"/>
      <c r="T515" s="481"/>
      <c r="U515" s="481"/>
      <c r="V515" s="481"/>
      <c r="W515" s="481"/>
      <c r="X515" s="481"/>
      <c r="Y515" s="481"/>
      <c r="Z515" s="481"/>
      <c r="AA515" s="481"/>
      <c r="AB515" s="481"/>
      <c r="AC515" s="481"/>
    </row>
    <row r="516" hidden="1">
      <c r="A516" s="532"/>
      <c r="B516" s="533"/>
      <c r="C516" s="533"/>
      <c r="D516" s="534"/>
      <c r="E516" s="534"/>
      <c r="F516" s="534"/>
      <c r="G516" s="533"/>
      <c r="H516" s="481"/>
      <c r="I516" s="481"/>
      <c r="J516" s="481"/>
      <c r="K516" s="481"/>
      <c r="L516" s="481"/>
      <c r="M516" s="481"/>
      <c r="N516" s="481"/>
      <c r="O516" s="481"/>
      <c r="P516" s="481"/>
      <c r="Q516" s="481"/>
      <c r="R516" s="481"/>
      <c r="S516" s="481"/>
      <c r="T516" s="481"/>
      <c r="U516" s="481"/>
      <c r="V516" s="481"/>
      <c r="W516" s="481"/>
      <c r="X516" s="481"/>
      <c r="Y516" s="481"/>
      <c r="Z516" s="481"/>
      <c r="AA516" s="481"/>
      <c r="AB516" s="481"/>
      <c r="AC516" s="481"/>
    </row>
    <row r="517" hidden="1">
      <c r="A517" s="535"/>
      <c r="B517" s="536"/>
      <c r="C517" s="536"/>
      <c r="D517" s="537"/>
      <c r="E517" s="537"/>
      <c r="F517" s="537"/>
      <c r="G517" s="536"/>
      <c r="H517" s="481"/>
      <c r="I517" s="481"/>
      <c r="J517" s="481"/>
      <c r="K517" s="481"/>
      <c r="L517" s="481"/>
      <c r="M517" s="481"/>
      <c r="N517" s="481"/>
      <c r="O517" s="481"/>
      <c r="P517" s="481"/>
      <c r="Q517" s="481"/>
      <c r="R517" s="481"/>
      <c r="S517" s="481"/>
      <c r="T517" s="481"/>
      <c r="U517" s="481"/>
      <c r="V517" s="481"/>
      <c r="W517" s="481"/>
      <c r="X517" s="481"/>
      <c r="Y517" s="481"/>
      <c r="Z517" s="481"/>
      <c r="AA517" s="481"/>
      <c r="AB517" s="481"/>
      <c r="AC517" s="481"/>
    </row>
    <row r="518" hidden="1">
      <c r="A518" s="532"/>
      <c r="B518" s="533"/>
      <c r="C518" s="533"/>
      <c r="D518" s="534"/>
      <c r="E518" s="534"/>
      <c r="F518" s="534"/>
      <c r="G518" s="533"/>
      <c r="H518" s="481"/>
      <c r="I518" s="481"/>
      <c r="J518" s="481"/>
      <c r="K518" s="481"/>
      <c r="L518" s="481"/>
      <c r="M518" s="481"/>
      <c r="N518" s="481"/>
      <c r="O518" s="481"/>
      <c r="P518" s="481"/>
      <c r="Q518" s="481"/>
      <c r="R518" s="481"/>
      <c r="S518" s="481"/>
      <c r="T518" s="481"/>
      <c r="U518" s="481"/>
      <c r="V518" s="481"/>
      <c r="W518" s="481"/>
      <c r="X518" s="481"/>
      <c r="Y518" s="481"/>
      <c r="Z518" s="481"/>
      <c r="AA518" s="481"/>
      <c r="AB518" s="481"/>
      <c r="AC518" s="481"/>
    </row>
    <row r="519" hidden="1">
      <c r="A519" s="535"/>
      <c r="B519" s="536"/>
      <c r="C519" s="536"/>
      <c r="D519" s="537"/>
      <c r="E519" s="537"/>
      <c r="F519" s="537"/>
      <c r="G519" s="536"/>
      <c r="H519" s="481"/>
      <c r="I519" s="481"/>
      <c r="J519" s="481"/>
      <c r="K519" s="481"/>
      <c r="L519" s="481"/>
      <c r="M519" s="481"/>
      <c r="N519" s="481"/>
      <c r="O519" s="481"/>
      <c r="P519" s="481"/>
      <c r="Q519" s="481"/>
      <c r="R519" s="481"/>
      <c r="S519" s="481"/>
      <c r="T519" s="481"/>
      <c r="U519" s="481"/>
      <c r="V519" s="481"/>
      <c r="W519" s="481"/>
      <c r="X519" s="481"/>
      <c r="Y519" s="481"/>
      <c r="Z519" s="481"/>
      <c r="AA519" s="481"/>
      <c r="AB519" s="481"/>
      <c r="AC519" s="481"/>
    </row>
    <row r="520" hidden="1">
      <c r="A520" s="532"/>
      <c r="B520" s="533"/>
      <c r="C520" s="533"/>
      <c r="D520" s="534"/>
      <c r="E520" s="534"/>
      <c r="F520" s="534"/>
      <c r="G520" s="533"/>
      <c r="H520" s="481"/>
      <c r="I520" s="481"/>
      <c r="J520" s="481"/>
      <c r="K520" s="481"/>
      <c r="L520" s="481"/>
      <c r="M520" s="481"/>
      <c r="N520" s="481"/>
      <c r="O520" s="481"/>
      <c r="P520" s="481"/>
      <c r="Q520" s="481"/>
      <c r="R520" s="481"/>
      <c r="S520" s="481"/>
      <c r="T520" s="481"/>
      <c r="U520" s="481"/>
      <c r="V520" s="481"/>
      <c r="W520" s="481"/>
      <c r="X520" s="481"/>
      <c r="Y520" s="481"/>
      <c r="Z520" s="481"/>
      <c r="AA520" s="481"/>
      <c r="AB520" s="481"/>
      <c r="AC520" s="481"/>
    </row>
    <row r="521" hidden="1">
      <c r="A521" s="535"/>
      <c r="B521" s="536"/>
      <c r="C521" s="536"/>
      <c r="D521" s="537"/>
      <c r="E521" s="537"/>
      <c r="F521" s="537"/>
      <c r="G521" s="536"/>
      <c r="H521" s="481"/>
      <c r="I521" s="481"/>
      <c r="J521" s="481"/>
      <c r="K521" s="481"/>
      <c r="L521" s="481"/>
      <c r="M521" s="481"/>
      <c r="N521" s="481"/>
      <c r="O521" s="481"/>
      <c r="P521" s="481"/>
      <c r="Q521" s="481"/>
      <c r="R521" s="481"/>
      <c r="S521" s="481"/>
      <c r="T521" s="481"/>
      <c r="U521" s="481"/>
      <c r="V521" s="481"/>
      <c r="W521" s="481"/>
      <c r="X521" s="481"/>
      <c r="Y521" s="481"/>
      <c r="Z521" s="481"/>
      <c r="AA521" s="481"/>
      <c r="AB521" s="481"/>
      <c r="AC521" s="481"/>
    </row>
    <row r="522" hidden="1">
      <c r="A522" s="532"/>
      <c r="B522" s="533"/>
      <c r="C522" s="533"/>
      <c r="D522" s="534"/>
      <c r="E522" s="534"/>
      <c r="F522" s="534"/>
      <c r="G522" s="533"/>
      <c r="H522" s="481"/>
      <c r="I522" s="481"/>
      <c r="J522" s="481"/>
      <c r="K522" s="481"/>
      <c r="L522" s="481"/>
      <c r="M522" s="481"/>
      <c r="N522" s="481"/>
      <c r="O522" s="481"/>
      <c r="P522" s="481"/>
      <c r="Q522" s="481"/>
      <c r="R522" s="481"/>
      <c r="S522" s="481"/>
      <c r="T522" s="481"/>
      <c r="U522" s="481"/>
      <c r="V522" s="481"/>
      <c r="W522" s="481"/>
      <c r="X522" s="481"/>
      <c r="Y522" s="481"/>
      <c r="Z522" s="481"/>
      <c r="AA522" s="481"/>
      <c r="AB522" s="481"/>
      <c r="AC522" s="481"/>
    </row>
    <row r="523" hidden="1">
      <c r="A523" s="535"/>
      <c r="B523" s="536"/>
      <c r="C523" s="536"/>
      <c r="D523" s="537"/>
      <c r="E523" s="537"/>
      <c r="F523" s="537"/>
      <c r="G523" s="536"/>
      <c r="H523" s="481"/>
      <c r="I523" s="481"/>
      <c r="J523" s="481"/>
      <c r="K523" s="481"/>
      <c r="L523" s="481"/>
      <c r="M523" s="481"/>
      <c r="N523" s="481"/>
      <c r="O523" s="481"/>
      <c r="P523" s="481"/>
      <c r="Q523" s="481"/>
      <c r="R523" s="481"/>
      <c r="S523" s="481"/>
      <c r="T523" s="481"/>
      <c r="U523" s="481"/>
      <c r="V523" s="481"/>
      <c r="W523" s="481"/>
      <c r="X523" s="481"/>
      <c r="Y523" s="481"/>
      <c r="Z523" s="481"/>
      <c r="AA523" s="481"/>
      <c r="AB523" s="481"/>
      <c r="AC523" s="481"/>
    </row>
    <row r="524" hidden="1">
      <c r="A524" s="532"/>
      <c r="B524" s="533"/>
      <c r="C524" s="533"/>
      <c r="D524" s="534"/>
      <c r="E524" s="534"/>
      <c r="F524" s="534"/>
      <c r="G524" s="533"/>
      <c r="H524" s="481"/>
      <c r="I524" s="481"/>
      <c r="J524" s="481"/>
      <c r="K524" s="481"/>
      <c r="L524" s="481"/>
      <c r="M524" s="481"/>
      <c r="N524" s="481"/>
      <c r="O524" s="481"/>
      <c r="P524" s="481"/>
      <c r="Q524" s="481"/>
      <c r="R524" s="481"/>
      <c r="S524" s="481"/>
      <c r="T524" s="481"/>
      <c r="U524" s="481"/>
      <c r="V524" s="481"/>
      <c r="W524" s="481"/>
      <c r="X524" s="481"/>
      <c r="Y524" s="481"/>
      <c r="Z524" s="481"/>
      <c r="AA524" s="481"/>
      <c r="AB524" s="481"/>
      <c r="AC524" s="481"/>
    </row>
    <row r="525" hidden="1">
      <c r="A525" s="535"/>
      <c r="B525" s="536"/>
      <c r="C525" s="536"/>
      <c r="D525" s="537"/>
      <c r="E525" s="537"/>
      <c r="F525" s="537"/>
      <c r="G525" s="536"/>
      <c r="H525" s="481"/>
      <c r="I525" s="481"/>
      <c r="J525" s="481"/>
      <c r="K525" s="481"/>
      <c r="L525" s="481"/>
      <c r="M525" s="481"/>
      <c r="N525" s="481"/>
      <c r="O525" s="481"/>
      <c r="P525" s="481"/>
      <c r="Q525" s="481"/>
      <c r="R525" s="481"/>
      <c r="S525" s="481"/>
      <c r="T525" s="481"/>
      <c r="U525" s="481"/>
      <c r="V525" s="481"/>
      <c r="W525" s="481"/>
      <c r="X525" s="481"/>
      <c r="Y525" s="481"/>
      <c r="Z525" s="481"/>
      <c r="AA525" s="481"/>
      <c r="AB525" s="481"/>
      <c r="AC525" s="481"/>
    </row>
    <row r="526" hidden="1">
      <c r="A526" s="532"/>
      <c r="B526" s="533"/>
      <c r="C526" s="533"/>
      <c r="D526" s="534"/>
      <c r="E526" s="534"/>
      <c r="F526" s="534"/>
      <c r="G526" s="533"/>
      <c r="H526" s="481"/>
      <c r="I526" s="481"/>
      <c r="J526" s="481"/>
      <c r="K526" s="481"/>
      <c r="L526" s="481"/>
      <c r="M526" s="481"/>
      <c r="N526" s="481"/>
      <c r="O526" s="481"/>
      <c r="P526" s="481"/>
      <c r="Q526" s="481"/>
      <c r="R526" s="481"/>
      <c r="S526" s="481"/>
      <c r="T526" s="481"/>
      <c r="U526" s="481"/>
      <c r="V526" s="481"/>
      <c r="W526" s="481"/>
      <c r="X526" s="481"/>
      <c r="Y526" s="481"/>
      <c r="Z526" s="481"/>
      <c r="AA526" s="481"/>
      <c r="AB526" s="481"/>
      <c r="AC526" s="481"/>
    </row>
    <row r="527" hidden="1">
      <c r="A527" s="535"/>
      <c r="B527" s="536"/>
      <c r="C527" s="536"/>
      <c r="D527" s="537"/>
      <c r="E527" s="537"/>
      <c r="F527" s="537"/>
      <c r="G527" s="536"/>
      <c r="H527" s="481"/>
      <c r="I527" s="481"/>
      <c r="J527" s="481"/>
      <c r="K527" s="481"/>
      <c r="L527" s="481"/>
      <c r="M527" s="481"/>
      <c r="N527" s="481"/>
      <c r="O527" s="481"/>
      <c r="P527" s="481"/>
      <c r="Q527" s="481"/>
      <c r="R527" s="481"/>
      <c r="S527" s="481"/>
      <c r="T527" s="481"/>
      <c r="U527" s="481"/>
      <c r="V527" s="481"/>
      <c r="W527" s="481"/>
      <c r="X527" s="481"/>
      <c r="Y527" s="481"/>
      <c r="Z527" s="481"/>
      <c r="AA527" s="481"/>
      <c r="AB527" s="481"/>
      <c r="AC527" s="481"/>
    </row>
    <row r="528" hidden="1">
      <c r="A528" s="532"/>
      <c r="B528" s="533"/>
      <c r="C528" s="533"/>
      <c r="D528" s="534"/>
      <c r="E528" s="534"/>
      <c r="F528" s="534"/>
      <c r="G528" s="533"/>
      <c r="H528" s="481"/>
      <c r="I528" s="481"/>
      <c r="J528" s="481"/>
      <c r="K528" s="481"/>
      <c r="L528" s="481"/>
      <c r="M528" s="481"/>
      <c r="N528" s="481"/>
      <c r="O528" s="481"/>
      <c r="P528" s="481"/>
      <c r="Q528" s="481"/>
      <c r="R528" s="481"/>
      <c r="S528" s="481"/>
      <c r="T528" s="481"/>
      <c r="U528" s="481"/>
      <c r="V528" s="481"/>
      <c r="W528" s="481"/>
      <c r="X528" s="481"/>
      <c r="Y528" s="481"/>
      <c r="Z528" s="481"/>
      <c r="AA528" s="481"/>
      <c r="AB528" s="481"/>
      <c r="AC528" s="481"/>
    </row>
    <row r="529" hidden="1">
      <c r="A529" s="535"/>
      <c r="B529" s="536"/>
      <c r="C529" s="536"/>
      <c r="D529" s="537"/>
      <c r="E529" s="537"/>
      <c r="F529" s="537"/>
      <c r="G529" s="536"/>
      <c r="H529" s="481"/>
      <c r="I529" s="481"/>
      <c r="J529" s="481"/>
      <c r="K529" s="481"/>
      <c r="L529" s="481"/>
      <c r="M529" s="481"/>
      <c r="N529" s="481"/>
      <c r="O529" s="481"/>
      <c r="P529" s="481"/>
      <c r="Q529" s="481"/>
      <c r="R529" s="481"/>
      <c r="S529" s="481"/>
      <c r="T529" s="481"/>
      <c r="U529" s="481"/>
      <c r="V529" s="481"/>
      <c r="W529" s="481"/>
      <c r="X529" s="481"/>
      <c r="Y529" s="481"/>
      <c r="Z529" s="481"/>
      <c r="AA529" s="481"/>
      <c r="AB529" s="481"/>
      <c r="AC529" s="481"/>
    </row>
    <row r="530" hidden="1">
      <c r="A530" s="532"/>
      <c r="B530" s="533"/>
      <c r="C530" s="533"/>
      <c r="D530" s="534"/>
      <c r="E530" s="534"/>
      <c r="F530" s="534"/>
      <c r="G530" s="533"/>
      <c r="H530" s="481"/>
      <c r="I530" s="481"/>
      <c r="J530" s="481"/>
      <c r="K530" s="481"/>
      <c r="L530" s="481"/>
      <c r="M530" s="481"/>
      <c r="N530" s="481"/>
      <c r="O530" s="481"/>
      <c r="P530" s="481"/>
      <c r="Q530" s="481"/>
      <c r="R530" s="481"/>
      <c r="S530" s="481"/>
      <c r="T530" s="481"/>
      <c r="U530" s="481"/>
      <c r="V530" s="481"/>
      <c r="W530" s="481"/>
      <c r="X530" s="481"/>
      <c r="Y530" s="481"/>
      <c r="Z530" s="481"/>
      <c r="AA530" s="481"/>
      <c r="AB530" s="481"/>
      <c r="AC530" s="481"/>
    </row>
    <row r="531" hidden="1">
      <c r="A531" s="535"/>
      <c r="B531" s="536"/>
      <c r="C531" s="536"/>
      <c r="D531" s="537"/>
      <c r="E531" s="537"/>
      <c r="F531" s="537"/>
      <c r="G531" s="536"/>
      <c r="H531" s="481"/>
      <c r="I531" s="481"/>
      <c r="J531" s="481"/>
      <c r="K531" s="481"/>
      <c r="L531" s="481"/>
      <c r="M531" s="481"/>
      <c r="N531" s="481"/>
      <c r="O531" s="481"/>
      <c r="P531" s="481"/>
      <c r="Q531" s="481"/>
      <c r="R531" s="481"/>
      <c r="S531" s="481"/>
      <c r="T531" s="481"/>
      <c r="U531" s="481"/>
      <c r="V531" s="481"/>
      <c r="W531" s="481"/>
      <c r="X531" s="481"/>
      <c r="Y531" s="481"/>
      <c r="Z531" s="481"/>
      <c r="AA531" s="481"/>
      <c r="AB531" s="481"/>
      <c r="AC531" s="481"/>
    </row>
    <row r="532" hidden="1">
      <c r="A532" s="532"/>
      <c r="B532" s="533"/>
      <c r="C532" s="533"/>
      <c r="D532" s="534"/>
      <c r="E532" s="534"/>
      <c r="F532" s="534"/>
      <c r="G532" s="533"/>
      <c r="H532" s="481"/>
      <c r="I532" s="481"/>
      <c r="J532" s="481"/>
      <c r="K532" s="481"/>
      <c r="L532" s="481"/>
      <c r="M532" s="481"/>
      <c r="N532" s="481"/>
      <c r="O532" s="481"/>
      <c r="P532" s="481"/>
      <c r="Q532" s="481"/>
      <c r="R532" s="481"/>
      <c r="S532" s="481"/>
      <c r="T532" s="481"/>
      <c r="U532" s="481"/>
      <c r="V532" s="481"/>
      <c r="W532" s="481"/>
      <c r="X532" s="481"/>
      <c r="Y532" s="481"/>
      <c r="Z532" s="481"/>
      <c r="AA532" s="481"/>
      <c r="AB532" s="481"/>
      <c r="AC532" s="481"/>
    </row>
    <row r="533" hidden="1">
      <c r="A533" s="535"/>
      <c r="B533" s="536"/>
      <c r="C533" s="536"/>
      <c r="D533" s="537"/>
      <c r="E533" s="537"/>
      <c r="F533" s="537"/>
      <c r="G533" s="536"/>
      <c r="H533" s="481"/>
      <c r="I533" s="481"/>
      <c r="J533" s="481"/>
      <c r="K533" s="481"/>
      <c r="L533" s="481"/>
      <c r="M533" s="481"/>
      <c r="N533" s="481"/>
      <c r="O533" s="481"/>
      <c r="P533" s="481"/>
      <c r="Q533" s="481"/>
      <c r="R533" s="481"/>
      <c r="S533" s="481"/>
      <c r="T533" s="481"/>
      <c r="U533" s="481"/>
      <c r="V533" s="481"/>
      <c r="W533" s="481"/>
      <c r="X533" s="481"/>
      <c r="Y533" s="481"/>
      <c r="Z533" s="481"/>
      <c r="AA533" s="481"/>
      <c r="AB533" s="481"/>
      <c r="AC533" s="481"/>
    </row>
    <row r="534" hidden="1">
      <c r="A534" s="532"/>
      <c r="B534" s="533"/>
      <c r="C534" s="533"/>
      <c r="D534" s="534"/>
      <c r="E534" s="534"/>
      <c r="F534" s="534"/>
      <c r="G534" s="533"/>
      <c r="H534" s="481"/>
      <c r="I534" s="481"/>
      <c r="J534" s="481"/>
      <c r="K534" s="481"/>
      <c r="L534" s="481"/>
      <c r="M534" s="481"/>
      <c r="N534" s="481"/>
      <c r="O534" s="481"/>
      <c r="P534" s="481"/>
      <c r="Q534" s="481"/>
      <c r="R534" s="481"/>
      <c r="S534" s="481"/>
      <c r="T534" s="481"/>
      <c r="U534" s="481"/>
      <c r="V534" s="481"/>
      <c r="W534" s="481"/>
      <c r="X534" s="481"/>
      <c r="Y534" s="481"/>
      <c r="Z534" s="481"/>
      <c r="AA534" s="481"/>
      <c r="AB534" s="481"/>
      <c r="AC534" s="481"/>
    </row>
    <row r="535" hidden="1">
      <c r="A535" s="535"/>
      <c r="B535" s="536"/>
      <c r="C535" s="536"/>
      <c r="D535" s="537"/>
      <c r="E535" s="537"/>
      <c r="F535" s="537"/>
      <c r="G535" s="536"/>
      <c r="H535" s="481"/>
      <c r="I535" s="481"/>
      <c r="J535" s="481"/>
      <c r="K535" s="481"/>
      <c r="L535" s="481"/>
      <c r="M535" s="481"/>
      <c r="N535" s="481"/>
      <c r="O535" s="481"/>
      <c r="P535" s="481"/>
      <c r="Q535" s="481"/>
      <c r="R535" s="481"/>
      <c r="S535" s="481"/>
      <c r="T535" s="481"/>
      <c r="U535" s="481"/>
      <c r="V535" s="481"/>
      <c r="W535" s="481"/>
      <c r="X535" s="481"/>
      <c r="Y535" s="481"/>
      <c r="Z535" s="481"/>
      <c r="AA535" s="481"/>
      <c r="AB535" s="481"/>
      <c r="AC535" s="481"/>
    </row>
    <row r="536" hidden="1">
      <c r="A536" s="532"/>
      <c r="B536" s="533"/>
      <c r="C536" s="533"/>
      <c r="D536" s="534"/>
      <c r="E536" s="534"/>
      <c r="F536" s="534"/>
      <c r="G536" s="533"/>
      <c r="H536" s="481"/>
      <c r="I536" s="481"/>
      <c r="J536" s="481"/>
      <c r="K536" s="481"/>
      <c r="L536" s="481"/>
      <c r="M536" s="481"/>
      <c r="N536" s="481"/>
      <c r="O536" s="481"/>
      <c r="P536" s="481"/>
      <c r="Q536" s="481"/>
      <c r="R536" s="481"/>
      <c r="S536" s="481"/>
      <c r="T536" s="481"/>
      <c r="U536" s="481"/>
      <c r="V536" s="481"/>
      <c r="W536" s="481"/>
      <c r="X536" s="481"/>
      <c r="Y536" s="481"/>
      <c r="Z536" s="481"/>
      <c r="AA536" s="481"/>
      <c r="AB536" s="481"/>
      <c r="AC536" s="481"/>
    </row>
    <row r="537" hidden="1">
      <c r="A537" s="535"/>
      <c r="B537" s="536"/>
      <c r="C537" s="536"/>
      <c r="D537" s="537"/>
      <c r="E537" s="537"/>
      <c r="F537" s="537"/>
      <c r="G537" s="536"/>
      <c r="H537" s="481"/>
      <c r="I537" s="481"/>
      <c r="J537" s="481"/>
      <c r="K537" s="481"/>
      <c r="L537" s="481"/>
      <c r="M537" s="481"/>
      <c r="N537" s="481"/>
      <c r="O537" s="481"/>
      <c r="P537" s="481"/>
      <c r="Q537" s="481"/>
      <c r="R537" s="481"/>
      <c r="S537" s="481"/>
      <c r="T537" s="481"/>
      <c r="U537" s="481"/>
      <c r="V537" s="481"/>
      <c r="W537" s="481"/>
      <c r="X537" s="481"/>
      <c r="Y537" s="481"/>
      <c r="Z537" s="481"/>
      <c r="AA537" s="481"/>
      <c r="AB537" s="481"/>
      <c r="AC537" s="481"/>
    </row>
    <row r="538" hidden="1">
      <c r="A538" s="532"/>
      <c r="B538" s="533"/>
      <c r="C538" s="533"/>
      <c r="D538" s="534"/>
      <c r="E538" s="534"/>
      <c r="F538" s="534"/>
      <c r="G538" s="533"/>
      <c r="H538" s="481"/>
      <c r="I538" s="481"/>
      <c r="J538" s="481"/>
      <c r="K538" s="481"/>
      <c r="L538" s="481"/>
      <c r="M538" s="481"/>
      <c r="N538" s="481"/>
      <c r="O538" s="481"/>
      <c r="P538" s="481"/>
      <c r="Q538" s="481"/>
      <c r="R538" s="481"/>
      <c r="S538" s="481"/>
      <c r="T538" s="481"/>
      <c r="U538" s="481"/>
      <c r="V538" s="481"/>
      <c r="W538" s="481"/>
      <c r="X538" s="481"/>
      <c r="Y538" s="481"/>
      <c r="Z538" s="481"/>
      <c r="AA538" s="481"/>
      <c r="AB538" s="481"/>
      <c r="AC538" s="481"/>
    </row>
    <row r="539" hidden="1">
      <c r="A539" s="535"/>
      <c r="B539" s="536"/>
      <c r="C539" s="536"/>
      <c r="D539" s="537"/>
      <c r="E539" s="537"/>
      <c r="F539" s="537"/>
      <c r="G539" s="536"/>
      <c r="H539" s="481"/>
      <c r="I539" s="481"/>
      <c r="J539" s="481"/>
      <c r="K539" s="481"/>
      <c r="L539" s="481"/>
      <c r="M539" s="481"/>
      <c r="N539" s="481"/>
      <c r="O539" s="481"/>
      <c r="P539" s="481"/>
      <c r="Q539" s="481"/>
      <c r="R539" s="481"/>
      <c r="S539" s="481"/>
      <c r="T539" s="481"/>
      <c r="U539" s="481"/>
      <c r="V539" s="481"/>
      <c r="W539" s="481"/>
      <c r="X539" s="481"/>
      <c r="Y539" s="481"/>
      <c r="Z539" s="481"/>
      <c r="AA539" s="481"/>
      <c r="AB539" s="481"/>
      <c r="AC539" s="481"/>
    </row>
    <row r="540" hidden="1">
      <c r="A540" s="532"/>
      <c r="B540" s="533"/>
      <c r="C540" s="533"/>
      <c r="D540" s="534"/>
      <c r="E540" s="534"/>
      <c r="F540" s="534"/>
      <c r="G540" s="533"/>
      <c r="H540" s="481"/>
      <c r="I540" s="481"/>
      <c r="J540" s="481"/>
      <c r="K540" s="481"/>
      <c r="L540" s="481"/>
      <c r="M540" s="481"/>
      <c r="N540" s="481"/>
      <c r="O540" s="481"/>
      <c r="P540" s="481"/>
      <c r="Q540" s="481"/>
      <c r="R540" s="481"/>
      <c r="S540" s="481"/>
      <c r="T540" s="481"/>
      <c r="U540" s="481"/>
      <c r="V540" s="481"/>
      <c r="W540" s="481"/>
      <c r="X540" s="481"/>
      <c r="Y540" s="481"/>
      <c r="Z540" s="481"/>
      <c r="AA540" s="481"/>
      <c r="AB540" s="481"/>
      <c r="AC540" s="481"/>
    </row>
    <row r="541" hidden="1">
      <c r="A541" s="535"/>
      <c r="B541" s="536"/>
      <c r="C541" s="536"/>
      <c r="D541" s="537"/>
      <c r="E541" s="537"/>
      <c r="F541" s="537"/>
      <c r="G541" s="536"/>
      <c r="H541" s="481"/>
      <c r="I541" s="481"/>
      <c r="J541" s="481"/>
      <c r="K541" s="481"/>
      <c r="L541" s="481"/>
      <c r="M541" s="481"/>
      <c r="N541" s="481"/>
      <c r="O541" s="481"/>
      <c r="P541" s="481"/>
      <c r="Q541" s="481"/>
      <c r="R541" s="481"/>
      <c r="S541" s="481"/>
      <c r="T541" s="481"/>
      <c r="U541" s="481"/>
      <c r="V541" s="481"/>
      <c r="W541" s="481"/>
      <c r="X541" s="481"/>
      <c r="Y541" s="481"/>
      <c r="Z541" s="481"/>
      <c r="AA541" s="481"/>
      <c r="AB541" s="481"/>
      <c r="AC541" s="481"/>
    </row>
    <row r="542" hidden="1">
      <c r="A542" s="532"/>
      <c r="B542" s="533"/>
      <c r="C542" s="533"/>
      <c r="D542" s="534"/>
      <c r="E542" s="534"/>
      <c r="F542" s="534"/>
      <c r="G542" s="533"/>
      <c r="H542" s="481"/>
      <c r="I542" s="481"/>
      <c r="J542" s="481"/>
      <c r="K542" s="481"/>
      <c r="L542" s="481"/>
      <c r="M542" s="481"/>
      <c r="N542" s="481"/>
      <c r="O542" s="481"/>
      <c r="P542" s="481"/>
      <c r="Q542" s="481"/>
      <c r="R542" s="481"/>
      <c r="S542" s="481"/>
      <c r="T542" s="481"/>
      <c r="U542" s="481"/>
      <c r="V542" s="481"/>
      <c r="W542" s="481"/>
      <c r="X542" s="481"/>
      <c r="Y542" s="481"/>
      <c r="Z542" s="481"/>
      <c r="AA542" s="481"/>
      <c r="AB542" s="481"/>
      <c r="AC542" s="481"/>
    </row>
    <row r="543" hidden="1">
      <c r="A543" s="535"/>
      <c r="B543" s="536"/>
      <c r="C543" s="536"/>
      <c r="D543" s="537"/>
      <c r="E543" s="537"/>
      <c r="F543" s="537"/>
      <c r="G543" s="536"/>
      <c r="H543" s="481"/>
      <c r="I543" s="481"/>
      <c r="J543" s="481"/>
      <c r="K543" s="481"/>
      <c r="L543" s="481"/>
      <c r="M543" s="481"/>
      <c r="N543" s="481"/>
      <c r="O543" s="481"/>
      <c r="P543" s="481"/>
      <c r="Q543" s="481"/>
      <c r="R543" s="481"/>
      <c r="S543" s="481"/>
      <c r="T543" s="481"/>
      <c r="U543" s="481"/>
      <c r="V543" s="481"/>
      <c r="W543" s="481"/>
      <c r="X543" s="481"/>
      <c r="Y543" s="481"/>
      <c r="Z543" s="481"/>
      <c r="AA543" s="481"/>
      <c r="AB543" s="481"/>
      <c r="AC543" s="481"/>
    </row>
    <row r="544" hidden="1">
      <c r="A544" s="532"/>
      <c r="B544" s="533"/>
      <c r="C544" s="533"/>
      <c r="D544" s="534"/>
      <c r="E544" s="534"/>
      <c r="F544" s="534"/>
      <c r="G544" s="533"/>
      <c r="H544" s="481"/>
      <c r="I544" s="481"/>
      <c r="J544" s="481"/>
      <c r="K544" s="481"/>
      <c r="L544" s="481"/>
      <c r="M544" s="481"/>
      <c r="N544" s="481"/>
      <c r="O544" s="481"/>
      <c r="P544" s="481"/>
      <c r="Q544" s="481"/>
      <c r="R544" s="481"/>
      <c r="S544" s="481"/>
      <c r="T544" s="481"/>
      <c r="U544" s="481"/>
      <c r="V544" s="481"/>
      <c r="W544" s="481"/>
      <c r="X544" s="481"/>
      <c r="Y544" s="481"/>
      <c r="Z544" s="481"/>
      <c r="AA544" s="481"/>
      <c r="AB544" s="481"/>
      <c r="AC544" s="481"/>
    </row>
    <row r="545" hidden="1">
      <c r="A545" s="535"/>
      <c r="B545" s="536"/>
      <c r="C545" s="536"/>
      <c r="D545" s="537"/>
      <c r="E545" s="537"/>
      <c r="F545" s="537"/>
      <c r="G545" s="536"/>
      <c r="H545" s="481"/>
      <c r="I545" s="481"/>
      <c r="J545" s="481"/>
      <c r="K545" s="481"/>
      <c r="L545" s="481"/>
      <c r="M545" s="481"/>
      <c r="N545" s="481"/>
      <c r="O545" s="481"/>
      <c r="P545" s="481"/>
      <c r="Q545" s="481"/>
      <c r="R545" s="481"/>
      <c r="S545" s="481"/>
      <c r="T545" s="481"/>
      <c r="U545" s="481"/>
      <c r="V545" s="481"/>
      <c r="W545" s="481"/>
      <c r="X545" s="481"/>
      <c r="Y545" s="481"/>
      <c r="Z545" s="481"/>
      <c r="AA545" s="481"/>
      <c r="AB545" s="481"/>
      <c r="AC545" s="481"/>
    </row>
    <row r="546" hidden="1">
      <c r="A546" s="532"/>
      <c r="B546" s="533"/>
      <c r="C546" s="533"/>
      <c r="D546" s="534"/>
      <c r="E546" s="534"/>
      <c r="F546" s="534"/>
      <c r="G546" s="533"/>
      <c r="H546" s="481"/>
      <c r="I546" s="481"/>
      <c r="J546" s="481"/>
      <c r="K546" s="481"/>
      <c r="L546" s="481"/>
      <c r="M546" s="481"/>
      <c r="N546" s="481"/>
      <c r="O546" s="481"/>
      <c r="P546" s="481"/>
      <c r="Q546" s="481"/>
      <c r="R546" s="481"/>
      <c r="S546" s="481"/>
      <c r="T546" s="481"/>
      <c r="U546" s="481"/>
      <c r="V546" s="481"/>
      <c r="W546" s="481"/>
      <c r="X546" s="481"/>
      <c r="Y546" s="481"/>
      <c r="Z546" s="481"/>
      <c r="AA546" s="481"/>
      <c r="AB546" s="481"/>
      <c r="AC546" s="481"/>
    </row>
    <row r="547" hidden="1">
      <c r="A547" s="535"/>
      <c r="B547" s="536"/>
      <c r="C547" s="536"/>
      <c r="D547" s="537"/>
      <c r="E547" s="537"/>
      <c r="F547" s="537"/>
      <c r="G547" s="536"/>
      <c r="H547" s="481"/>
      <c r="I547" s="481"/>
      <c r="J547" s="481"/>
      <c r="K547" s="481"/>
      <c r="L547" s="481"/>
      <c r="M547" s="481"/>
      <c r="N547" s="481"/>
      <c r="O547" s="481"/>
      <c r="P547" s="481"/>
      <c r="Q547" s="481"/>
      <c r="R547" s="481"/>
      <c r="S547" s="481"/>
      <c r="T547" s="481"/>
      <c r="U547" s="481"/>
      <c r="V547" s="481"/>
      <c r="W547" s="481"/>
      <c r="X547" s="481"/>
      <c r="Y547" s="481"/>
      <c r="Z547" s="481"/>
      <c r="AA547" s="481"/>
      <c r="AB547" s="481"/>
      <c r="AC547" s="481"/>
    </row>
    <row r="548" hidden="1">
      <c r="A548" s="532"/>
      <c r="B548" s="533"/>
      <c r="C548" s="533"/>
      <c r="D548" s="534"/>
      <c r="E548" s="534"/>
      <c r="F548" s="534"/>
      <c r="G548" s="533"/>
      <c r="H548" s="481"/>
      <c r="I548" s="481"/>
      <c r="J548" s="481"/>
      <c r="K548" s="481"/>
      <c r="L548" s="481"/>
      <c r="M548" s="481"/>
      <c r="N548" s="481"/>
      <c r="O548" s="481"/>
      <c r="P548" s="481"/>
      <c r="Q548" s="481"/>
      <c r="R548" s="481"/>
      <c r="S548" s="481"/>
      <c r="T548" s="481"/>
      <c r="U548" s="481"/>
      <c r="V548" s="481"/>
      <c r="W548" s="481"/>
      <c r="X548" s="481"/>
      <c r="Y548" s="481"/>
      <c r="Z548" s="481"/>
      <c r="AA548" s="481"/>
      <c r="AB548" s="481"/>
      <c r="AC548" s="481"/>
    </row>
    <row r="549" hidden="1">
      <c r="A549" s="535"/>
      <c r="B549" s="536"/>
      <c r="C549" s="536"/>
      <c r="D549" s="537"/>
      <c r="E549" s="537"/>
      <c r="F549" s="537"/>
      <c r="G549" s="536"/>
      <c r="H549" s="481"/>
      <c r="I549" s="481"/>
      <c r="J549" s="481"/>
      <c r="K549" s="481"/>
      <c r="L549" s="481"/>
      <c r="M549" s="481"/>
      <c r="N549" s="481"/>
      <c r="O549" s="481"/>
      <c r="P549" s="481"/>
      <c r="Q549" s="481"/>
      <c r="R549" s="481"/>
      <c r="S549" s="481"/>
      <c r="T549" s="481"/>
      <c r="U549" s="481"/>
      <c r="V549" s="481"/>
      <c r="W549" s="481"/>
      <c r="X549" s="481"/>
      <c r="Y549" s="481"/>
      <c r="Z549" s="481"/>
      <c r="AA549" s="481"/>
      <c r="AB549" s="481"/>
      <c r="AC549" s="481"/>
    </row>
    <row r="550" hidden="1">
      <c r="A550" s="532"/>
      <c r="B550" s="533"/>
      <c r="C550" s="533"/>
      <c r="D550" s="534"/>
      <c r="E550" s="534"/>
      <c r="F550" s="534"/>
      <c r="G550" s="533"/>
      <c r="H550" s="481"/>
      <c r="I550" s="481"/>
      <c r="J550" s="481"/>
      <c r="K550" s="481"/>
      <c r="L550" s="481"/>
      <c r="M550" s="481"/>
      <c r="N550" s="481"/>
      <c r="O550" s="481"/>
      <c r="P550" s="481"/>
      <c r="Q550" s="481"/>
      <c r="R550" s="481"/>
      <c r="S550" s="481"/>
      <c r="T550" s="481"/>
      <c r="U550" s="481"/>
      <c r="V550" s="481"/>
      <c r="W550" s="481"/>
      <c r="X550" s="481"/>
      <c r="Y550" s="481"/>
      <c r="Z550" s="481"/>
      <c r="AA550" s="481"/>
      <c r="AB550" s="481"/>
      <c r="AC550" s="481"/>
    </row>
    <row r="551" hidden="1">
      <c r="A551" s="535"/>
      <c r="B551" s="536"/>
      <c r="C551" s="536"/>
      <c r="D551" s="537"/>
      <c r="E551" s="537"/>
      <c r="F551" s="537"/>
      <c r="G551" s="536"/>
      <c r="H551" s="481"/>
      <c r="I551" s="481"/>
      <c r="J551" s="481"/>
      <c r="K551" s="481"/>
      <c r="L551" s="481"/>
      <c r="M551" s="481"/>
      <c r="N551" s="481"/>
      <c r="O551" s="481"/>
      <c r="P551" s="481"/>
      <c r="Q551" s="481"/>
      <c r="R551" s="481"/>
      <c r="S551" s="481"/>
      <c r="T551" s="481"/>
      <c r="U551" s="481"/>
      <c r="V551" s="481"/>
      <c r="W551" s="481"/>
      <c r="X551" s="481"/>
      <c r="Y551" s="481"/>
      <c r="Z551" s="481"/>
      <c r="AA551" s="481"/>
      <c r="AB551" s="481"/>
      <c r="AC551" s="481"/>
    </row>
    <row r="552" hidden="1">
      <c r="A552" s="532"/>
      <c r="B552" s="533"/>
      <c r="C552" s="533"/>
      <c r="D552" s="534"/>
      <c r="E552" s="534"/>
      <c r="F552" s="534"/>
      <c r="G552" s="533"/>
      <c r="H552" s="481"/>
      <c r="I552" s="481"/>
      <c r="J552" s="481"/>
      <c r="K552" s="481"/>
      <c r="L552" s="481"/>
      <c r="M552" s="481"/>
      <c r="N552" s="481"/>
      <c r="O552" s="481"/>
      <c r="P552" s="481"/>
      <c r="Q552" s="481"/>
      <c r="R552" s="481"/>
      <c r="S552" s="481"/>
      <c r="T552" s="481"/>
      <c r="U552" s="481"/>
      <c r="V552" s="481"/>
      <c r="W552" s="481"/>
      <c r="X552" s="481"/>
      <c r="Y552" s="481"/>
      <c r="Z552" s="481"/>
      <c r="AA552" s="481"/>
      <c r="AB552" s="481"/>
      <c r="AC552" s="481"/>
    </row>
    <row r="553" hidden="1">
      <c r="A553" s="535"/>
      <c r="B553" s="536"/>
      <c r="C553" s="536"/>
      <c r="D553" s="537"/>
      <c r="E553" s="537"/>
      <c r="F553" s="537"/>
      <c r="G553" s="536"/>
      <c r="H553" s="481"/>
      <c r="I553" s="481"/>
      <c r="J553" s="481"/>
      <c r="K553" s="481"/>
      <c r="L553" s="481"/>
      <c r="M553" s="481"/>
      <c r="N553" s="481"/>
      <c r="O553" s="481"/>
      <c r="P553" s="481"/>
      <c r="Q553" s="481"/>
      <c r="R553" s="481"/>
      <c r="S553" s="481"/>
      <c r="T553" s="481"/>
      <c r="U553" s="481"/>
      <c r="V553" s="481"/>
      <c r="W553" s="481"/>
      <c r="X553" s="481"/>
      <c r="Y553" s="481"/>
      <c r="Z553" s="481"/>
      <c r="AA553" s="481"/>
      <c r="AB553" s="481"/>
      <c r="AC553" s="481"/>
    </row>
    <row r="554" hidden="1">
      <c r="A554" s="532"/>
      <c r="B554" s="533"/>
      <c r="C554" s="533"/>
      <c r="D554" s="534"/>
      <c r="E554" s="534"/>
      <c r="F554" s="534"/>
      <c r="G554" s="533"/>
      <c r="H554" s="481"/>
      <c r="I554" s="481"/>
      <c r="J554" s="481"/>
      <c r="K554" s="481"/>
      <c r="L554" s="481"/>
      <c r="M554" s="481"/>
      <c r="N554" s="481"/>
      <c r="O554" s="481"/>
      <c r="P554" s="481"/>
      <c r="Q554" s="481"/>
      <c r="R554" s="481"/>
      <c r="S554" s="481"/>
      <c r="T554" s="481"/>
      <c r="U554" s="481"/>
      <c r="V554" s="481"/>
      <c r="W554" s="481"/>
      <c r="X554" s="481"/>
      <c r="Y554" s="481"/>
      <c r="Z554" s="481"/>
      <c r="AA554" s="481"/>
      <c r="AB554" s="481"/>
      <c r="AC554" s="481"/>
    </row>
    <row r="555" hidden="1">
      <c r="A555" s="535"/>
      <c r="B555" s="536"/>
      <c r="C555" s="536"/>
      <c r="D555" s="537"/>
      <c r="E555" s="537"/>
      <c r="F555" s="537"/>
      <c r="G555" s="536"/>
      <c r="H555" s="481"/>
      <c r="I555" s="481"/>
      <c r="J555" s="481"/>
      <c r="K555" s="481"/>
      <c r="L555" s="481"/>
      <c r="M555" s="481"/>
      <c r="N555" s="481"/>
      <c r="O555" s="481"/>
      <c r="P555" s="481"/>
      <c r="Q555" s="481"/>
      <c r="R555" s="481"/>
      <c r="S555" s="481"/>
      <c r="T555" s="481"/>
      <c r="U555" s="481"/>
      <c r="V555" s="481"/>
      <c r="W555" s="481"/>
      <c r="X555" s="481"/>
      <c r="Y555" s="481"/>
      <c r="Z555" s="481"/>
      <c r="AA555" s="481"/>
      <c r="AB555" s="481"/>
      <c r="AC555" s="481"/>
    </row>
    <row r="556" hidden="1">
      <c r="A556" s="532"/>
      <c r="B556" s="533"/>
      <c r="C556" s="533"/>
      <c r="D556" s="534"/>
      <c r="E556" s="534"/>
      <c r="F556" s="534"/>
      <c r="G556" s="533"/>
      <c r="H556" s="481"/>
      <c r="I556" s="481"/>
      <c r="J556" s="481"/>
      <c r="K556" s="481"/>
      <c r="L556" s="481"/>
      <c r="M556" s="481"/>
      <c r="N556" s="481"/>
      <c r="O556" s="481"/>
      <c r="P556" s="481"/>
      <c r="Q556" s="481"/>
      <c r="R556" s="481"/>
      <c r="S556" s="481"/>
      <c r="T556" s="481"/>
      <c r="U556" s="481"/>
      <c r="V556" s="481"/>
      <c r="W556" s="481"/>
      <c r="X556" s="481"/>
      <c r="Y556" s="481"/>
      <c r="Z556" s="481"/>
      <c r="AA556" s="481"/>
      <c r="AB556" s="481"/>
      <c r="AC556" s="481"/>
    </row>
    <row r="557" hidden="1">
      <c r="A557" s="535"/>
      <c r="B557" s="536"/>
      <c r="C557" s="536"/>
      <c r="D557" s="537"/>
      <c r="E557" s="537"/>
      <c r="F557" s="537"/>
      <c r="G557" s="536"/>
      <c r="H557" s="481"/>
      <c r="I557" s="481"/>
      <c r="J557" s="481"/>
      <c r="K557" s="481"/>
      <c r="L557" s="481"/>
      <c r="M557" s="481"/>
      <c r="N557" s="481"/>
      <c r="O557" s="481"/>
      <c r="P557" s="481"/>
      <c r="Q557" s="481"/>
      <c r="R557" s="481"/>
      <c r="S557" s="481"/>
      <c r="T557" s="481"/>
      <c r="U557" s="481"/>
      <c r="V557" s="481"/>
      <c r="W557" s="481"/>
      <c r="X557" s="481"/>
      <c r="Y557" s="481"/>
      <c r="Z557" s="481"/>
      <c r="AA557" s="481"/>
      <c r="AB557" s="481"/>
      <c r="AC557" s="481"/>
    </row>
    <row r="558" hidden="1">
      <c r="A558" s="532"/>
      <c r="B558" s="533"/>
      <c r="C558" s="533"/>
      <c r="D558" s="534"/>
      <c r="E558" s="534"/>
      <c r="F558" s="534"/>
      <c r="G558" s="533"/>
      <c r="H558" s="481"/>
      <c r="I558" s="481"/>
      <c r="J558" s="481"/>
      <c r="K558" s="481"/>
      <c r="L558" s="481"/>
      <c r="M558" s="481"/>
      <c r="N558" s="481"/>
      <c r="O558" s="481"/>
      <c r="P558" s="481"/>
      <c r="Q558" s="481"/>
      <c r="R558" s="481"/>
      <c r="S558" s="481"/>
      <c r="T558" s="481"/>
      <c r="U558" s="481"/>
      <c r="V558" s="481"/>
      <c r="W558" s="481"/>
      <c r="X558" s="481"/>
      <c r="Y558" s="481"/>
      <c r="Z558" s="481"/>
      <c r="AA558" s="481"/>
      <c r="AB558" s="481"/>
      <c r="AC558" s="481"/>
    </row>
    <row r="559" hidden="1">
      <c r="A559" s="535"/>
      <c r="B559" s="536"/>
      <c r="C559" s="536"/>
      <c r="D559" s="537"/>
      <c r="E559" s="537"/>
      <c r="F559" s="537"/>
      <c r="G559" s="536"/>
      <c r="H559" s="481"/>
      <c r="I559" s="481"/>
      <c r="J559" s="481"/>
      <c r="K559" s="481"/>
      <c r="L559" s="481"/>
      <c r="M559" s="481"/>
      <c r="N559" s="481"/>
      <c r="O559" s="481"/>
      <c r="P559" s="481"/>
      <c r="Q559" s="481"/>
      <c r="R559" s="481"/>
      <c r="S559" s="481"/>
      <c r="T559" s="481"/>
      <c r="U559" s="481"/>
      <c r="V559" s="481"/>
      <c r="W559" s="481"/>
      <c r="X559" s="481"/>
      <c r="Y559" s="481"/>
      <c r="Z559" s="481"/>
      <c r="AA559" s="481"/>
      <c r="AB559" s="481"/>
      <c r="AC559" s="481"/>
    </row>
    <row r="560" hidden="1">
      <c r="A560" s="532"/>
      <c r="B560" s="533"/>
      <c r="C560" s="533"/>
      <c r="D560" s="534"/>
      <c r="E560" s="534"/>
      <c r="F560" s="534"/>
      <c r="G560" s="533"/>
      <c r="H560" s="481"/>
      <c r="I560" s="481"/>
      <c r="J560" s="481"/>
      <c r="K560" s="481"/>
      <c r="L560" s="481"/>
      <c r="M560" s="481"/>
      <c r="N560" s="481"/>
      <c r="O560" s="481"/>
      <c r="P560" s="481"/>
      <c r="Q560" s="481"/>
      <c r="R560" s="481"/>
      <c r="S560" s="481"/>
      <c r="T560" s="481"/>
      <c r="U560" s="481"/>
      <c r="V560" s="481"/>
      <c r="W560" s="481"/>
      <c r="X560" s="481"/>
      <c r="Y560" s="481"/>
      <c r="Z560" s="481"/>
      <c r="AA560" s="481"/>
      <c r="AB560" s="481"/>
      <c r="AC560" s="481"/>
    </row>
    <row r="561" hidden="1">
      <c r="A561" s="535"/>
      <c r="B561" s="536"/>
      <c r="C561" s="536"/>
      <c r="D561" s="537"/>
      <c r="E561" s="537"/>
      <c r="F561" s="537"/>
      <c r="G561" s="536"/>
      <c r="H561" s="481"/>
      <c r="I561" s="481"/>
      <c r="J561" s="481"/>
      <c r="K561" s="481"/>
      <c r="L561" s="481"/>
      <c r="M561" s="481"/>
      <c r="N561" s="481"/>
      <c r="O561" s="481"/>
      <c r="P561" s="481"/>
      <c r="Q561" s="481"/>
      <c r="R561" s="481"/>
      <c r="S561" s="481"/>
      <c r="T561" s="481"/>
      <c r="U561" s="481"/>
      <c r="V561" s="481"/>
      <c r="W561" s="481"/>
      <c r="X561" s="481"/>
      <c r="Y561" s="481"/>
      <c r="Z561" s="481"/>
      <c r="AA561" s="481"/>
      <c r="AB561" s="481"/>
      <c r="AC561" s="481"/>
    </row>
    <row r="562" hidden="1">
      <c r="A562" s="532"/>
      <c r="B562" s="533"/>
      <c r="C562" s="533"/>
      <c r="D562" s="534"/>
      <c r="E562" s="534"/>
      <c r="F562" s="534"/>
      <c r="G562" s="533"/>
      <c r="H562" s="481"/>
      <c r="I562" s="481"/>
      <c r="J562" s="481"/>
      <c r="K562" s="481"/>
      <c r="L562" s="481"/>
      <c r="M562" s="481"/>
      <c r="N562" s="481"/>
      <c r="O562" s="481"/>
      <c r="P562" s="481"/>
      <c r="Q562" s="481"/>
      <c r="R562" s="481"/>
      <c r="S562" s="481"/>
      <c r="T562" s="481"/>
      <c r="U562" s="481"/>
      <c r="V562" s="481"/>
      <c r="W562" s="481"/>
      <c r="X562" s="481"/>
      <c r="Y562" s="481"/>
      <c r="Z562" s="481"/>
      <c r="AA562" s="481"/>
      <c r="AB562" s="481"/>
      <c r="AC562" s="481"/>
    </row>
    <row r="563" hidden="1">
      <c r="A563" s="535"/>
      <c r="B563" s="536"/>
      <c r="C563" s="536"/>
      <c r="D563" s="537"/>
      <c r="E563" s="537"/>
      <c r="F563" s="537"/>
      <c r="G563" s="536"/>
      <c r="H563" s="481"/>
      <c r="I563" s="481"/>
      <c r="J563" s="481"/>
      <c r="K563" s="481"/>
      <c r="L563" s="481"/>
      <c r="M563" s="481"/>
      <c r="N563" s="481"/>
      <c r="O563" s="481"/>
      <c r="P563" s="481"/>
      <c r="Q563" s="481"/>
      <c r="R563" s="481"/>
      <c r="S563" s="481"/>
      <c r="T563" s="481"/>
      <c r="U563" s="481"/>
      <c r="V563" s="481"/>
      <c r="W563" s="481"/>
      <c r="X563" s="481"/>
      <c r="Y563" s="481"/>
      <c r="Z563" s="481"/>
      <c r="AA563" s="481"/>
      <c r="AB563" s="481"/>
      <c r="AC563" s="481"/>
    </row>
    <row r="564" hidden="1">
      <c r="A564" s="532"/>
      <c r="B564" s="533"/>
      <c r="C564" s="533"/>
      <c r="D564" s="534"/>
      <c r="E564" s="534"/>
      <c r="F564" s="534"/>
      <c r="G564" s="533"/>
      <c r="H564" s="481"/>
      <c r="I564" s="481"/>
      <c r="J564" s="481"/>
      <c r="K564" s="481"/>
      <c r="L564" s="481"/>
      <c r="M564" s="481"/>
      <c r="N564" s="481"/>
      <c r="O564" s="481"/>
      <c r="P564" s="481"/>
      <c r="Q564" s="481"/>
      <c r="R564" s="481"/>
      <c r="S564" s="481"/>
      <c r="T564" s="481"/>
      <c r="U564" s="481"/>
      <c r="V564" s="481"/>
      <c r="W564" s="481"/>
      <c r="X564" s="481"/>
      <c r="Y564" s="481"/>
      <c r="Z564" s="481"/>
      <c r="AA564" s="481"/>
      <c r="AB564" s="481"/>
      <c r="AC564" s="481"/>
    </row>
    <row r="565" hidden="1">
      <c r="A565" s="535"/>
      <c r="B565" s="536"/>
      <c r="C565" s="536"/>
      <c r="D565" s="537"/>
      <c r="E565" s="537"/>
      <c r="F565" s="537"/>
      <c r="G565" s="536"/>
      <c r="H565" s="481"/>
      <c r="I565" s="481"/>
      <c r="J565" s="481"/>
      <c r="K565" s="481"/>
      <c r="L565" s="481"/>
      <c r="M565" s="481"/>
      <c r="N565" s="481"/>
      <c r="O565" s="481"/>
      <c r="P565" s="481"/>
      <c r="Q565" s="481"/>
      <c r="R565" s="481"/>
      <c r="S565" s="481"/>
      <c r="T565" s="481"/>
      <c r="U565" s="481"/>
      <c r="V565" s="481"/>
      <c r="W565" s="481"/>
      <c r="X565" s="481"/>
      <c r="Y565" s="481"/>
      <c r="Z565" s="481"/>
      <c r="AA565" s="481"/>
      <c r="AB565" s="481"/>
      <c r="AC565" s="481"/>
    </row>
    <row r="566" hidden="1">
      <c r="A566" s="532"/>
      <c r="B566" s="533"/>
      <c r="C566" s="533"/>
      <c r="D566" s="534"/>
      <c r="E566" s="534"/>
      <c r="F566" s="534"/>
      <c r="G566" s="533"/>
      <c r="H566" s="481"/>
      <c r="I566" s="481"/>
      <c r="J566" s="481"/>
      <c r="K566" s="481"/>
      <c r="L566" s="481"/>
      <c r="M566" s="481"/>
      <c r="N566" s="481"/>
      <c r="O566" s="481"/>
      <c r="P566" s="481"/>
      <c r="Q566" s="481"/>
      <c r="R566" s="481"/>
      <c r="S566" s="481"/>
      <c r="T566" s="481"/>
      <c r="U566" s="481"/>
      <c r="V566" s="481"/>
      <c r="W566" s="481"/>
      <c r="X566" s="481"/>
      <c r="Y566" s="481"/>
      <c r="Z566" s="481"/>
      <c r="AA566" s="481"/>
      <c r="AB566" s="481"/>
      <c r="AC566" s="481"/>
    </row>
    <row r="567" hidden="1">
      <c r="A567" s="535"/>
      <c r="B567" s="536"/>
      <c r="C567" s="536"/>
      <c r="D567" s="537"/>
      <c r="E567" s="537"/>
      <c r="F567" s="537"/>
      <c r="G567" s="536"/>
      <c r="H567" s="481"/>
      <c r="I567" s="481"/>
      <c r="J567" s="481"/>
      <c r="K567" s="481"/>
      <c r="L567" s="481"/>
      <c r="M567" s="481"/>
      <c r="N567" s="481"/>
      <c r="O567" s="481"/>
      <c r="P567" s="481"/>
      <c r="Q567" s="481"/>
      <c r="R567" s="481"/>
      <c r="S567" s="481"/>
      <c r="T567" s="481"/>
      <c r="U567" s="481"/>
      <c r="V567" s="481"/>
      <c r="W567" s="481"/>
      <c r="X567" s="481"/>
      <c r="Y567" s="481"/>
      <c r="Z567" s="481"/>
      <c r="AA567" s="481"/>
      <c r="AB567" s="481"/>
      <c r="AC567" s="481"/>
    </row>
    <row r="568" hidden="1">
      <c r="A568" s="532"/>
      <c r="B568" s="533"/>
      <c r="C568" s="533"/>
      <c r="D568" s="534"/>
      <c r="E568" s="534"/>
      <c r="F568" s="534"/>
      <c r="G568" s="533"/>
      <c r="H568" s="481"/>
      <c r="I568" s="481"/>
      <c r="J568" s="481"/>
      <c r="K568" s="481"/>
      <c r="L568" s="481"/>
      <c r="M568" s="481"/>
      <c r="N568" s="481"/>
      <c r="O568" s="481"/>
      <c r="P568" s="481"/>
      <c r="Q568" s="481"/>
      <c r="R568" s="481"/>
      <c r="S568" s="481"/>
      <c r="T568" s="481"/>
      <c r="U568" s="481"/>
      <c r="V568" s="481"/>
      <c r="W568" s="481"/>
      <c r="X568" s="481"/>
      <c r="Y568" s="481"/>
      <c r="Z568" s="481"/>
      <c r="AA568" s="481"/>
      <c r="AB568" s="481"/>
      <c r="AC568" s="481"/>
    </row>
    <row r="569" hidden="1">
      <c r="A569" s="535"/>
      <c r="B569" s="536"/>
      <c r="C569" s="536"/>
      <c r="D569" s="537"/>
      <c r="E569" s="537"/>
      <c r="F569" s="537"/>
      <c r="G569" s="536"/>
      <c r="H569" s="481"/>
      <c r="I569" s="481"/>
      <c r="J569" s="481"/>
      <c r="K569" s="481"/>
      <c r="L569" s="481"/>
      <c r="M569" s="481"/>
      <c r="N569" s="481"/>
      <c r="O569" s="481"/>
      <c r="P569" s="481"/>
      <c r="Q569" s="481"/>
      <c r="R569" s="481"/>
      <c r="S569" s="481"/>
      <c r="T569" s="481"/>
      <c r="U569" s="481"/>
      <c r="V569" s="481"/>
      <c r="W569" s="481"/>
      <c r="X569" s="481"/>
      <c r="Y569" s="481"/>
      <c r="Z569" s="481"/>
      <c r="AA569" s="481"/>
      <c r="AB569" s="481"/>
      <c r="AC569" s="481"/>
    </row>
    <row r="570" hidden="1">
      <c r="A570" s="532"/>
      <c r="B570" s="533"/>
      <c r="C570" s="533"/>
      <c r="D570" s="534"/>
      <c r="E570" s="534"/>
      <c r="F570" s="534"/>
      <c r="G570" s="533"/>
      <c r="H570" s="481"/>
      <c r="I570" s="481"/>
      <c r="J570" s="481"/>
      <c r="K570" s="481"/>
      <c r="L570" s="481"/>
      <c r="M570" s="481"/>
      <c r="N570" s="481"/>
      <c r="O570" s="481"/>
      <c r="P570" s="481"/>
      <c r="Q570" s="481"/>
      <c r="R570" s="481"/>
      <c r="S570" s="481"/>
      <c r="T570" s="481"/>
      <c r="U570" s="481"/>
      <c r="V570" s="481"/>
      <c r="W570" s="481"/>
      <c r="X570" s="481"/>
      <c r="Y570" s="481"/>
      <c r="Z570" s="481"/>
      <c r="AA570" s="481"/>
      <c r="AB570" s="481"/>
      <c r="AC570" s="481"/>
    </row>
    <row r="571" hidden="1">
      <c r="A571" s="535"/>
      <c r="B571" s="536"/>
      <c r="C571" s="536"/>
      <c r="D571" s="537"/>
      <c r="E571" s="537"/>
      <c r="F571" s="537"/>
      <c r="G571" s="536"/>
      <c r="H571" s="481"/>
      <c r="I571" s="481"/>
      <c r="J571" s="481"/>
      <c r="K571" s="481"/>
      <c r="L571" s="481"/>
      <c r="M571" s="481"/>
      <c r="N571" s="481"/>
      <c r="O571" s="481"/>
      <c r="P571" s="481"/>
      <c r="Q571" s="481"/>
      <c r="R571" s="481"/>
      <c r="S571" s="481"/>
      <c r="T571" s="481"/>
      <c r="U571" s="481"/>
      <c r="V571" s="481"/>
      <c r="W571" s="481"/>
      <c r="X571" s="481"/>
      <c r="Y571" s="481"/>
      <c r="Z571" s="481"/>
      <c r="AA571" s="481"/>
      <c r="AB571" s="481"/>
      <c r="AC571" s="481"/>
    </row>
    <row r="572" hidden="1">
      <c r="A572" s="532"/>
      <c r="B572" s="533"/>
      <c r="C572" s="533"/>
      <c r="D572" s="534"/>
      <c r="E572" s="534"/>
      <c r="F572" s="534"/>
      <c r="G572" s="533"/>
      <c r="H572" s="481"/>
      <c r="I572" s="481"/>
      <c r="J572" s="481"/>
      <c r="K572" s="481"/>
      <c r="L572" s="481"/>
      <c r="M572" s="481"/>
      <c r="N572" s="481"/>
      <c r="O572" s="481"/>
      <c r="P572" s="481"/>
      <c r="Q572" s="481"/>
      <c r="R572" s="481"/>
      <c r="S572" s="481"/>
      <c r="T572" s="481"/>
      <c r="U572" s="481"/>
      <c r="V572" s="481"/>
      <c r="W572" s="481"/>
      <c r="X572" s="481"/>
      <c r="Y572" s="481"/>
      <c r="Z572" s="481"/>
      <c r="AA572" s="481"/>
      <c r="AB572" s="481"/>
      <c r="AC572" s="481"/>
    </row>
    <row r="573" hidden="1">
      <c r="A573" s="535"/>
      <c r="B573" s="536"/>
      <c r="C573" s="536"/>
      <c r="D573" s="537"/>
      <c r="E573" s="537"/>
      <c r="F573" s="537"/>
      <c r="G573" s="536"/>
      <c r="H573" s="481"/>
      <c r="I573" s="481"/>
      <c r="J573" s="481"/>
      <c r="K573" s="481"/>
      <c r="L573" s="481"/>
      <c r="M573" s="481"/>
      <c r="N573" s="481"/>
      <c r="O573" s="481"/>
      <c r="P573" s="481"/>
      <c r="Q573" s="481"/>
      <c r="R573" s="481"/>
      <c r="S573" s="481"/>
      <c r="T573" s="481"/>
      <c r="U573" s="481"/>
      <c r="V573" s="481"/>
      <c r="W573" s="481"/>
      <c r="X573" s="481"/>
      <c r="Y573" s="481"/>
      <c r="Z573" s="481"/>
      <c r="AA573" s="481"/>
      <c r="AB573" s="481"/>
      <c r="AC573" s="481"/>
    </row>
    <row r="574" hidden="1">
      <c r="A574" s="532"/>
      <c r="B574" s="533"/>
      <c r="C574" s="533"/>
      <c r="D574" s="534"/>
      <c r="E574" s="534"/>
      <c r="F574" s="534"/>
      <c r="G574" s="533"/>
      <c r="H574" s="481"/>
      <c r="I574" s="481"/>
      <c r="J574" s="481"/>
      <c r="K574" s="481"/>
      <c r="L574" s="481"/>
      <c r="M574" s="481"/>
      <c r="N574" s="481"/>
      <c r="O574" s="481"/>
      <c r="P574" s="481"/>
      <c r="Q574" s="481"/>
      <c r="R574" s="481"/>
      <c r="S574" s="481"/>
      <c r="T574" s="481"/>
      <c r="U574" s="481"/>
      <c r="V574" s="481"/>
      <c r="W574" s="481"/>
      <c r="X574" s="481"/>
      <c r="Y574" s="481"/>
      <c r="Z574" s="481"/>
      <c r="AA574" s="481"/>
      <c r="AB574" s="481"/>
      <c r="AC574" s="481"/>
    </row>
    <row r="575" hidden="1">
      <c r="A575" s="535"/>
      <c r="B575" s="536"/>
      <c r="C575" s="536"/>
      <c r="D575" s="537"/>
      <c r="E575" s="537"/>
      <c r="F575" s="537"/>
      <c r="G575" s="536"/>
      <c r="H575" s="481"/>
      <c r="I575" s="481"/>
      <c r="J575" s="481"/>
      <c r="K575" s="481"/>
      <c r="L575" s="481"/>
      <c r="M575" s="481"/>
      <c r="N575" s="481"/>
      <c r="O575" s="481"/>
      <c r="P575" s="481"/>
      <c r="Q575" s="481"/>
      <c r="R575" s="481"/>
      <c r="S575" s="481"/>
      <c r="T575" s="481"/>
      <c r="U575" s="481"/>
      <c r="V575" s="481"/>
      <c r="W575" s="481"/>
      <c r="X575" s="481"/>
      <c r="Y575" s="481"/>
      <c r="Z575" s="481"/>
      <c r="AA575" s="481"/>
      <c r="AB575" s="481"/>
      <c r="AC575" s="481"/>
    </row>
    <row r="576" hidden="1">
      <c r="A576" s="532"/>
      <c r="B576" s="533"/>
      <c r="C576" s="533"/>
      <c r="D576" s="534"/>
      <c r="E576" s="534"/>
      <c r="F576" s="534"/>
      <c r="G576" s="533"/>
      <c r="H576" s="481"/>
      <c r="I576" s="481"/>
      <c r="J576" s="481"/>
      <c r="K576" s="481"/>
      <c r="L576" s="481"/>
      <c r="M576" s="481"/>
      <c r="N576" s="481"/>
      <c r="O576" s="481"/>
      <c r="P576" s="481"/>
      <c r="Q576" s="481"/>
      <c r="R576" s="481"/>
      <c r="S576" s="481"/>
      <c r="T576" s="481"/>
      <c r="U576" s="481"/>
      <c r="V576" s="481"/>
      <c r="W576" s="481"/>
      <c r="X576" s="481"/>
      <c r="Y576" s="481"/>
      <c r="Z576" s="481"/>
      <c r="AA576" s="481"/>
      <c r="AB576" s="481"/>
      <c r="AC576" s="481"/>
    </row>
    <row r="577" hidden="1">
      <c r="A577" s="535"/>
      <c r="B577" s="536"/>
      <c r="C577" s="536"/>
      <c r="D577" s="537"/>
      <c r="E577" s="537"/>
      <c r="F577" s="537"/>
      <c r="G577" s="536"/>
      <c r="H577" s="481"/>
      <c r="I577" s="481"/>
      <c r="J577" s="481"/>
      <c r="K577" s="481"/>
      <c r="L577" s="481"/>
      <c r="M577" s="481"/>
      <c r="N577" s="481"/>
      <c r="O577" s="481"/>
      <c r="P577" s="481"/>
      <c r="Q577" s="481"/>
      <c r="R577" s="481"/>
      <c r="S577" s="481"/>
      <c r="T577" s="481"/>
      <c r="U577" s="481"/>
      <c r="V577" s="481"/>
      <c r="W577" s="481"/>
      <c r="X577" s="481"/>
      <c r="Y577" s="481"/>
      <c r="Z577" s="481"/>
      <c r="AA577" s="481"/>
      <c r="AB577" s="481"/>
      <c r="AC577" s="481"/>
    </row>
    <row r="578" hidden="1">
      <c r="A578" s="532"/>
      <c r="B578" s="533"/>
      <c r="C578" s="533"/>
      <c r="D578" s="534"/>
      <c r="E578" s="534"/>
      <c r="F578" s="534"/>
      <c r="G578" s="533"/>
      <c r="H578" s="481"/>
      <c r="I578" s="481"/>
      <c r="J578" s="481"/>
      <c r="K578" s="481"/>
      <c r="L578" s="481"/>
      <c r="M578" s="481"/>
      <c r="N578" s="481"/>
      <c r="O578" s="481"/>
      <c r="P578" s="481"/>
      <c r="Q578" s="481"/>
      <c r="R578" s="481"/>
      <c r="S578" s="481"/>
      <c r="T578" s="481"/>
      <c r="U578" s="481"/>
      <c r="V578" s="481"/>
      <c r="W578" s="481"/>
      <c r="X578" s="481"/>
      <c r="Y578" s="481"/>
      <c r="Z578" s="481"/>
      <c r="AA578" s="481"/>
      <c r="AB578" s="481"/>
      <c r="AC578" s="481"/>
    </row>
    <row r="579" hidden="1">
      <c r="A579" s="535"/>
      <c r="B579" s="536"/>
      <c r="C579" s="536"/>
      <c r="D579" s="537"/>
      <c r="E579" s="537"/>
      <c r="F579" s="537"/>
      <c r="G579" s="536"/>
      <c r="H579" s="481"/>
      <c r="I579" s="481"/>
      <c r="J579" s="481"/>
      <c r="K579" s="481"/>
      <c r="L579" s="481"/>
      <c r="M579" s="481"/>
      <c r="N579" s="481"/>
      <c r="O579" s="481"/>
      <c r="P579" s="481"/>
      <c r="Q579" s="481"/>
      <c r="R579" s="481"/>
      <c r="S579" s="481"/>
      <c r="T579" s="481"/>
      <c r="U579" s="481"/>
      <c r="V579" s="481"/>
      <c r="W579" s="481"/>
      <c r="X579" s="481"/>
      <c r="Y579" s="481"/>
      <c r="Z579" s="481"/>
      <c r="AA579" s="481"/>
      <c r="AB579" s="481"/>
      <c r="AC579" s="481"/>
    </row>
    <row r="580" hidden="1">
      <c r="A580" s="532"/>
      <c r="B580" s="533"/>
      <c r="C580" s="533"/>
      <c r="D580" s="534"/>
      <c r="E580" s="534"/>
      <c r="F580" s="534"/>
      <c r="G580" s="533"/>
      <c r="H580" s="481"/>
      <c r="I580" s="481"/>
      <c r="J580" s="481"/>
      <c r="K580" s="481"/>
      <c r="L580" s="481"/>
      <c r="M580" s="481"/>
      <c r="N580" s="481"/>
      <c r="O580" s="481"/>
      <c r="P580" s="481"/>
      <c r="Q580" s="481"/>
      <c r="R580" s="481"/>
      <c r="S580" s="481"/>
      <c r="T580" s="481"/>
      <c r="U580" s="481"/>
      <c r="V580" s="481"/>
      <c r="W580" s="481"/>
      <c r="X580" s="481"/>
      <c r="Y580" s="481"/>
      <c r="Z580" s="481"/>
      <c r="AA580" s="481"/>
      <c r="AB580" s="481"/>
      <c r="AC580" s="481"/>
    </row>
    <row r="581" hidden="1">
      <c r="A581" s="535"/>
      <c r="B581" s="536"/>
      <c r="C581" s="536"/>
      <c r="D581" s="537"/>
      <c r="E581" s="537"/>
      <c r="F581" s="537"/>
      <c r="G581" s="536"/>
      <c r="H581" s="481"/>
      <c r="I581" s="481"/>
      <c r="J581" s="481"/>
      <c r="K581" s="481"/>
      <c r="L581" s="481"/>
      <c r="M581" s="481"/>
      <c r="N581" s="481"/>
      <c r="O581" s="481"/>
      <c r="P581" s="481"/>
      <c r="Q581" s="481"/>
      <c r="R581" s="481"/>
      <c r="S581" s="481"/>
      <c r="T581" s="481"/>
      <c r="U581" s="481"/>
      <c r="V581" s="481"/>
      <c r="W581" s="481"/>
      <c r="X581" s="481"/>
      <c r="Y581" s="481"/>
      <c r="Z581" s="481"/>
      <c r="AA581" s="481"/>
      <c r="AB581" s="481"/>
      <c r="AC581" s="481"/>
    </row>
    <row r="582" hidden="1">
      <c r="A582" s="532"/>
      <c r="B582" s="533"/>
      <c r="C582" s="533"/>
      <c r="D582" s="534"/>
      <c r="E582" s="534"/>
      <c r="F582" s="534"/>
      <c r="G582" s="533"/>
      <c r="H582" s="481"/>
      <c r="I582" s="481"/>
      <c r="J582" s="481"/>
      <c r="K582" s="481"/>
      <c r="L582" s="481"/>
      <c r="M582" s="481"/>
      <c r="N582" s="481"/>
      <c r="O582" s="481"/>
      <c r="P582" s="481"/>
      <c r="Q582" s="481"/>
      <c r="R582" s="481"/>
      <c r="S582" s="481"/>
      <c r="T582" s="481"/>
      <c r="U582" s="481"/>
      <c r="V582" s="481"/>
      <c r="W582" s="481"/>
      <c r="X582" s="481"/>
      <c r="Y582" s="481"/>
      <c r="Z582" s="481"/>
      <c r="AA582" s="481"/>
      <c r="AB582" s="481"/>
      <c r="AC582" s="481"/>
    </row>
    <row r="583" hidden="1">
      <c r="A583" s="535"/>
      <c r="B583" s="536"/>
      <c r="C583" s="536"/>
      <c r="D583" s="537"/>
      <c r="E583" s="537"/>
      <c r="F583" s="537"/>
      <c r="G583" s="536"/>
      <c r="H583" s="481"/>
      <c r="I583" s="481"/>
      <c r="J583" s="481"/>
      <c r="K583" s="481"/>
      <c r="L583" s="481"/>
      <c r="M583" s="481"/>
      <c r="N583" s="481"/>
      <c r="O583" s="481"/>
      <c r="P583" s="481"/>
      <c r="Q583" s="481"/>
      <c r="R583" s="481"/>
      <c r="S583" s="481"/>
      <c r="T583" s="481"/>
      <c r="U583" s="481"/>
      <c r="V583" s="481"/>
      <c r="W583" s="481"/>
      <c r="X583" s="481"/>
      <c r="Y583" s="481"/>
      <c r="Z583" s="481"/>
      <c r="AA583" s="481"/>
      <c r="AB583" s="481"/>
      <c r="AC583" s="481"/>
    </row>
    <row r="584" hidden="1">
      <c r="A584" s="532"/>
      <c r="B584" s="533"/>
      <c r="C584" s="533"/>
      <c r="D584" s="534"/>
      <c r="E584" s="534"/>
      <c r="F584" s="534"/>
      <c r="G584" s="533"/>
      <c r="H584" s="481"/>
      <c r="I584" s="481"/>
      <c r="J584" s="481"/>
      <c r="K584" s="481"/>
      <c r="L584" s="481"/>
      <c r="M584" s="481"/>
      <c r="N584" s="481"/>
      <c r="O584" s="481"/>
      <c r="P584" s="481"/>
      <c r="Q584" s="481"/>
      <c r="R584" s="481"/>
      <c r="S584" s="481"/>
      <c r="T584" s="481"/>
      <c r="U584" s="481"/>
      <c r="V584" s="481"/>
      <c r="W584" s="481"/>
      <c r="X584" s="481"/>
      <c r="Y584" s="481"/>
      <c r="Z584" s="481"/>
      <c r="AA584" s="481"/>
      <c r="AB584" s="481"/>
      <c r="AC584" s="481"/>
    </row>
    <row r="585" hidden="1">
      <c r="A585" s="535"/>
      <c r="B585" s="536"/>
      <c r="C585" s="536"/>
      <c r="D585" s="537"/>
      <c r="E585" s="537"/>
      <c r="F585" s="537"/>
      <c r="G585" s="536"/>
      <c r="H585" s="481"/>
      <c r="I585" s="481"/>
      <c r="J585" s="481"/>
      <c r="K585" s="481"/>
      <c r="L585" s="481"/>
      <c r="M585" s="481"/>
      <c r="N585" s="481"/>
      <c r="O585" s="481"/>
      <c r="P585" s="481"/>
      <c r="Q585" s="481"/>
      <c r="R585" s="481"/>
      <c r="S585" s="481"/>
      <c r="T585" s="481"/>
      <c r="U585" s="481"/>
      <c r="V585" s="481"/>
      <c r="W585" s="481"/>
      <c r="X585" s="481"/>
      <c r="Y585" s="481"/>
      <c r="Z585" s="481"/>
      <c r="AA585" s="481"/>
      <c r="AB585" s="481"/>
      <c r="AC585" s="481"/>
    </row>
    <row r="586" hidden="1">
      <c r="A586" s="532"/>
      <c r="B586" s="533"/>
      <c r="C586" s="533"/>
      <c r="D586" s="534"/>
      <c r="E586" s="534"/>
      <c r="F586" s="534"/>
      <c r="G586" s="533"/>
      <c r="H586" s="481"/>
      <c r="I586" s="481"/>
      <c r="J586" s="481"/>
      <c r="K586" s="481"/>
      <c r="L586" s="481"/>
      <c r="M586" s="481"/>
      <c r="N586" s="481"/>
      <c r="O586" s="481"/>
      <c r="P586" s="481"/>
      <c r="Q586" s="481"/>
      <c r="R586" s="481"/>
      <c r="S586" s="481"/>
      <c r="T586" s="481"/>
      <c r="U586" s="481"/>
      <c r="V586" s="481"/>
      <c r="W586" s="481"/>
      <c r="X586" s="481"/>
      <c r="Y586" s="481"/>
      <c r="Z586" s="481"/>
      <c r="AA586" s="481"/>
      <c r="AB586" s="481"/>
      <c r="AC586" s="481"/>
    </row>
    <row r="587" hidden="1">
      <c r="A587" s="535"/>
      <c r="B587" s="536"/>
      <c r="C587" s="536"/>
      <c r="D587" s="537"/>
      <c r="E587" s="537"/>
      <c r="F587" s="537"/>
      <c r="G587" s="536"/>
      <c r="H587" s="481"/>
      <c r="I587" s="481"/>
      <c r="J587" s="481"/>
      <c r="K587" s="481"/>
      <c r="L587" s="481"/>
      <c r="M587" s="481"/>
      <c r="N587" s="481"/>
      <c r="O587" s="481"/>
      <c r="P587" s="481"/>
      <c r="Q587" s="481"/>
      <c r="R587" s="481"/>
      <c r="S587" s="481"/>
      <c r="T587" s="481"/>
      <c r="U587" s="481"/>
      <c r="V587" s="481"/>
      <c r="W587" s="481"/>
      <c r="X587" s="481"/>
      <c r="Y587" s="481"/>
      <c r="Z587" s="481"/>
      <c r="AA587" s="481"/>
      <c r="AB587" s="481"/>
      <c r="AC587" s="481"/>
    </row>
    <row r="588" hidden="1">
      <c r="A588" s="532"/>
      <c r="B588" s="533"/>
      <c r="C588" s="533"/>
      <c r="D588" s="534"/>
      <c r="E588" s="534"/>
      <c r="F588" s="534"/>
      <c r="G588" s="533"/>
      <c r="H588" s="481"/>
      <c r="I588" s="481"/>
      <c r="J588" s="481"/>
      <c r="K588" s="481"/>
      <c r="L588" s="481"/>
      <c r="M588" s="481"/>
      <c r="N588" s="481"/>
      <c r="O588" s="481"/>
      <c r="P588" s="481"/>
      <c r="Q588" s="481"/>
      <c r="R588" s="481"/>
      <c r="S588" s="481"/>
      <c r="T588" s="481"/>
      <c r="U588" s="481"/>
      <c r="V588" s="481"/>
      <c r="W588" s="481"/>
      <c r="X588" s="481"/>
      <c r="Y588" s="481"/>
      <c r="Z588" s="481"/>
      <c r="AA588" s="481"/>
      <c r="AB588" s="481"/>
      <c r="AC588" s="481"/>
    </row>
    <row r="589" hidden="1">
      <c r="A589" s="535"/>
      <c r="B589" s="536"/>
      <c r="C589" s="536"/>
      <c r="D589" s="537"/>
      <c r="E589" s="537"/>
      <c r="F589" s="537"/>
      <c r="G589" s="536"/>
      <c r="H589" s="481"/>
      <c r="I589" s="481"/>
      <c r="J589" s="481"/>
      <c r="K589" s="481"/>
      <c r="L589" s="481"/>
      <c r="M589" s="481"/>
      <c r="N589" s="481"/>
      <c r="O589" s="481"/>
      <c r="P589" s="481"/>
      <c r="Q589" s="481"/>
      <c r="R589" s="481"/>
      <c r="S589" s="481"/>
      <c r="T589" s="481"/>
      <c r="U589" s="481"/>
      <c r="V589" s="481"/>
      <c r="W589" s="481"/>
      <c r="X589" s="481"/>
      <c r="Y589" s="481"/>
      <c r="Z589" s="481"/>
      <c r="AA589" s="481"/>
      <c r="AB589" s="481"/>
      <c r="AC589" s="481"/>
    </row>
    <row r="590" hidden="1">
      <c r="A590" s="532"/>
      <c r="B590" s="533"/>
      <c r="C590" s="533"/>
      <c r="D590" s="534"/>
      <c r="E590" s="534"/>
      <c r="F590" s="534"/>
      <c r="G590" s="533"/>
      <c r="H590" s="481"/>
      <c r="I590" s="481"/>
      <c r="J590" s="481"/>
      <c r="K590" s="481"/>
      <c r="L590" s="481"/>
      <c r="M590" s="481"/>
      <c r="N590" s="481"/>
      <c r="O590" s="481"/>
      <c r="P590" s="481"/>
      <c r="Q590" s="481"/>
      <c r="R590" s="481"/>
      <c r="S590" s="481"/>
      <c r="T590" s="481"/>
      <c r="U590" s="481"/>
      <c r="V590" s="481"/>
      <c r="W590" s="481"/>
      <c r="X590" s="481"/>
      <c r="Y590" s="481"/>
      <c r="Z590" s="481"/>
      <c r="AA590" s="481"/>
      <c r="AB590" s="481"/>
      <c r="AC590" s="481"/>
    </row>
    <row r="591" hidden="1">
      <c r="A591" s="535"/>
      <c r="B591" s="536"/>
      <c r="C591" s="536"/>
      <c r="D591" s="537"/>
      <c r="E591" s="537"/>
      <c r="F591" s="537"/>
      <c r="G591" s="536"/>
      <c r="H591" s="481"/>
      <c r="I591" s="481"/>
      <c r="J591" s="481"/>
      <c r="K591" s="481"/>
      <c r="L591" s="481"/>
      <c r="M591" s="481"/>
      <c r="N591" s="481"/>
      <c r="O591" s="481"/>
      <c r="P591" s="481"/>
      <c r="Q591" s="481"/>
      <c r="R591" s="481"/>
      <c r="S591" s="481"/>
      <c r="T591" s="481"/>
      <c r="U591" s="481"/>
      <c r="V591" s="481"/>
      <c r="W591" s="481"/>
      <c r="X591" s="481"/>
      <c r="Y591" s="481"/>
      <c r="Z591" s="481"/>
      <c r="AA591" s="481"/>
      <c r="AB591" s="481"/>
      <c r="AC591" s="481"/>
    </row>
    <row r="592" hidden="1">
      <c r="A592" s="532"/>
      <c r="B592" s="533"/>
      <c r="C592" s="533"/>
      <c r="D592" s="534"/>
      <c r="E592" s="534"/>
      <c r="F592" s="534"/>
      <c r="G592" s="533"/>
      <c r="H592" s="481"/>
      <c r="I592" s="481"/>
      <c r="J592" s="481"/>
      <c r="K592" s="481"/>
      <c r="L592" s="481"/>
      <c r="M592" s="481"/>
      <c r="N592" s="481"/>
      <c r="O592" s="481"/>
      <c r="P592" s="481"/>
      <c r="Q592" s="481"/>
      <c r="R592" s="481"/>
      <c r="S592" s="481"/>
      <c r="T592" s="481"/>
      <c r="U592" s="481"/>
      <c r="V592" s="481"/>
      <c r="W592" s="481"/>
      <c r="X592" s="481"/>
      <c r="Y592" s="481"/>
      <c r="Z592" s="481"/>
      <c r="AA592" s="481"/>
      <c r="AB592" s="481"/>
      <c r="AC592" s="481"/>
    </row>
    <row r="593" hidden="1">
      <c r="A593" s="535"/>
      <c r="B593" s="536"/>
      <c r="C593" s="536"/>
      <c r="D593" s="537"/>
      <c r="E593" s="537"/>
      <c r="F593" s="537"/>
      <c r="G593" s="536"/>
      <c r="H593" s="481"/>
      <c r="I593" s="481"/>
      <c r="J593" s="481"/>
      <c r="K593" s="481"/>
      <c r="L593" s="481"/>
      <c r="M593" s="481"/>
      <c r="N593" s="481"/>
      <c r="O593" s="481"/>
      <c r="P593" s="481"/>
      <c r="Q593" s="481"/>
      <c r="R593" s="481"/>
      <c r="S593" s="481"/>
      <c r="T593" s="481"/>
      <c r="U593" s="481"/>
      <c r="V593" s="481"/>
      <c r="W593" s="481"/>
      <c r="X593" s="481"/>
      <c r="Y593" s="481"/>
      <c r="Z593" s="481"/>
      <c r="AA593" s="481"/>
      <c r="AB593" s="481"/>
      <c r="AC593" s="481"/>
    </row>
    <row r="594" hidden="1">
      <c r="A594" s="532"/>
      <c r="B594" s="533"/>
      <c r="C594" s="533"/>
      <c r="D594" s="534"/>
      <c r="E594" s="534"/>
      <c r="F594" s="534"/>
      <c r="G594" s="533"/>
      <c r="H594" s="481"/>
      <c r="I594" s="481"/>
      <c r="J594" s="481"/>
      <c r="K594" s="481"/>
      <c r="L594" s="481"/>
      <c r="M594" s="481"/>
      <c r="N594" s="481"/>
      <c r="O594" s="481"/>
      <c r="P594" s="481"/>
      <c r="Q594" s="481"/>
      <c r="R594" s="481"/>
      <c r="S594" s="481"/>
      <c r="T594" s="481"/>
      <c r="U594" s="481"/>
      <c r="V594" s="481"/>
      <c r="W594" s="481"/>
      <c r="X594" s="481"/>
      <c r="Y594" s="481"/>
      <c r="Z594" s="481"/>
      <c r="AA594" s="481"/>
      <c r="AB594" s="481"/>
      <c r="AC594" s="481"/>
    </row>
    <row r="595" hidden="1">
      <c r="A595" s="535"/>
      <c r="B595" s="536"/>
      <c r="C595" s="536"/>
      <c r="D595" s="537"/>
      <c r="E595" s="537"/>
      <c r="F595" s="537"/>
      <c r="G595" s="536"/>
      <c r="H595" s="481"/>
      <c r="I595" s="481"/>
      <c r="J595" s="481"/>
      <c r="K595" s="481"/>
      <c r="L595" s="481"/>
      <c r="M595" s="481"/>
      <c r="N595" s="481"/>
      <c r="O595" s="481"/>
      <c r="P595" s="481"/>
      <c r="Q595" s="481"/>
      <c r="R595" s="481"/>
      <c r="S595" s="481"/>
      <c r="T595" s="481"/>
      <c r="U595" s="481"/>
      <c r="V595" s="481"/>
      <c r="W595" s="481"/>
      <c r="X595" s="481"/>
      <c r="Y595" s="481"/>
      <c r="Z595" s="481"/>
      <c r="AA595" s="481"/>
      <c r="AB595" s="481"/>
      <c r="AC595" s="481"/>
    </row>
    <row r="596" hidden="1">
      <c r="A596" s="532"/>
      <c r="B596" s="533"/>
      <c r="C596" s="533"/>
      <c r="D596" s="534"/>
      <c r="E596" s="534"/>
      <c r="F596" s="534"/>
      <c r="G596" s="533"/>
      <c r="H596" s="481"/>
      <c r="I596" s="481"/>
      <c r="J596" s="481"/>
      <c r="K596" s="481"/>
      <c r="L596" s="481"/>
      <c r="M596" s="481"/>
      <c r="N596" s="481"/>
      <c r="O596" s="481"/>
      <c r="P596" s="481"/>
      <c r="Q596" s="481"/>
      <c r="R596" s="481"/>
      <c r="S596" s="481"/>
      <c r="T596" s="481"/>
      <c r="U596" s="481"/>
      <c r="V596" s="481"/>
      <c r="W596" s="481"/>
      <c r="X596" s="481"/>
      <c r="Y596" s="481"/>
      <c r="Z596" s="481"/>
      <c r="AA596" s="481"/>
      <c r="AB596" s="481"/>
      <c r="AC596" s="481"/>
    </row>
    <row r="597" hidden="1">
      <c r="A597" s="535"/>
      <c r="B597" s="536"/>
      <c r="C597" s="536"/>
      <c r="D597" s="537"/>
      <c r="E597" s="537"/>
      <c r="F597" s="537"/>
      <c r="G597" s="536"/>
      <c r="H597" s="481"/>
      <c r="I597" s="481"/>
      <c r="J597" s="481"/>
      <c r="K597" s="481"/>
      <c r="L597" s="481"/>
      <c r="M597" s="481"/>
      <c r="N597" s="481"/>
      <c r="O597" s="481"/>
      <c r="P597" s="481"/>
      <c r="Q597" s="481"/>
      <c r="R597" s="481"/>
      <c r="S597" s="481"/>
      <c r="T597" s="481"/>
      <c r="U597" s="481"/>
      <c r="V597" s="481"/>
      <c r="W597" s="481"/>
      <c r="X597" s="481"/>
      <c r="Y597" s="481"/>
      <c r="Z597" s="481"/>
      <c r="AA597" s="481"/>
      <c r="AB597" s="481"/>
      <c r="AC597" s="481"/>
    </row>
    <row r="598" hidden="1">
      <c r="A598" s="532"/>
      <c r="B598" s="533"/>
      <c r="C598" s="533"/>
      <c r="D598" s="534"/>
      <c r="E598" s="534"/>
      <c r="F598" s="534"/>
      <c r="G598" s="533"/>
      <c r="H598" s="481"/>
      <c r="I598" s="481"/>
      <c r="J598" s="481"/>
      <c r="K598" s="481"/>
      <c r="L598" s="481"/>
      <c r="M598" s="481"/>
      <c r="N598" s="481"/>
      <c r="O598" s="481"/>
      <c r="P598" s="481"/>
      <c r="Q598" s="481"/>
      <c r="R598" s="481"/>
      <c r="S598" s="481"/>
      <c r="T598" s="481"/>
      <c r="U598" s="481"/>
      <c r="V598" s="481"/>
      <c r="W598" s="481"/>
      <c r="X598" s="481"/>
      <c r="Y598" s="481"/>
      <c r="Z598" s="481"/>
      <c r="AA598" s="481"/>
      <c r="AB598" s="481"/>
      <c r="AC598" s="481"/>
    </row>
    <row r="599" hidden="1">
      <c r="A599" s="535"/>
      <c r="B599" s="536"/>
      <c r="C599" s="536"/>
      <c r="D599" s="537"/>
      <c r="E599" s="537"/>
      <c r="F599" s="537"/>
      <c r="G599" s="536"/>
      <c r="H599" s="481"/>
      <c r="I599" s="481"/>
      <c r="J599" s="481"/>
      <c r="K599" s="481"/>
      <c r="L599" s="481"/>
      <c r="M599" s="481"/>
      <c r="N599" s="481"/>
      <c r="O599" s="481"/>
      <c r="P599" s="481"/>
      <c r="Q599" s="481"/>
      <c r="R599" s="481"/>
      <c r="S599" s="481"/>
      <c r="T599" s="481"/>
      <c r="U599" s="481"/>
      <c r="V599" s="481"/>
      <c r="W599" s="481"/>
      <c r="X599" s="481"/>
      <c r="Y599" s="481"/>
      <c r="Z599" s="481"/>
      <c r="AA599" s="481"/>
      <c r="AB599" s="481"/>
      <c r="AC599" s="481"/>
    </row>
    <row r="600" hidden="1">
      <c r="A600" s="532"/>
      <c r="B600" s="533"/>
      <c r="C600" s="533"/>
      <c r="D600" s="534"/>
      <c r="E600" s="534"/>
      <c r="F600" s="534"/>
      <c r="G600" s="533"/>
      <c r="H600" s="481"/>
      <c r="I600" s="481"/>
      <c r="J600" s="481"/>
      <c r="K600" s="481"/>
      <c r="L600" s="481"/>
      <c r="M600" s="481"/>
      <c r="N600" s="481"/>
      <c r="O600" s="481"/>
      <c r="P600" s="481"/>
      <c r="Q600" s="481"/>
      <c r="R600" s="481"/>
      <c r="S600" s="481"/>
      <c r="T600" s="481"/>
      <c r="U600" s="481"/>
      <c r="V600" s="481"/>
      <c r="W600" s="481"/>
      <c r="X600" s="481"/>
      <c r="Y600" s="481"/>
      <c r="Z600" s="481"/>
      <c r="AA600" s="481"/>
      <c r="AB600" s="481"/>
      <c r="AC600" s="481"/>
    </row>
    <row r="601" hidden="1">
      <c r="A601" s="535"/>
      <c r="B601" s="536"/>
      <c r="C601" s="536"/>
      <c r="D601" s="537"/>
      <c r="E601" s="537"/>
      <c r="F601" s="537"/>
      <c r="G601" s="536"/>
      <c r="H601" s="481"/>
      <c r="I601" s="481"/>
      <c r="J601" s="481"/>
      <c r="K601" s="481"/>
      <c r="L601" s="481"/>
      <c r="M601" s="481"/>
      <c r="N601" s="481"/>
      <c r="O601" s="481"/>
      <c r="P601" s="481"/>
      <c r="Q601" s="481"/>
      <c r="R601" s="481"/>
      <c r="S601" s="481"/>
      <c r="T601" s="481"/>
      <c r="U601" s="481"/>
      <c r="V601" s="481"/>
      <c r="W601" s="481"/>
      <c r="X601" s="481"/>
      <c r="Y601" s="481"/>
      <c r="Z601" s="481"/>
      <c r="AA601" s="481"/>
      <c r="AB601" s="481"/>
      <c r="AC601" s="481"/>
    </row>
    <row r="602" hidden="1">
      <c r="A602" s="532"/>
      <c r="B602" s="533"/>
      <c r="C602" s="533"/>
      <c r="D602" s="534"/>
      <c r="E602" s="534"/>
      <c r="F602" s="534"/>
      <c r="G602" s="533"/>
      <c r="H602" s="481"/>
      <c r="I602" s="481"/>
      <c r="J602" s="481"/>
      <c r="K602" s="481"/>
      <c r="L602" s="481"/>
      <c r="M602" s="481"/>
      <c r="N602" s="481"/>
      <c r="O602" s="481"/>
      <c r="P602" s="481"/>
      <c r="Q602" s="481"/>
      <c r="R602" s="481"/>
      <c r="S602" s="481"/>
      <c r="T602" s="481"/>
      <c r="U602" s="481"/>
      <c r="V602" s="481"/>
      <c r="W602" s="481"/>
      <c r="X602" s="481"/>
      <c r="Y602" s="481"/>
      <c r="Z602" s="481"/>
      <c r="AA602" s="481"/>
      <c r="AB602" s="481"/>
      <c r="AC602" s="481"/>
    </row>
    <row r="603" hidden="1">
      <c r="A603" s="535"/>
      <c r="B603" s="536"/>
      <c r="C603" s="536"/>
      <c r="D603" s="537"/>
      <c r="E603" s="537"/>
      <c r="F603" s="537"/>
      <c r="G603" s="536"/>
      <c r="H603" s="481"/>
      <c r="I603" s="481"/>
      <c r="J603" s="481"/>
      <c r="K603" s="481"/>
      <c r="L603" s="481"/>
      <c r="M603" s="481"/>
      <c r="N603" s="481"/>
      <c r="O603" s="481"/>
      <c r="P603" s="481"/>
      <c r="Q603" s="481"/>
      <c r="R603" s="481"/>
      <c r="S603" s="481"/>
      <c r="T603" s="481"/>
      <c r="U603" s="481"/>
      <c r="V603" s="481"/>
      <c r="W603" s="481"/>
      <c r="X603" s="481"/>
      <c r="Y603" s="481"/>
      <c r="Z603" s="481"/>
      <c r="AA603" s="481"/>
      <c r="AB603" s="481"/>
      <c r="AC603" s="481"/>
    </row>
    <row r="604" hidden="1">
      <c r="A604" s="532"/>
      <c r="B604" s="533"/>
      <c r="C604" s="533"/>
      <c r="D604" s="534"/>
      <c r="E604" s="534"/>
      <c r="F604" s="534"/>
      <c r="G604" s="533"/>
      <c r="H604" s="481"/>
      <c r="I604" s="481"/>
      <c r="J604" s="481"/>
      <c r="K604" s="481"/>
      <c r="L604" s="481"/>
      <c r="M604" s="481"/>
      <c r="N604" s="481"/>
      <c r="O604" s="481"/>
      <c r="P604" s="481"/>
      <c r="Q604" s="481"/>
      <c r="R604" s="481"/>
      <c r="S604" s="481"/>
      <c r="T604" s="481"/>
      <c r="U604" s="481"/>
      <c r="V604" s="481"/>
      <c r="W604" s="481"/>
      <c r="X604" s="481"/>
      <c r="Y604" s="481"/>
      <c r="Z604" s="481"/>
      <c r="AA604" s="481"/>
      <c r="AB604" s="481"/>
      <c r="AC604" s="481"/>
    </row>
    <row r="605" hidden="1">
      <c r="A605" s="535"/>
      <c r="B605" s="536"/>
      <c r="C605" s="536"/>
      <c r="D605" s="537"/>
      <c r="E605" s="537"/>
      <c r="F605" s="537"/>
      <c r="G605" s="536"/>
      <c r="H605" s="481"/>
      <c r="I605" s="481"/>
      <c r="J605" s="481"/>
      <c r="K605" s="481"/>
      <c r="L605" s="481"/>
      <c r="M605" s="481"/>
      <c r="N605" s="481"/>
      <c r="O605" s="481"/>
      <c r="P605" s="481"/>
      <c r="Q605" s="481"/>
      <c r="R605" s="481"/>
      <c r="S605" s="481"/>
      <c r="T605" s="481"/>
      <c r="U605" s="481"/>
      <c r="V605" s="481"/>
      <c r="W605" s="481"/>
      <c r="X605" s="481"/>
      <c r="Y605" s="481"/>
      <c r="Z605" s="481"/>
      <c r="AA605" s="481"/>
      <c r="AB605" s="481"/>
      <c r="AC605" s="481"/>
    </row>
    <row r="606" hidden="1">
      <c r="A606" s="532"/>
      <c r="B606" s="533"/>
      <c r="C606" s="533"/>
      <c r="D606" s="534"/>
      <c r="E606" s="534"/>
      <c r="F606" s="534"/>
      <c r="G606" s="533"/>
      <c r="H606" s="481"/>
      <c r="I606" s="481"/>
      <c r="J606" s="481"/>
      <c r="K606" s="481"/>
      <c r="L606" s="481"/>
      <c r="M606" s="481"/>
      <c r="N606" s="481"/>
      <c r="O606" s="481"/>
      <c r="P606" s="481"/>
      <c r="Q606" s="481"/>
      <c r="R606" s="481"/>
      <c r="S606" s="481"/>
      <c r="T606" s="481"/>
      <c r="U606" s="481"/>
      <c r="V606" s="481"/>
      <c r="W606" s="481"/>
      <c r="X606" s="481"/>
      <c r="Y606" s="481"/>
      <c r="Z606" s="481"/>
      <c r="AA606" s="481"/>
      <c r="AB606" s="481"/>
      <c r="AC606" s="481"/>
    </row>
    <row r="607" hidden="1">
      <c r="A607" s="535"/>
      <c r="B607" s="536"/>
      <c r="C607" s="536"/>
      <c r="D607" s="537"/>
      <c r="E607" s="537"/>
      <c r="F607" s="537"/>
      <c r="G607" s="536"/>
      <c r="H607" s="481"/>
      <c r="I607" s="481"/>
      <c r="J607" s="481"/>
      <c r="K607" s="481"/>
      <c r="L607" s="481"/>
      <c r="M607" s="481"/>
      <c r="N607" s="481"/>
      <c r="O607" s="481"/>
      <c r="P607" s="481"/>
      <c r="Q607" s="481"/>
      <c r="R607" s="481"/>
      <c r="S607" s="481"/>
      <c r="T607" s="481"/>
      <c r="U607" s="481"/>
      <c r="V607" s="481"/>
      <c r="W607" s="481"/>
      <c r="X607" s="481"/>
      <c r="Y607" s="481"/>
      <c r="Z607" s="481"/>
      <c r="AA607" s="481"/>
      <c r="AB607" s="481"/>
      <c r="AC607" s="481"/>
    </row>
    <row r="608" hidden="1">
      <c r="A608" s="532"/>
      <c r="B608" s="533"/>
      <c r="C608" s="533"/>
      <c r="D608" s="534"/>
      <c r="E608" s="534"/>
      <c r="F608" s="534"/>
      <c r="G608" s="533"/>
      <c r="H608" s="481"/>
      <c r="I608" s="481"/>
      <c r="J608" s="481"/>
      <c r="K608" s="481"/>
      <c r="L608" s="481"/>
      <c r="M608" s="481"/>
      <c r="N608" s="481"/>
      <c r="O608" s="481"/>
      <c r="P608" s="481"/>
      <c r="Q608" s="481"/>
      <c r="R608" s="481"/>
      <c r="S608" s="481"/>
      <c r="T608" s="481"/>
      <c r="U608" s="481"/>
      <c r="V608" s="481"/>
      <c r="W608" s="481"/>
      <c r="X608" s="481"/>
      <c r="Y608" s="481"/>
      <c r="Z608" s="481"/>
      <c r="AA608" s="481"/>
      <c r="AB608" s="481"/>
      <c r="AC608" s="481"/>
    </row>
    <row r="609" hidden="1">
      <c r="A609" s="535"/>
      <c r="B609" s="536"/>
      <c r="C609" s="536"/>
      <c r="D609" s="537"/>
      <c r="E609" s="537"/>
      <c r="F609" s="537"/>
      <c r="G609" s="536"/>
      <c r="H609" s="481"/>
      <c r="I609" s="481"/>
      <c r="J609" s="481"/>
      <c r="K609" s="481"/>
      <c r="L609" s="481"/>
      <c r="M609" s="481"/>
      <c r="N609" s="481"/>
      <c r="O609" s="481"/>
      <c r="P609" s="481"/>
      <c r="Q609" s="481"/>
      <c r="R609" s="481"/>
      <c r="S609" s="481"/>
      <c r="T609" s="481"/>
      <c r="U609" s="481"/>
      <c r="V609" s="481"/>
      <c r="W609" s="481"/>
      <c r="X609" s="481"/>
      <c r="Y609" s="481"/>
      <c r="Z609" s="481"/>
      <c r="AA609" s="481"/>
      <c r="AB609" s="481"/>
      <c r="AC609" s="481"/>
    </row>
    <row r="610" hidden="1">
      <c r="A610" s="532"/>
      <c r="B610" s="533"/>
      <c r="C610" s="533"/>
      <c r="D610" s="534"/>
      <c r="E610" s="534"/>
      <c r="F610" s="534"/>
      <c r="G610" s="533"/>
      <c r="H610" s="481"/>
      <c r="I610" s="481"/>
      <c r="J610" s="481"/>
      <c r="K610" s="481"/>
      <c r="L610" s="481"/>
      <c r="M610" s="481"/>
      <c r="N610" s="481"/>
      <c r="O610" s="481"/>
      <c r="P610" s="481"/>
      <c r="Q610" s="481"/>
      <c r="R610" s="481"/>
      <c r="S610" s="481"/>
      <c r="T610" s="481"/>
      <c r="U610" s="481"/>
      <c r="V610" s="481"/>
      <c r="W610" s="481"/>
      <c r="X610" s="481"/>
      <c r="Y610" s="481"/>
      <c r="Z610" s="481"/>
      <c r="AA610" s="481"/>
      <c r="AB610" s="481"/>
      <c r="AC610" s="481"/>
    </row>
    <row r="611" hidden="1">
      <c r="A611" s="535"/>
      <c r="B611" s="536"/>
      <c r="C611" s="536"/>
      <c r="D611" s="537"/>
      <c r="E611" s="537"/>
      <c r="F611" s="537"/>
      <c r="G611" s="536"/>
      <c r="H611" s="481"/>
      <c r="I611" s="481"/>
      <c r="J611" s="481"/>
      <c r="K611" s="481"/>
      <c r="L611" s="481"/>
      <c r="M611" s="481"/>
      <c r="N611" s="481"/>
      <c r="O611" s="481"/>
      <c r="P611" s="481"/>
      <c r="Q611" s="481"/>
      <c r="R611" s="481"/>
      <c r="S611" s="481"/>
      <c r="T611" s="481"/>
      <c r="U611" s="481"/>
      <c r="V611" s="481"/>
      <c r="W611" s="481"/>
      <c r="X611" s="481"/>
      <c r="Y611" s="481"/>
      <c r="Z611" s="481"/>
      <c r="AA611" s="481"/>
      <c r="AB611" s="481"/>
      <c r="AC611" s="481"/>
    </row>
    <row r="612" hidden="1">
      <c r="A612" s="532"/>
      <c r="B612" s="533"/>
      <c r="C612" s="533"/>
      <c r="D612" s="534"/>
      <c r="E612" s="534"/>
      <c r="F612" s="534"/>
      <c r="G612" s="533"/>
      <c r="H612" s="481"/>
      <c r="I612" s="481"/>
      <c r="J612" s="481"/>
      <c r="K612" s="481"/>
      <c r="L612" s="481"/>
      <c r="M612" s="481"/>
      <c r="N612" s="481"/>
      <c r="O612" s="481"/>
      <c r="P612" s="481"/>
      <c r="Q612" s="481"/>
      <c r="R612" s="481"/>
      <c r="S612" s="481"/>
      <c r="T612" s="481"/>
      <c r="U612" s="481"/>
      <c r="V612" s="481"/>
      <c r="W612" s="481"/>
      <c r="X612" s="481"/>
      <c r="Y612" s="481"/>
      <c r="Z612" s="481"/>
      <c r="AA612" s="481"/>
      <c r="AB612" s="481"/>
      <c r="AC612" s="481"/>
    </row>
    <row r="613" hidden="1">
      <c r="A613" s="535"/>
      <c r="B613" s="536"/>
      <c r="C613" s="536"/>
      <c r="D613" s="537"/>
      <c r="E613" s="537"/>
      <c r="F613" s="537"/>
      <c r="G613" s="536"/>
      <c r="H613" s="481"/>
      <c r="I613" s="481"/>
      <c r="J613" s="481"/>
      <c r="K613" s="481"/>
      <c r="L613" s="481"/>
      <c r="M613" s="481"/>
      <c r="N613" s="481"/>
      <c r="O613" s="481"/>
      <c r="P613" s="481"/>
      <c r="Q613" s="481"/>
      <c r="R613" s="481"/>
      <c r="S613" s="481"/>
      <c r="T613" s="481"/>
      <c r="U613" s="481"/>
      <c r="V613" s="481"/>
      <c r="W613" s="481"/>
      <c r="X613" s="481"/>
      <c r="Y613" s="481"/>
      <c r="Z613" s="481"/>
      <c r="AA613" s="481"/>
      <c r="AB613" s="481"/>
      <c r="AC613" s="481"/>
    </row>
    <row r="614" hidden="1">
      <c r="A614" s="532"/>
      <c r="B614" s="533"/>
      <c r="C614" s="533"/>
      <c r="D614" s="534"/>
      <c r="E614" s="534"/>
      <c r="F614" s="534"/>
      <c r="G614" s="533"/>
      <c r="H614" s="481"/>
      <c r="I614" s="481"/>
      <c r="J614" s="481"/>
      <c r="K614" s="481"/>
      <c r="L614" s="481"/>
      <c r="M614" s="481"/>
      <c r="N614" s="481"/>
      <c r="O614" s="481"/>
      <c r="P614" s="481"/>
      <c r="Q614" s="481"/>
      <c r="R614" s="481"/>
      <c r="S614" s="481"/>
      <c r="T614" s="481"/>
      <c r="U614" s="481"/>
      <c r="V614" s="481"/>
      <c r="W614" s="481"/>
      <c r="X614" s="481"/>
      <c r="Y614" s="481"/>
      <c r="Z614" s="481"/>
      <c r="AA614" s="481"/>
      <c r="AB614" s="481"/>
      <c r="AC614" s="481"/>
    </row>
    <row r="615" hidden="1">
      <c r="A615" s="535"/>
      <c r="B615" s="536"/>
      <c r="C615" s="536"/>
      <c r="D615" s="537"/>
      <c r="E615" s="537"/>
      <c r="F615" s="537"/>
      <c r="G615" s="536"/>
      <c r="H615" s="481"/>
      <c r="I615" s="481"/>
      <c r="J615" s="481"/>
      <c r="K615" s="481"/>
      <c r="L615" s="481"/>
      <c r="M615" s="481"/>
      <c r="N615" s="481"/>
      <c r="O615" s="481"/>
      <c r="P615" s="481"/>
      <c r="Q615" s="481"/>
      <c r="R615" s="481"/>
      <c r="S615" s="481"/>
      <c r="T615" s="481"/>
      <c r="U615" s="481"/>
      <c r="V615" s="481"/>
      <c r="W615" s="481"/>
      <c r="X615" s="481"/>
      <c r="Y615" s="481"/>
      <c r="Z615" s="481"/>
      <c r="AA615" s="481"/>
      <c r="AB615" s="481"/>
      <c r="AC615" s="481"/>
    </row>
    <row r="616" hidden="1">
      <c r="A616" s="532"/>
      <c r="B616" s="533"/>
      <c r="C616" s="533"/>
      <c r="D616" s="534"/>
      <c r="E616" s="534"/>
      <c r="F616" s="534"/>
      <c r="G616" s="533"/>
      <c r="H616" s="481"/>
      <c r="I616" s="481"/>
      <c r="J616" s="481"/>
      <c r="K616" s="481"/>
      <c r="L616" s="481"/>
      <c r="M616" s="481"/>
      <c r="N616" s="481"/>
      <c r="O616" s="481"/>
      <c r="P616" s="481"/>
      <c r="Q616" s="481"/>
      <c r="R616" s="481"/>
      <c r="S616" s="481"/>
      <c r="T616" s="481"/>
      <c r="U616" s="481"/>
      <c r="V616" s="481"/>
      <c r="W616" s="481"/>
      <c r="X616" s="481"/>
      <c r="Y616" s="481"/>
      <c r="Z616" s="481"/>
      <c r="AA616" s="481"/>
      <c r="AB616" s="481"/>
      <c r="AC616" s="481"/>
    </row>
    <row r="617" hidden="1">
      <c r="A617" s="535"/>
      <c r="B617" s="536"/>
      <c r="C617" s="536"/>
      <c r="D617" s="537"/>
      <c r="E617" s="537"/>
      <c r="F617" s="537"/>
      <c r="G617" s="536"/>
      <c r="H617" s="481"/>
      <c r="I617" s="481"/>
      <c r="J617" s="481"/>
      <c r="K617" s="481"/>
      <c r="L617" s="481"/>
      <c r="M617" s="481"/>
      <c r="N617" s="481"/>
      <c r="O617" s="481"/>
      <c r="P617" s="481"/>
      <c r="Q617" s="481"/>
      <c r="R617" s="481"/>
      <c r="S617" s="481"/>
      <c r="T617" s="481"/>
      <c r="U617" s="481"/>
      <c r="V617" s="481"/>
      <c r="W617" s="481"/>
      <c r="X617" s="481"/>
      <c r="Y617" s="481"/>
      <c r="Z617" s="481"/>
      <c r="AA617" s="481"/>
      <c r="AB617" s="481"/>
      <c r="AC617" s="481"/>
    </row>
    <row r="618" hidden="1">
      <c r="A618" s="532"/>
      <c r="B618" s="533"/>
      <c r="C618" s="533"/>
      <c r="D618" s="534"/>
      <c r="E618" s="534"/>
      <c r="F618" s="534"/>
      <c r="G618" s="533"/>
      <c r="H618" s="481"/>
      <c r="I618" s="481"/>
      <c r="J618" s="481"/>
      <c r="K618" s="481"/>
      <c r="L618" s="481"/>
      <c r="M618" s="481"/>
      <c r="N618" s="481"/>
      <c r="O618" s="481"/>
      <c r="P618" s="481"/>
      <c r="Q618" s="481"/>
      <c r="R618" s="481"/>
      <c r="S618" s="481"/>
      <c r="T618" s="481"/>
      <c r="U618" s="481"/>
      <c r="V618" s="481"/>
      <c r="W618" s="481"/>
      <c r="X618" s="481"/>
      <c r="Y618" s="481"/>
      <c r="Z618" s="481"/>
      <c r="AA618" s="481"/>
      <c r="AB618" s="481"/>
      <c r="AC618" s="481"/>
    </row>
    <row r="619" hidden="1">
      <c r="A619" s="535"/>
      <c r="B619" s="536"/>
      <c r="C619" s="536"/>
      <c r="D619" s="537"/>
      <c r="E619" s="537"/>
      <c r="F619" s="537"/>
      <c r="G619" s="536"/>
      <c r="H619" s="481"/>
      <c r="I619" s="481"/>
      <c r="J619" s="481"/>
      <c r="K619" s="481"/>
      <c r="L619" s="481"/>
      <c r="M619" s="481"/>
      <c r="N619" s="481"/>
      <c r="O619" s="481"/>
      <c r="P619" s="481"/>
      <c r="Q619" s="481"/>
      <c r="R619" s="481"/>
      <c r="S619" s="481"/>
      <c r="T619" s="481"/>
      <c r="U619" s="481"/>
      <c r="V619" s="481"/>
      <c r="W619" s="481"/>
      <c r="X619" s="481"/>
      <c r="Y619" s="481"/>
      <c r="Z619" s="481"/>
      <c r="AA619" s="481"/>
      <c r="AB619" s="481"/>
      <c r="AC619" s="481"/>
    </row>
    <row r="620" hidden="1">
      <c r="A620" s="532"/>
      <c r="B620" s="533"/>
      <c r="C620" s="533"/>
      <c r="D620" s="534"/>
      <c r="E620" s="534"/>
      <c r="F620" s="534"/>
      <c r="G620" s="533"/>
      <c r="H620" s="481"/>
      <c r="I620" s="481"/>
      <c r="J620" s="481"/>
      <c r="K620" s="481"/>
      <c r="L620" s="481"/>
      <c r="M620" s="481"/>
      <c r="N620" s="481"/>
      <c r="O620" s="481"/>
      <c r="P620" s="481"/>
      <c r="Q620" s="481"/>
      <c r="R620" s="481"/>
      <c r="S620" s="481"/>
      <c r="T620" s="481"/>
      <c r="U620" s="481"/>
      <c r="V620" s="481"/>
      <c r="W620" s="481"/>
      <c r="X620" s="481"/>
      <c r="Y620" s="481"/>
      <c r="Z620" s="481"/>
      <c r="AA620" s="481"/>
      <c r="AB620" s="481"/>
      <c r="AC620" s="481"/>
    </row>
    <row r="621" hidden="1">
      <c r="A621" s="535"/>
      <c r="B621" s="536"/>
      <c r="C621" s="536"/>
      <c r="D621" s="537"/>
      <c r="E621" s="537"/>
      <c r="F621" s="537"/>
      <c r="G621" s="536"/>
      <c r="H621" s="481"/>
      <c r="I621" s="481"/>
      <c r="J621" s="481"/>
      <c r="K621" s="481"/>
      <c r="L621" s="481"/>
      <c r="M621" s="481"/>
      <c r="N621" s="481"/>
      <c r="O621" s="481"/>
      <c r="P621" s="481"/>
      <c r="Q621" s="481"/>
      <c r="R621" s="481"/>
      <c r="S621" s="481"/>
      <c r="T621" s="481"/>
      <c r="U621" s="481"/>
      <c r="V621" s="481"/>
      <c r="W621" s="481"/>
      <c r="X621" s="481"/>
      <c r="Y621" s="481"/>
      <c r="Z621" s="481"/>
      <c r="AA621" s="481"/>
      <c r="AB621" s="481"/>
      <c r="AC621" s="481"/>
    </row>
    <row r="622" hidden="1">
      <c r="A622" s="532"/>
      <c r="B622" s="533"/>
      <c r="C622" s="533"/>
      <c r="D622" s="534"/>
      <c r="E622" s="534"/>
      <c r="F622" s="534"/>
      <c r="G622" s="533"/>
      <c r="H622" s="481"/>
      <c r="I622" s="481"/>
      <c r="J622" s="481"/>
      <c r="K622" s="481"/>
      <c r="L622" s="481"/>
      <c r="M622" s="481"/>
      <c r="N622" s="481"/>
      <c r="O622" s="481"/>
      <c r="P622" s="481"/>
      <c r="Q622" s="481"/>
      <c r="R622" s="481"/>
      <c r="S622" s="481"/>
      <c r="T622" s="481"/>
      <c r="U622" s="481"/>
      <c r="V622" s="481"/>
      <c r="W622" s="481"/>
      <c r="X622" s="481"/>
      <c r="Y622" s="481"/>
      <c r="Z622" s="481"/>
      <c r="AA622" s="481"/>
      <c r="AB622" s="481"/>
      <c r="AC622" s="481"/>
    </row>
    <row r="623" hidden="1">
      <c r="A623" s="535"/>
      <c r="B623" s="536"/>
      <c r="C623" s="536"/>
      <c r="D623" s="537"/>
      <c r="E623" s="537"/>
      <c r="F623" s="537"/>
      <c r="G623" s="536"/>
      <c r="H623" s="481"/>
      <c r="I623" s="481"/>
      <c r="J623" s="481"/>
      <c r="K623" s="481"/>
      <c r="L623" s="481"/>
      <c r="M623" s="481"/>
      <c r="N623" s="481"/>
      <c r="O623" s="481"/>
      <c r="P623" s="481"/>
      <c r="Q623" s="481"/>
      <c r="R623" s="481"/>
      <c r="S623" s="481"/>
      <c r="T623" s="481"/>
      <c r="U623" s="481"/>
      <c r="V623" s="481"/>
      <c r="W623" s="481"/>
      <c r="X623" s="481"/>
      <c r="Y623" s="481"/>
      <c r="Z623" s="481"/>
      <c r="AA623" s="481"/>
      <c r="AB623" s="481"/>
      <c r="AC623" s="481"/>
    </row>
    <row r="624" hidden="1">
      <c r="A624" s="532"/>
      <c r="B624" s="533"/>
      <c r="C624" s="533"/>
      <c r="D624" s="534"/>
      <c r="E624" s="534"/>
      <c r="F624" s="534"/>
      <c r="G624" s="533"/>
      <c r="H624" s="481"/>
      <c r="I624" s="481"/>
      <c r="J624" s="481"/>
      <c r="K624" s="481"/>
      <c r="L624" s="481"/>
      <c r="M624" s="481"/>
      <c r="N624" s="481"/>
      <c r="O624" s="481"/>
      <c r="P624" s="481"/>
      <c r="Q624" s="481"/>
      <c r="R624" s="481"/>
      <c r="S624" s="481"/>
      <c r="T624" s="481"/>
      <c r="U624" s="481"/>
      <c r="V624" s="481"/>
      <c r="W624" s="481"/>
      <c r="X624" s="481"/>
      <c r="Y624" s="481"/>
      <c r="Z624" s="481"/>
      <c r="AA624" s="481"/>
      <c r="AB624" s="481"/>
      <c r="AC624" s="481"/>
    </row>
    <row r="625" hidden="1">
      <c r="A625" s="535"/>
      <c r="B625" s="536"/>
      <c r="C625" s="536"/>
      <c r="D625" s="537"/>
      <c r="E625" s="537"/>
      <c r="F625" s="537"/>
      <c r="G625" s="536"/>
      <c r="H625" s="481"/>
      <c r="I625" s="481"/>
      <c r="J625" s="481"/>
      <c r="K625" s="481"/>
      <c r="L625" s="481"/>
      <c r="M625" s="481"/>
      <c r="N625" s="481"/>
      <c r="O625" s="481"/>
      <c r="P625" s="481"/>
      <c r="Q625" s="481"/>
      <c r="R625" s="481"/>
      <c r="S625" s="481"/>
      <c r="T625" s="481"/>
      <c r="U625" s="481"/>
      <c r="V625" s="481"/>
      <c r="W625" s="481"/>
      <c r="X625" s="481"/>
      <c r="Y625" s="481"/>
      <c r="Z625" s="481"/>
      <c r="AA625" s="481"/>
      <c r="AB625" s="481"/>
      <c r="AC625" s="481"/>
    </row>
    <row r="626" hidden="1">
      <c r="A626" s="532"/>
      <c r="B626" s="533"/>
      <c r="C626" s="533"/>
      <c r="D626" s="534"/>
      <c r="E626" s="534"/>
      <c r="F626" s="534"/>
      <c r="G626" s="533"/>
      <c r="H626" s="481"/>
      <c r="I626" s="481"/>
      <c r="J626" s="481"/>
      <c r="K626" s="481"/>
      <c r="L626" s="481"/>
      <c r="M626" s="481"/>
      <c r="N626" s="481"/>
      <c r="O626" s="481"/>
      <c r="P626" s="481"/>
      <c r="Q626" s="481"/>
      <c r="R626" s="481"/>
      <c r="S626" s="481"/>
      <c r="T626" s="481"/>
      <c r="U626" s="481"/>
      <c r="V626" s="481"/>
      <c r="W626" s="481"/>
      <c r="X626" s="481"/>
      <c r="Y626" s="481"/>
      <c r="Z626" s="481"/>
      <c r="AA626" s="481"/>
      <c r="AB626" s="481"/>
      <c r="AC626" s="481"/>
    </row>
    <row r="627" hidden="1">
      <c r="A627" s="535"/>
      <c r="B627" s="536"/>
      <c r="C627" s="536"/>
      <c r="D627" s="537"/>
      <c r="E627" s="537"/>
      <c r="F627" s="537"/>
      <c r="G627" s="536"/>
      <c r="H627" s="481"/>
      <c r="I627" s="481"/>
      <c r="J627" s="481"/>
      <c r="K627" s="481"/>
      <c r="L627" s="481"/>
      <c r="M627" s="481"/>
      <c r="N627" s="481"/>
      <c r="O627" s="481"/>
      <c r="P627" s="481"/>
      <c r="Q627" s="481"/>
      <c r="R627" s="481"/>
      <c r="S627" s="481"/>
      <c r="T627" s="481"/>
      <c r="U627" s="481"/>
      <c r="V627" s="481"/>
      <c r="W627" s="481"/>
      <c r="X627" s="481"/>
      <c r="Y627" s="481"/>
      <c r="Z627" s="481"/>
      <c r="AA627" s="481"/>
      <c r="AB627" s="481"/>
      <c r="AC627" s="481"/>
    </row>
    <row r="628" hidden="1">
      <c r="A628" s="532"/>
      <c r="B628" s="533"/>
      <c r="C628" s="533"/>
      <c r="D628" s="534"/>
      <c r="E628" s="534"/>
      <c r="F628" s="534"/>
      <c r="G628" s="533"/>
      <c r="H628" s="481"/>
      <c r="I628" s="481"/>
      <c r="J628" s="481"/>
      <c r="K628" s="481"/>
      <c r="L628" s="481"/>
      <c r="M628" s="481"/>
      <c r="N628" s="481"/>
      <c r="O628" s="481"/>
      <c r="P628" s="481"/>
      <c r="Q628" s="481"/>
      <c r="R628" s="481"/>
      <c r="S628" s="481"/>
      <c r="T628" s="481"/>
      <c r="U628" s="481"/>
      <c r="V628" s="481"/>
      <c r="W628" s="481"/>
      <c r="X628" s="481"/>
      <c r="Y628" s="481"/>
      <c r="Z628" s="481"/>
      <c r="AA628" s="481"/>
      <c r="AB628" s="481"/>
      <c r="AC628" s="481"/>
    </row>
    <row r="629" hidden="1">
      <c r="A629" s="535"/>
      <c r="B629" s="536"/>
      <c r="C629" s="536"/>
      <c r="D629" s="537"/>
      <c r="E629" s="537"/>
      <c r="F629" s="537"/>
      <c r="G629" s="536"/>
      <c r="H629" s="481"/>
      <c r="I629" s="481"/>
      <c r="J629" s="481"/>
      <c r="K629" s="481"/>
      <c r="L629" s="481"/>
      <c r="M629" s="481"/>
      <c r="N629" s="481"/>
      <c r="O629" s="481"/>
      <c r="P629" s="481"/>
      <c r="Q629" s="481"/>
      <c r="R629" s="481"/>
      <c r="S629" s="481"/>
      <c r="T629" s="481"/>
      <c r="U629" s="481"/>
      <c r="V629" s="481"/>
      <c r="W629" s="481"/>
      <c r="X629" s="481"/>
      <c r="Y629" s="481"/>
      <c r="Z629" s="481"/>
      <c r="AA629" s="481"/>
      <c r="AB629" s="481"/>
      <c r="AC629" s="481"/>
    </row>
    <row r="630" hidden="1">
      <c r="A630" s="532"/>
      <c r="B630" s="533"/>
      <c r="C630" s="533"/>
      <c r="D630" s="534"/>
      <c r="E630" s="534"/>
      <c r="F630" s="534"/>
      <c r="G630" s="533"/>
      <c r="H630" s="481"/>
      <c r="I630" s="481"/>
      <c r="J630" s="481"/>
      <c r="K630" s="481"/>
      <c r="L630" s="481"/>
      <c r="M630" s="481"/>
      <c r="N630" s="481"/>
      <c r="O630" s="481"/>
      <c r="P630" s="481"/>
      <c r="Q630" s="481"/>
      <c r="R630" s="481"/>
      <c r="S630" s="481"/>
      <c r="T630" s="481"/>
      <c r="U630" s="481"/>
      <c r="V630" s="481"/>
      <c r="W630" s="481"/>
      <c r="X630" s="481"/>
      <c r="Y630" s="481"/>
      <c r="Z630" s="481"/>
      <c r="AA630" s="481"/>
      <c r="AB630" s="481"/>
      <c r="AC630" s="481"/>
    </row>
    <row r="631" hidden="1">
      <c r="A631" s="535"/>
      <c r="B631" s="536"/>
      <c r="C631" s="536"/>
      <c r="D631" s="537"/>
      <c r="E631" s="537"/>
      <c r="F631" s="537"/>
      <c r="G631" s="536"/>
      <c r="H631" s="481"/>
      <c r="I631" s="481"/>
      <c r="J631" s="481"/>
      <c r="K631" s="481"/>
      <c r="L631" s="481"/>
      <c r="M631" s="481"/>
      <c r="N631" s="481"/>
      <c r="O631" s="481"/>
      <c r="P631" s="481"/>
      <c r="Q631" s="481"/>
      <c r="R631" s="481"/>
      <c r="S631" s="481"/>
      <c r="T631" s="481"/>
      <c r="U631" s="481"/>
      <c r="V631" s="481"/>
      <c r="W631" s="481"/>
      <c r="X631" s="481"/>
      <c r="Y631" s="481"/>
      <c r="Z631" s="481"/>
      <c r="AA631" s="481"/>
      <c r="AB631" s="481"/>
      <c r="AC631" s="481"/>
    </row>
    <row r="632" hidden="1">
      <c r="A632" s="532"/>
      <c r="B632" s="533"/>
      <c r="C632" s="533"/>
      <c r="D632" s="534"/>
      <c r="E632" s="534"/>
      <c r="F632" s="534"/>
      <c r="G632" s="533"/>
      <c r="H632" s="481"/>
      <c r="I632" s="481"/>
      <c r="J632" s="481"/>
      <c r="K632" s="481"/>
      <c r="L632" s="481"/>
      <c r="M632" s="481"/>
      <c r="N632" s="481"/>
      <c r="O632" s="481"/>
      <c r="P632" s="481"/>
      <c r="Q632" s="481"/>
      <c r="R632" s="481"/>
      <c r="S632" s="481"/>
      <c r="T632" s="481"/>
      <c r="U632" s="481"/>
      <c r="V632" s="481"/>
      <c r="W632" s="481"/>
      <c r="X632" s="481"/>
      <c r="Y632" s="481"/>
      <c r="Z632" s="481"/>
      <c r="AA632" s="481"/>
      <c r="AB632" s="481"/>
      <c r="AC632" s="481"/>
    </row>
    <row r="633" hidden="1">
      <c r="A633" s="535"/>
      <c r="B633" s="536"/>
      <c r="C633" s="536"/>
      <c r="D633" s="537"/>
      <c r="E633" s="537"/>
      <c r="F633" s="537"/>
      <c r="G633" s="536"/>
      <c r="H633" s="481"/>
      <c r="I633" s="481"/>
      <c r="J633" s="481"/>
      <c r="K633" s="481"/>
      <c r="L633" s="481"/>
      <c r="M633" s="481"/>
      <c r="N633" s="481"/>
      <c r="O633" s="481"/>
      <c r="P633" s="481"/>
      <c r="Q633" s="481"/>
      <c r="R633" s="481"/>
      <c r="S633" s="481"/>
      <c r="T633" s="481"/>
      <c r="U633" s="481"/>
      <c r="V633" s="481"/>
      <c r="W633" s="481"/>
      <c r="X633" s="481"/>
      <c r="Y633" s="481"/>
      <c r="Z633" s="481"/>
      <c r="AA633" s="481"/>
      <c r="AB633" s="481"/>
      <c r="AC633" s="481"/>
    </row>
    <row r="634" hidden="1">
      <c r="A634" s="532"/>
      <c r="B634" s="533"/>
      <c r="C634" s="533"/>
      <c r="D634" s="534"/>
      <c r="E634" s="534"/>
      <c r="F634" s="534"/>
      <c r="G634" s="533"/>
      <c r="H634" s="481"/>
      <c r="I634" s="481"/>
      <c r="J634" s="481"/>
      <c r="K634" s="481"/>
      <c r="L634" s="481"/>
      <c r="M634" s="481"/>
      <c r="N634" s="481"/>
      <c r="O634" s="481"/>
      <c r="P634" s="481"/>
      <c r="Q634" s="481"/>
      <c r="R634" s="481"/>
      <c r="S634" s="481"/>
      <c r="T634" s="481"/>
      <c r="U634" s="481"/>
      <c r="V634" s="481"/>
      <c r="W634" s="481"/>
      <c r="X634" s="481"/>
      <c r="Y634" s="481"/>
      <c r="Z634" s="481"/>
      <c r="AA634" s="481"/>
      <c r="AB634" s="481"/>
      <c r="AC634" s="481"/>
    </row>
    <row r="635" hidden="1">
      <c r="A635" s="535"/>
      <c r="B635" s="536"/>
      <c r="C635" s="536"/>
      <c r="D635" s="537"/>
      <c r="E635" s="537"/>
      <c r="F635" s="537"/>
      <c r="G635" s="536"/>
      <c r="H635" s="481"/>
      <c r="I635" s="481"/>
      <c r="J635" s="481"/>
      <c r="K635" s="481"/>
      <c r="L635" s="481"/>
      <c r="M635" s="481"/>
      <c r="N635" s="481"/>
      <c r="O635" s="481"/>
      <c r="P635" s="481"/>
      <c r="Q635" s="481"/>
      <c r="R635" s="481"/>
      <c r="S635" s="481"/>
      <c r="T635" s="481"/>
      <c r="U635" s="481"/>
      <c r="V635" s="481"/>
      <c r="W635" s="481"/>
      <c r="X635" s="481"/>
      <c r="Y635" s="481"/>
      <c r="Z635" s="481"/>
      <c r="AA635" s="481"/>
      <c r="AB635" s="481"/>
      <c r="AC635" s="481"/>
    </row>
    <row r="636" hidden="1">
      <c r="A636" s="532"/>
      <c r="B636" s="533"/>
      <c r="C636" s="533"/>
      <c r="D636" s="534"/>
      <c r="E636" s="534"/>
      <c r="F636" s="534"/>
      <c r="G636" s="533"/>
      <c r="H636" s="481"/>
      <c r="I636" s="481"/>
      <c r="J636" s="481"/>
      <c r="K636" s="481"/>
      <c r="L636" s="481"/>
      <c r="M636" s="481"/>
      <c r="N636" s="481"/>
      <c r="O636" s="481"/>
      <c r="P636" s="481"/>
      <c r="Q636" s="481"/>
      <c r="R636" s="481"/>
      <c r="S636" s="481"/>
      <c r="T636" s="481"/>
      <c r="U636" s="481"/>
      <c r="V636" s="481"/>
      <c r="W636" s="481"/>
      <c r="X636" s="481"/>
      <c r="Y636" s="481"/>
      <c r="Z636" s="481"/>
      <c r="AA636" s="481"/>
      <c r="AB636" s="481"/>
      <c r="AC636" s="481"/>
    </row>
    <row r="637" hidden="1">
      <c r="A637" s="535"/>
      <c r="B637" s="536"/>
      <c r="C637" s="536"/>
      <c r="D637" s="537"/>
      <c r="E637" s="537"/>
      <c r="F637" s="537"/>
      <c r="G637" s="536"/>
      <c r="H637" s="481"/>
      <c r="I637" s="481"/>
      <c r="J637" s="481"/>
      <c r="K637" s="481"/>
      <c r="L637" s="481"/>
      <c r="M637" s="481"/>
      <c r="N637" s="481"/>
      <c r="O637" s="481"/>
      <c r="P637" s="481"/>
      <c r="Q637" s="481"/>
      <c r="R637" s="481"/>
      <c r="S637" s="481"/>
      <c r="T637" s="481"/>
      <c r="U637" s="481"/>
      <c r="V637" s="481"/>
      <c r="W637" s="481"/>
      <c r="X637" s="481"/>
      <c r="Y637" s="481"/>
      <c r="Z637" s="481"/>
      <c r="AA637" s="481"/>
      <c r="AB637" s="481"/>
      <c r="AC637" s="481"/>
    </row>
    <row r="638" hidden="1">
      <c r="A638" s="532"/>
      <c r="B638" s="533"/>
      <c r="C638" s="533"/>
      <c r="D638" s="534"/>
      <c r="E638" s="534"/>
      <c r="F638" s="534"/>
      <c r="G638" s="533"/>
      <c r="H638" s="481"/>
      <c r="I638" s="481"/>
      <c r="J638" s="481"/>
      <c r="K638" s="481"/>
      <c r="L638" s="481"/>
      <c r="M638" s="481"/>
      <c r="N638" s="481"/>
      <c r="O638" s="481"/>
      <c r="P638" s="481"/>
      <c r="Q638" s="481"/>
      <c r="R638" s="481"/>
      <c r="S638" s="481"/>
      <c r="T638" s="481"/>
      <c r="U638" s="481"/>
      <c r="V638" s="481"/>
      <c r="W638" s="481"/>
      <c r="X638" s="481"/>
      <c r="Y638" s="481"/>
      <c r="Z638" s="481"/>
      <c r="AA638" s="481"/>
      <c r="AB638" s="481"/>
      <c r="AC638" s="481"/>
    </row>
    <row r="639" hidden="1">
      <c r="A639" s="535"/>
      <c r="B639" s="536"/>
      <c r="C639" s="536"/>
      <c r="D639" s="537"/>
      <c r="E639" s="537"/>
      <c r="F639" s="537"/>
      <c r="G639" s="536"/>
      <c r="H639" s="481"/>
      <c r="I639" s="481"/>
      <c r="J639" s="481"/>
      <c r="K639" s="481"/>
      <c r="L639" s="481"/>
      <c r="M639" s="481"/>
      <c r="N639" s="481"/>
      <c r="O639" s="481"/>
      <c r="P639" s="481"/>
      <c r="Q639" s="481"/>
      <c r="R639" s="481"/>
      <c r="S639" s="481"/>
      <c r="T639" s="481"/>
      <c r="U639" s="481"/>
      <c r="V639" s="481"/>
      <c r="W639" s="481"/>
      <c r="X639" s="481"/>
      <c r="Y639" s="481"/>
      <c r="Z639" s="481"/>
      <c r="AA639" s="481"/>
      <c r="AB639" s="481"/>
      <c r="AC639" s="481"/>
    </row>
    <row r="640" hidden="1">
      <c r="A640" s="532"/>
      <c r="B640" s="533"/>
      <c r="C640" s="533"/>
      <c r="D640" s="534"/>
      <c r="E640" s="534"/>
      <c r="F640" s="534"/>
      <c r="G640" s="533"/>
      <c r="H640" s="481"/>
      <c r="I640" s="481"/>
      <c r="J640" s="481"/>
      <c r="K640" s="481"/>
      <c r="L640" s="481"/>
      <c r="M640" s="481"/>
      <c r="N640" s="481"/>
      <c r="O640" s="481"/>
      <c r="P640" s="481"/>
      <c r="Q640" s="481"/>
      <c r="R640" s="481"/>
      <c r="S640" s="481"/>
      <c r="T640" s="481"/>
      <c r="U640" s="481"/>
      <c r="V640" s="481"/>
      <c r="W640" s="481"/>
      <c r="X640" s="481"/>
      <c r="Y640" s="481"/>
      <c r="Z640" s="481"/>
      <c r="AA640" s="481"/>
      <c r="AB640" s="481"/>
      <c r="AC640" s="481"/>
    </row>
    <row r="641" hidden="1">
      <c r="A641" s="535"/>
      <c r="B641" s="536"/>
      <c r="C641" s="536"/>
      <c r="D641" s="537"/>
      <c r="E641" s="537"/>
      <c r="F641" s="537"/>
      <c r="G641" s="536"/>
      <c r="H641" s="481"/>
      <c r="I641" s="481"/>
      <c r="J641" s="481"/>
      <c r="K641" s="481"/>
      <c r="L641" s="481"/>
      <c r="M641" s="481"/>
      <c r="N641" s="481"/>
      <c r="O641" s="481"/>
      <c r="P641" s="481"/>
      <c r="Q641" s="481"/>
      <c r="R641" s="481"/>
      <c r="S641" s="481"/>
      <c r="T641" s="481"/>
      <c r="U641" s="481"/>
      <c r="V641" s="481"/>
      <c r="W641" s="481"/>
      <c r="X641" s="481"/>
      <c r="Y641" s="481"/>
      <c r="Z641" s="481"/>
      <c r="AA641" s="481"/>
      <c r="AB641" s="481"/>
      <c r="AC641" s="481"/>
    </row>
    <row r="642" hidden="1">
      <c r="A642" s="532"/>
      <c r="B642" s="533"/>
      <c r="C642" s="533"/>
      <c r="D642" s="534"/>
      <c r="E642" s="534"/>
      <c r="F642" s="534"/>
      <c r="G642" s="533"/>
      <c r="H642" s="481"/>
      <c r="I642" s="481"/>
      <c r="J642" s="481"/>
      <c r="K642" s="481"/>
      <c r="L642" s="481"/>
      <c r="M642" s="481"/>
      <c r="N642" s="481"/>
      <c r="O642" s="481"/>
      <c r="P642" s="481"/>
      <c r="Q642" s="481"/>
      <c r="R642" s="481"/>
      <c r="S642" s="481"/>
      <c r="T642" s="481"/>
      <c r="U642" s="481"/>
      <c r="V642" s="481"/>
      <c r="W642" s="481"/>
      <c r="X642" s="481"/>
      <c r="Y642" s="481"/>
      <c r="Z642" s="481"/>
      <c r="AA642" s="481"/>
      <c r="AB642" s="481"/>
      <c r="AC642" s="481"/>
    </row>
    <row r="643" hidden="1">
      <c r="A643" s="535"/>
      <c r="B643" s="536"/>
      <c r="C643" s="536"/>
      <c r="D643" s="537"/>
      <c r="E643" s="537"/>
      <c r="F643" s="537"/>
      <c r="G643" s="536"/>
      <c r="H643" s="481"/>
      <c r="I643" s="481"/>
      <c r="J643" s="481"/>
      <c r="K643" s="481"/>
      <c r="L643" s="481"/>
      <c r="M643" s="481"/>
      <c r="N643" s="481"/>
      <c r="O643" s="481"/>
      <c r="P643" s="481"/>
      <c r="Q643" s="481"/>
      <c r="R643" s="481"/>
      <c r="S643" s="481"/>
      <c r="T643" s="481"/>
      <c r="U643" s="481"/>
      <c r="V643" s="481"/>
      <c r="W643" s="481"/>
      <c r="X643" s="481"/>
      <c r="Y643" s="481"/>
      <c r="Z643" s="481"/>
      <c r="AA643" s="481"/>
      <c r="AB643" s="481"/>
      <c r="AC643" s="481"/>
    </row>
    <row r="644" hidden="1">
      <c r="A644" s="532"/>
      <c r="B644" s="533"/>
      <c r="C644" s="533"/>
      <c r="D644" s="534"/>
      <c r="E644" s="534"/>
      <c r="F644" s="534"/>
      <c r="G644" s="533"/>
      <c r="H644" s="481"/>
      <c r="I644" s="481"/>
      <c r="J644" s="481"/>
      <c r="K644" s="481"/>
      <c r="L644" s="481"/>
      <c r="M644" s="481"/>
      <c r="N644" s="481"/>
      <c r="O644" s="481"/>
      <c r="P644" s="481"/>
      <c r="Q644" s="481"/>
      <c r="R644" s="481"/>
      <c r="S644" s="481"/>
      <c r="T644" s="481"/>
      <c r="U644" s="481"/>
      <c r="V644" s="481"/>
      <c r="W644" s="481"/>
      <c r="X644" s="481"/>
      <c r="Y644" s="481"/>
      <c r="Z644" s="481"/>
      <c r="AA644" s="481"/>
      <c r="AB644" s="481"/>
      <c r="AC644" s="481"/>
    </row>
    <row r="645" hidden="1">
      <c r="A645" s="535"/>
      <c r="B645" s="536"/>
      <c r="C645" s="536"/>
      <c r="D645" s="537"/>
      <c r="E645" s="537"/>
      <c r="F645" s="537"/>
      <c r="G645" s="536"/>
      <c r="H645" s="481"/>
      <c r="I645" s="481"/>
      <c r="J645" s="481"/>
      <c r="K645" s="481"/>
      <c r="L645" s="481"/>
      <c r="M645" s="481"/>
      <c r="N645" s="481"/>
      <c r="O645" s="481"/>
      <c r="P645" s="481"/>
      <c r="Q645" s="481"/>
      <c r="R645" s="481"/>
      <c r="S645" s="481"/>
      <c r="T645" s="481"/>
      <c r="U645" s="481"/>
      <c r="V645" s="481"/>
      <c r="W645" s="481"/>
      <c r="X645" s="481"/>
      <c r="Y645" s="481"/>
      <c r="Z645" s="481"/>
      <c r="AA645" s="481"/>
      <c r="AB645" s="481"/>
      <c r="AC645" s="481"/>
    </row>
    <row r="646" hidden="1">
      <c r="A646" s="532"/>
      <c r="B646" s="533"/>
      <c r="C646" s="533"/>
      <c r="D646" s="534"/>
      <c r="E646" s="534"/>
      <c r="F646" s="534"/>
      <c r="G646" s="533"/>
      <c r="H646" s="481"/>
      <c r="I646" s="481"/>
      <c r="J646" s="481"/>
      <c r="K646" s="481"/>
      <c r="L646" s="481"/>
      <c r="M646" s="481"/>
      <c r="N646" s="481"/>
      <c r="O646" s="481"/>
      <c r="P646" s="481"/>
      <c r="Q646" s="481"/>
      <c r="R646" s="481"/>
      <c r="S646" s="481"/>
      <c r="T646" s="481"/>
      <c r="U646" s="481"/>
      <c r="V646" s="481"/>
      <c r="W646" s="481"/>
      <c r="X646" s="481"/>
      <c r="Y646" s="481"/>
      <c r="Z646" s="481"/>
      <c r="AA646" s="481"/>
      <c r="AB646" s="481"/>
      <c r="AC646" s="481"/>
    </row>
    <row r="647" hidden="1">
      <c r="A647" s="535"/>
      <c r="B647" s="536"/>
      <c r="C647" s="536"/>
      <c r="D647" s="537"/>
      <c r="E647" s="537"/>
      <c r="F647" s="537"/>
      <c r="G647" s="536"/>
      <c r="H647" s="481"/>
      <c r="I647" s="481"/>
      <c r="J647" s="481"/>
      <c r="K647" s="481"/>
      <c r="L647" s="481"/>
      <c r="M647" s="481"/>
      <c r="N647" s="481"/>
      <c r="O647" s="481"/>
      <c r="P647" s="481"/>
      <c r="Q647" s="481"/>
      <c r="R647" s="481"/>
      <c r="S647" s="481"/>
      <c r="T647" s="481"/>
      <c r="U647" s="481"/>
      <c r="V647" s="481"/>
      <c r="W647" s="481"/>
      <c r="X647" s="481"/>
      <c r="Y647" s="481"/>
      <c r="Z647" s="481"/>
      <c r="AA647" s="481"/>
      <c r="AB647" s="481"/>
      <c r="AC647" s="481"/>
    </row>
    <row r="648" hidden="1">
      <c r="A648" s="532"/>
      <c r="B648" s="533"/>
      <c r="C648" s="533"/>
      <c r="D648" s="534"/>
      <c r="E648" s="534"/>
      <c r="F648" s="534"/>
      <c r="G648" s="533"/>
      <c r="H648" s="481"/>
      <c r="I648" s="481"/>
      <c r="J648" s="481"/>
      <c r="K648" s="481"/>
      <c r="L648" s="481"/>
      <c r="M648" s="481"/>
      <c r="N648" s="481"/>
      <c r="O648" s="481"/>
      <c r="P648" s="481"/>
      <c r="Q648" s="481"/>
      <c r="R648" s="481"/>
      <c r="S648" s="481"/>
      <c r="T648" s="481"/>
      <c r="U648" s="481"/>
      <c r="V648" s="481"/>
      <c r="W648" s="481"/>
      <c r="X648" s="481"/>
      <c r="Y648" s="481"/>
      <c r="Z648" s="481"/>
      <c r="AA648" s="481"/>
      <c r="AB648" s="481"/>
      <c r="AC648" s="481"/>
    </row>
    <row r="649" hidden="1">
      <c r="A649" s="535"/>
      <c r="B649" s="536"/>
      <c r="C649" s="536"/>
      <c r="D649" s="537"/>
      <c r="E649" s="537"/>
      <c r="F649" s="537"/>
      <c r="G649" s="536"/>
      <c r="H649" s="481"/>
      <c r="I649" s="481"/>
      <c r="J649" s="481"/>
      <c r="K649" s="481"/>
      <c r="L649" s="481"/>
      <c r="M649" s="481"/>
      <c r="N649" s="481"/>
      <c r="O649" s="481"/>
      <c r="P649" s="481"/>
      <c r="Q649" s="481"/>
      <c r="R649" s="481"/>
      <c r="S649" s="481"/>
      <c r="T649" s="481"/>
      <c r="U649" s="481"/>
      <c r="V649" s="481"/>
      <c r="W649" s="481"/>
      <c r="X649" s="481"/>
      <c r="Y649" s="481"/>
      <c r="Z649" s="481"/>
      <c r="AA649" s="481"/>
      <c r="AB649" s="481"/>
      <c r="AC649" s="481"/>
    </row>
    <row r="650" hidden="1">
      <c r="A650" s="532"/>
      <c r="B650" s="533"/>
      <c r="C650" s="533"/>
      <c r="D650" s="534"/>
      <c r="E650" s="534"/>
      <c r="F650" s="534"/>
      <c r="G650" s="533"/>
      <c r="H650" s="481"/>
      <c r="I650" s="481"/>
      <c r="J650" s="481"/>
      <c r="K650" s="481"/>
      <c r="L650" s="481"/>
      <c r="M650" s="481"/>
      <c r="N650" s="481"/>
      <c r="O650" s="481"/>
      <c r="P650" s="481"/>
      <c r="Q650" s="481"/>
      <c r="R650" s="481"/>
      <c r="S650" s="481"/>
      <c r="T650" s="481"/>
      <c r="U650" s="481"/>
      <c r="V650" s="481"/>
      <c r="W650" s="481"/>
      <c r="X650" s="481"/>
      <c r="Y650" s="481"/>
      <c r="Z650" s="481"/>
      <c r="AA650" s="481"/>
      <c r="AB650" s="481"/>
      <c r="AC650" s="481"/>
    </row>
    <row r="651" hidden="1">
      <c r="A651" s="535"/>
      <c r="B651" s="536"/>
      <c r="C651" s="536"/>
      <c r="D651" s="537"/>
      <c r="E651" s="537"/>
      <c r="F651" s="537"/>
      <c r="G651" s="536"/>
      <c r="H651" s="481"/>
      <c r="I651" s="481"/>
      <c r="J651" s="481"/>
      <c r="K651" s="481"/>
      <c r="L651" s="481"/>
      <c r="M651" s="481"/>
      <c r="N651" s="481"/>
      <c r="O651" s="481"/>
      <c r="P651" s="481"/>
      <c r="Q651" s="481"/>
      <c r="R651" s="481"/>
      <c r="S651" s="481"/>
      <c r="T651" s="481"/>
      <c r="U651" s="481"/>
      <c r="V651" s="481"/>
      <c r="W651" s="481"/>
      <c r="X651" s="481"/>
      <c r="Y651" s="481"/>
      <c r="Z651" s="481"/>
      <c r="AA651" s="481"/>
      <c r="AB651" s="481"/>
      <c r="AC651" s="481"/>
    </row>
    <row r="652" hidden="1">
      <c r="A652" s="532"/>
      <c r="B652" s="533"/>
      <c r="C652" s="533"/>
      <c r="D652" s="534"/>
      <c r="E652" s="534"/>
      <c r="F652" s="534"/>
      <c r="G652" s="533"/>
      <c r="H652" s="481"/>
      <c r="I652" s="481"/>
      <c r="J652" s="481"/>
      <c r="K652" s="481"/>
      <c r="L652" s="481"/>
      <c r="M652" s="481"/>
      <c r="N652" s="481"/>
      <c r="O652" s="481"/>
      <c r="P652" s="481"/>
      <c r="Q652" s="481"/>
      <c r="R652" s="481"/>
      <c r="S652" s="481"/>
      <c r="T652" s="481"/>
      <c r="U652" s="481"/>
      <c r="V652" s="481"/>
      <c r="W652" s="481"/>
      <c r="X652" s="481"/>
      <c r="Y652" s="481"/>
      <c r="Z652" s="481"/>
      <c r="AA652" s="481"/>
      <c r="AB652" s="481"/>
      <c r="AC652" s="481"/>
    </row>
    <row r="653" hidden="1">
      <c r="A653" s="535"/>
      <c r="B653" s="536"/>
      <c r="C653" s="536"/>
      <c r="D653" s="537"/>
      <c r="E653" s="537"/>
      <c r="F653" s="537"/>
      <c r="G653" s="536"/>
      <c r="H653" s="481"/>
      <c r="I653" s="481"/>
      <c r="J653" s="481"/>
      <c r="K653" s="481"/>
      <c r="L653" s="481"/>
      <c r="M653" s="481"/>
      <c r="N653" s="481"/>
      <c r="O653" s="481"/>
      <c r="P653" s="481"/>
      <c r="Q653" s="481"/>
      <c r="R653" s="481"/>
      <c r="S653" s="481"/>
      <c r="T653" s="481"/>
      <c r="U653" s="481"/>
      <c r="V653" s="481"/>
      <c r="W653" s="481"/>
      <c r="X653" s="481"/>
      <c r="Y653" s="481"/>
      <c r="Z653" s="481"/>
      <c r="AA653" s="481"/>
      <c r="AB653" s="481"/>
      <c r="AC653" s="481"/>
    </row>
    <row r="654" hidden="1">
      <c r="A654" s="532"/>
      <c r="B654" s="533"/>
      <c r="C654" s="533"/>
      <c r="D654" s="534"/>
      <c r="E654" s="534"/>
      <c r="F654" s="534"/>
      <c r="G654" s="533"/>
      <c r="H654" s="481"/>
      <c r="I654" s="481"/>
      <c r="J654" s="481"/>
      <c r="K654" s="481"/>
      <c r="L654" s="481"/>
      <c r="M654" s="481"/>
      <c r="N654" s="481"/>
      <c r="O654" s="481"/>
      <c r="P654" s="481"/>
      <c r="Q654" s="481"/>
      <c r="R654" s="481"/>
      <c r="S654" s="481"/>
      <c r="T654" s="481"/>
      <c r="U654" s="481"/>
      <c r="V654" s="481"/>
      <c r="W654" s="481"/>
      <c r="X654" s="481"/>
      <c r="Y654" s="481"/>
      <c r="Z654" s="481"/>
      <c r="AA654" s="481"/>
      <c r="AB654" s="481"/>
      <c r="AC654" s="481"/>
    </row>
    <row r="655" hidden="1">
      <c r="A655" s="535"/>
      <c r="B655" s="536"/>
      <c r="C655" s="536"/>
      <c r="D655" s="537"/>
      <c r="E655" s="537"/>
      <c r="F655" s="537"/>
      <c r="G655" s="536"/>
      <c r="H655" s="481"/>
      <c r="I655" s="481"/>
      <c r="J655" s="481"/>
      <c r="K655" s="481"/>
      <c r="L655" s="481"/>
      <c r="M655" s="481"/>
      <c r="N655" s="481"/>
      <c r="O655" s="481"/>
      <c r="P655" s="481"/>
      <c r="Q655" s="481"/>
      <c r="R655" s="481"/>
      <c r="S655" s="481"/>
      <c r="T655" s="481"/>
      <c r="U655" s="481"/>
      <c r="V655" s="481"/>
      <c r="W655" s="481"/>
      <c r="X655" s="481"/>
      <c r="Y655" s="481"/>
      <c r="Z655" s="481"/>
      <c r="AA655" s="481"/>
      <c r="AB655" s="481"/>
      <c r="AC655" s="481"/>
    </row>
    <row r="656" hidden="1">
      <c r="A656" s="532"/>
      <c r="B656" s="533"/>
      <c r="C656" s="533"/>
      <c r="D656" s="534"/>
      <c r="E656" s="534"/>
      <c r="F656" s="534"/>
      <c r="G656" s="533"/>
      <c r="H656" s="481"/>
      <c r="I656" s="481"/>
      <c r="J656" s="481"/>
      <c r="K656" s="481"/>
      <c r="L656" s="481"/>
      <c r="M656" s="481"/>
      <c r="N656" s="481"/>
      <c r="O656" s="481"/>
      <c r="P656" s="481"/>
      <c r="Q656" s="481"/>
      <c r="R656" s="481"/>
      <c r="S656" s="481"/>
      <c r="T656" s="481"/>
      <c r="U656" s="481"/>
      <c r="V656" s="481"/>
      <c r="W656" s="481"/>
      <c r="X656" s="481"/>
      <c r="Y656" s="481"/>
      <c r="Z656" s="481"/>
      <c r="AA656" s="481"/>
      <c r="AB656" s="481"/>
      <c r="AC656" s="481"/>
    </row>
    <row r="657" hidden="1">
      <c r="A657" s="535"/>
      <c r="B657" s="536"/>
      <c r="C657" s="536"/>
      <c r="D657" s="537"/>
      <c r="E657" s="537"/>
      <c r="F657" s="537"/>
      <c r="G657" s="536"/>
      <c r="H657" s="481"/>
      <c r="I657" s="481"/>
      <c r="J657" s="481"/>
      <c r="K657" s="481"/>
      <c r="L657" s="481"/>
      <c r="M657" s="481"/>
      <c r="N657" s="481"/>
      <c r="O657" s="481"/>
      <c r="P657" s="481"/>
      <c r="Q657" s="481"/>
      <c r="R657" s="481"/>
      <c r="S657" s="481"/>
      <c r="T657" s="481"/>
      <c r="U657" s="481"/>
      <c r="V657" s="481"/>
      <c r="W657" s="481"/>
      <c r="X657" s="481"/>
      <c r="Y657" s="481"/>
      <c r="Z657" s="481"/>
      <c r="AA657" s="481"/>
      <c r="AB657" s="481"/>
      <c r="AC657" s="481"/>
    </row>
    <row r="658" hidden="1">
      <c r="A658" s="532"/>
      <c r="B658" s="533"/>
      <c r="C658" s="533"/>
      <c r="D658" s="534"/>
      <c r="E658" s="534"/>
      <c r="F658" s="534"/>
      <c r="G658" s="533"/>
      <c r="H658" s="481"/>
      <c r="I658" s="481"/>
      <c r="J658" s="481"/>
      <c r="K658" s="481"/>
      <c r="L658" s="481"/>
      <c r="M658" s="481"/>
      <c r="N658" s="481"/>
      <c r="O658" s="481"/>
      <c r="P658" s="481"/>
      <c r="Q658" s="481"/>
      <c r="R658" s="481"/>
      <c r="S658" s="481"/>
      <c r="T658" s="481"/>
      <c r="U658" s="481"/>
      <c r="V658" s="481"/>
      <c r="W658" s="481"/>
      <c r="X658" s="481"/>
      <c r="Y658" s="481"/>
      <c r="Z658" s="481"/>
      <c r="AA658" s="481"/>
      <c r="AB658" s="481"/>
      <c r="AC658" s="481"/>
    </row>
    <row r="659" hidden="1">
      <c r="A659" s="535"/>
      <c r="B659" s="536"/>
      <c r="C659" s="536"/>
      <c r="D659" s="537"/>
      <c r="E659" s="537"/>
      <c r="F659" s="537"/>
      <c r="G659" s="536"/>
      <c r="H659" s="481"/>
      <c r="I659" s="481"/>
      <c r="J659" s="481"/>
      <c r="K659" s="481"/>
      <c r="L659" s="481"/>
      <c r="M659" s="481"/>
      <c r="N659" s="481"/>
      <c r="O659" s="481"/>
      <c r="P659" s="481"/>
      <c r="Q659" s="481"/>
      <c r="R659" s="481"/>
      <c r="S659" s="481"/>
      <c r="T659" s="481"/>
      <c r="U659" s="481"/>
      <c r="V659" s="481"/>
      <c r="W659" s="481"/>
      <c r="X659" s="481"/>
      <c r="Y659" s="481"/>
      <c r="Z659" s="481"/>
      <c r="AA659" s="481"/>
      <c r="AB659" s="481"/>
      <c r="AC659" s="481"/>
    </row>
    <row r="660" hidden="1">
      <c r="A660" s="532"/>
      <c r="B660" s="533"/>
      <c r="C660" s="533"/>
      <c r="D660" s="534"/>
      <c r="E660" s="534"/>
      <c r="F660" s="534"/>
      <c r="G660" s="533"/>
      <c r="H660" s="481"/>
      <c r="I660" s="481"/>
      <c r="J660" s="481"/>
      <c r="K660" s="481"/>
      <c r="L660" s="481"/>
      <c r="M660" s="481"/>
      <c r="N660" s="481"/>
      <c r="O660" s="481"/>
      <c r="P660" s="481"/>
      <c r="Q660" s="481"/>
      <c r="R660" s="481"/>
      <c r="S660" s="481"/>
      <c r="T660" s="481"/>
      <c r="U660" s="481"/>
      <c r="V660" s="481"/>
      <c r="W660" s="481"/>
      <c r="X660" s="481"/>
      <c r="Y660" s="481"/>
      <c r="Z660" s="481"/>
      <c r="AA660" s="481"/>
      <c r="AB660" s="481"/>
      <c r="AC660" s="481"/>
    </row>
    <row r="661" hidden="1">
      <c r="A661" s="535"/>
      <c r="B661" s="536"/>
      <c r="C661" s="536"/>
      <c r="D661" s="537"/>
      <c r="E661" s="537"/>
      <c r="F661" s="537"/>
      <c r="G661" s="536"/>
      <c r="H661" s="481"/>
      <c r="I661" s="481"/>
      <c r="J661" s="481"/>
      <c r="K661" s="481"/>
      <c r="L661" s="481"/>
      <c r="M661" s="481"/>
      <c r="N661" s="481"/>
      <c r="O661" s="481"/>
      <c r="P661" s="481"/>
      <c r="Q661" s="481"/>
      <c r="R661" s="481"/>
      <c r="S661" s="481"/>
      <c r="T661" s="481"/>
      <c r="U661" s="481"/>
      <c r="V661" s="481"/>
      <c r="W661" s="481"/>
      <c r="X661" s="481"/>
      <c r="Y661" s="481"/>
      <c r="Z661" s="481"/>
      <c r="AA661" s="481"/>
      <c r="AB661" s="481"/>
      <c r="AC661" s="481"/>
    </row>
    <row r="662" hidden="1">
      <c r="A662" s="532"/>
      <c r="B662" s="533"/>
      <c r="C662" s="533"/>
      <c r="D662" s="534"/>
      <c r="E662" s="534"/>
      <c r="F662" s="534"/>
      <c r="G662" s="533"/>
      <c r="H662" s="481"/>
      <c r="I662" s="481"/>
      <c r="J662" s="481"/>
      <c r="K662" s="481"/>
      <c r="L662" s="481"/>
      <c r="M662" s="481"/>
      <c r="N662" s="481"/>
      <c r="O662" s="481"/>
      <c r="P662" s="481"/>
      <c r="Q662" s="481"/>
      <c r="R662" s="481"/>
      <c r="S662" s="481"/>
      <c r="T662" s="481"/>
      <c r="U662" s="481"/>
      <c r="V662" s="481"/>
      <c r="W662" s="481"/>
      <c r="X662" s="481"/>
      <c r="Y662" s="481"/>
      <c r="Z662" s="481"/>
      <c r="AA662" s="481"/>
      <c r="AB662" s="481"/>
      <c r="AC662" s="481"/>
    </row>
    <row r="663" hidden="1">
      <c r="A663" s="535"/>
      <c r="B663" s="536"/>
      <c r="C663" s="536"/>
      <c r="D663" s="537"/>
      <c r="E663" s="537"/>
      <c r="F663" s="537"/>
      <c r="G663" s="536"/>
      <c r="H663" s="481"/>
      <c r="I663" s="481"/>
      <c r="J663" s="481"/>
      <c r="K663" s="481"/>
      <c r="L663" s="481"/>
      <c r="M663" s="481"/>
      <c r="N663" s="481"/>
      <c r="O663" s="481"/>
      <c r="P663" s="481"/>
      <c r="Q663" s="481"/>
      <c r="R663" s="481"/>
      <c r="S663" s="481"/>
      <c r="T663" s="481"/>
      <c r="U663" s="481"/>
      <c r="V663" s="481"/>
      <c r="W663" s="481"/>
      <c r="X663" s="481"/>
      <c r="Y663" s="481"/>
      <c r="Z663" s="481"/>
      <c r="AA663" s="481"/>
      <c r="AB663" s="481"/>
      <c r="AC663" s="481"/>
    </row>
    <row r="664" hidden="1">
      <c r="A664" s="532"/>
      <c r="B664" s="533"/>
      <c r="C664" s="533"/>
      <c r="D664" s="534"/>
      <c r="E664" s="534"/>
      <c r="F664" s="534"/>
      <c r="G664" s="533"/>
      <c r="H664" s="481"/>
      <c r="I664" s="481"/>
      <c r="J664" s="481"/>
      <c r="K664" s="481"/>
      <c r="L664" s="481"/>
      <c r="M664" s="481"/>
      <c r="N664" s="481"/>
      <c r="O664" s="481"/>
      <c r="P664" s="481"/>
      <c r="Q664" s="481"/>
      <c r="R664" s="481"/>
      <c r="S664" s="481"/>
      <c r="T664" s="481"/>
      <c r="U664" s="481"/>
      <c r="V664" s="481"/>
      <c r="W664" s="481"/>
      <c r="X664" s="481"/>
      <c r="Y664" s="481"/>
      <c r="Z664" s="481"/>
      <c r="AA664" s="481"/>
      <c r="AB664" s="481"/>
      <c r="AC664" s="481"/>
    </row>
    <row r="665" hidden="1">
      <c r="A665" s="535"/>
      <c r="B665" s="536"/>
      <c r="C665" s="536"/>
      <c r="D665" s="537"/>
      <c r="E665" s="537"/>
      <c r="F665" s="537"/>
      <c r="G665" s="536"/>
      <c r="H665" s="481"/>
      <c r="I665" s="481"/>
      <c r="J665" s="481"/>
      <c r="K665" s="481"/>
      <c r="L665" s="481"/>
      <c r="M665" s="481"/>
      <c r="N665" s="481"/>
      <c r="O665" s="481"/>
      <c r="P665" s="481"/>
      <c r="Q665" s="481"/>
      <c r="R665" s="481"/>
      <c r="S665" s="481"/>
      <c r="T665" s="481"/>
      <c r="U665" s="481"/>
      <c r="V665" s="481"/>
      <c r="W665" s="481"/>
      <c r="X665" s="481"/>
      <c r="Y665" s="481"/>
      <c r="Z665" s="481"/>
      <c r="AA665" s="481"/>
      <c r="AB665" s="481"/>
      <c r="AC665" s="481"/>
    </row>
    <row r="666" hidden="1">
      <c r="A666" s="532"/>
      <c r="B666" s="533"/>
      <c r="C666" s="533"/>
      <c r="D666" s="534"/>
      <c r="E666" s="534"/>
      <c r="F666" s="534"/>
      <c r="G666" s="533"/>
      <c r="H666" s="481"/>
      <c r="I666" s="481"/>
      <c r="J666" s="481"/>
      <c r="K666" s="481"/>
      <c r="L666" s="481"/>
      <c r="M666" s="481"/>
      <c r="N666" s="481"/>
      <c r="O666" s="481"/>
      <c r="P666" s="481"/>
      <c r="Q666" s="481"/>
      <c r="R666" s="481"/>
      <c r="S666" s="481"/>
      <c r="T666" s="481"/>
      <c r="U666" s="481"/>
      <c r="V666" s="481"/>
      <c r="W666" s="481"/>
      <c r="X666" s="481"/>
      <c r="Y666" s="481"/>
      <c r="Z666" s="481"/>
      <c r="AA666" s="481"/>
      <c r="AB666" s="481"/>
      <c r="AC666" s="481"/>
    </row>
    <row r="667" hidden="1">
      <c r="A667" s="535"/>
      <c r="B667" s="536"/>
      <c r="C667" s="536"/>
      <c r="D667" s="537"/>
      <c r="E667" s="537"/>
      <c r="F667" s="537"/>
      <c r="G667" s="536"/>
      <c r="H667" s="481"/>
      <c r="I667" s="481"/>
      <c r="J667" s="481"/>
      <c r="K667" s="481"/>
      <c r="L667" s="481"/>
      <c r="M667" s="481"/>
      <c r="N667" s="481"/>
      <c r="O667" s="481"/>
      <c r="P667" s="481"/>
      <c r="Q667" s="481"/>
      <c r="R667" s="481"/>
      <c r="S667" s="481"/>
      <c r="T667" s="481"/>
      <c r="U667" s="481"/>
      <c r="V667" s="481"/>
      <c r="W667" s="481"/>
      <c r="X667" s="481"/>
      <c r="Y667" s="481"/>
      <c r="Z667" s="481"/>
      <c r="AA667" s="481"/>
      <c r="AB667" s="481"/>
      <c r="AC667" s="481"/>
    </row>
    <row r="668" hidden="1">
      <c r="A668" s="532"/>
      <c r="B668" s="533"/>
      <c r="C668" s="533"/>
      <c r="D668" s="534"/>
      <c r="E668" s="534"/>
      <c r="F668" s="534"/>
      <c r="G668" s="533"/>
      <c r="H668" s="481"/>
      <c r="I668" s="481"/>
      <c r="J668" s="481"/>
      <c r="K668" s="481"/>
      <c r="L668" s="481"/>
      <c r="M668" s="481"/>
      <c r="N668" s="481"/>
      <c r="O668" s="481"/>
      <c r="P668" s="481"/>
      <c r="Q668" s="481"/>
      <c r="R668" s="481"/>
      <c r="S668" s="481"/>
      <c r="T668" s="481"/>
      <c r="U668" s="481"/>
      <c r="V668" s="481"/>
      <c r="W668" s="481"/>
      <c r="X668" s="481"/>
      <c r="Y668" s="481"/>
      <c r="Z668" s="481"/>
      <c r="AA668" s="481"/>
      <c r="AB668" s="481"/>
      <c r="AC668" s="481"/>
    </row>
    <row r="669" hidden="1">
      <c r="A669" s="535"/>
      <c r="B669" s="536"/>
      <c r="C669" s="536"/>
      <c r="D669" s="537"/>
      <c r="E669" s="537"/>
      <c r="F669" s="537"/>
      <c r="G669" s="536"/>
      <c r="H669" s="481"/>
      <c r="I669" s="481"/>
      <c r="J669" s="481"/>
      <c r="K669" s="481"/>
      <c r="L669" s="481"/>
      <c r="M669" s="481"/>
      <c r="N669" s="481"/>
      <c r="O669" s="481"/>
      <c r="P669" s="481"/>
      <c r="Q669" s="481"/>
      <c r="R669" s="481"/>
      <c r="S669" s="481"/>
      <c r="T669" s="481"/>
      <c r="U669" s="481"/>
      <c r="V669" s="481"/>
      <c r="W669" s="481"/>
      <c r="X669" s="481"/>
      <c r="Y669" s="481"/>
      <c r="Z669" s="481"/>
      <c r="AA669" s="481"/>
      <c r="AB669" s="481"/>
      <c r="AC669" s="481"/>
    </row>
    <row r="670" hidden="1">
      <c r="A670" s="532"/>
      <c r="B670" s="533"/>
      <c r="C670" s="533"/>
      <c r="D670" s="534"/>
      <c r="E670" s="534"/>
      <c r="F670" s="534"/>
      <c r="G670" s="533"/>
      <c r="H670" s="481"/>
      <c r="I670" s="481"/>
      <c r="J670" s="481"/>
      <c r="K670" s="481"/>
      <c r="L670" s="481"/>
      <c r="M670" s="481"/>
      <c r="N670" s="481"/>
      <c r="O670" s="481"/>
      <c r="P670" s="481"/>
      <c r="Q670" s="481"/>
      <c r="R670" s="481"/>
      <c r="S670" s="481"/>
      <c r="T670" s="481"/>
      <c r="U670" s="481"/>
      <c r="V670" s="481"/>
      <c r="W670" s="481"/>
      <c r="X670" s="481"/>
      <c r="Y670" s="481"/>
      <c r="Z670" s="481"/>
      <c r="AA670" s="481"/>
      <c r="AB670" s="481"/>
      <c r="AC670" s="481"/>
    </row>
    <row r="671" hidden="1">
      <c r="A671" s="535"/>
      <c r="B671" s="536"/>
      <c r="C671" s="536"/>
      <c r="D671" s="537"/>
      <c r="E671" s="537"/>
      <c r="F671" s="537"/>
      <c r="G671" s="536"/>
      <c r="H671" s="481"/>
      <c r="I671" s="481"/>
      <c r="J671" s="481"/>
      <c r="K671" s="481"/>
      <c r="L671" s="481"/>
      <c r="M671" s="481"/>
      <c r="N671" s="481"/>
      <c r="O671" s="481"/>
      <c r="P671" s="481"/>
      <c r="Q671" s="481"/>
      <c r="R671" s="481"/>
      <c r="S671" s="481"/>
      <c r="T671" s="481"/>
      <c r="U671" s="481"/>
      <c r="V671" s="481"/>
      <c r="W671" s="481"/>
      <c r="X671" s="481"/>
      <c r="Y671" s="481"/>
      <c r="Z671" s="481"/>
      <c r="AA671" s="481"/>
      <c r="AB671" s="481"/>
      <c r="AC671" s="481"/>
    </row>
    <row r="672" hidden="1">
      <c r="A672" s="532"/>
      <c r="B672" s="533"/>
      <c r="C672" s="533"/>
      <c r="D672" s="534"/>
      <c r="E672" s="534"/>
      <c r="F672" s="534"/>
      <c r="G672" s="533"/>
      <c r="H672" s="481"/>
      <c r="I672" s="481"/>
      <c r="J672" s="481"/>
      <c r="K672" s="481"/>
      <c r="L672" s="481"/>
      <c r="M672" s="481"/>
      <c r="N672" s="481"/>
      <c r="O672" s="481"/>
      <c r="P672" s="481"/>
      <c r="Q672" s="481"/>
      <c r="R672" s="481"/>
      <c r="S672" s="481"/>
      <c r="T672" s="481"/>
      <c r="U672" s="481"/>
      <c r="V672" s="481"/>
      <c r="W672" s="481"/>
      <c r="X672" s="481"/>
      <c r="Y672" s="481"/>
      <c r="Z672" s="481"/>
      <c r="AA672" s="481"/>
      <c r="AB672" s="481"/>
      <c r="AC672" s="481"/>
    </row>
    <row r="673" hidden="1">
      <c r="A673" s="535"/>
      <c r="B673" s="536"/>
      <c r="C673" s="536"/>
      <c r="D673" s="537"/>
      <c r="E673" s="537"/>
      <c r="F673" s="537"/>
      <c r="G673" s="536"/>
      <c r="H673" s="481"/>
      <c r="I673" s="481"/>
      <c r="J673" s="481"/>
      <c r="K673" s="481"/>
      <c r="L673" s="481"/>
      <c r="M673" s="481"/>
      <c r="N673" s="481"/>
      <c r="O673" s="481"/>
      <c r="P673" s="481"/>
      <c r="Q673" s="481"/>
      <c r="R673" s="481"/>
      <c r="S673" s="481"/>
      <c r="T673" s="481"/>
      <c r="U673" s="481"/>
      <c r="V673" s="481"/>
      <c r="W673" s="481"/>
      <c r="X673" s="481"/>
      <c r="Y673" s="481"/>
      <c r="Z673" s="481"/>
      <c r="AA673" s="481"/>
      <c r="AB673" s="481"/>
      <c r="AC673" s="481"/>
    </row>
    <row r="674" hidden="1">
      <c r="A674" s="532"/>
      <c r="B674" s="533"/>
      <c r="C674" s="533"/>
      <c r="D674" s="534"/>
      <c r="E674" s="534"/>
      <c r="F674" s="534"/>
      <c r="G674" s="533"/>
      <c r="H674" s="481"/>
      <c r="I674" s="481"/>
      <c r="J674" s="481"/>
      <c r="K674" s="481"/>
      <c r="L674" s="481"/>
      <c r="M674" s="481"/>
      <c r="N674" s="481"/>
      <c r="O674" s="481"/>
      <c r="P674" s="481"/>
      <c r="Q674" s="481"/>
      <c r="R674" s="481"/>
      <c r="S674" s="481"/>
      <c r="T674" s="481"/>
      <c r="U674" s="481"/>
      <c r="V674" s="481"/>
      <c r="W674" s="481"/>
      <c r="X674" s="481"/>
      <c r="Y674" s="481"/>
      <c r="Z674" s="481"/>
      <c r="AA674" s="481"/>
      <c r="AB674" s="481"/>
      <c r="AC674" s="481"/>
    </row>
    <row r="675" hidden="1">
      <c r="A675" s="535"/>
      <c r="B675" s="536"/>
      <c r="C675" s="536"/>
      <c r="D675" s="537"/>
      <c r="E675" s="537"/>
      <c r="F675" s="537"/>
      <c r="G675" s="536"/>
      <c r="H675" s="481"/>
      <c r="I675" s="481"/>
      <c r="J675" s="481"/>
      <c r="K675" s="481"/>
      <c r="L675" s="481"/>
      <c r="M675" s="481"/>
      <c r="N675" s="481"/>
      <c r="O675" s="481"/>
      <c r="P675" s="481"/>
      <c r="Q675" s="481"/>
      <c r="R675" s="481"/>
      <c r="S675" s="481"/>
      <c r="T675" s="481"/>
      <c r="U675" s="481"/>
      <c r="V675" s="481"/>
      <c r="W675" s="481"/>
      <c r="X675" s="481"/>
      <c r="Y675" s="481"/>
      <c r="Z675" s="481"/>
      <c r="AA675" s="481"/>
      <c r="AB675" s="481"/>
      <c r="AC675" s="481"/>
    </row>
    <row r="676" hidden="1">
      <c r="A676" s="532"/>
      <c r="B676" s="533"/>
      <c r="C676" s="533"/>
      <c r="D676" s="534"/>
      <c r="E676" s="534"/>
      <c r="F676" s="534"/>
      <c r="G676" s="533"/>
      <c r="H676" s="481"/>
      <c r="I676" s="481"/>
      <c r="J676" s="481"/>
      <c r="K676" s="481"/>
      <c r="L676" s="481"/>
      <c r="M676" s="481"/>
      <c r="N676" s="481"/>
      <c r="O676" s="481"/>
      <c r="P676" s="481"/>
      <c r="Q676" s="481"/>
      <c r="R676" s="481"/>
      <c r="S676" s="481"/>
      <c r="T676" s="481"/>
      <c r="U676" s="481"/>
      <c r="V676" s="481"/>
      <c r="W676" s="481"/>
      <c r="X676" s="481"/>
      <c r="Y676" s="481"/>
      <c r="Z676" s="481"/>
      <c r="AA676" s="481"/>
      <c r="AB676" s="481"/>
      <c r="AC676" s="481"/>
    </row>
    <row r="677" hidden="1">
      <c r="A677" s="535"/>
      <c r="B677" s="536"/>
      <c r="C677" s="536"/>
      <c r="D677" s="537"/>
      <c r="E677" s="537"/>
      <c r="F677" s="537"/>
      <c r="G677" s="536"/>
      <c r="H677" s="481"/>
      <c r="I677" s="481"/>
      <c r="J677" s="481"/>
      <c r="K677" s="481"/>
      <c r="L677" s="481"/>
      <c r="M677" s="481"/>
      <c r="N677" s="481"/>
      <c r="O677" s="481"/>
      <c r="P677" s="481"/>
      <c r="Q677" s="481"/>
      <c r="R677" s="481"/>
      <c r="S677" s="481"/>
      <c r="T677" s="481"/>
      <c r="U677" s="481"/>
      <c r="V677" s="481"/>
      <c r="W677" s="481"/>
      <c r="X677" s="481"/>
      <c r="Y677" s="481"/>
      <c r="Z677" s="481"/>
      <c r="AA677" s="481"/>
      <c r="AB677" s="481"/>
      <c r="AC677" s="481"/>
    </row>
    <row r="678" hidden="1">
      <c r="A678" s="532"/>
      <c r="B678" s="533"/>
      <c r="C678" s="533"/>
      <c r="D678" s="534"/>
      <c r="E678" s="534"/>
      <c r="F678" s="534"/>
      <c r="G678" s="533"/>
      <c r="H678" s="481"/>
      <c r="I678" s="481"/>
      <c r="J678" s="481"/>
      <c r="K678" s="481"/>
      <c r="L678" s="481"/>
      <c r="M678" s="481"/>
      <c r="N678" s="481"/>
      <c r="O678" s="481"/>
      <c r="P678" s="481"/>
      <c r="Q678" s="481"/>
      <c r="R678" s="481"/>
      <c r="S678" s="481"/>
      <c r="T678" s="481"/>
      <c r="U678" s="481"/>
      <c r="V678" s="481"/>
      <c r="W678" s="481"/>
      <c r="X678" s="481"/>
      <c r="Y678" s="481"/>
      <c r="Z678" s="481"/>
      <c r="AA678" s="481"/>
      <c r="AB678" s="481"/>
      <c r="AC678" s="481"/>
    </row>
    <row r="679" hidden="1">
      <c r="A679" s="535"/>
      <c r="B679" s="536"/>
      <c r="C679" s="536"/>
      <c r="D679" s="537"/>
      <c r="E679" s="537"/>
      <c r="F679" s="537"/>
      <c r="G679" s="536"/>
      <c r="H679" s="481"/>
      <c r="I679" s="481"/>
      <c r="J679" s="481"/>
      <c r="K679" s="481"/>
      <c r="L679" s="481"/>
      <c r="M679" s="481"/>
      <c r="N679" s="481"/>
      <c r="O679" s="481"/>
      <c r="P679" s="481"/>
      <c r="Q679" s="481"/>
      <c r="R679" s="481"/>
      <c r="S679" s="481"/>
      <c r="T679" s="481"/>
      <c r="U679" s="481"/>
      <c r="V679" s="481"/>
      <c r="W679" s="481"/>
      <c r="X679" s="481"/>
      <c r="Y679" s="481"/>
      <c r="Z679" s="481"/>
      <c r="AA679" s="481"/>
      <c r="AB679" s="481"/>
      <c r="AC679" s="481"/>
    </row>
    <row r="680" hidden="1">
      <c r="A680" s="532"/>
      <c r="B680" s="533"/>
      <c r="C680" s="533"/>
      <c r="D680" s="534"/>
      <c r="E680" s="534"/>
      <c r="F680" s="534"/>
      <c r="G680" s="533"/>
      <c r="H680" s="481"/>
      <c r="I680" s="481"/>
      <c r="J680" s="481"/>
      <c r="K680" s="481"/>
      <c r="L680" s="481"/>
      <c r="M680" s="481"/>
      <c r="N680" s="481"/>
      <c r="O680" s="481"/>
      <c r="P680" s="481"/>
      <c r="Q680" s="481"/>
      <c r="R680" s="481"/>
      <c r="S680" s="481"/>
      <c r="T680" s="481"/>
      <c r="U680" s="481"/>
      <c r="V680" s="481"/>
      <c r="W680" s="481"/>
      <c r="X680" s="481"/>
      <c r="Y680" s="481"/>
      <c r="Z680" s="481"/>
      <c r="AA680" s="481"/>
      <c r="AB680" s="481"/>
      <c r="AC680" s="481"/>
    </row>
    <row r="681" hidden="1">
      <c r="A681" s="535"/>
      <c r="B681" s="536"/>
      <c r="C681" s="536"/>
      <c r="D681" s="537"/>
      <c r="E681" s="537"/>
      <c r="F681" s="537"/>
      <c r="G681" s="536"/>
      <c r="H681" s="481"/>
      <c r="I681" s="481"/>
      <c r="J681" s="481"/>
      <c r="K681" s="481"/>
      <c r="L681" s="481"/>
      <c r="M681" s="481"/>
      <c r="N681" s="481"/>
      <c r="O681" s="481"/>
      <c r="P681" s="481"/>
      <c r="Q681" s="481"/>
      <c r="R681" s="481"/>
      <c r="S681" s="481"/>
      <c r="T681" s="481"/>
      <c r="U681" s="481"/>
      <c r="V681" s="481"/>
      <c r="W681" s="481"/>
      <c r="X681" s="481"/>
      <c r="Y681" s="481"/>
      <c r="Z681" s="481"/>
      <c r="AA681" s="481"/>
      <c r="AB681" s="481"/>
      <c r="AC681" s="481"/>
    </row>
    <row r="682" hidden="1">
      <c r="A682" s="532"/>
      <c r="B682" s="533"/>
      <c r="C682" s="533"/>
      <c r="D682" s="534"/>
      <c r="E682" s="534"/>
      <c r="F682" s="534"/>
      <c r="G682" s="533"/>
      <c r="H682" s="481"/>
      <c r="I682" s="481"/>
      <c r="J682" s="481"/>
      <c r="K682" s="481"/>
      <c r="L682" s="481"/>
      <c r="M682" s="481"/>
      <c r="N682" s="481"/>
      <c r="O682" s="481"/>
      <c r="P682" s="481"/>
      <c r="Q682" s="481"/>
      <c r="R682" s="481"/>
      <c r="S682" s="481"/>
      <c r="T682" s="481"/>
      <c r="U682" s="481"/>
      <c r="V682" s="481"/>
      <c r="W682" s="481"/>
      <c r="X682" s="481"/>
      <c r="Y682" s="481"/>
      <c r="Z682" s="481"/>
      <c r="AA682" s="481"/>
      <c r="AB682" s="481"/>
      <c r="AC682" s="481"/>
    </row>
    <row r="683" hidden="1">
      <c r="A683" s="535"/>
      <c r="B683" s="536"/>
      <c r="C683" s="536"/>
      <c r="D683" s="537"/>
      <c r="E683" s="537"/>
      <c r="F683" s="537"/>
      <c r="G683" s="536"/>
      <c r="H683" s="481"/>
      <c r="I683" s="481"/>
      <c r="J683" s="481"/>
      <c r="K683" s="481"/>
      <c r="L683" s="481"/>
      <c r="M683" s="481"/>
      <c r="N683" s="481"/>
      <c r="O683" s="481"/>
      <c r="P683" s="481"/>
      <c r="Q683" s="481"/>
      <c r="R683" s="481"/>
      <c r="S683" s="481"/>
      <c r="T683" s="481"/>
      <c r="U683" s="481"/>
      <c r="V683" s="481"/>
      <c r="W683" s="481"/>
      <c r="X683" s="481"/>
      <c r="Y683" s="481"/>
      <c r="Z683" s="481"/>
      <c r="AA683" s="481"/>
      <c r="AB683" s="481"/>
      <c r="AC683" s="481"/>
    </row>
    <row r="684" hidden="1">
      <c r="A684" s="532"/>
      <c r="B684" s="533"/>
      <c r="C684" s="533"/>
      <c r="D684" s="534"/>
      <c r="E684" s="534"/>
      <c r="F684" s="534"/>
      <c r="G684" s="533"/>
      <c r="H684" s="481"/>
      <c r="I684" s="481"/>
      <c r="J684" s="481"/>
      <c r="K684" s="481"/>
      <c r="L684" s="481"/>
      <c r="M684" s="481"/>
      <c r="N684" s="481"/>
      <c r="O684" s="481"/>
      <c r="P684" s="481"/>
      <c r="Q684" s="481"/>
      <c r="R684" s="481"/>
      <c r="S684" s="481"/>
      <c r="T684" s="481"/>
      <c r="U684" s="481"/>
      <c r="V684" s="481"/>
      <c r="W684" s="481"/>
      <c r="X684" s="481"/>
      <c r="Y684" s="481"/>
      <c r="Z684" s="481"/>
      <c r="AA684" s="481"/>
      <c r="AB684" s="481"/>
      <c r="AC684" s="481"/>
    </row>
    <row r="685" hidden="1">
      <c r="A685" s="535"/>
      <c r="B685" s="536"/>
      <c r="C685" s="536"/>
      <c r="D685" s="537"/>
      <c r="E685" s="537"/>
      <c r="F685" s="537"/>
      <c r="G685" s="536"/>
      <c r="H685" s="481"/>
      <c r="I685" s="481"/>
      <c r="J685" s="481"/>
      <c r="K685" s="481"/>
      <c r="L685" s="481"/>
      <c r="M685" s="481"/>
      <c r="N685" s="481"/>
      <c r="O685" s="481"/>
      <c r="P685" s="481"/>
      <c r="Q685" s="481"/>
      <c r="R685" s="481"/>
      <c r="S685" s="481"/>
      <c r="T685" s="481"/>
      <c r="U685" s="481"/>
      <c r="V685" s="481"/>
      <c r="W685" s="481"/>
      <c r="X685" s="481"/>
      <c r="Y685" s="481"/>
      <c r="Z685" s="481"/>
      <c r="AA685" s="481"/>
      <c r="AB685" s="481"/>
      <c r="AC685" s="481"/>
    </row>
    <row r="686" hidden="1">
      <c r="A686" s="532"/>
      <c r="B686" s="533"/>
      <c r="C686" s="533"/>
      <c r="D686" s="534"/>
      <c r="E686" s="534"/>
      <c r="F686" s="534"/>
      <c r="G686" s="533"/>
      <c r="H686" s="481"/>
      <c r="I686" s="481"/>
      <c r="J686" s="481"/>
      <c r="K686" s="481"/>
      <c r="L686" s="481"/>
      <c r="M686" s="481"/>
      <c r="N686" s="481"/>
      <c r="O686" s="481"/>
      <c r="P686" s="481"/>
      <c r="Q686" s="481"/>
      <c r="R686" s="481"/>
      <c r="S686" s="481"/>
      <c r="T686" s="481"/>
      <c r="U686" s="481"/>
      <c r="V686" s="481"/>
      <c r="W686" s="481"/>
      <c r="X686" s="481"/>
      <c r="Y686" s="481"/>
      <c r="Z686" s="481"/>
      <c r="AA686" s="481"/>
      <c r="AB686" s="481"/>
      <c r="AC686" s="481"/>
    </row>
    <row r="687" hidden="1">
      <c r="A687" s="535"/>
      <c r="B687" s="536"/>
      <c r="C687" s="536"/>
      <c r="D687" s="537"/>
      <c r="E687" s="537"/>
      <c r="F687" s="537"/>
      <c r="G687" s="536"/>
      <c r="H687" s="481"/>
      <c r="I687" s="481"/>
      <c r="J687" s="481"/>
      <c r="K687" s="481"/>
      <c r="L687" s="481"/>
      <c r="M687" s="481"/>
      <c r="N687" s="481"/>
      <c r="O687" s="481"/>
      <c r="P687" s="481"/>
      <c r="Q687" s="481"/>
      <c r="R687" s="481"/>
      <c r="S687" s="481"/>
      <c r="T687" s="481"/>
      <c r="U687" s="481"/>
      <c r="V687" s="481"/>
      <c r="W687" s="481"/>
      <c r="X687" s="481"/>
      <c r="Y687" s="481"/>
      <c r="Z687" s="481"/>
      <c r="AA687" s="481"/>
      <c r="AB687" s="481"/>
      <c r="AC687" s="481"/>
    </row>
    <row r="688" hidden="1">
      <c r="A688" s="532"/>
      <c r="B688" s="533"/>
      <c r="C688" s="533"/>
      <c r="D688" s="534"/>
      <c r="E688" s="534"/>
      <c r="F688" s="534"/>
      <c r="G688" s="533"/>
      <c r="H688" s="481"/>
      <c r="I688" s="481"/>
      <c r="J688" s="481"/>
      <c r="K688" s="481"/>
      <c r="L688" s="481"/>
      <c r="M688" s="481"/>
      <c r="N688" s="481"/>
      <c r="O688" s="481"/>
      <c r="P688" s="481"/>
      <c r="Q688" s="481"/>
      <c r="R688" s="481"/>
      <c r="S688" s="481"/>
      <c r="T688" s="481"/>
      <c r="U688" s="481"/>
      <c r="V688" s="481"/>
      <c r="W688" s="481"/>
      <c r="X688" s="481"/>
      <c r="Y688" s="481"/>
      <c r="Z688" s="481"/>
      <c r="AA688" s="481"/>
      <c r="AB688" s="481"/>
      <c r="AC688" s="481"/>
    </row>
    <row r="689" hidden="1">
      <c r="A689" s="535"/>
      <c r="B689" s="536"/>
      <c r="C689" s="536"/>
      <c r="D689" s="537"/>
      <c r="E689" s="537"/>
      <c r="F689" s="537"/>
      <c r="G689" s="536"/>
      <c r="H689" s="481"/>
      <c r="I689" s="481"/>
      <c r="J689" s="481"/>
      <c r="K689" s="481"/>
      <c r="L689" s="481"/>
      <c r="M689" s="481"/>
      <c r="N689" s="481"/>
      <c r="O689" s="481"/>
      <c r="P689" s="481"/>
      <c r="Q689" s="481"/>
      <c r="R689" s="481"/>
      <c r="S689" s="481"/>
      <c r="T689" s="481"/>
      <c r="U689" s="481"/>
      <c r="V689" s="481"/>
      <c r="W689" s="481"/>
      <c r="X689" s="481"/>
      <c r="Y689" s="481"/>
      <c r="Z689" s="481"/>
      <c r="AA689" s="481"/>
      <c r="AB689" s="481"/>
      <c r="AC689" s="481"/>
    </row>
    <row r="690" hidden="1">
      <c r="A690" s="532"/>
      <c r="B690" s="533"/>
      <c r="C690" s="533"/>
      <c r="D690" s="534"/>
      <c r="E690" s="534"/>
      <c r="F690" s="534"/>
      <c r="G690" s="533"/>
      <c r="H690" s="481"/>
      <c r="I690" s="481"/>
      <c r="J690" s="481"/>
      <c r="K690" s="481"/>
      <c r="L690" s="481"/>
      <c r="M690" s="481"/>
      <c r="N690" s="481"/>
      <c r="O690" s="481"/>
      <c r="P690" s="481"/>
      <c r="Q690" s="481"/>
      <c r="R690" s="481"/>
      <c r="S690" s="481"/>
      <c r="T690" s="481"/>
      <c r="U690" s="481"/>
      <c r="V690" s="481"/>
      <c r="W690" s="481"/>
      <c r="X690" s="481"/>
      <c r="Y690" s="481"/>
      <c r="Z690" s="481"/>
      <c r="AA690" s="481"/>
      <c r="AB690" s="481"/>
      <c r="AC690" s="481"/>
    </row>
    <row r="691" hidden="1">
      <c r="A691" s="535"/>
      <c r="B691" s="536"/>
      <c r="C691" s="536"/>
      <c r="D691" s="537"/>
      <c r="E691" s="537"/>
      <c r="F691" s="537"/>
      <c r="G691" s="536"/>
      <c r="H691" s="481"/>
      <c r="I691" s="481"/>
      <c r="J691" s="481"/>
      <c r="K691" s="481"/>
      <c r="L691" s="481"/>
      <c r="M691" s="481"/>
      <c r="N691" s="481"/>
      <c r="O691" s="481"/>
      <c r="P691" s="481"/>
      <c r="Q691" s="481"/>
      <c r="R691" s="481"/>
      <c r="S691" s="481"/>
      <c r="T691" s="481"/>
      <c r="U691" s="481"/>
      <c r="V691" s="481"/>
      <c r="W691" s="481"/>
      <c r="X691" s="481"/>
      <c r="Y691" s="481"/>
      <c r="Z691" s="481"/>
      <c r="AA691" s="481"/>
      <c r="AB691" s="481"/>
      <c r="AC691" s="481"/>
    </row>
    <row r="692" hidden="1">
      <c r="A692" s="532"/>
      <c r="B692" s="533"/>
      <c r="C692" s="533"/>
      <c r="D692" s="534"/>
      <c r="E692" s="534"/>
      <c r="F692" s="534"/>
      <c r="G692" s="533"/>
      <c r="H692" s="481"/>
      <c r="I692" s="481"/>
      <c r="J692" s="481"/>
      <c r="K692" s="481"/>
      <c r="L692" s="481"/>
      <c r="M692" s="481"/>
      <c r="N692" s="481"/>
      <c r="O692" s="481"/>
      <c r="P692" s="481"/>
      <c r="Q692" s="481"/>
      <c r="R692" s="481"/>
      <c r="S692" s="481"/>
      <c r="T692" s="481"/>
      <c r="U692" s="481"/>
      <c r="V692" s="481"/>
      <c r="W692" s="481"/>
      <c r="X692" s="481"/>
      <c r="Y692" s="481"/>
      <c r="Z692" s="481"/>
      <c r="AA692" s="481"/>
      <c r="AB692" s="481"/>
      <c r="AC692" s="481"/>
    </row>
    <row r="693" hidden="1">
      <c r="A693" s="535"/>
      <c r="B693" s="536"/>
      <c r="C693" s="536"/>
      <c r="D693" s="537"/>
      <c r="E693" s="537"/>
      <c r="F693" s="537"/>
      <c r="G693" s="536"/>
      <c r="H693" s="481"/>
      <c r="I693" s="481"/>
      <c r="J693" s="481"/>
      <c r="K693" s="481"/>
      <c r="L693" s="481"/>
      <c r="M693" s="481"/>
      <c r="N693" s="481"/>
      <c r="O693" s="481"/>
      <c r="P693" s="481"/>
      <c r="Q693" s="481"/>
      <c r="R693" s="481"/>
      <c r="S693" s="481"/>
      <c r="T693" s="481"/>
      <c r="U693" s="481"/>
      <c r="V693" s="481"/>
      <c r="W693" s="481"/>
      <c r="X693" s="481"/>
      <c r="Y693" s="481"/>
      <c r="Z693" s="481"/>
      <c r="AA693" s="481"/>
      <c r="AB693" s="481"/>
      <c r="AC693" s="481"/>
    </row>
    <row r="694" hidden="1">
      <c r="A694" s="532"/>
      <c r="B694" s="533"/>
      <c r="C694" s="533"/>
      <c r="D694" s="534"/>
      <c r="E694" s="534"/>
      <c r="F694" s="534"/>
      <c r="G694" s="533"/>
      <c r="H694" s="481"/>
      <c r="I694" s="481"/>
      <c r="J694" s="481"/>
      <c r="K694" s="481"/>
      <c r="L694" s="481"/>
      <c r="M694" s="481"/>
      <c r="N694" s="481"/>
      <c r="O694" s="481"/>
      <c r="P694" s="481"/>
      <c r="Q694" s="481"/>
      <c r="R694" s="481"/>
      <c r="S694" s="481"/>
      <c r="T694" s="481"/>
      <c r="U694" s="481"/>
      <c r="V694" s="481"/>
      <c r="W694" s="481"/>
      <c r="X694" s="481"/>
      <c r="Y694" s="481"/>
      <c r="Z694" s="481"/>
      <c r="AA694" s="481"/>
      <c r="AB694" s="481"/>
      <c r="AC694" s="481"/>
    </row>
    <row r="695" hidden="1">
      <c r="A695" s="535"/>
      <c r="B695" s="536"/>
      <c r="C695" s="536"/>
      <c r="D695" s="537"/>
      <c r="E695" s="537"/>
      <c r="F695" s="537"/>
      <c r="G695" s="536"/>
      <c r="H695" s="481"/>
      <c r="I695" s="481"/>
      <c r="J695" s="481"/>
      <c r="K695" s="481"/>
      <c r="L695" s="481"/>
      <c r="M695" s="481"/>
      <c r="N695" s="481"/>
      <c r="O695" s="481"/>
      <c r="P695" s="481"/>
      <c r="Q695" s="481"/>
      <c r="R695" s="481"/>
      <c r="S695" s="481"/>
      <c r="T695" s="481"/>
      <c r="U695" s="481"/>
      <c r="V695" s="481"/>
      <c r="W695" s="481"/>
      <c r="X695" s="481"/>
      <c r="Y695" s="481"/>
      <c r="Z695" s="481"/>
      <c r="AA695" s="481"/>
      <c r="AB695" s="481"/>
      <c r="AC695" s="481"/>
    </row>
    <row r="696" hidden="1">
      <c r="A696" s="532"/>
      <c r="B696" s="533"/>
      <c r="C696" s="533"/>
      <c r="D696" s="534"/>
      <c r="E696" s="534"/>
      <c r="F696" s="534"/>
      <c r="G696" s="533"/>
      <c r="H696" s="481"/>
      <c r="I696" s="481"/>
      <c r="J696" s="481"/>
      <c r="K696" s="481"/>
      <c r="L696" s="481"/>
      <c r="M696" s="481"/>
      <c r="N696" s="481"/>
      <c r="O696" s="481"/>
      <c r="P696" s="481"/>
      <c r="Q696" s="481"/>
      <c r="R696" s="481"/>
      <c r="S696" s="481"/>
      <c r="T696" s="481"/>
      <c r="U696" s="481"/>
      <c r="V696" s="481"/>
      <c r="W696" s="481"/>
      <c r="X696" s="481"/>
      <c r="Y696" s="481"/>
      <c r="Z696" s="481"/>
      <c r="AA696" s="481"/>
      <c r="AB696" s="481"/>
      <c r="AC696" s="481"/>
    </row>
    <row r="697" hidden="1">
      <c r="A697" s="535"/>
      <c r="B697" s="536"/>
      <c r="C697" s="536"/>
      <c r="D697" s="537"/>
      <c r="E697" s="537"/>
      <c r="F697" s="537"/>
      <c r="G697" s="536"/>
      <c r="H697" s="481"/>
      <c r="I697" s="481"/>
      <c r="J697" s="481"/>
      <c r="K697" s="481"/>
      <c r="L697" s="481"/>
      <c r="M697" s="481"/>
      <c r="N697" s="481"/>
      <c r="O697" s="481"/>
      <c r="P697" s="481"/>
      <c r="Q697" s="481"/>
      <c r="R697" s="481"/>
      <c r="S697" s="481"/>
      <c r="T697" s="481"/>
      <c r="U697" s="481"/>
      <c r="V697" s="481"/>
      <c r="W697" s="481"/>
      <c r="X697" s="481"/>
      <c r="Y697" s="481"/>
      <c r="Z697" s="481"/>
      <c r="AA697" s="481"/>
      <c r="AB697" s="481"/>
      <c r="AC697" s="481"/>
    </row>
    <row r="698" hidden="1">
      <c r="A698" s="532"/>
      <c r="B698" s="533"/>
      <c r="C698" s="533"/>
      <c r="D698" s="534"/>
      <c r="E698" s="534"/>
      <c r="F698" s="534"/>
      <c r="G698" s="533"/>
      <c r="H698" s="481"/>
      <c r="I698" s="481"/>
      <c r="J698" s="481"/>
      <c r="K698" s="481"/>
      <c r="L698" s="481"/>
      <c r="M698" s="481"/>
      <c r="N698" s="481"/>
      <c r="O698" s="481"/>
      <c r="P698" s="481"/>
      <c r="Q698" s="481"/>
      <c r="R698" s="481"/>
      <c r="S698" s="481"/>
      <c r="T698" s="481"/>
      <c r="U698" s="481"/>
      <c r="V698" s="481"/>
      <c r="W698" s="481"/>
      <c r="X698" s="481"/>
      <c r="Y698" s="481"/>
      <c r="Z698" s="481"/>
      <c r="AA698" s="481"/>
      <c r="AB698" s="481"/>
      <c r="AC698" s="481"/>
    </row>
    <row r="699" hidden="1">
      <c r="A699" s="535"/>
      <c r="B699" s="536"/>
      <c r="C699" s="536"/>
      <c r="D699" s="537"/>
      <c r="E699" s="537"/>
      <c r="F699" s="537"/>
      <c r="G699" s="536"/>
      <c r="H699" s="481"/>
      <c r="I699" s="481"/>
      <c r="J699" s="481"/>
      <c r="K699" s="481"/>
      <c r="L699" s="481"/>
      <c r="M699" s="481"/>
      <c r="N699" s="481"/>
      <c r="O699" s="481"/>
      <c r="P699" s="481"/>
      <c r="Q699" s="481"/>
      <c r="R699" s="481"/>
      <c r="S699" s="481"/>
      <c r="T699" s="481"/>
      <c r="U699" s="481"/>
      <c r="V699" s="481"/>
      <c r="W699" s="481"/>
      <c r="X699" s="481"/>
      <c r="Y699" s="481"/>
      <c r="Z699" s="481"/>
      <c r="AA699" s="481"/>
      <c r="AB699" s="481"/>
      <c r="AC699" s="481"/>
    </row>
    <row r="700" hidden="1">
      <c r="A700" s="532"/>
      <c r="B700" s="533"/>
      <c r="C700" s="533"/>
      <c r="D700" s="534"/>
      <c r="E700" s="534"/>
      <c r="F700" s="534"/>
      <c r="G700" s="533"/>
      <c r="H700" s="481"/>
      <c r="I700" s="481"/>
      <c r="J700" s="481"/>
      <c r="K700" s="481"/>
      <c r="L700" s="481"/>
      <c r="M700" s="481"/>
      <c r="N700" s="481"/>
      <c r="O700" s="481"/>
      <c r="P700" s="481"/>
      <c r="Q700" s="481"/>
      <c r="R700" s="481"/>
      <c r="S700" s="481"/>
      <c r="T700" s="481"/>
      <c r="U700" s="481"/>
      <c r="V700" s="481"/>
      <c r="W700" s="481"/>
      <c r="X700" s="481"/>
      <c r="Y700" s="481"/>
      <c r="Z700" s="481"/>
      <c r="AA700" s="481"/>
      <c r="AB700" s="481"/>
      <c r="AC700" s="481"/>
    </row>
    <row r="701" hidden="1">
      <c r="A701" s="535"/>
      <c r="B701" s="536"/>
      <c r="C701" s="536"/>
      <c r="D701" s="537"/>
      <c r="E701" s="537"/>
      <c r="F701" s="537"/>
      <c r="G701" s="536"/>
      <c r="H701" s="481"/>
      <c r="I701" s="481"/>
      <c r="J701" s="481"/>
      <c r="K701" s="481"/>
      <c r="L701" s="481"/>
      <c r="M701" s="481"/>
      <c r="N701" s="481"/>
      <c r="O701" s="481"/>
      <c r="P701" s="481"/>
      <c r="Q701" s="481"/>
      <c r="R701" s="481"/>
      <c r="S701" s="481"/>
      <c r="T701" s="481"/>
      <c r="U701" s="481"/>
      <c r="V701" s="481"/>
      <c r="W701" s="481"/>
      <c r="X701" s="481"/>
      <c r="Y701" s="481"/>
      <c r="Z701" s="481"/>
      <c r="AA701" s="481"/>
      <c r="AB701" s="481"/>
      <c r="AC701" s="481"/>
    </row>
    <row r="702" hidden="1">
      <c r="A702" s="532"/>
      <c r="B702" s="533"/>
      <c r="C702" s="533"/>
      <c r="D702" s="534"/>
      <c r="E702" s="534"/>
      <c r="F702" s="534"/>
      <c r="G702" s="533"/>
      <c r="H702" s="481"/>
      <c r="I702" s="481"/>
      <c r="J702" s="481"/>
      <c r="K702" s="481"/>
      <c r="L702" s="481"/>
      <c r="M702" s="481"/>
      <c r="N702" s="481"/>
      <c r="O702" s="481"/>
      <c r="P702" s="481"/>
      <c r="Q702" s="481"/>
      <c r="R702" s="481"/>
      <c r="S702" s="481"/>
      <c r="T702" s="481"/>
      <c r="U702" s="481"/>
      <c r="V702" s="481"/>
      <c r="W702" s="481"/>
      <c r="X702" s="481"/>
      <c r="Y702" s="481"/>
      <c r="Z702" s="481"/>
      <c r="AA702" s="481"/>
      <c r="AB702" s="481"/>
      <c r="AC702" s="481"/>
    </row>
    <row r="703" hidden="1">
      <c r="A703" s="535"/>
      <c r="B703" s="536"/>
      <c r="C703" s="536"/>
      <c r="D703" s="537"/>
      <c r="E703" s="537"/>
      <c r="F703" s="537"/>
      <c r="G703" s="536"/>
      <c r="H703" s="481"/>
      <c r="I703" s="481"/>
      <c r="J703" s="481"/>
      <c r="K703" s="481"/>
      <c r="L703" s="481"/>
      <c r="M703" s="481"/>
      <c r="N703" s="481"/>
      <c r="O703" s="481"/>
      <c r="P703" s="481"/>
      <c r="Q703" s="481"/>
      <c r="R703" s="481"/>
      <c r="S703" s="481"/>
      <c r="T703" s="481"/>
      <c r="U703" s="481"/>
      <c r="V703" s="481"/>
      <c r="W703" s="481"/>
      <c r="X703" s="481"/>
      <c r="Y703" s="481"/>
      <c r="Z703" s="481"/>
      <c r="AA703" s="481"/>
      <c r="AB703" s="481"/>
      <c r="AC703" s="481"/>
    </row>
    <row r="704" hidden="1">
      <c r="A704" s="532"/>
      <c r="B704" s="533"/>
      <c r="C704" s="533"/>
      <c r="D704" s="534"/>
      <c r="E704" s="534"/>
      <c r="F704" s="534"/>
      <c r="G704" s="533"/>
      <c r="H704" s="481"/>
      <c r="I704" s="481"/>
      <c r="J704" s="481"/>
      <c r="K704" s="481"/>
      <c r="L704" s="481"/>
      <c r="M704" s="481"/>
      <c r="N704" s="481"/>
      <c r="O704" s="481"/>
      <c r="P704" s="481"/>
      <c r="Q704" s="481"/>
      <c r="R704" s="481"/>
      <c r="S704" s="481"/>
      <c r="T704" s="481"/>
      <c r="U704" s="481"/>
      <c r="V704" s="481"/>
      <c r="W704" s="481"/>
      <c r="X704" s="481"/>
      <c r="Y704" s="481"/>
      <c r="Z704" s="481"/>
      <c r="AA704" s="481"/>
      <c r="AB704" s="481"/>
      <c r="AC704" s="481"/>
    </row>
    <row r="705" hidden="1">
      <c r="A705" s="535"/>
      <c r="B705" s="536"/>
      <c r="C705" s="536"/>
      <c r="D705" s="537"/>
      <c r="E705" s="537"/>
      <c r="F705" s="537"/>
      <c r="G705" s="536"/>
      <c r="H705" s="481"/>
      <c r="I705" s="481"/>
      <c r="J705" s="481"/>
      <c r="K705" s="481"/>
      <c r="L705" s="481"/>
      <c r="M705" s="481"/>
      <c r="N705" s="481"/>
      <c r="O705" s="481"/>
      <c r="P705" s="481"/>
      <c r="Q705" s="481"/>
      <c r="R705" s="481"/>
      <c r="S705" s="481"/>
      <c r="T705" s="481"/>
      <c r="U705" s="481"/>
      <c r="V705" s="481"/>
      <c r="W705" s="481"/>
      <c r="X705" s="481"/>
      <c r="Y705" s="481"/>
      <c r="Z705" s="481"/>
      <c r="AA705" s="481"/>
      <c r="AB705" s="481"/>
      <c r="AC705" s="481"/>
    </row>
    <row r="706" hidden="1">
      <c r="A706" s="532"/>
      <c r="B706" s="533"/>
      <c r="C706" s="533"/>
      <c r="D706" s="534"/>
      <c r="E706" s="534"/>
      <c r="F706" s="534"/>
      <c r="G706" s="533"/>
      <c r="H706" s="481"/>
      <c r="I706" s="481"/>
      <c r="J706" s="481"/>
      <c r="K706" s="481"/>
      <c r="L706" s="481"/>
      <c r="M706" s="481"/>
      <c r="N706" s="481"/>
      <c r="O706" s="481"/>
      <c r="P706" s="481"/>
      <c r="Q706" s="481"/>
      <c r="R706" s="481"/>
      <c r="S706" s="481"/>
      <c r="T706" s="481"/>
      <c r="U706" s="481"/>
      <c r="V706" s="481"/>
      <c r="W706" s="481"/>
      <c r="X706" s="481"/>
      <c r="Y706" s="481"/>
      <c r="Z706" s="481"/>
      <c r="AA706" s="481"/>
      <c r="AB706" s="481"/>
      <c r="AC706" s="481"/>
    </row>
    <row r="707" hidden="1">
      <c r="A707" s="535"/>
      <c r="B707" s="536"/>
      <c r="C707" s="536"/>
      <c r="D707" s="537"/>
      <c r="E707" s="537"/>
      <c r="F707" s="537"/>
      <c r="G707" s="536"/>
      <c r="H707" s="481"/>
      <c r="I707" s="481"/>
      <c r="J707" s="481"/>
      <c r="K707" s="481"/>
      <c r="L707" s="481"/>
      <c r="M707" s="481"/>
      <c r="N707" s="481"/>
      <c r="O707" s="481"/>
      <c r="P707" s="481"/>
      <c r="Q707" s="481"/>
      <c r="R707" s="481"/>
      <c r="S707" s="481"/>
      <c r="T707" s="481"/>
      <c r="U707" s="481"/>
      <c r="V707" s="481"/>
      <c r="W707" s="481"/>
      <c r="X707" s="481"/>
      <c r="Y707" s="481"/>
      <c r="Z707" s="481"/>
      <c r="AA707" s="481"/>
      <c r="AB707" s="481"/>
      <c r="AC707" s="481"/>
    </row>
    <row r="708" hidden="1">
      <c r="A708" s="532"/>
      <c r="B708" s="533"/>
      <c r="C708" s="533"/>
      <c r="D708" s="534"/>
      <c r="E708" s="534"/>
      <c r="F708" s="534"/>
      <c r="G708" s="533"/>
      <c r="H708" s="481"/>
      <c r="I708" s="481"/>
      <c r="J708" s="481"/>
      <c r="K708" s="481"/>
      <c r="L708" s="481"/>
      <c r="M708" s="481"/>
      <c r="N708" s="481"/>
      <c r="O708" s="481"/>
      <c r="P708" s="481"/>
      <c r="Q708" s="481"/>
      <c r="R708" s="481"/>
      <c r="S708" s="481"/>
      <c r="T708" s="481"/>
      <c r="U708" s="481"/>
      <c r="V708" s="481"/>
      <c r="W708" s="481"/>
      <c r="X708" s="481"/>
      <c r="Y708" s="481"/>
      <c r="Z708" s="481"/>
      <c r="AA708" s="481"/>
      <c r="AB708" s="481"/>
      <c r="AC708" s="481"/>
    </row>
    <row r="709" hidden="1">
      <c r="A709" s="535"/>
      <c r="B709" s="536"/>
      <c r="C709" s="536"/>
      <c r="D709" s="537"/>
      <c r="E709" s="537"/>
      <c r="F709" s="537"/>
      <c r="G709" s="536"/>
      <c r="H709" s="481"/>
      <c r="I709" s="481"/>
      <c r="J709" s="481"/>
      <c r="K709" s="481"/>
      <c r="L709" s="481"/>
      <c r="M709" s="481"/>
      <c r="N709" s="481"/>
      <c r="O709" s="481"/>
      <c r="P709" s="481"/>
      <c r="Q709" s="481"/>
      <c r="R709" s="481"/>
      <c r="S709" s="481"/>
      <c r="T709" s="481"/>
      <c r="U709" s="481"/>
      <c r="V709" s="481"/>
      <c r="W709" s="481"/>
      <c r="X709" s="481"/>
      <c r="Y709" s="481"/>
      <c r="Z709" s="481"/>
      <c r="AA709" s="481"/>
      <c r="AB709" s="481"/>
      <c r="AC709" s="481"/>
    </row>
    <row r="710" hidden="1">
      <c r="A710" s="532"/>
      <c r="B710" s="533"/>
      <c r="C710" s="533"/>
      <c r="D710" s="534"/>
      <c r="E710" s="534"/>
      <c r="F710" s="534"/>
      <c r="G710" s="533"/>
      <c r="H710" s="481"/>
      <c r="I710" s="481"/>
      <c r="J710" s="481"/>
      <c r="K710" s="481"/>
      <c r="L710" s="481"/>
      <c r="M710" s="481"/>
      <c r="N710" s="481"/>
      <c r="O710" s="481"/>
      <c r="P710" s="481"/>
      <c r="Q710" s="481"/>
      <c r="R710" s="481"/>
      <c r="S710" s="481"/>
      <c r="T710" s="481"/>
      <c r="U710" s="481"/>
      <c r="V710" s="481"/>
      <c r="W710" s="481"/>
      <c r="X710" s="481"/>
      <c r="Y710" s="481"/>
      <c r="Z710" s="481"/>
      <c r="AA710" s="481"/>
      <c r="AB710" s="481"/>
      <c r="AC710" s="481"/>
    </row>
    <row r="711" hidden="1">
      <c r="A711" s="535"/>
      <c r="B711" s="536"/>
      <c r="C711" s="536"/>
      <c r="D711" s="537"/>
      <c r="E711" s="537"/>
      <c r="F711" s="537"/>
      <c r="G711" s="536"/>
      <c r="H711" s="481"/>
      <c r="I711" s="481"/>
      <c r="J711" s="481"/>
      <c r="K711" s="481"/>
      <c r="L711" s="481"/>
      <c r="M711" s="481"/>
      <c r="N711" s="481"/>
      <c r="O711" s="481"/>
      <c r="P711" s="481"/>
      <c r="Q711" s="481"/>
      <c r="R711" s="481"/>
      <c r="S711" s="481"/>
      <c r="T711" s="481"/>
      <c r="U711" s="481"/>
      <c r="V711" s="481"/>
      <c r="W711" s="481"/>
      <c r="X711" s="481"/>
      <c r="Y711" s="481"/>
      <c r="Z711" s="481"/>
      <c r="AA711" s="481"/>
      <c r="AB711" s="481"/>
      <c r="AC711" s="481"/>
    </row>
    <row r="712" hidden="1">
      <c r="A712" s="532"/>
      <c r="B712" s="533"/>
      <c r="C712" s="533"/>
      <c r="D712" s="534"/>
      <c r="E712" s="534"/>
      <c r="F712" s="534"/>
      <c r="G712" s="533"/>
      <c r="H712" s="481"/>
      <c r="I712" s="481"/>
      <c r="J712" s="481"/>
      <c r="K712" s="481"/>
      <c r="L712" s="481"/>
      <c r="M712" s="481"/>
      <c r="N712" s="481"/>
      <c r="O712" s="481"/>
      <c r="P712" s="481"/>
      <c r="Q712" s="481"/>
      <c r="R712" s="481"/>
      <c r="S712" s="481"/>
      <c r="T712" s="481"/>
      <c r="U712" s="481"/>
      <c r="V712" s="481"/>
      <c r="W712" s="481"/>
      <c r="X712" s="481"/>
      <c r="Y712" s="481"/>
      <c r="Z712" s="481"/>
      <c r="AA712" s="481"/>
      <c r="AB712" s="481"/>
      <c r="AC712" s="481"/>
    </row>
    <row r="713" hidden="1">
      <c r="A713" s="535"/>
      <c r="B713" s="536"/>
      <c r="C713" s="536"/>
      <c r="D713" s="537"/>
      <c r="E713" s="537"/>
      <c r="F713" s="537"/>
      <c r="G713" s="536"/>
      <c r="H713" s="481"/>
      <c r="I713" s="481"/>
      <c r="J713" s="481"/>
      <c r="K713" s="481"/>
      <c r="L713" s="481"/>
      <c r="M713" s="481"/>
      <c r="N713" s="481"/>
      <c r="O713" s="481"/>
      <c r="P713" s="481"/>
      <c r="Q713" s="481"/>
      <c r="R713" s="481"/>
      <c r="S713" s="481"/>
      <c r="T713" s="481"/>
      <c r="U713" s="481"/>
      <c r="V713" s="481"/>
      <c r="W713" s="481"/>
      <c r="X713" s="481"/>
      <c r="Y713" s="481"/>
      <c r="Z713" s="481"/>
      <c r="AA713" s="481"/>
      <c r="AB713" s="481"/>
      <c r="AC713" s="481"/>
    </row>
    <row r="714" hidden="1">
      <c r="A714" s="532"/>
      <c r="B714" s="533"/>
      <c r="C714" s="533"/>
      <c r="D714" s="534"/>
      <c r="E714" s="534"/>
      <c r="F714" s="534"/>
      <c r="G714" s="533"/>
      <c r="H714" s="481"/>
      <c r="I714" s="481"/>
      <c r="J714" s="481"/>
      <c r="K714" s="481"/>
      <c r="L714" s="481"/>
      <c r="M714" s="481"/>
      <c r="N714" s="481"/>
      <c r="O714" s="481"/>
      <c r="P714" s="481"/>
      <c r="Q714" s="481"/>
      <c r="R714" s="481"/>
      <c r="S714" s="481"/>
      <c r="T714" s="481"/>
      <c r="U714" s="481"/>
      <c r="V714" s="481"/>
      <c r="W714" s="481"/>
      <c r="X714" s="481"/>
      <c r="Y714" s="481"/>
      <c r="Z714" s="481"/>
      <c r="AA714" s="481"/>
      <c r="AB714" s="481"/>
      <c r="AC714" s="481"/>
    </row>
    <row r="715" hidden="1">
      <c r="A715" s="535"/>
      <c r="B715" s="536"/>
      <c r="C715" s="536"/>
      <c r="D715" s="537"/>
      <c r="E715" s="537"/>
      <c r="F715" s="537"/>
      <c r="G715" s="536"/>
      <c r="H715" s="481"/>
      <c r="I715" s="481"/>
      <c r="J715" s="481"/>
      <c r="K715" s="481"/>
      <c r="L715" s="481"/>
      <c r="M715" s="481"/>
      <c r="N715" s="481"/>
      <c r="O715" s="481"/>
      <c r="P715" s="481"/>
      <c r="Q715" s="481"/>
      <c r="R715" s="481"/>
      <c r="S715" s="481"/>
      <c r="T715" s="481"/>
      <c r="U715" s="481"/>
      <c r="V715" s="481"/>
      <c r="W715" s="481"/>
      <c r="X715" s="481"/>
      <c r="Y715" s="481"/>
      <c r="Z715" s="481"/>
      <c r="AA715" s="481"/>
      <c r="AB715" s="481"/>
      <c r="AC715" s="481"/>
    </row>
    <row r="716" hidden="1">
      <c r="A716" s="532"/>
      <c r="B716" s="533"/>
      <c r="C716" s="533"/>
      <c r="D716" s="534"/>
      <c r="E716" s="534"/>
      <c r="F716" s="534"/>
      <c r="G716" s="533"/>
      <c r="H716" s="481"/>
      <c r="I716" s="481"/>
      <c r="J716" s="481"/>
      <c r="K716" s="481"/>
      <c r="L716" s="481"/>
      <c r="M716" s="481"/>
      <c r="N716" s="481"/>
      <c r="O716" s="481"/>
      <c r="P716" s="481"/>
      <c r="Q716" s="481"/>
      <c r="R716" s="481"/>
      <c r="S716" s="481"/>
      <c r="T716" s="481"/>
      <c r="U716" s="481"/>
      <c r="V716" s="481"/>
      <c r="W716" s="481"/>
      <c r="X716" s="481"/>
      <c r="Y716" s="481"/>
      <c r="Z716" s="481"/>
      <c r="AA716" s="481"/>
      <c r="AB716" s="481"/>
      <c r="AC716" s="481"/>
    </row>
    <row r="717" hidden="1">
      <c r="A717" s="535"/>
      <c r="B717" s="536"/>
      <c r="C717" s="536"/>
      <c r="D717" s="537"/>
      <c r="E717" s="537"/>
      <c r="F717" s="537"/>
      <c r="G717" s="536"/>
      <c r="H717" s="481"/>
      <c r="I717" s="481"/>
      <c r="J717" s="481"/>
      <c r="K717" s="481"/>
      <c r="L717" s="481"/>
      <c r="M717" s="481"/>
      <c r="N717" s="481"/>
      <c r="O717" s="481"/>
      <c r="P717" s="481"/>
      <c r="Q717" s="481"/>
      <c r="R717" s="481"/>
      <c r="S717" s="481"/>
      <c r="T717" s="481"/>
      <c r="U717" s="481"/>
      <c r="V717" s="481"/>
      <c r="W717" s="481"/>
      <c r="X717" s="481"/>
      <c r="Y717" s="481"/>
      <c r="Z717" s="481"/>
      <c r="AA717" s="481"/>
      <c r="AB717" s="481"/>
      <c r="AC717" s="481"/>
    </row>
    <row r="718" hidden="1">
      <c r="A718" s="532"/>
      <c r="B718" s="533"/>
      <c r="C718" s="533"/>
      <c r="D718" s="534"/>
      <c r="E718" s="534"/>
      <c r="F718" s="534"/>
      <c r="G718" s="533"/>
      <c r="H718" s="481"/>
      <c r="I718" s="481"/>
      <c r="J718" s="481"/>
      <c r="K718" s="481"/>
      <c r="L718" s="481"/>
      <c r="M718" s="481"/>
      <c r="N718" s="481"/>
      <c r="O718" s="481"/>
      <c r="P718" s="481"/>
      <c r="Q718" s="481"/>
      <c r="R718" s="481"/>
      <c r="S718" s="481"/>
      <c r="T718" s="481"/>
      <c r="U718" s="481"/>
      <c r="V718" s="481"/>
      <c r="W718" s="481"/>
      <c r="X718" s="481"/>
      <c r="Y718" s="481"/>
      <c r="Z718" s="481"/>
      <c r="AA718" s="481"/>
      <c r="AB718" s="481"/>
      <c r="AC718" s="481"/>
    </row>
    <row r="719" hidden="1">
      <c r="A719" s="535"/>
      <c r="B719" s="536"/>
      <c r="C719" s="536"/>
      <c r="D719" s="537"/>
      <c r="E719" s="537"/>
      <c r="F719" s="537"/>
      <c r="G719" s="536"/>
      <c r="H719" s="481"/>
      <c r="I719" s="481"/>
      <c r="J719" s="481"/>
      <c r="K719" s="481"/>
      <c r="L719" s="481"/>
      <c r="M719" s="481"/>
      <c r="N719" s="481"/>
      <c r="O719" s="481"/>
      <c r="P719" s="481"/>
      <c r="Q719" s="481"/>
      <c r="R719" s="481"/>
      <c r="S719" s="481"/>
      <c r="T719" s="481"/>
      <c r="U719" s="481"/>
      <c r="V719" s="481"/>
      <c r="W719" s="481"/>
      <c r="X719" s="481"/>
      <c r="Y719" s="481"/>
      <c r="Z719" s="481"/>
      <c r="AA719" s="481"/>
      <c r="AB719" s="481"/>
      <c r="AC719" s="481"/>
    </row>
    <row r="720" hidden="1">
      <c r="A720" s="532"/>
      <c r="B720" s="533"/>
      <c r="C720" s="533"/>
      <c r="D720" s="534"/>
      <c r="E720" s="534"/>
      <c r="F720" s="534"/>
      <c r="G720" s="533"/>
      <c r="H720" s="481"/>
      <c r="I720" s="481"/>
      <c r="J720" s="481"/>
      <c r="K720" s="481"/>
      <c r="L720" s="481"/>
      <c r="M720" s="481"/>
      <c r="N720" s="481"/>
      <c r="O720" s="481"/>
      <c r="P720" s="481"/>
      <c r="Q720" s="481"/>
      <c r="R720" s="481"/>
      <c r="S720" s="481"/>
      <c r="T720" s="481"/>
      <c r="U720" s="481"/>
      <c r="V720" s="481"/>
      <c r="W720" s="481"/>
      <c r="X720" s="481"/>
      <c r="Y720" s="481"/>
      <c r="Z720" s="481"/>
      <c r="AA720" s="481"/>
      <c r="AB720" s="481"/>
      <c r="AC720" s="481"/>
    </row>
    <row r="721" hidden="1">
      <c r="A721" s="535"/>
      <c r="B721" s="536"/>
      <c r="C721" s="536"/>
      <c r="D721" s="537"/>
      <c r="E721" s="537"/>
      <c r="F721" s="537"/>
      <c r="G721" s="536"/>
      <c r="H721" s="481"/>
      <c r="I721" s="481"/>
      <c r="J721" s="481"/>
      <c r="K721" s="481"/>
      <c r="L721" s="481"/>
      <c r="M721" s="481"/>
      <c r="N721" s="481"/>
      <c r="O721" s="481"/>
      <c r="P721" s="481"/>
      <c r="Q721" s="481"/>
      <c r="R721" s="481"/>
      <c r="S721" s="481"/>
      <c r="T721" s="481"/>
      <c r="U721" s="481"/>
      <c r="V721" s="481"/>
      <c r="W721" s="481"/>
      <c r="X721" s="481"/>
      <c r="Y721" s="481"/>
      <c r="Z721" s="481"/>
      <c r="AA721" s="481"/>
      <c r="AB721" s="481"/>
      <c r="AC721" s="481"/>
    </row>
    <row r="722" hidden="1">
      <c r="A722" s="532"/>
      <c r="B722" s="533"/>
      <c r="C722" s="533"/>
      <c r="D722" s="534"/>
      <c r="E722" s="534"/>
      <c r="F722" s="534"/>
      <c r="G722" s="533"/>
      <c r="H722" s="481"/>
      <c r="I722" s="481"/>
      <c r="J722" s="481"/>
      <c r="K722" s="481"/>
      <c r="L722" s="481"/>
      <c r="M722" s="481"/>
      <c r="N722" s="481"/>
      <c r="O722" s="481"/>
      <c r="P722" s="481"/>
      <c r="Q722" s="481"/>
      <c r="R722" s="481"/>
      <c r="S722" s="481"/>
      <c r="T722" s="481"/>
      <c r="U722" s="481"/>
      <c r="V722" s="481"/>
      <c r="W722" s="481"/>
      <c r="X722" s="481"/>
      <c r="Y722" s="481"/>
      <c r="Z722" s="481"/>
      <c r="AA722" s="481"/>
      <c r="AB722" s="481"/>
      <c r="AC722" s="481"/>
    </row>
    <row r="723" hidden="1">
      <c r="A723" s="535"/>
      <c r="B723" s="536"/>
      <c r="C723" s="536"/>
      <c r="D723" s="537"/>
      <c r="E723" s="537"/>
      <c r="F723" s="537"/>
      <c r="G723" s="536"/>
      <c r="H723" s="481"/>
      <c r="I723" s="481"/>
      <c r="J723" s="481"/>
      <c r="K723" s="481"/>
      <c r="L723" s="481"/>
      <c r="M723" s="481"/>
      <c r="N723" s="481"/>
      <c r="O723" s="481"/>
      <c r="P723" s="481"/>
      <c r="Q723" s="481"/>
      <c r="R723" s="481"/>
      <c r="S723" s="481"/>
      <c r="T723" s="481"/>
      <c r="U723" s="481"/>
      <c r="V723" s="481"/>
      <c r="W723" s="481"/>
      <c r="X723" s="481"/>
      <c r="Y723" s="481"/>
      <c r="Z723" s="481"/>
      <c r="AA723" s="481"/>
      <c r="AB723" s="481"/>
      <c r="AC723" s="481"/>
    </row>
    <row r="724" hidden="1">
      <c r="A724" s="532"/>
      <c r="B724" s="533"/>
      <c r="C724" s="533"/>
      <c r="D724" s="534"/>
      <c r="E724" s="534"/>
      <c r="F724" s="534"/>
      <c r="G724" s="533"/>
      <c r="H724" s="481"/>
      <c r="I724" s="481"/>
      <c r="J724" s="481"/>
      <c r="K724" s="481"/>
      <c r="L724" s="481"/>
      <c r="M724" s="481"/>
      <c r="N724" s="481"/>
      <c r="O724" s="481"/>
      <c r="P724" s="481"/>
      <c r="Q724" s="481"/>
      <c r="R724" s="481"/>
      <c r="S724" s="481"/>
      <c r="T724" s="481"/>
      <c r="U724" s="481"/>
      <c r="V724" s="481"/>
      <c r="W724" s="481"/>
      <c r="X724" s="481"/>
      <c r="Y724" s="481"/>
      <c r="Z724" s="481"/>
      <c r="AA724" s="481"/>
      <c r="AB724" s="481"/>
      <c r="AC724" s="481"/>
    </row>
    <row r="725" hidden="1">
      <c r="A725" s="535"/>
      <c r="B725" s="536"/>
      <c r="C725" s="536"/>
      <c r="D725" s="537"/>
      <c r="E725" s="537"/>
      <c r="F725" s="537"/>
      <c r="G725" s="536"/>
      <c r="H725" s="481"/>
      <c r="I725" s="481"/>
      <c r="J725" s="481"/>
      <c r="K725" s="481"/>
      <c r="L725" s="481"/>
      <c r="M725" s="481"/>
      <c r="N725" s="481"/>
      <c r="O725" s="481"/>
      <c r="P725" s="481"/>
      <c r="Q725" s="481"/>
      <c r="R725" s="481"/>
      <c r="S725" s="481"/>
      <c r="T725" s="481"/>
      <c r="U725" s="481"/>
      <c r="V725" s="481"/>
      <c r="W725" s="481"/>
      <c r="X725" s="481"/>
      <c r="Y725" s="481"/>
      <c r="Z725" s="481"/>
      <c r="AA725" s="481"/>
      <c r="AB725" s="481"/>
      <c r="AC725" s="481"/>
    </row>
    <row r="726" hidden="1">
      <c r="A726" s="532"/>
      <c r="B726" s="533"/>
      <c r="C726" s="533"/>
      <c r="D726" s="534"/>
      <c r="E726" s="534"/>
      <c r="F726" s="534"/>
      <c r="G726" s="533"/>
      <c r="H726" s="481"/>
      <c r="I726" s="481"/>
      <c r="J726" s="481"/>
      <c r="K726" s="481"/>
      <c r="L726" s="481"/>
      <c r="M726" s="481"/>
      <c r="N726" s="481"/>
      <c r="O726" s="481"/>
      <c r="P726" s="481"/>
      <c r="Q726" s="481"/>
      <c r="R726" s="481"/>
      <c r="S726" s="481"/>
      <c r="T726" s="481"/>
      <c r="U726" s="481"/>
      <c r="V726" s="481"/>
      <c r="W726" s="481"/>
      <c r="X726" s="481"/>
      <c r="Y726" s="481"/>
      <c r="Z726" s="481"/>
      <c r="AA726" s="481"/>
      <c r="AB726" s="481"/>
      <c r="AC726" s="481"/>
    </row>
    <row r="727" hidden="1">
      <c r="A727" s="535"/>
      <c r="B727" s="536"/>
      <c r="C727" s="536"/>
      <c r="D727" s="537"/>
      <c r="E727" s="537"/>
      <c r="F727" s="537"/>
      <c r="G727" s="536"/>
      <c r="H727" s="481"/>
      <c r="I727" s="481"/>
      <c r="J727" s="481"/>
      <c r="K727" s="481"/>
      <c r="L727" s="481"/>
      <c r="M727" s="481"/>
      <c r="N727" s="481"/>
      <c r="O727" s="481"/>
      <c r="P727" s="481"/>
      <c r="Q727" s="481"/>
      <c r="R727" s="481"/>
      <c r="S727" s="481"/>
      <c r="T727" s="481"/>
      <c r="U727" s="481"/>
      <c r="V727" s="481"/>
      <c r="W727" s="481"/>
      <c r="X727" s="481"/>
      <c r="Y727" s="481"/>
      <c r="Z727" s="481"/>
      <c r="AA727" s="481"/>
      <c r="AB727" s="481"/>
      <c r="AC727" s="481"/>
    </row>
    <row r="728" hidden="1">
      <c r="A728" s="532"/>
      <c r="B728" s="533"/>
      <c r="C728" s="533"/>
      <c r="D728" s="534"/>
      <c r="E728" s="534"/>
      <c r="F728" s="534"/>
      <c r="G728" s="533"/>
      <c r="H728" s="481"/>
      <c r="I728" s="481"/>
      <c r="J728" s="481"/>
      <c r="K728" s="481"/>
      <c r="L728" s="481"/>
      <c r="M728" s="481"/>
      <c r="N728" s="481"/>
      <c r="O728" s="481"/>
      <c r="P728" s="481"/>
      <c r="Q728" s="481"/>
      <c r="R728" s="481"/>
      <c r="S728" s="481"/>
      <c r="T728" s="481"/>
      <c r="U728" s="481"/>
      <c r="V728" s="481"/>
      <c r="W728" s="481"/>
      <c r="X728" s="481"/>
      <c r="Y728" s="481"/>
      <c r="Z728" s="481"/>
      <c r="AA728" s="481"/>
      <c r="AB728" s="481"/>
      <c r="AC728" s="481"/>
    </row>
    <row r="729" hidden="1">
      <c r="A729" s="535"/>
      <c r="B729" s="536"/>
      <c r="C729" s="536"/>
      <c r="D729" s="537"/>
      <c r="E729" s="537"/>
      <c r="F729" s="537"/>
      <c r="G729" s="536"/>
      <c r="H729" s="481"/>
      <c r="I729" s="481"/>
      <c r="J729" s="481"/>
      <c r="K729" s="481"/>
      <c r="L729" s="481"/>
      <c r="M729" s="481"/>
      <c r="N729" s="481"/>
      <c r="O729" s="481"/>
      <c r="P729" s="481"/>
      <c r="Q729" s="481"/>
      <c r="R729" s="481"/>
      <c r="S729" s="481"/>
      <c r="T729" s="481"/>
      <c r="U729" s="481"/>
      <c r="V729" s="481"/>
      <c r="W729" s="481"/>
      <c r="X729" s="481"/>
      <c r="Y729" s="481"/>
      <c r="Z729" s="481"/>
      <c r="AA729" s="481"/>
      <c r="AB729" s="481"/>
      <c r="AC729" s="481"/>
    </row>
    <row r="730" hidden="1">
      <c r="A730" s="532"/>
      <c r="B730" s="533"/>
      <c r="C730" s="533"/>
      <c r="D730" s="534"/>
      <c r="E730" s="534"/>
      <c r="F730" s="534"/>
      <c r="G730" s="533"/>
      <c r="H730" s="481"/>
      <c r="I730" s="481"/>
      <c r="J730" s="481"/>
      <c r="K730" s="481"/>
      <c r="L730" s="481"/>
      <c r="M730" s="481"/>
      <c r="N730" s="481"/>
      <c r="O730" s="481"/>
      <c r="P730" s="481"/>
      <c r="Q730" s="481"/>
      <c r="R730" s="481"/>
      <c r="S730" s="481"/>
      <c r="T730" s="481"/>
      <c r="U730" s="481"/>
      <c r="V730" s="481"/>
      <c r="W730" s="481"/>
      <c r="X730" s="481"/>
      <c r="Y730" s="481"/>
      <c r="Z730" s="481"/>
      <c r="AA730" s="481"/>
      <c r="AB730" s="481"/>
      <c r="AC730" s="481"/>
    </row>
    <row r="731" hidden="1">
      <c r="A731" s="535"/>
      <c r="B731" s="536"/>
      <c r="C731" s="536"/>
      <c r="D731" s="537"/>
      <c r="E731" s="537"/>
      <c r="F731" s="537"/>
      <c r="G731" s="536"/>
      <c r="H731" s="481"/>
      <c r="I731" s="481"/>
      <c r="J731" s="481"/>
      <c r="K731" s="481"/>
      <c r="L731" s="481"/>
      <c r="M731" s="481"/>
      <c r="N731" s="481"/>
      <c r="O731" s="481"/>
      <c r="P731" s="481"/>
      <c r="Q731" s="481"/>
      <c r="R731" s="481"/>
      <c r="S731" s="481"/>
      <c r="T731" s="481"/>
      <c r="U731" s="481"/>
      <c r="V731" s="481"/>
      <c r="W731" s="481"/>
      <c r="X731" s="481"/>
      <c r="Y731" s="481"/>
      <c r="Z731" s="481"/>
      <c r="AA731" s="481"/>
      <c r="AB731" s="481"/>
      <c r="AC731" s="481"/>
    </row>
    <row r="732" hidden="1">
      <c r="A732" s="532"/>
      <c r="B732" s="533"/>
      <c r="C732" s="533"/>
      <c r="D732" s="534"/>
      <c r="E732" s="534"/>
      <c r="F732" s="534"/>
      <c r="G732" s="533"/>
      <c r="H732" s="481"/>
      <c r="I732" s="481"/>
      <c r="J732" s="481"/>
      <c r="K732" s="481"/>
      <c r="L732" s="481"/>
      <c r="M732" s="481"/>
      <c r="N732" s="481"/>
      <c r="O732" s="481"/>
      <c r="P732" s="481"/>
      <c r="Q732" s="481"/>
      <c r="R732" s="481"/>
      <c r="S732" s="481"/>
      <c r="T732" s="481"/>
      <c r="U732" s="481"/>
      <c r="V732" s="481"/>
      <c r="W732" s="481"/>
      <c r="X732" s="481"/>
      <c r="Y732" s="481"/>
      <c r="Z732" s="481"/>
      <c r="AA732" s="481"/>
      <c r="AB732" s="481"/>
      <c r="AC732" s="481"/>
    </row>
    <row r="733" hidden="1">
      <c r="A733" s="535"/>
      <c r="B733" s="536"/>
      <c r="C733" s="536"/>
      <c r="D733" s="537"/>
      <c r="E733" s="537"/>
      <c r="F733" s="537"/>
      <c r="G733" s="536"/>
      <c r="H733" s="481"/>
      <c r="I733" s="481"/>
      <c r="J733" s="481"/>
      <c r="K733" s="481"/>
      <c r="L733" s="481"/>
      <c r="M733" s="481"/>
      <c r="N733" s="481"/>
      <c r="O733" s="481"/>
      <c r="P733" s="481"/>
      <c r="Q733" s="481"/>
      <c r="R733" s="481"/>
      <c r="S733" s="481"/>
      <c r="T733" s="481"/>
      <c r="U733" s="481"/>
      <c r="V733" s="481"/>
      <c r="W733" s="481"/>
      <c r="X733" s="481"/>
      <c r="Y733" s="481"/>
      <c r="Z733" s="481"/>
      <c r="AA733" s="481"/>
      <c r="AB733" s="481"/>
      <c r="AC733" s="481"/>
    </row>
    <row r="734" hidden="1">
      <c r="A734" s="532"/>
      <c r="B734" s="533"/>
      <c r="C734" s="533"/>
      <c r="D734" s="534"/>
      <c r="E734" s="534"/>
      <c r="F734" s="534"/>
      <c r="G734" s="533"/>
      <c r="H734" s="481"/>
      <c r="I734" s="481"/>
      <c r="J734" s="481"/>
      <c r="K734" s="481"/>
      <c r="L734" s="481"/>
      <c r="M734" s="481"/>
      <c r="N734" s="481"/>
      <c r="O734" s="481"/>
      <c r="P734" s="481"/>
      <c r="Q734" s="481"/>
      <c r="R734" s="481"/>
      <c r="S734" s="481"/>
      <c r="T734" s="481"/>
      <c r="U734" s="481"/>
      <c r="V734" s="481"/>
      <c r="W734" s="481"/>
      <c r="X734" s="481"/>
      <c r="Y734" s="481"/>
      <c r="Z734" s="481"/>
      <c r="AA734" s="481"/>
      <c r="AB734" s="481"/>
      <c r="AC734" s="481"/>
    </row>
    <row r="735" hidden="1">
      <c r="A735" s="535"/>
      <c r="B735" s="536"/>
      <c r="C735" s="536"/>
      <c r="D735" s="537"/>
      <c r="E735" s="537"/>
      <c r="F735" s="537"/>
      <c r="G735" s="536"/>
      <c r="H735" s="481"/>
      <c r="I735" s="481"/>
      <c r="J735" s="481"/>
      <c r="K735" s="481"/>
      <c r="L735" s="481"/>
      <c r="M735" s="481"/>
      <c r="N735" s="481"/>
      <c r="O735" s="481"/>
      <c r="P735" s="481"/>
      <c r="Q735" s="481"/>
      <c r="R735" s="481"/>
      <c r="S735" s="481"/>
      <c r="T735" s="481"/>
      <c r="U735" s="481"/>
      <c r="V735" s="481"/>
      <c r="W735" s="481"/>
      <c r="X735" s="481"/>
      <c r="Y735" s="481"/>
      <c r="Z735" s="481"/>
      <c r="AA735" s="481"/>
      <c r="AB735" s="481"/>
      <c r="AC735" s="481"/>
    </row>
    <row r="736" hidden="1">
      <c r="A736" s="532"/>
      <c r="B736" s="533"/>
      <c r="C736" s="533"/>
      <c r="D736" s="534"/>
      <c r="E736" s="534"/>
      <c r="F736" s="534"/>
      <c r="G736" s="533"/>
      <c r="H736" s="481"/>
      <c r="I736" s="481"/>
      <c r="J736" s="481"/>
      <c r="K736" s="481"/>
      <c r="L736" s="481"/>
      <c r="M736" s="481"/>
      <c r="N736" s="481"/>
      <c r="O736" s="481"/>
      <c r="P736" s="481"/>
      <c r="Q736" s="481"/>
      <c r="R736" s="481"/>
      <c r="S736" s="481"/>
      <c r="T736" s="481"/>
      <c r="U736" s="481"/>
      <c r="V736" s="481"/>
      <c r="W736" s="481"/>
      <c r="X736" s="481"/>
      <c r="Y736" s="481"/>
      <c r="Z736" s="481"/>
      <c r="AA736" s="481"/>
      <c r="AB736" s="481"/>
      <c r="AC736" s="481"/>
    </row>
    <row r="737" hidden="1">
      <c r="A737" s="535"/>
      <c r="B737" s="536"/>
      <c r="C737" s="536"/>
      <c r="D737" s="537"/>
      <c r="E737" s="537"/>
      <c r="F737" s="537"/>
      <c r="G737" s="536"/>
      <c r="H737" s="481"/>
      <c r="I737" s="481"/>
      <c r="J737" s="481"/>
      <c r="K737" s="481"/>
      <c r="L737" s="481"/>
      <c r="M737" s="481"/>
      <c r="N737" s="481"/>
      <c r="O737" s="481"/>
      <c r="P737" s="481"/>
      <c r="Q737" s="481"/>
      <c r="R737" s="481"/>
      <c r="S737" s="481"/>
      <c r="T737" s="481"/>
      <c r="U737" s="481"/>
      <c r="V737" s="481"/>
      <c r="W737" s="481"/>
      <c r="X737" s="481"/>
      <c r="Y737" s="481"/>
      <c r="Z737" s="481"/>
      <c r="AA737" s="481"/>
      <c r="AB737" s="481"/>
      <c r="AC737" s="481"/>
    </row>
    <row r="738" hidden="1">
      <c r="A738" s="532"/>
      <c r="B738" s="533"/>
      <c r="C738" s="533"/>
      <c r="D738" s="534"/>
      <c r="E738" s="534"/>
      <c r="F738" s="534"/>
      <c r="G738" s="533"/>
      <c r="H738" s="481"/>
      <c r="I738" s="481"/>
      <c r="J738" s="481"/>
      <c r="K738" s="481"/>
      <c r="L738" s="481"/>
      <c r="M738" s="481"/>
      <c r="N738" s="481"/>
      <c r="O738" s="481"/>
      <c r="P738" s="481"/>
      <c r="Q738" s="481"/>
      <c r="R738" s="481"/>
      <c r="S738" s="481"/>
      <c r="T738" s="481"/>
      <c r="U738" s="481"/>
      <c r="V738" s="481"/>
      <c r="W738" s="481"/>
      <c r="X738" s="481"/>
      <c r="Y738" s="481"/>
      <c r="Z738" s="481"/>
      <c r="AA738" s="481"/>
      <c r="AB738" s="481"/>
      <c r="AC738" s="481"/>
    </row>
    <row r="739" hidden="1">
      <c r="A739" s="535"/>
      <c r="B739" s="536"/>
      <c r="C739" s="536"/>
      <c r="D739" s="537"/>
      <c r="E739" s="537"/>
      <c r="F739" s="537"/>
      <c r="G739" s="536"/>
      <c r="H739" s="481"/>
      <c r="I739" s="481"/>
      <c r="J739" s="481"/>
      <c r="K739" s="481"/>
      <c r="L739" s="481"/>
      <c r="M739" s="481"/>
      <c r="N739" s="481"/>
      <c r="O739" s="481"/>
      <c r="P739" s="481"/>
      <c r="Q739" s="481"/>
      <c r="R739" s="481"/>
      <c r="S739" s="481"/>
      <c r="T739" s="481"/>
      <c r="U739" s="481"/>
      <c r="V739" s="481"/>
      <c r="W739" s="481"/>
      <c r="X739" s="481"/>
      <c r="Y739" s="481"/>
      <c r="Z739" s="481"/>
      <c r="AA739" s="481"/>
      <c r="AB739" s="481"/>
      <c r="AC739" s="481"/>
    </row>
    <row r="740" hidden="1">
      <c r="A740" s="532"/>
      <c r="B740" s="533"/>
      <c r="C740" s="533"/>
      <c r="D740" s="534"/>
      <c r="E740" s="534"/>
      <c r="F740" s="534"/>
      <c r="G740" s="533"/>
      <c r="H740" s="481"/>
      <c r="I740" s="481"/>
      <c r="J740" s="481"/>
      <c r="K740" s="481"/>
      <c r="L740" s="481"/>
      <c r="M740" s="481"/>
      <c r="N740" s="481"/>
      <c r="O740" s="481"/>
      <c r="P740" s="481"/>
      <c r="Q740" s="481"/>
      <c r="R740" s="481"/>
      <c r="S740" s="481"/>
      <c r="T740" s="481"/>
      <c r="U740" s="481"/>
      <c r="V740" s="481"/>
      <c r="W740" s="481"/>
      <c r="X740" s="481"/>
      <c r="Y740" s="481"/>
      <c r="Z740" s="481"/>
      <c r="AA740" s="481"/>
      <c r="AB740" s="481"/>
      <c r="AC740" s="481"/>
    </row>
    <row r="741" hidden="1">
      <c r="A741" s="535"/>
      <c r="B741" s="536"/>
      <c r="C741" s="536"/>
      <c r="D741" s="537"/>
      <c r="E741" s="537"/>
      <c r="F741" s="537"/>
      <c r="G741" s="536"/>
      <c r="H741" s="481"/>
      <c r="I741" s="481"/>
      <c r="J741" s="481"/>
      <c r="K741" s="481"/>
      <c r="L741" s="481"/>
      <c r="M741" s="481"/>
      <c r="N741" s="481"/>
      <c r="O741" s="481"/>
      <c r="P741" s="481"/>
      <c r="Q741" s="481"/>
      <c r="R741" s="481"/>
      <c r="S741" s="481"/>
      <c r="T741" s="481"/>
      <c r="U741" s="481"/>
      <c r="V741" s="481"/>
      <c r="W741" s="481"/>
      <c r="X741" s="481"/>
      <c r="Y741" s="481"/>
      <c r="Z741" s="481"/>
      <c r="AA741" s="481"/>
      <c r="AB741" s="481"/>
      <c r="AC741" s="481"/>
    </row>
    <row r="742" hidden="1">
      <c r="A742" s="532"/>
      <c r="B742" s="533"/>
      <c r="C742" s="533"/>
      <c r="D742" s="534"/>
      <c r="E742" s="534"/>
      <c r="F742" s="534"/>
      <c r="G742" s="533"/>
      <c r="H742" s="481"/>
      <c r="I742" s="481"/>
      <c r="J742" s="481"/>
      <c r="K742" s="481"/>
      <c r="L742" s="481"/>
      <c r="M742" s="481"/>
      <c r="N742" s="481"/>
      <c r="O742" s="481"/>
      <c r="P742" s="481"/>
      <c r="Q742" s="481"/>
      <c r="R742" s="481"/>
      <c r="S742" s="481"/>
      <c r="T742" s="481"/>
      <c r="U742" s="481"/>
      <c r="V742" s="481"/>
      <c r="W742" s="481"/>
      <c r="X742" s="481"/>
      <c r="Y742" s="481"/>
      <c r="Z742" s="481"/>
      <c r="AA742" s="481"/>
      <c r="AB742" s="481"/>
      <c r="AC742" s="481"/>
    </row>
    <row r="743" hidden="1">
      <c r="A743" s="535"/>
      <c r="B743" s="536"/>
      <c r="C743" s="536"/>
      <c r="D743" s="537"/>
      <c r="E743" s="537"/>
      <c r="F743" s="537"/>
      <c r="G743" s="536"/>
      <c r="H743" s="481"/>
      <c r="I743" s="481"/>
      <c r="J743" s="481"/>
      <c r="K743" s="481"/>
      <c r="L743" s="481"/>
      <c r="M743" s="481"/>
      <c r="N743" s="481"/>
      <c r="O743" s="481"/>
      <c r="P743" s="481"/>
      <c r="Q743" s="481"/>
      <c r="R743" s="481"/>
      <c r="S743" s="481"/>
      <c r="T743" s="481"/>
      <c r="U743" s="481"/>
      <c r="V743" s="481"/>
      <c r="W743" s="481"/>
      <c r="X743" s="481"/>
      <c r="Y743" s="481"/>
      <c r="Z743" s="481"/>
      <c r="AA743" s="481"/>
      <c r="AB743" s="481"/>
      <c r="AC743" s="481"/>
    </row>
    <row r="744" hidden="1">
      <c r="A744" s="532"/>
      <c r="B744" s="533"/>
      <c r="C744" s="533"/>
      <c r="D744" s="534"/>
      <c r="E744" s="534"/>
      <c r="F744" s="534"/>
      <c r="G744" s="533"/>
      <c r="H744" s="481"/>
      <c r="I744" s="481"/>
      <c r="J744" s="481"/>
      <c r="K744" s="481"/>
      <c r="L744" s="481"/>
      <c r="M744" s="481"/>
      <c r="N744" s="481"/>
      <c r="O744" s="481"/>
      <c r="P744" s="481"/>
      <c r="Q744" s="481"/>
      <c r="R744" s="481"/>
      <c r="S744" s="481"/>
      <c r="T744" s="481"/>
      <c r="U744" s="481"/>
      <c r="V744" s="481"/>
      <c r="W744" s="481"/>
      <c r="X744" s="481"/>
      <c r="Y744" s="481"/>
      <c r="Z744" s="481"/>
      <c r="AA744" s="481"/>
      <c r="AB744" s="481"/>
      <c r="AC744" s="481"/>
    </row>
    <row r="745" hidden="1">
      <c r="A745" s="535"/>
      <c r="B745" s="536"/>
      <c r="C745" s="536"/>
      <c r="D745" s="537"/>
      <c r="E745" s="537"/>
      <c r="F745" s="537"/>
      <c r="G745" s="536"/>
      <c r="H745" s="481"/>
      <c r="I745" s="481"/>
      <c r="J745" s="481"/>
      <c r="K745" s="481"/>
      <c r="L745" s="481"/>
      <c r="M745" s="481"/>
      <c r="N745" s="481"/>
      <c r="O745" s="481"/>
      <c r="P745" s="481"/>
      <c r="Q745" s="481"/>
      <c r="R745" s="481"/>
      <c r="S745" s="481"/>
      <c r="T745" s="481"/>
      <c r="U745" s="481"/>
      <c r="V745" s="481"/>
      <c r="W745" s="481"/>
      <c r="X745" s="481"/>
      <c r="Y745" s="481"/>
      <c r="Z745" s="481"/>
      <c r="AA745" s="481"/>
      <c r="AB745" s="481"/>
      <c r="AC745" s="481"/>
    </row>
    <row r="746" hidden="1">
      <c r="A746" s="532"/>
      <c r="B746" s="533"/>
      <c r="C746" s="533"/>
      <c r="D746" s="534"/>
      <c r="E746" s="534"/>
      <c r="F746" s="534"/>
      <c r="G746" s="533"/>
      <c r="H746" s="481"/>
      <c r="I746" s="481"/>
      <c r="J746" s="481"/>
      <c r="K746" s="481"/>
      <c r="L746" s="481"/>
      <c r="M746" s="481"/>
      <c r="N746" s="481"/>
      <c r="O746" s="481"/>
      <c r="P746" s="481"/>
      <c r="Q746" s="481"/>
      <c r="R746" s="481"/>
      <c r="S746" s="481"/>
      <c r="T746" s="481"/>
      <c r="U746" s="481"/>
      <c r="V746" s="481"/>
      <c r="W746" s="481"/>
      <c r="X746" s="481"/>
      <c r="Y746" s="481"/>
      <c r="Z746" s="481"/>
      <c r="AA746" s="481"/>
      <c r="AB746" s="481"/>
      <c r="AC746" s="481"/>
    </row>
    <row r="747" hidden="1">
      <c r="A747" s="535"/>
      <c r="B747" s="536"/>
      <c r="C747" s="536"/>
      <c r="D747" s="537"/>
      <c r="E747" s="537"/>
      <c r="F747" s="537"/>
      <c r="G747" s="536"/>
      <c r="H747" s="481"/>
      <c r="I747" s="481"/>
      <c r="J747" s="481"/>
      <c r="K747" s="481"/>
      <c r="L747" s="481"/>
      <c r="M747" s="481"/>
      <c r="N747" s="481"/>
      <c r="O747" s="481"/>
      <c r="P747" s="481"/>
      <c r="Q747" s="481"/>
      <c r="R747" s="481"/>
      <c r="S747" s="481"/>
      <c r="T747" s="481"/>
      <c r="U747" s="481"/>
      <c r="V747" s="481"/>
      <c r="W747" s="481"/>
      <c r="X747" s="481"/>
      <c r="Y747" s="481"/>
      <c r="Z747" s="481"/>
      <c r="AA747" s="481"/>
      <c r="AB747" s="481"/>
      <c r="AC747" s="481"/>
    </row>
    <row r="748" hidden="1">
      <c r="A748" s="532"/>
      <c r="B748" s="533"/>
      <c r="C748" s="533"/>
      <c r="D748" s="534"/>
      <c r="E748" s="534"/>
      <c r="F748" s="534"/>
      <c r="G748" s="533"/>
      <c r="H748" s="481"/>
      <c r="I748" s="481"/>
      <c r="J748" s="481"/>
      <c r="K748" s="481"/>
      <c r="L748" s="481"/>
      <c r="M748" s="481"/>
      <c r="N748" s="481"/>
      <c r="O748" s="481"/>
      <c r="P748" s="481"/>
      <c r="Q748" s="481"/>
      <c r="R748" s="481"/>
      <c r="S748" s="481"/>
      <c r="T748" s="481"/>
      <c r="U748" s="481"/>
      <c r="V748" s="481"/>
      <c r="W748" s="481"/>
      <c r="X748" s="481"/>
      <c r="Y748" s="481"/>
      <c r="Z748" s="481"/>
      <c r="AA748" s="481"/>
      <c r="AB748" s="481"/>
      <c r="AC748" s="481"/>
    </row>
    <row r="749" hidden="1">
      <c r="A749" s="535"/>
      <c r="B749" s="536"/>
      <c r="C749" s="536"/>
      <c r="D749" s="537"/>
      <c r="E749" s="537"/>
      <c r="F749" s="537"/>
      <c r="G749" s="536"/>
      <c r="H749" s="481"/>
      <c r="I749" s="481"/>
      <c r="J749" s="481"/>
      <c r="K749" s="481"/>
      <c r="L749" s="481"/>
      <c r="M749" s="481"/>
      <c r="N749" s="481"/>
      <c r="O749" s="481"/>
      <c r="P749" s="481"/>
      <c r="Q749" s="481"/>
      <c r="R749" s="481"/>
      <c r="S749" s="481"/>
      <c r="T749" s="481"/>
      <c r="U749" s="481"/>
      <c r="V749" s="481"/>
      <c r="W749" s="481"/>
      <c r="X749" s="481"/>
      <c r="Y749" s="481"/>
      <c r="Z749" s="481"/>
      <c r="AA749" s="481"/>
      <c r="AB749" s="481"/>
      <c r="AC749" s="481"/>
    </row>
    <row r="750" hidden="1">
      <c r="A750" s="532"/>
      <c r="B750" s="533"/>
      <c r="C750" s="533"/>
      <c r="D750" s="534"/>
      <c r="E750" s="534"/>
      <c r="F750" s="534"/>
      <c r="G750" s="533"/>
      <c r="H750" s="481"/>
      <c r="I750" s="481"/>
      <c r="J750" s="481"/>
      <c r="K750" s="481"/>
      <c r="L750" s="481"/>
      <c r="M750" s="481"/>
      <c r="N750" s="481"/>
      <c r="O750" s="481"/>
      <c r="P750" s="481"/>
      <c r="Q750" s="481"/>
      <c r="R750" s="481"/>
      <c r="S750" s="481"/>
      <c r="T750" s="481"/>
      <c r="U750" s="481"/>
      <c r="V750" s="481"/>
      <c r="W750" s="481"/>
      <c r="X750" s="481"/>
      <c r="Y750" s="481"/>
      <c r="Z750" s="481"/>
      <c r="AA750" s="481"/>
      <c r="AB750" s="481"/>
      <c r="AC750" s="481"/>
    </row>
    <row r="751" hidden="1">
      <c r="A751" s="535"/>
      <c r="B751" s="536"/>
      <c r="C751" s="536"/>
      <c r="D751" s="537"/>
      <c r="E751" s="537"/>
      <c r="F751" s="537"/>
      <c r="G751" s="536"/>
      <c r="H751" s="481"/>
      <c r="I751" s="481"/>
      <c r="J751" s="481"/>
      <c r="K751" s="481"/>
      <c r="L751" s="481"/>
      <c r="M751" s="481"/>
      <c r="N751" s="481"/>
      <c r="O751" s="481"/>
      <c r="P751" s="481"/>
      <c r="Q751" s="481"/>
      <c r="R751" s="481"/>
      <c r="S751" s="481"/>
      <c r="T751" s="481"/>
      <c r="U751" s="481"/>
      <c r="V751" s="481"/>
      <c r="W751" s="481"/>
      <c r="X751" s="481"/>
      <c r="Y751" s="481"/>
      <c r="Z751" s="481"/>
      <c r="AA751" s="481"/>
      <c r="AB751" s="481"/>
      <c r="AC751" s="481"/>
    </row>
    <row r="752" hidden="1">
      <c r="A752" s="532"/>
      <c r="B752" s="533"/>
      <c r="C752" s="533"/>
      <c r="D752" s="534"/>
      <c r="E752" s="534"/>
      <c r="F752" s="534"/>
      <c r="G752" s="533"/>
      <c r="H752" s="481"/>
      <c r="I752" s="481"/>
      <c r="J752" s="481"/>
      <c r="K752" s="481"/>
      <c r="L752" s="481"/>
      <c r="M752" s="481"/>
      <c r="N752" s="481"/>
      <c r="O752" s="481"/>
      <c r="P752" s="481"/>
      <c r="Q752" s="481"/>
      <c r="R752" s="481"/>
      <c r="S752" s="481"/>
      <c r="T752" s="481"/>
      <c r="U752" s="481"/>
      <c r="V752" s="481"/>
      <c r="W752" s="481"/>
      <c r="X752" s="481"/>
      <c r="Y752" s="481"/>
      <c r="Z752" s="481"/>
      <c r="AA752" s="481"/>
      <c r="AB752" s="481"/>
      <c r="AC752" s="481"/>
    </row>
    <row r="753" hidden="1">
      <c r="A753" s="535"/>
      <c r="B753" s="536"/>
      <c r="C753" s="536"/>
      <c r="D753" s="537"/>
      <c r="E753" s="537"/>
      <c r="F753" s="537"/>
      <c r="G753" s="536"/>
      <c r="H753" s="481"/>
      <c r="I753" s="481"/>
      <c r="J753" s="481"/>
      <c r="K753" s="481"/>
      <c r="L753" s="481"/>
      <c r="M753" s="481"/>
      <c r="N753" s="481"/>
      <c r="O753" s="481"/>
      <c r="P753" s="481"/>
      <c r="Q753" s="481"/>
      <c r="R753" s="481"/>
      <c r="S753" s="481"/>
      <c r="T753" s="481"/>
      <c r="U753" s="481"/>
      <c r="V753" s="481"/>
      <c r="W753" s="481"/>
      <c r="X753" s="481"/>
      <c r="Y753" s="481"/>
      <c r="Z753" s="481"/>
      <c r="AA753" s="481"/>
      <c r="AB753" s="481"/>
      <c r="AC753" s="481"/>
    </row>
    <row r="754" hidden="1">
      <c r="A754" s="532"/>
      <c r="B754" s="533"/>
      <c r="C754" s="533"/>
      <c r="D754" s="534"/>
      <c r="E754" s="534"/>
      <c r="F754" s="534"/>
      <c r="G754" s="533"/>
      <c r="H754" s="481"/>
      <c r="I754" s="481"/>
      <c r="J754" s="481"/>
      <c r="K754" s="481"/>
      <c r="L754" s="481"/>
      <c r="M754" s="481"/>
      <c r="N754" s="481"/>
      <c r="O754" s="481"/>
      <c r="P754" s="481"/>
      <c r="Q754" s="481"/>
      <c r="R754" s="481"/>
      <c r="S754" s="481"/>
      <c r="T754" s="481"/>
      <c r="U754" s="481"/>
      <c r="V754" s="481"/>
      <c r="W754" s="481"/>
      <c r="X754" s="481"/>
      <c r="Y754" s="481"/>
      <c r="Z754" s="481"/>
      <c r="AA754" s="481"/>
      <c r="AB754" s="481"/>
      <c r="AC754" s="481"/>
    </row>
    <row r="755" hidden="1">
      <c r="A755" s="535"/>
      <c r="B755" s="536"/>
      <c r="C755" s="536"/>
      <c r="D755" s="537"/>
      <c r="E755" s="537"/>
      <c r="F755" s="537"/>
      <c r="G755" s="536"/>
      <c r="H755" s="481"/>
      <c r="I755" s="481"/>
      <c r="J755" s="481"/>
      <c r="K755" s="481"/>
      <c r="L755" s="481"/>
      <c r="M755" s="481"/>
      <c r="N755" s="481"/>
      <c r="O755" s="481"/>
      <c r="P755" s="481"/>
      <c r="Q755" s="481"/>
      <c r="R755" s="481"/>
      <c r="S755" s="481"/>
      <c r="T755" s="481"/>
      <c r="U755" s="481"/>
      <c r="V755" s="481"/>
      <c r="W755" s="481"/>
      <c r="X755" s="481"/>
      <c r="Y755" s="481"/>
      <c r="Z755" s="481"/>
      <c r="AA755" s="481"/>
      <c r="AB755" s="481"/>
      <c r="AC755" s="481"/>
    </row>
    <row r="756" hidden="1">
      <c r="A756" s="532"/>
      <c r="B756" s="533"/>
      <c r="C756" s="533"/>
      <c r="D756" s="534"/>
      <c r="E756" s="534"/>
      <c r="F756" s="534"/>
      <c r="G756" s="533"/>
      <c r="H756" s="481"/>
      <c r="I756" s="481"/>
      <c r="J756" s="481"/>
      <c r="K756" s="481"/>
      <c r="L756" s="481"/>
      <c r="M756" s="481"/>
      <c r="N756" s="481"/>
      <c r="O756" s="481"/>
      <c r="P756" s="481"/>
      <c r="Q756" s="481"/>
      <c r="R756" s="481"/>
      <c r="S756" s="481"/>
      <c r="T756" s="481"/>
      <c r="U756" s="481"/>
      <c r="V756" s="481"/>
      <c r="W756" s="481"/>
      <c r="X756" s="481"/>
      <c r="Y756" s="481"/>
      <c r="Z756" s="481"/>
      <c r="AA756" s="481"/>
      <c r="AB756" s="481"/>
      <c r="AC756" s="481"/>
    </row>
    <row r="757" hidden="1">
      <c r="A757" s="535"/>
      <c r="B757" s="536"/>
      <c r="C757" s="536"/>
      <c r="D757" s="537"/>
      <c r="E757" s="537"/>
      <c r="F757" s="537"/>
      <c r="G757" s="536"/>
      <c r="H757" s="481"/>
      <c r="I757" s="481"/>
      <c r="J757" s="481"/>
      <c r="K757" s="481"/>
      <c r="L757" s="481"/>
      <c r="M757" s="481"/>
      <c r="N757" s="481"/>
      <c r="O757" s="481"/>
      <c r="P757" s="481"/>
      <c r="Q757" s="481"/>
      <c r="R757" s="481"/>
      <c r="S757" s="481"/>
      <c r="T757" s="481"/>
      <c r="U757" s="481"/>
      <c r="V757" s="481"/>
      <c r="W757" s="481"/>
      <c r="X757" s="481"/>
      <c r="Y757" s="481"/>
      <c r="Z757" s="481"/>
      <c r="AA757" s="481"/>
      <c r="AB757" s="481"/>
      <c r="AC757" s="481"/>
    </row>
    <row r="758" hidden="1">
      <c r="A758" s="532"/>
      <c r="B758" s="533"/>
      <c r="C758" s="533"/>
      <c r="D758" s="534"/>
      <c r="E758" s="534"/>
      <c r="F758" s="534"/>
      <c r="G758" s="533"/>
      <c r="H758" s="481"/>
      <c r="I758" s="481"/>
      <c r="J758" s="481"/>
      <c r="K758" s="481"/>
      <c r="L758" s="481"/>
      <c r="M758" s="481"/>
      <c r="N758" s="481"/>
      <c r="O758" s="481"/>
      <c r="P758" s="481"/>
      <c r="Q758" s="481"/>
      <c r="R758" s="481"/>
      <c r="S758" s="481"/>
      <c r="T758" s="481"/>
      <c r="U758" s="481"/>
      <c r="V758" s="481"/>
      <c r="W758" s="481"/>
      <c r="X758" s="481"/>
      <c r="Y758" s="481"/>
      <c r="Z758" s="481"/>
      <c r="AA758" s="481"/>
      <c r="AB758" s="481"/>
      <c r="AC758" s="481"/>
    </row>
    <row r="759" hidden="1">
      <c r="A759" s="535"/>
      <c r="B759" s="536"/>
      <c r="C759" s="536"/>
      <c r="D759" s="537"/>
      <c r="E759" s="537"/>
      <c r="F759" s="537"/>
      <c r="G759" s="536"/>
      <c r="H759" s="481"/>
      <c r="I759" s="481"/>
      <c r="J759" s="481"/>
      <c r="K759" s="481"/>
      <c r="L759" s="481"/>
      <c r="M759" s="481"/>
      <c r="N759" s="481"/>
      <c r="O759" s="481"/>
      <c r="P759" s="481"/>
      <c r="Q759" s="481"/>
      <c r="R759" s="481"/>
      <c r="S759" s="481"/>
      <c r="T759" s="481"/>
      <c r="U759" s="481"/>
      <c r="V759" s="481"/>
      <c r="W759" s="481"/>
      <c r="X759" s="481"/>
      <c r="Y759" s="481"/>
      <c r="Z759" s="481"/>
      <c r="AA759" s="481"/>
      <c r="AB759" s="481"/>
      <c r="AC759" s="481"/>
    </row>
    <row r="760" hidden="1">
      <c r="A760" s="532"/>
      <c r="B760" s="533"/>
      <c r="C760" s="533"/>
      <c r="D760" s="534"/>
      <c r="E760" s="534"/>
      <c r="F760" s="534"/>
      <c r="G760" s="533"/>
      <c r="H760" s="481"/>
      <c r="I760" s="481"/>
      <c r="J760" s="481"/>
      <c r="K760" s="481"/>
      <c r="L760" s="481"/>
      <c r="M760" s="481"/>
      <c r="N760" s="481"/>
      <c r="O760" s="481"/>
      <c r="P760" s="481"/>
      <c r="Q760" s="481"/>
      <c r="R760" s="481"/>
      <c r="S760" s="481"/>
      <c r="T760" s="481"/>
      <c r="U760" s="481"/>
      <c r="V760" s="481"/>
      <c r="W760" s="481"/>
      <c r="X760" s="481"/>
      <c r="Y760" s="481"/>
      <c r="Z760" s="481"/>
      <c r="AA760" s="481"/>
      <c r="AB760" s="481"/>
      <c r="AC760" s="481"/>
    </row>
    <row r="761" hidden="1">
      <c r="A761" s="535"/>
      <c r="B761" s="536"/>
      <c r="C761" s="536"/>
      <c r="D761" s="537"/>
      <c r="E761" s="537"/>
      <c r="F761" s="537"/>
      <c r="G761" s="536"/>
      <c r="H761" s="481"/>
      <c r="I761" s="481"/>
      <c r="J761" s="481"/>
      <c r="K761" s="481"/>
      <c r="L761" s="481"/>
      <c r="M761" s="481"/>
      <c r="N761" s="481"/>
      <c r="O761" s="481"/>
      <c r="P761" s="481"/>
      <c r="Q761" s="481"/>
      <c r="R761" s="481"/>
      <c r="S761" s="481"/>
      <c r="T761" s="481"/>
      <c r="U761" s="481"/>
      <c r="V761" s="481"/>
      <c r="W761" s="481"/>
      <c r="X761" s="481"/>
      <c r="Y761" s="481"/>
      <c r="Z761" s="481"/>
      <c r="AA761" s="481"/>
      <c r="AB761" s="481"/>
      <c r="AC761" s="481"/>
    </row>
    <row r="762" hidden="1">
      <c r="A762" s="532"/>
      <c r="B762" s="533"/>
      <c r="C762" s="533"/>
      <c r="D762" s="534"/>
      <c r="E762" s="534"/>
      <c r="F762" s="534"/>
      <c r="G762" s="533"/>
      <c r="H762" s="481"/>
      <c r="I762" s="481"/>
      <c r="J762" s="481"/>
      <c r="K762" s="481"/>
      <c r="L762" s="481"/>
      <c r="M762" s="481"/>
      <c r="N762" s="481"/>
      <c r="O762" s="481"/>
      <c r="P762" s="481"/>
      <c r="Q762" s="481"/>
      <c r="R762" s="481"/>
      <c r="S762" s="481"/>
      <c r="T762" s="481"/>
      <c r="U762" s="481"/>
      <c r="V762" s="481"/>
      <c r="W762" s="481"/>
      <c r="X762" s="481"/>
      <c r="Y762" s="481"/>
      <c r="Z762" s="481"/>
      <c r="AA762" s="481"/>
      <c r="AB762" s="481"/>
      <c r="AC762" s="481"/>
    </row>
    <row r="763" hidden="1">
      <c r="A763" s="535"/>
      <c r="B763" s="536"/>
      <c r="C763" s="536"/>
      <c r="D763" s="537"/>
      <c r="E763" s="537"/>
      <c r="F763" s="537"/>
      <c r="G763" s="536"/>
      <c r="H763" s="481"/>
      <c r="I763" s="481"/>
      <c r="J763" s="481"/>
      <c r="K763" s="481"/>
      <c r="L763" s="481"/>
      <c r="M763" s="481"/>
      <c r="N763" s="481"/>
      <c r="O763" s="481"/>
      <c r="P763" s="481"/>
      <c r="Q763" s="481"/>
      <c r="R763" s="481"/>
      <c r="S763" s="481"/>
      <c r="T763" s="481"/>
      <c r="U763" s="481"/>
      <c r="V763" s="481"/>
      <c r="W763" s="481"/>
      <c r="X763" s="481"/>
      <c r="Y763" s="481"/>
      <c r="Z763" s="481"/>
      <c r="AA763" s="481"/>
      <c r="AB763" s="481"/>
      <c r="AC763" s="481"/>
    </row>
    <row r="764" hidden="1">
      <c r="A764" s="532"/>
      <c r="B764" s="533"/>
      <c r="C764" s="533"/>
      <c r="D764" s="534"/>
      <c r="E764" s="534"/>
      <c r="F764" s="534"/>
      <c r="G764" s="533"/>
      <c r="H764" s="481"/>
      <c r="I764" s="481"/>
      <c r="J764" s="481"/>
      <c r="K764" s="481"/>
      <c r="L764" s="481"/>
      <c r="M764" s="481"/>
      <c r="N764" s="481"/>
      <c r="O764" s="481"/>
      <c r="P764" s="481"/>
      <c r="Q764" s="481"/>
      <c r="R764" s="481"/>
      <c r="S764" s="481"/>
      <c r="T764" s="481"/>
      <c r="U764" s="481"/>
      <c r="V764" s="481"/>
      <c r="W764" s="481"/>
      <c r="X764" s="481"/>
      <c r="Y764" s="481"/>
      <c r="Z764" s="481"/>
      <c r="AA764" s="481"/>
      <c r="AB764" s="481"/>
      <c r="AC764" s="481"/>
    </row>
    <row r="765" hidden="1">
      <c r="A765" s="535"/>
      <c r="B765" s="536"/>
      <c r="C765" s="536"/>
      <c r="D765" s="537"/>
      <c r="E765" s="537"/>
      <c r="F765" s="537"/>
      <c r="G765" s="536"/>
      <c r="H765" s="481"/>
      <c r="I765" s="481"/>
      <c r="J765" s="481"/>
      <c r="K765" s="481"/>
      <c r="L765" s="481"/>
      <c r="M765" s="481"/>
      <c r="N765" s="481"/>
      <c r="O765" s="481"/>
      <c r="P765" s="481"/>
      <c r="Q765" s="481"/>
      <c r="R765" s="481"/>
      <c r="S765" s="481"/>
      <c r="T765" s="481"/>
      <c r="U765" s="481"/>
      <c r="V765" s="481"/>
      <c r="W765" s="481"/>
      <c r="X765" s="481"/>
      <c r="Y765" s="481"/>
      <c r="Z765" s="481"/>
      <c r="AA765" s="481"/>
      <c r="AB765" s="481"/>
      <c r="AC765" s="481"/>
    </row>
    <row r="766" hidden="1">
      <c r="A766" s="532"/>
      <c r="B766" s="533"/>
      <c r="C766" s="533"/>
      <c r="D766" s="534"/>
      <c r="E766" s="534"/>
      <c r="F766" s="534"/>
      <c r="G766" s="533"/>
      <c r="H766" s="481"/>
      <c r="I766" s="481"/>
      <c r="J766" s="481"/>
      <c r="K766" s="481"/>
      <c r="L766" s="481"/>
      <c r="M766" s="481"/>
      <c r="N766" s="481"/>
      <c r="O766" s="481"/>
      <c r="P766" s="481"/>
      <c r="Q766" s="481"/>
      <c r="R766" s="481"/>
      <c r="S766" s="481"/>
      <c r="T766" s="481"/>
      <c r="U766" s="481"/>
      <c r="V766" s="481"/>
      <c r="W766" s="481"/>
      <c r="X766" s="481"/>
      <c r="Y766" s="481"/>
      <c r="Z766" s="481"/>
      <c r="AA766" s="481"/>
      <c r="AB766" s="481"/>
      <c r="AC766" s="481"/>
    </row>
    <row r="767" hidden="1">
      <c r="A767" s="535"/>
      <c r="B767" s="536"/>
      <c r="C767" s="536"/>
      <c r="D767" s="537"/>
      <c r="E767" s="537"/>
      <c r="F767" s="537"/>
      <c r="G767" s="536"/>
      <c r="H767" s="481"/>
      <c r="I767" s="481"/>
      <c r="J767" s="481"/>
      <c r="K767" s="481"/>
      <c r="L767" s="481"/>
      <c r="M767" s="481"/>
      <c r="N767" s="481"/>
      <c r="O767" s="481"/>
      <c r="P767" s="481"/>
      <c r="Q767" s="481"/>
      <c r="R767" s="481"/>
      <c r="S767" s="481"/>
      <c r="T767" s="481"/>
      <c r="U767" s="481"/>
      <c r="V767" s="481"/>
      <c r="W767" s="481"/>
      <c r="X767" s="481"/>
      <c r="Y767" s="481"/>
      <c r="Z767" s="481"/>
      <c r="AA767" s="481"/>
      <c r="AB767" s="481"/>
      <c r="AC767" s="481"/>
    </row>
    <row r="768" hidden="1">
      <c r="A768" s="532"/>
      <c r="B768" s="533"/>
      <c r="C768" s="533"/>
      <c r="D768" s="534"/>
      <c r="E768" s="534"/>
      <c r="F768" s="534"/>
      <c r="G768" s="533"/>
      <c r="H768" s="481"/>
      <c r="I768" s="481"/>
      <c r="J768" s="481"/>
      <c r="K768" s="481"/>
      <c r="L768" s="481"/>
      <c r="M768" s="481"/>
      <c r="N768" s="481"/>
      <c r="O768" s="481"/>
      <c r="P768" s="481"/>
      <c r="Q768" s="481"/>
      <c r="R768" s="481"/>
      <c r="S768" s="481"/>
      <c r="T768" s="481"/>
      <c r="U768" s="481"/>
      <c r="V768" s="481"/>
      <c r="W768" s="481"/>
      <c r="X768" s="481"/>
      <c r="Y768" s="481"/>
      <c r="Z768" s="481"/>
      <c r="AA768" s="481"/>
      <c r="AB768" s="481"/>
      <c r="AC768" s="481"/>
    </row>
    <row r="769" hidden="1">
      <c r="A769" s="535"/>
      <c r="B769" s="536"/>
      <c r="C769" s="536"/>
      <c r="D769" s="537"/>
      <c r="E769" s="537"/>
      <c r="F769" s="537"/>
      <c r="G769" s="536"/>
      <c r="H769" s="481"/>
      <c r="I769" s="481"/>
      <c r="J769" s="481"/>
      <c r="K769" s="481"/>
      <c r="L769" s="481"/>
      <c r="M769" s="481"/>
      <c r="N769" s="481"/>
      <c r="O769" s="481"/>
      <c r="P769" s="481"/>
      <c r="Q769" s="481"/>
      <c r="R769" s="481"/>
      <c r="S769" s="481"/>
      <c r="T769" s="481"/>
      <c r="U769" s="481"/>
      <c r="V769" s="481"/>
      <c r="W769" s="481"/>
      <c r="X769" s="481"/>
      <c r="Y769" s="481"/>
      <c r="Z769" s="481"/>
      <c r="AA769" s="481"/>
      <c r="AB769" s="481"/>
      <c r="AC769" s="481"/>
    </row>
    <row r="770" hidden="1">
      <c r="A770" s="532"/>
      <c r="B770" s="533"/>
      <c r="C770" s="533"/>
      <c r="D770" s="534"/>
      <c r="E770" s="534"/>
      <c r="F770" s="534"/>
      <c r="G770" s="533"/>
      <c r="H770" s="481"/>
      <c r="I770" s="481"/>
      <c r="J770" s="481"/>
      <c r="K770" s="481"/>
      <c r="L770" s="481"/>
      <c r="M770" s="481"/>
      <c r="N770" s="481"/>
      <c r="O770" s="481"/>
      <c r="P770" s="481"/>
      <c r="Q770" s="481"/>
      <c r="R770" s="481"/>
      <c r="S770" s="481"/>
      <c r="T770" s="481"/>
      <c r="U770" s="481"/>
      <c r="V770" s="481"/>
      <c r="W770" s="481"/>
      <c r="X770" s="481"/>
      <c r="Y770" s="481"/>
      <c r="Z770" s="481"/>
      <c r="AA770" s="481"/>
      <c r="AB770" s="481"/>
      <c r="AC770" s="481"/>
    </row>
    <row r="771" hidden="1">
      <c r="A771" s="535"/>
      <c r="B771" s="536"/>
      <c r="C771" s="536"/>
      <c r="D771" s="537"/>
      <c r="E771" s="537"/>
      <c r="F771" s="537"/>
      <c r="G771" s="536"/>
      <c r="H771" s="481"/>
      <c r="I771" s="481"/>
      <c r="J771" s="481"/>
      <c r="K771" s="481"/>
      <c r="L771" s="481"/>
      <c r="M771" s="481"/>
      <c r="N771" s="481"/>
      <c r="O771" s="481"/>
      <c r="P771" s="481"/>
      <c r="Q771" s="481"/>
      <c r="R771" s="481"/>
      <c r="S771" s="481"/>
      <c r="T771" s="481"/>
      <c r="U771" s="481"/>
      <c r="V771" s="481"/>
      <c r="W771" s="481"/>
      <c r="X771" s="481"/>
      <c r="Y771" s="481"/>
      <c r="Z771" s="481"/>
      <c r="AA771" s="481"/>
      <c r="AB771" s="481"/>
      <c r="AC771" s="481"/>
    </row>
    <row r="772" hidden="1">
      <c r="A772" s="532"/>
      <c r="B772" s="533"/>
      <c r="C772" s="533"/>
      <c r="D772" s="534"/>
      <c r="E772" s="534"/>
      <c r="F772" s="534"/>
      <c r="G772" s="533"/>
      <c r="H772" s="481"/>
      <c r="I772" s="481"/>
      <c r="J772" s="481"/>
      <c r="K772" s="481"/>
      <c r="L772" s="481"/>
      <c r="M772" s="481"/>
      <c r="N772" s="481"/>
      <c r="O772" s="481"/>
      <c r="P772" s="481"/>
      <c r="Q772" s="481"/>
      <c r="R772" s="481"/>
      <c r="S772" s="481"/>
      <c r="T772" s="481"/>
      <c r="U772" s="481"/>
      <c r="V772" s="481"/>
      <c r="W772" s="481"/>
      <c r="X772" s="481"/>
      <c r="Y772" s="481"/>
      <c r="Z772" s="481"/>
      <c r="AA772" s="481"/>
      <c r="AB772" s="481"/>
      <c r="AC772" s="481"/>
    </row>
    <row r="773" hidden="1">
      <c r="A773" s="535"/>
      <c r="B773" s="536"/>
      <c r="C773" s="536"/>
      <c r="D773" s="537"/>
      <c r="E773" s="537"/>
      <c r="F773" s="537"/>
      <c r="G773" s="536"/>
      <c r="H773" s="481"/>
      <c r="I773" s="481"/>
      <c r="J773" s="481"/>
      <c r="K773" s="481"/>
      <c r="L773" s="481"/>
      <c r="M773" s="481"/>
      <c r="N773" s="481"/>
      <c r="O773" s="481"/>
      <c r="P773" s="481"/>
      <c r="Q773" s="481"/>
      <c r="R773" s="481"/>
      <c r="S773" s="481"/>
      <c r="T773" s="481"/>
      <c r="U773" s="481"/>
      <c r="V773" s="481"/>
      <c r="W773" s="481"/>
      <c r="X773" s="481"/>
      <c r="Y773" s="481"/>
      <c r="Z773" s="481"/>
      <c r="AA773" s="481"/>
      <c r="AB773" s="481"/>
      <c r="AC773" s="481"/>
    </row>
    <row r="774" hidden="1">
      <c r="A774" s="532"/>
      <c r="B774" s="533"/>
      <c r="C774" s="533"/>
      <c r="D774" s="534"/>
      <c r="E774" s="534"/>
      <c r="F774" s="534"/>
      <c r="G774" s="533"/>
      <c r="H774" s="481"/>
      <c r="I774" s="481"/>
      <c r="J774" s="481"/>
      <c r="K774" s="481"/>
      <c r="L774" s="481"/>
      <c r="M774" s="481"/>
      <c r="N774" s="481"/>
      <c r="O774" s="481"/>
      <c r="P774" s="481"/>
      <c r="Q774" s="481"/>
      <c r="R774" s="481"/>
      <c r="S774" s="481"/>
      <c r="T774" s="481"/>
      <c r="U774" s="481"/>
      <c r="V774" s="481"/>
      <c r="W774" s="481"/>
      <c r="X774" s="481"/>
      <c r="Y774" s="481"/>
      <c r="Z774" s="481"/>
      <c r="AA774" s="481"/>
      <c r="AB774" s="481"/>
      <c r="AC774" s="481"/>
    </row>
    <row r="775" hidden="1">
      <c r="A775" s="535"/>
      <c r="B775" s="536"/>
      <c r="C775" s="536"/>
      <c r="D775" s="537"/>
      <c r="E775" s="537"/>
      <c r="F775" s="537"/>
      <c r="G775" s="536"/>
      <c r="H775" s="481"/>
      <c r="I775" s="481"/>
      <c r="J775" s="481"/>
      <c r="K775" s="481"/>
      <c r="L775" s="481"/>
      <c r="M775" s="481"/>
      <c r="N775" s="481"/>
      <c r="O775" s="481"/>
      <c r="P775" s="481"/>
      <c r="Q775" s="481"/>
      <c r="R775" s="481"/>
      <c r="S775" s="481"/>
      <c r="T775" s="481"/>
      <c r="U775" s="481"/>
      <c r="V775" s="481"/>
      <c r="W775" s="481"/>
      <c r="X775" s="481"/>
      <c r="Y775" s="481"/>
      <c r="Z775" s="481"/>
      <c r="AA775" s="481"/>
      <c r="AB775" s="481"/>
      <c r="AC775" s="481"/>
    </row>
    <row r="776" hidden="1">
      <c r="A776" s="532"/>
      <c r="B776" s="533"/>
      <c r="C776" s="533"/>
      <c r="D776" s="534"/>
      <c r="E776" s="534"/>
      <c r="F776" s="534"/>
      <c r="G776" s="533"/>
      <c r="H776" s="481"/>
      <c r="I776" s="481"/>
      <c r="J776" s="481"/>
      <c r="K776" s="481"/>
      <c r="L776" s="481"/>
      <c r="M776" s="481"/>
      <c r="N776" s="481"/>
      <c r="O776" s="481"/>
      <c r="P776" s="481"/>
      <c r="Q776" s="481"/>
      <c r="R776" s="481"/>
      <c r="S776" s="481"/>
      <c r="T776" s="481"/>
      <c r="U776" s="481"/>
      <c r="V776" s="481"/>
      <c r="W776" s="481"/>
      <c r="X776" s="481"/>
      <c r="Y776" s="481"/>
      <c r="Z776" s="481"/>
      <c r="AA776" s="481"/>
      <c r="AB776" s="481"/>
      <c r="AC776" s="481"/>
    </row>
    <row r="777" hidden="1">
      <c r="A777" s="535"/>
      <c r="B777" s="536"/>
      <c r="C777" s="536"/>
      <c r="D777" s="537"/>
      <c r="E777" s="537"/>
      <c r="F777" s="537"/>
      <c r="G777" s="536"/>
      <c r="H777" s="481"/>
      <c r="I777" s="481"/>
      <c r="J777" s="481"/>
      <c r="K777" s="481"/>
      <c r="L777" s="481"/>
      <c r="M777" s="481"/>
      <c r="N777" s="481"/>
      <c r="O777" s="481"/>
      <c r="P777" s="481"/>
      <c r="Q777" s="481"/>
      <c r="R777" s="481"/>
      <c r="S777" s="481"/>
      <c r="T777" s="481"/>
      <c r="U777" s="481"/>
      <c r="V777" s="481"/>
      <c r="W777" s="481"/>
      <c r="X777" s="481"/>
      <c r="Y777" s="481"/>
      <c r="Z777" s="481"/>
      <c r="AA777" s="481"/>
      <c r="AB777" s="481"/>
      <c r="AC777" s="481"/>
    </row>
    <row r="778" hidden="1">
      <c r="A778" s="532"/>
      <c r="B778" s="533"/>
      <c r="C778" s="533"/>
      <c r="D778" s="534"/>
      <c r="E778" s="534"/>
      <c r="F778" s="534"/>
      <c r="G778" s="533"/>
      <c r="H778" s="481"/>
      <c r="I778" s="481"/>
      <c r="J778" s="481"/>
      <c r="K778" s="481"/>
      <c r="L778" s="481"/>
      <c r="M778" s="481"/>
      <c r="N778" s="481"/>
      <c r="O778" s="481"/>
      <c r="P778" s="481"/>
      <c r="Q778" s="481"/>
      <c r="R778" s="481"/>
      <c r="S778" s="481"/>
      <c r="T778" s="481"/>
      <c r="U778" s="481"/>
      <c r="V778" s="481"/>
      <c r="W778" s="481"/>
      <c r="X778" s="481"/>
      <c r="Y778" s="481"/>
      <c r="Z778" s="481"/>
      <c r="AA778" s="481"/>
      <c r="AB778" s="481"/>
      <c r="AC778" s="481"/>
    </row>
    <row r="779" hidden="1">
      <c r="A779" s="535"/>
      <c r="B779" s="536"/>
      <c r="C779" s="536"/>
      <c r="D779" s="537"/>
      <c r="E779" s="537"/>
      <c r="F779" s="537"/>
      <c r="G779" s="536"/>
      <c r="H779" s="481"/>
      <c r="I779" s="481"/>
      <c r="J779" s="481"/>
      <c r="K779" s="481"/>
      <c r="L779" s="481"/>
      <c r="M779" s="481"/>
      <c r="N779" s="481"/>
      <c r="O779" s="481"/>
      <c r="P779" s="481"/>
      <c r="Q779" s="481"/>
      <c r="R779" s="481"/>
      <c r="S779" s="481"/>
      <c r="T779" s="481"/>
      <c r="U779" s="481"/>
      <c r="V779" s="481"/>
      <c r="W779" s="481"/>
      <c r="X779" s="481"/>
      <c r="Y779" s="481"/>
      <c r="Z779" s="481"/>
      <c r="AA779" s="481"/>
      <c r="AB779" s="481"/>
      <c r="AC779" s="481"/>
    </row>
    <row r="780" hidden="1">
      <c r="A780" s="532"/>
      <c r="B780" s="533"/>
      <c r="C780" s="533"/>
      <c r="D780" s="534"/>
      <c r="E780" s="534"/>
      <c r="F780" s="534"/>
      <c r="G780" s="533"/>
      <c r="H780" s="481"/>
      <c r="I780" s="481"/>
      <c r="J780" s="481"/>
      <c r="K780" s="481"/>
      <c r="L780" s="481"/>
      <c r="M780" s="481"/>
      <c r="N780" s="481"/>
      <c r="O780" s="481"/>
      <c r="P780" s="481"/>
      <c r="Q780" s="481"/>
      <c r="R780" s="481"/>
      <c r="S780" s="481"/>
      <c r="T780" s="481"/>
      <c r="U780" s="481"/>
      <c r="V780" s="481"/>
      <c r="W780" s="481"/>
      <c r="X780" s="481"/>
      <c r="Y780" s="481"/>
      <c r="Z780" s="481"/>
      <c r="AA780" s="481"/>
      <c r="AB780" s="481"/>
      <c r="AC780" s="481"/>
    </row>
    <row r="781" hidden="1">
      <c r="A781" s="535"/>
      <c r="B781" s="536"/>
      <c r="C781" s="536"/>
      <c r="D781" s="537"/>
      <c r="E781" s="537"/>
      <c r="F781" s="537"/>
      <c r="G781" s="536"/>
      <c r="H781" s="481"/>
      <c r="I781" s="481"/>
      <c r="J781" s="481"/>
      <c r="K781" s="481"/>
      <c r="L781" s="481"/>
      <c r="M781" s="481"/>
      <c r="N781" s="481"/>
      <c r="O781" s="481"/>
      <c r="P781" s="481"/>
      <c r="Q781" s="481"/>
      <c r="R781" s="481"/>
      <c r="S781" s="481"/>
      <c r="T781" s="481"/>
      <c r="U781" s="481"/>
      <c r="V781" s="481"/>
      <c r="W781" s="481"/>
      <c r="X781" s="481"/>
      <c r="Y781" s="481"/>
      <c r="Z781" s="481"/>
      <c r="AA781" s="481"/>
      <c r="AB781" s="481"/>
      <c r="AC781" s="481"/>
    </row>
    <row r="782" hidden="1">
      <c r="A782" s="532"/>
      <c r="B782" s="533"/>
      <c r="C782" s="533"/>
      <c r="D782" s="534"/>
      <c r="E782" s="534"/>
      <c r="F782" s="534"/>
      <c r="G782" s="533"/>
      <c r="H782" s="481"/>
      <c r="I782" s="481"/>
      <c r="J782" s="481"/>
      <c r="K782" s="481"/>
      <c r="L782" s="481"/>
      <c r="M782" s="481"/>
      <c r="N782" s="481"/>
      <c r="O782" s="481"/>
      <c r="P782" s="481"/>
      <c r="Q782" s="481"/>
      <c r="R782" s="481"/>
      <c r="S782" s="481"/>
      <c r="T782" s="481"/>
      <c r="U782" s="481"/>
      <c r="V782" s="481"/>
      <c r="W782" s="481"/>
      <c r="X782" s="481"/>
      <c r="Y782" s="481"/>
      <c r="Z782" s="481"/>
      <c r="AA782" s="481"/>
      <c r="AB782" s="481"/>
      <c r="AC782" s="481"/>
    </row>
    <row r="783" hidden="1">
      <c r="A783" s="535"/>
      <c r="B783" s="536"/>
      <c r="C783" s="536"/>
      <c r="D783" s="537"/>
      <c r="E783" s="537"/>
      <c r="F783" s="537"/>
      <c r="G783" s="536"/>
      <c r="H783" s="481"/>
      <c r="I783" s="481"/>
      <c r="J783" s="481"/>
      <c r="K783" s="481"/>
      <c r="L783" s="481"/>
      <c r="M783" s="481"/>
      <c r="N783" s="481"/>
      <c r="O783" s="481"/>
      <c r="P783" s="481"/>
      <c r="Q783" s="481"/>
      <c r="R783" s="481"/>
      <c r="S783" s="481"/>
      <c r="T783" s="481"/>
      <c r="U783" s="481"/>
      <c r="V783" s="481"/>
      <c r="W783" s="481"/>
      <c r="X783" s="481"/>
      <c r="Y783" s="481"/>
      <c r="Z783" s="481"/>
      <c r="AA783" s="481"/>
      <c r="AB783" s="481"/>
      <c r="AC783" s="481"/>
    </row>
    <row r="784" hidden="1">
      <c r="A784" s="532"/>
      <c r="B784" s="533"/>
      <c r="C784" s="533"/>
      <c r="D784" s="534"/>
      <c r="E784" s="534"/>
      <c r="F784" s="534"/>
      <c r="G784" s="533"/>
      <c r="H784" s="481"/>
      <c r="I784" s="481"/>
      <c r="J784" s="481"/>
      <c r="K784" s="481"/>
      <c r="L784" s="481"/>
      <c r="M784" s="481"/>
      <c r="N784" s="481"/>
      <c r="O784" s="481"/>
      <c r="P784" s="481"/>
      <c r="Q784" s="481"/>
      <c r="R784" s="481"/>
      <c r="S784" s="481"/>
      <c r="T784" s="481"/>
      <c r="U784" s="481"/>
      <c r="V784" s="481"/>
      <c r="W784" s="481"/>
      <c r="X784" s="481"/>
      <c r="Y784" s="481"/>
      <c r="Z784" s="481"/>
      <c r="AA784" s="481"/>
      <c r="AB784" s="481"/>
      <c r="AC784" s="481"/>
    </row>
    <row r="785" hidden="1">
      <c r="A785" s="535"/>
      <c r="B785" s="536"/>
      <c r="C785" s="536"/>
      <c r="D785" s="537"/>
      <c r="E785" s="537"/>
      <c r="F785" s="537"/>
      <c r="G785" s="536"/>
      <c r="H785" s="481"/>
      <c r="I785" s="481"/>
      <c r="J785" s="481"/>
      <c r="K785" s="481"/>
      <c r="L785" s="481"/>
      <c r="M785" s="481"/>
      <c r="N785" s="481"/>
      <c r="O785" s="481"/>
      <c r="P785" s="481"/>
      <c r="Q785" s="481"/>
      <c r="R785" s="481"/>
      <c r="S785" s="481"/>
      <c r="T785" s="481"/>
      <c r="U785" s="481"/>
      <c r="V785" s="481"/>
      <c r="W785" s="481"/>
      <c r="X785" s="481"/>
      <c r="Y785" s="481"/>
      <c r="Z785" s="481"/>
      <c r="AA785" s="481"/>
      <c r="AB785" s="481"/>
      <c r="AC785" s="481"/>
    </row>
    <row r="786" hidden="1">
      <c r="A786" s="532"/>
      <c r="B786" s="533"/>
      <c r="C786" s="533"/>
      <c r="D786" s="534"/>
      <c r="E786" s="534"/>
      <c r="F786" s="534"/>
      <c r="G786" s="533"/>
      <c r="H786" s="481"/>
      <c r="I786" s="481"/>
      <c r="J786" s="481"/>
      <c r="K786" s="481"/>
      <c r="L786" s="481"/>
      <c r="M786" s="481"/>
      <c r="N786" s="481"/>
      <c r="O786" s="481"/>
      <c r="P786" s="481"/>
      <c r="Q786" s="481"/>
      <c r="R786" s="481"/>
      <c r="S786" s="481"/>
      <c r="T786" s="481"/>
      <c r="U786" s="481"/>
      <c r="V786" s="481"/>
      <c r="W786" s="481"/>
      <c r="X786" s="481"/>
      <c r="Y786" s="481"/>
      <c r="Z786" s="481"/>
      <c r="AA786" s="481"/>
      <c r="AB786" s="481"/>
      <c r="AC786" s="481"/>
    </row>
    <row r="787" hidden="1">
      <c r="A787" s="535"/>
      <c r="B787" s="536"/>
      <c r="C787" s="536"/>
      <c r="D787" s="537"/>
      <c r="E787" s="537"/>
      <c r="F787" s="537"/>
      <c r="G787" s="536"/>
      <c r="H787" s="481"/>
      <c r="I787" s="481"/>
      <c r="J787" s="481"/>
      <c r="K787" s="481"/>
      <c r="L787" s="481"/>
      <c r="M787" s="481"/>
      <c r="N787" s="481"/>
      <c r="O787" s="481"/>
      <c r="P787" s="481"/>
      <c r="Q787" s="481"/>
      <c r="R787" s="481"/>
      <c r="S787" s="481"/>
      <c r="T787" s="481"/>
      <c r="U787" s="481"/>
      <c r="V787" s="481"/>
      <c r="W787" s="481"/>
      <c r="X787" s="481"/>
      <c r="Y787" s="481"/>
      <c r="Z787" s="481"/>
      <c r="AA787" s="481"/>
      <c r="AB787" s="481"/>
      <c r="AC787" s="481"/>
    </row>
    <row r="788" hidden="1">
      <c r="A788" s="532"/>
      <c r="B788" s="533"/>
      <c r="C788" s="533"/>
      <c r="D788" s="534"/>
      <c r="E788" s="534"/>
      <c r="F788" s="534"/>
      <c r="G788" s="533"/>
      <c r="H788" s="481"/>
      <c r="I788" s="481"/>
      <c r="J788" s="481"/>
      <c r="K788" s="481"/>
      <c r="L788" s="481"/>
      <c r="M788" s="481"/>
      <c r="N788" s="481"/>
      <c r="O788" s="481"/>
      <c r="P788" s="481"/>
      <c r="Q788" s="481"/>
      <c r="R788" s="481"/>
      <c r="S788" s="481"/>
      <c r="T788" s="481"/>
      <c r="U788" s="481"/>
      <c r="V788" s="481"/>
      <c r="W788" s="481"/>
      <c r="X788" s="481"/>
      <c r="Y788" s="481"/>
      <c r="Z788" s="481"/>
      <c r="AA788" s="481"/>
      <c r="AB788" s="481"/>
      <c r="AC788" s="481"/>
    </row>
    <row r="789" hidden="1">
      <c r="A789" s="535"/>
      <c r="B789" s="536"/>
      <c r="C789" s="536"/>
      <c r="D789" s="537"/>
      <c r="E789" s="537"/>
      <c r="F789" s="537"/>
      <c r="G789" s="536"/>
      <c r="H789" s="481"/>
      <c r="I789" s="481"/>
      <c r="J789" s="481"/>
      <c r="K789" s="481"/>
      <c r="L789" s="481"/>
      <c r="M789" s="481"/>
      <c r="N789" s="481"/>
      <c r="O789" s="481"/>
      <c r="P789" s="481"/>
      <c r="Q789" s="481"/>
      <c r="R789" s="481"/>
      <c r="S789" s="481"/>
      <c r="T789" s="481"/>
      <c r="U789" s="481"/>
      <c r="V789" s="481"/>
      <c r="W789" s="481"/>
      <c r="X789" s="481"/>
      <c r="Y789" s="481"/>
      <c r="Z789" s="481"/>
      <c r="AA789" s="481"/>
      <c r="AB789" s="481"/>
      <c r="AC789" s="481"/>
    </row>
    <row r="790" hidden="1">
      <c r="A790" s="532"/>
      <c r="B790" s="533"/>
      <c r="C790" s="533"/>
      <c r="D790" s="534"/>
      <c r="E790" s="534"/>
      <c r="F790" s="534"/>
      <c r="G790" s="533"/>
      <c r="H790" s="481"/>
      <c r="I790" s="481"/>
      <c r="J790" s="481"/>
      <c r="K790" s="481"/>
      <c r="L790" s="481"/>
      <c r="M790" s="481"/>
      <c r="N790" s="481"/>
      <c r="O790" s="481"/>
      <c r="P790" s="481"/>
      <c r="Q790" s="481"/>
      <c r="R790" s="481"/>
      <c r="S790" s="481"/>
      <c r="T790" s="481"/>
      <c r="U790" s="481"/>
      <c r="V790" s="481"/>
      <c r="W790" s="481"/>
      <c r="X790" s="481"/>
      <c r="Y790" s="481"/>
      <c r="Z790" s="481"/>
      <c r="AA790" s="481"/>
      <c r="AB790" s="481"/>
      <c r="AC790" s="481"/>
    </row>
    <row r="791" hidden="1">
      <c r="A791" s="535"/>
      <c r="B791" s="536"/>
      <c r="C791" s="536"/>
      <c r="D791" s="537"/>
      <c r="E791" s="537"/>
      <c r="F791" s="537"/>
      <c r="G791" s="536"/>
      <c r="H791" s="481"/>
      <c r="I791" s="481"/>
      <c r="J791" s="481"/>
      <c r="K791" s="481"/>
      <c r="L791" s="481"/>
      <c r="M791" s="481"/>
      <c r="N791" s="481"/>
      <c r="O791" s="481"/>
      <c r="P791" s="481"/>
      <c r="Q791" s="481"/>
      <c r="R791" s="481"/>
      <c r="S791" s="481"/>
      <c r="T791" s="481"/>
      <c r="U791" s="481"/>
      <c r="V791" s="481"/>
      <c r="W791" s="481"/>
      <c r="X791" s="481"/>
      <c r="Y791" s="481"/>
      <c r="Z791" s="481"/>
      <c r="AA791" s="481"/>
      <c r="AB791" s="481"/>
      <c r="AC791" s="481"/>
    </row>
    <row r="792" hidden="1">
      <c r="A792" s="532"/>
      <c r="B792" s="533"/>
      <c r="C792" s="533"/>
      <c r="D792" s="534"/>
      <c r="E792" s="534"/>
      <c r="F792" s="534"/>
      <c r="G792" s="533"/>
      <c r="H792" s="481"/>
      <c r="I792" s="481"/>
      <c r="J792" s="481"/>
      <c r="K792" s="481"/>
      <c r="L792" s="481"/>
      <c r="M792" s="481"/>
      <c r="N792" s="481"/>
      <c r="O792" s="481"/>
      <c r="P792" s="481"/>
      <c r="Q792" s="481"/>
      <c r="R792" s="481"/>
      <c r="S792" s="481"/>
      <c r="T792" s="481"/>
      <c r="U792" s="481"/>
      <c r="V792" s="481"/>
      <c r="W792" s="481"/>
      <c r="X792" s="481"/>
      <c r="Y792" s="481"/>
      <c r="Z792" s="481"/>
      <c r="AA792" s="481"/>
      <c r="AB792" s="481"/>
      <c r="AC792" s="481"/>
    </row>
    <row r="793" hidden="1">
      <c r="A793" s="535"/>
      <c r="B793" s="536"/>
      <c r="C793" s="536"/>
      <c r="D793" s="537"/>
      <c r="E793" s="537"/>
      <c r="F793" s="537"/>
      <c r="G793" s="536"/>
      <c r="H793" s="481"/>
      <c r="I793" s="481"/>
      <c r="J793" s="481"/>
      <c r="K793" s="481"/>
      <c r="L793" s="481"/>
      <c r="M793" s="481"/>
      <c r="N793" s="481"/>
      <c r="O793" s="481"/>
      <c r="P793" s="481"/>
      <c r="Q793" s="481"/>
      <c r="R793" s="481"/>
      <c r="S793" s="481"/>
      <c r="T793" s="481"/>
      <c r="U793" s="481"/>
      <c r="V793" s="481"/>
      <c r="W793" s="481"/>
      <c r="X793" s="481"/>
      <c r="Y793" s="481"/>
      <c r="Z793" s="481"/>
      <c r="AA793" s="481"/>
      <c r="AB793" s="481"/>
      <c r="AC793" s="481"/>
    </row>
    <row r="794" hidden="1">
      <c r="A794" s="532"/>
      <c r="B794" s="533"/>
      <c r="C794" s="533"/>
      <c r="D794" s="534"/>
      <c r="E794" s="534"/>
      <c r="F794" s="534"/>
      <c r="G794" s="533"/>
      <c r="H794" s="481"/>
      <c r="I794" s="481"/>
      <c r="J794" s="481"/>
      <c r="K794" s="481"/>
      <c r="L794" s="481"/>
      <c r="M794" s="481"/>
      <c r="N794" s="481"/>
      <c r="O794" s="481"/>
      <c r="P794" s="481"/>
      <c r="Q794" s="481"/>
      <c r="R794" s="481"/>
      <c r="S794" s="481"/>
      <c r="T794" s="481"/>
      <c r="U794" s="481"/>
      <c r="V794" s="481"/>
      <c r="W794" s="481"/>
      <c r="X794" s="481"/>
      <c r="Y794" s="481"/>
      <c r="Z794" s="481"/>
      <c r="AA794" s="481"/>
      <c r="AB794" s="481"/>
      <c r="AC794" s="481"/>
    </row>
    <row r="795" hidden="1">
      <c r="A795" s="535"/>
      <c r="B795" s="536"/>
      <c r="C795" s="536"/>
      <c r="D795" s="537"/>
      <c r="E795" s="537"/>
      <c r="F795" s="537"/>
      <c r="G795" s="536"/>
      <c r="H795" s="481"/>
      <c r="I795" s="481"/>
      <c r="J795" s="481"/>
      <c r="K795" s="481"/>
      <c r="L795" s="481"/>
      <c r="M795" s="481"/>
      <c r="N795" s="481"/>
      <c r="O795" s="481"/>
      <c r="P795" s="481"/>
      <c r="Q795" s="481"/>
      <c r="R795" s="481"/>
      <c r="S795" s="481"/>
      <c r="T795" s="481"/>
      <c r="U795" s="481"/>
      <c r="V795" s="481"/>
      <c r="W795" s="481"/>
      <c r="X795" s="481"/>
      <c r="Y795" s="481"/>
      <c r="Z795" s="481"/>
      <c r="AA795" s="481"/>
      <c r="AB795" s="481"/>
      <c r="AC795" s="481"/>
    </row>
    <row r="796" hidden="1">
      <c r="A796" s="532"/>
      <c r="B796" s="533"/>
      <c r="C796" s="533"/>
      <c r="D796" s="534"/>
      <c r="E796" s="534"/>
      <c r="F796" s="534"/>
      <c r="G796" s="533"/>
      <c r="H796" s="481"/>
      <c r="I796" s="481"/>
      <c r="J796" s="481"/>
      <c r="K796" s="481"/>
      <c r="L796" s="481"/>
      <c r="M796" s="481"/>
      <c r="N796" s="481"/>
      <c r="O796" s="481"/>
      <c r="P796" s="481"/>
      <c r="Q796" s="481"/>
      <c r="R796" s="481"/>
      <c r="S796" s="481"/>
      <c r="T796" s="481"/>
      <c r="U796" s="481"/>
      <c r="V796" s="481"/>
      <c r="W796" s="481"/>
      <c r="X796" s="481"/>
      <c r="Y796" s="481"/>
      <c r="Z796" s="481"/>
      <c r="AA796" s="481"/>
      <c r="AB796" s="481"/>
      <c r="AC796" s="481"/>
    </row>
    <row r="797" hidden="1">
      <c r="A797" s="535"/>
      <c r="B797" s="536"/>
      <c r="C797" s="536"/>
      <c r="D797" s="537"/>
      <c r="E797" s="537"/>
      <c r="F797" s="537"/>
      <c r="G797" s="536"/>
      <c r="H797" s="481"/>
      <c r="I797" s="481"/>
      <c r="J797" s="481"/>
      <c r="K797" s="481"/>
      <c r="L797" s="481"/>
      <c r="M797" s="481"/>
      <c r="N797" s="481"/>
      <c r="O797" s="481"/>
      <c r="P797" s="481"/>
      <c r="Q797" s="481"/>
      <c r="R797" s="481"/>
      <c r="S797" s="481"/>
      <c r="T797" s="481"/>
      <c r="U797" s="481"/>
      <c r="V797" s="481"/>
      <c r="W797" s="481"/>
      <c r="X797" s="481"/>
      <c r="Y797" s="481"/>
      <c r="Z797" s="481"/>
      <c r="AA797" s="481"/>
      <c r="AB797" s="481"/>
      <c r="AC797" s="481"/>
    </row>
    <row r="798" hidden="1">
      <c r="A798" s="532"/>
      <c r="B798" s="533"/>
      <c r="C798" s="533"/>
      <c r="D798" s="534"/>
      <c r="E798" s="534"/>
      <c r="F798" s="534"/>
      <c r="G798" s="533"/>
      <c r="H798" s="481"/>
      <c r="I798" s="481"/>
      <c r="J798" s="481"/>
      <c r="K798" s="481"/>
      <c r="L798" s="481"/>
      <c r="M798" s="481"/>
      <c r="N798" s="481"/>
      <c r="O798" s="481"/>
      <c r="P798" s="481"/>
      <c r="Q798" s="481"/>
      <c r="R798" s="481"/>
      <c r="S798" s="481"/>
      <c r="T798" s="481"/>
      <c r="U798" s="481"/>
      <c r="V798" s="481"/>
      <c r="W798" s="481"/>
      <c r="X798" s="481"/>
      <c r="Y798" s="481"/>
      <c r="Z798" s="481"/>
      <c r="AA798" s="481"/>
      <c r="AB798" s="481"/>
      <c r="AC798" s="481"/>
    </row>
    <row r="799" hidden="1">
      <c r="A799" s="535"/>
      <c r="B799" s="536"/>
      <c r="C799" s="536"/>
      <c r="D799" s="537"/>
      <c r="E799" s="537"/>
      <c r="F799" s="537"/>
      <c r="G799" s="536"/>
      <c r="H799" s="481"/>
      <c r="I799" s="481"/>
      <c r="J799" s="481"/>
      <c r="K799" s="481"/>
      <c r="L799" s="481"/>
      <c r="M799" s="481"/>
      <c r="N799" s="481"/>
      <c r="O799" s="481"/>
      <c r="P799" s="481"/>
      <c r="Q799" s="481"/>
      <c r="R799" s="481"/>
      <c r="S799" s="481"/>
      <c r="T799" s="481"/>
      <c r="U799" s="481"/>
      <c r="V799" s="481"/>
      <c r="W799" s="481"/>
      <c r="X799" s="481"/>
      <c r="Y799" s="481"/>
      <c r="Z799" s="481"/>
      <c r="AA799" s="481"/>
      <c r="AB799" s="481"/>
      <c r="AC799" s="481"/>
    </row>
    <row r="800" hidden="1">
      <c r="A800" s="532"/>
      <c r="B800" s="533"/>
      <c r="C800" s="533"/>
      <c r="D800" s="534"/>
      <c r="E800" s="534"/>
      <c r="F800" s="534"/>
      <c r="G800" s="533"/>
      <c r="H800" s="481"/>
      <c r="I800" s="481"/>
      <c r="J800" s="481"/>
      <c r="K800" s="481"/>
      <c r="L800" s="481"/>
      <c r="M800" s="481"/>
      <c r="N800" s="481"/>
      <c r="O800" s="481"/>
      <c r="P800" s="481"/>
      <c r="Q800" s="481"/>
      <c r="R800" s="481"/>
      <c r="S800" s="481"/>
      <c r="T800" s="481"/>
      <c r="U800" s="481"/>
      <c r="V800" s="481"/>
      <c r="W800" s="481"/>
      <c r="X800" s="481"/>
      <c r="Y800" s="481"/>
      <c r="Z800" s="481"/>
      <c r="AA800" s="481"/>
      <c r="AB800" s="481"/>
      <c r="AC800" s="481"/>
    </row>
    <row r="801" hidden="1">
      <c r="A801" s="535"/>
      <c r="B801" s="536"/>
      <c r="C801" s="536"/>
      <c r="D801" s="537"/>
      <c r="E801" s="537"/>
      <c r="F801" s="537"/>
      <c r="G801" s="536"/>
      <c r="H801" s="481"/>
      <c r="I801" s="481"/>
      <c r="J801" s="481"/>
      <c r="K801" s="481"/>
      <c r="L801" s="481"/>
      <c r="M801" s="481"/>
      <c r="N801" s="481"/>
      <c r="O801" s="481"/>
      <c r="P801" s="481"/>
      <c r="Q801" s="481"/>
      <c r="R801" s="481"/>
      <c r="S801" s="481"/>
      <c r="T801" s="481"/>
      <c r="U801" s="481"/>
      <c r="V801" s="481"/>
      <c r="W801" s="481"/>
      <c r="X801" s="481"/>
      <c r="Y801" s="481"/>
      <c r="Z801" s="481"/>
      <c r="AA801" s="481"/>
      <c r="AB801" s="481"/>
      <c r="AC801" s="481"/>
    </row>
    <row r="802" hidden="1">
      <c r="A802" s="532"/>
      <c r="B802" s="533"/>
      <c r="C802" s="533"/>
      <c r="D802" s="534"/>
      <c r="E802" s="534"/>
      <c r="F802" s="534"/>
      <c r="G802" s="533"/>
      <c r="H802" s="481"/>
      <c r="I802" s="481"/>
      <c r="J802" s="481"/>
      <c r="K802" s="481"/>
      <c r="L802" s="481"/>
      <c r="M802" s="481"/>
      <c r="N802" s="481"/>
      <c r="O802" s="481"/>
      <c r="P802" s="481"/>
      <c r="Q802" s="481"/>
      <c r="R802" s="481"/>
      <c r="S802" s="481"/>
      <c r="T802" s="481"/>
      <c r="U802" s="481"/>
      <c r="V802" s="481"/>
      <c r="W802" s="481"/>
      <c r="X802" s="481"/>
      <c r="Y802" s="481"/>
      <c r="Z802" s="481"/>
      <c r="AA802" s="481"/>
      <c r="AB802" s="481"/>
      <c r="AC802" s="481"/>
    </row>
    <row r="803" hidden="1">
      <c r="A803" s="535"/>
      <c r="B803" s="536"/>
      <c r="C803" s="536"/>
      <c r="D803" s="537"/>
      <c r="E803" s="537"/>
      <c r="F803" s="537"/>
      <c r="G803" s="536"/>
      <c r="H803" s="481"/>
      <c r="I803" s="481"/>
      <c r="J803" s="481"/>
      <c r="K803" s="481"/>
      <c r="L803" s="481"/>
      <c r="M803" s="481"/>
      <c r="N803" s="481"/>
      <c r="O803" s="481"/>
      <c r="P803" s="481"/>
      <c r="Q803" s="481"/>
      <c r="R803" s="481"/>
      <c r="S803" s="481"/>
      <c r="T803" s="481"/>
      <c r="U803" s="481"/>
      <c r="V803" s="481"/>
      <c r="W803" s="481"/>
      <c r="X803" s="481"/>
      <c r="Y803" s="481"/>
      <c r="Z803" s="481"/>
      <c r="AA803" s="481"/>
      <c r="AB803" s="481"/>
      <c r="AC803" s="481"/>
    </row>
    <row r="804" hidden="1">
      <c r="A804" s="532"/>
      <c r="B804" s="533"/>
      <c r="C804" s="533"/>
      <c r="D804" s="534"/>
      <c r="E804" s="534"/>
      <c r="F804" s="534"/>
      <c r="G804" s="533"/>
      <c r="H804" s="481"/>
      <c r="I804" s="481"/>
      <c r="J804" s="481"/>
      <c r="K804" s="481"/>
      <c r="L804" s="481"/>
      <c r="M804" s="481"/>
      <c r="N804" s="481"/>
      <c r="O804" s="481"/>
      <c r="P804" s="481"/>
      <c r="Q804" s="481"/>
      <c r="R804" s="481"/>
      <c r="S804" s="481"/>
      <c r="T804" s="481"/>
      <c r="U804" s="481"/>
      <c r="V804" s="481"/>
      <c r="W804" s="481"/>
      <c r="X804" s="481"/>
      <c r="Y804" s="481"/>
      <c r="Z804" s="481"/>
      <c r="AA804" s="481"/>
      <c r="AB804" s="481"/>
      <c r="AC804" s="481"/>
    </row>
    <row r="805" hidden="1">
      <c r="A805" s="535"/>
      <c r="B805" s="536"/>
      <c r="C805" s="536"/>
      <c r="D805" s="537"/>
      <c r="E805" s="537"/>
      <c r="F805" s="537"/>
      <c r="G805" s="536"/>
      <c r="H805" s="481"/>
      <c r="I805" s="481"/>
      <c r="J805" s="481"/>
      <c r="K805" s="481"/>
      <c r="L805" s="481"/>
      <c r="M805" s="481"/>
      <c r="N805" s="481"/>
      <c r="O805" s="481"/>
      <c r="P805" s="481"/>
      <c r="Q805" s="481"/>
      <c r="R805" s="481"/>
      <c r="S805" s="481"/>
      <c r="T805" s="481"/>
      <c r="U805" s="481"/>
      <c r="V805" s="481"/>
      <c r="W805" s="481"/>
      <c r="X805" s="481"/>
      <c r="Y805" s="481"/>
      <c r="Z805" s="481"/>
      <c r="AA805" s="481"/>
      <c r="AB805" s="481"/>
      <c r="AC805" s="481"/>
    </row>
    <row r="806" hidden="1">
      <c r="A806" s="532"/>
      <c r="B806" s="533"/>
      <c r="C806" s="533"/>
      <c r="D806" s="534"/>
      <c r="E806" s="534"/>
      <c r="F806" s="534"/>
      <c r="G806" s="533"/>
      <c r="H806" s="481"/>
      <c r="I806" s="481"/>
      <c r="J806" s="481"/>
      <c r="K806" s="481"/>
      <c r="L806" s="481"/>
      <c r="M806" s="481"/>
      <c r="N806" s="481"/>
      <c r="O806" s="481"/>
      <c r="P806" s="481"/>
      <c r="Q806" s="481"/>
      <c r="R806" s="481"/>
      <c r="S806" s="481"/>
      <c r="T806" s="481"/>
      <c r="U806" s="481"/>
      <c r="V806" s="481"/>
      <c r="W806" s="481"/>
      <c r="X806" s="481"/>
      <c r="Y806" s="481"/>
      <c r="Z806" s="481"/>
      <c r="AA806" s="481"/>
      <c r="AB806" s="481"/>
      <c r="AC806" s="481"/>
    </row>
    <row r="807" hidden="1">
      <c r="A807" s="535"/>
      <c r="B807" s="536"/>
      <c r="C807" s="536"/>
      <c r="D807" s="537"/>
      <c r="E807" s="537"/>
      <c r="F807" s="537"/>
      <c r="G807" s="536"/>
      <c r="H807" s="481"/>
      <c r="I807" s="481"/>
      <c r="J807" s="481"/>
      <c r="K807" s="481"/>
      <c r="L807" s="481"/>
      <c r="M807" s="481"/>
      <c r="N807" s="481"/>
      <c r="O807" s="481"/>
      <c r="P807" s="481"/>
      <c r="Q807" s="481"/>
      <c r="R807" s="481"/>
      <c r="S807" s="481"/>
      <c r="T807" s="481"/>
      <c r="U807" s="481"/>
      <c r="V807" s="481"/>
      <c r="W807" s="481"/>
      <c r="X807" s="481"/>
      <c r="Y807" s="481"/>
      <c r="Z807" s="481"/>
      <c r="AA807" s="481"/>
      <c r="AB807" s="481"/>
      <c r="AC807" s="481"/>
    </row>
    <row r="808" hidden="1">
      <c r="A808" s="532"/>
      <c r="B808" s="533"/>
      <c r="C808" s="533"/>
      <c r="D808" s="534"/>
      <c r="E808" s="534"/>
      <c r="F808" s="534"/>
      <c r="G808" s="533"/>
      <c r="H808" s="481"/>
      <c r="I808" s="481"/>
      <c r="J808" s="481"/>
      <c r="K808" s="481"/>
      <c r="L808" s="481"/>
      <c r="M808" s="481"/>
      <c r="N808" s="481"/>
      <c r="O808" s="481"/>
      <c r="P808" s="481"/>
      <c r="Q808" s="481"/>
      <c r="R808" s="481"/>
      <c r="S808" s="481"/>
      <c r="T808" s="481"/>
      <c r="U808" s="481"/>
      <c r="V808" s="481"/>
      <c r="W808" s="481"/>
      <c r="X808" s="481"/>
      <c r="Y808" s="481"/>
      <c r="Z808" s="481"/>
      <c r="AA808" s="481"/>
      <c r="AB808" s="481"/>
      <c r="AC808" s="481"/>
    </row>
    <row r="809" hidden="1">
      <c r="A809" s="535"/>
      <c r="B809" s="536"/>
      <c r="C809" s="536"/>
      <c r="D809" s="537"/>
      <c r="E809" s="537"/>
      <c r="F809" s="537"/>
      <c r="G809" s="536"/>
      <c r="H809" s="481"/>
      <c r="I809" s="481"/>
      <c r="J809" s="481"/>
      <c r="K809" s="481"/>
      <c r="L809" s="481"/>
      <c r="M809" s="481"/>
      <c r="N809" s="481"/>
      <c r="O809" s="481"/>
      <c r="P809" s="481"/>
      <c r="Q809" s="481"/>
      <c r="R809" s="481"/>
      <c r="S809" s="481"/>
      <c r="T809" s="481"/>
      <c r="U809" s="481"/>
      <c r="V809" s="481"/>
      <c r="W809" s="481"/>
      <c r="X809" s="481"/>
      <c r="Y809" s="481"/>
      <c r="Z809" s="481"/>
      <c r="AA809" s="481"/>
      <c r="AB809" s="481"/>
      <c r="AC809" s="481"/>
    </row>
    <row r="810" hidden="1">
      <c r="A810" s="532"/>
      <c r="B810" s="533"/>
      <c r="C810" s="533"/>
      <c r="D810" s="534"/>
      <c r="E810" s="534"/>
      <c r="F810" s="534"/>
      <c r="G810" s="533"/>
      <c r="H810" s="481"/>
      <c r="I810" s="481"/>
      <c r="J810" s="481"/>
      <c r="K810" s="481"/>
      <c r="L810" s="481"/>
      <c r="M810" s="481"/>
      <c r="N810" s="481"/>
      <c r="O810" s="481"/>
      <c r="P810" s="481"/>
      <c r="Q810" s="481"/>
      <c r="R810" s="481"/>
      <c r="S810" s="481"/>
      <c r="T810" s="481"/>
      <c r="U810" s="481"/>
      <c r="V810" s="481"/>
      <c r="W810" s="481"/>
      <c r="X810" s="481"/>
      <c r="Y810" s="481"/>
      <c r="Z810" s="481"/>
      <c r="AA810" s="481"/>
      <c r="AB810" s="481"/>
      <c r="AC810" s="481"/>
    </row>
    <row r="811" hidden="1">
      <c r="A811" s="535"/>
      <c r="B811" s="536"/>
      <c r="C811" s="536"/>
      <c r="D811" s="537"/>
      <c r="E811" s="537"/>
      <c r="F811" s="537"/>
      <c r="G811" s="536"/>
      <c r="H811" s="481"/>
      <c r="I811" s="481"/>
      <c r="J811" s="481"/>
      <c r="K811" s="481"/>
      <c r="L811" s="481"/>
      <c r="M811" s="481"/>
      <c r="N811" s="481"/>
      <c r="O811" s="481"/>
      <c r="P811" s="481"/>
      <c r="Q811" s="481"/>
      <c r="R811" s="481"/>
      <c r="S811" s="481"/>
      <c r="T811" s="481"/>
      <c r="U811" s="481"/>
      <c r="V811" s="481"/>
      <c r="W811" s="481"/>
      <c r="X811" s="481"/>
      <c r="Y811" s="481"/>
      <c r="Z811" s="481"/>
      <c r="AA811" s="481"/>
      <c r="AB811" s="481"/>
      <c r="AC811" s="481"/>
    </row>
    <row r="812" hidden="1">
      <c r="A812" s="532"/>
      <c r="B812" s="533"/>
      <c r="C812" s="533"/>
      <c r="D812" s="534"/>
      <c r="E812" s="534"/>
      <c r="F812" s="534"/>
      <c r="G812" s="533"/>
      <c r="H812" s="481"/>
      <c r="I812" s="481"/>
      <c r="J812" s="481"/>
      <c r="K812" s="481"/>
      <c r="L812" s="481"/>
      <c r="M812" s="481"/>
      <c r="N812" s="481"/>
      <c r="O812" s="481"/>
      <c r="P812" s="481"/>
      <c r="Q812" s="481"/>
      <c r="R812" s="481"/>
      <c r="S812" s="481"/>
      <c r="T812" s="481"/>
      <c r="U812" s="481"/>
      <c r="V812" s="481"/>
      <c r="W812" s="481"/>
      <c r="X812" s="481"/>
      <c r="Y812" s="481"/>
      <c r="Z812" s="481"/>
      <c r="AA812" s="481"/>
      <c r="AB812" s="481"/>
      <c r="AC812" s="481"/>
    </row>
    <row r="813" hidden="1">
      <c r="A813" s="535"/>
      <c r="B813" s="536"/>
      <c r="C813" s="536"/>
      <c r="D813" s="537"/>
      <c r="E813" s="537"/>
      <c r="F813" s="537"/>
      <c r="G813" s="536"/>
      <c r="H813" s="481"/>
      <c r="I813" s="481"/>
      <c r="J813" s="481"/>
      <c r="K813" s="481"/>
      <c r="L813" s="481"/>
      <c r="M813" s="481"/>
      <c r="N813" s="481"/>
      <c r="O813" s="481"/>
      <c r="P813" s="481"/>
      <c r="Q813" s="481"/>
      <c r="R813" s="481"/>
      <c r="S813" s="481"/>
      <c r="T813" s="481"/>
      <c r="U813" s="481"/>
      <c r="V813" s="481"/>
      <c r="W813" s="481"/>
      <c r="X813" s="481"/>
      <c r="Y813" s="481"/>
      <c r="Z813" s="481"/>
      <c r="AA813" s="481"/>
      <c r="AB813" s="481"/>
      <c r="AC813" s="481"/>
    </row>
    <row r="814" hidden="1">
      <c r="A814" s="532"/>
      <c r="B814" s="533"/>
      <c r="C814" s="533"/>
      <c r="D814" s="534"/>
      <c r="E814" s="534"/>
      <c r="F814" s="534"/>
      <c r="G814" s="533"/>
      <c r="H814" s="481"/>
      <c r="I814" s="481"/>
      <c r="J814" s="481"/>
      <c r="K814" s="481"/>
      <c r="L814" s="481"/>
      <c r="M814" s="481"/>
      <c r="N814" s="481"/>
      <c r="O814" s="481"/>
      <c r="P814" s="481"/>
      <c r="Q814" s="481"/>
      <c r="R814" s="481"/>
      <c r="S814" s="481"/>
      <c r="T814" s="481"/>
      <c r="U814" s="481"/>
      <c r="V814" s="481"/>
      <c r="W814" s="481"/>
      <c r="X814" s="481"/>
      <c r="Y814" s="481"/>
      <c r="Z814" s="481"/>
      <c r="AA814" s="481"/>
      <c r="AB814" s="481"/>
      <c r="AC814" s="481"/>
    </row>
    <row r="815" hidden="1">
      <c r="A815" s="535"/>
      <c r="B815" s="536"/>
      <c r="C815" s="536"/>
      <c r="D815" s="537"/>
      <c r="E815" s="537"/>
      <c r="F815" s="537"/>
      <c r="G815" s="536"/>
      <c r="H815" s="481"/>
      <c r="I815" s="481"/>
      <c r="J815" s="481"/>
      <c r="K815" s="481"/>
      <c r="L815" s="481"/>
      <c r="M815" s="481"/>
      <c r="N815" s="481"/>
      <c r="O815" s="481"/>
      <c r="P815" s="481"/>
      <c r="Q815" s="481"/>
      <c r="R815" s="481"/>
      <c r="S815" s="481"/>
      <c r="T815" s="481"/>
      <c r="U815" s="481"/>
      <c r="V815" s="481"/>
      <c r="W815" s="481"/>
      <c r="X815" s="481"/>
      <c r="Y815" s="481"/>
      <c r="Z815" s="481"/>
      <c r="AA815" s="481"/>
      <c r="AB815" s="481"/>
      <c r="AC815" s="481"/>
    </row>
    <row r="816" hidden="1">
      <c r="A816" s="532"/>
      <c r="B816" s="533"/>
      <c r="C816" s="533"/>
      <c r="D816" s="534"/>
      <c r="E816" s="534"/>
      <c r="F816" s="534"/>
      <c r="G816" s="533"/>
      <c r="H816" s="481"/>
      <c r="I816" s="481"/>
      <c r="J816" s="481"/>
      <c r="K816" s="481"/>
      <c r="L816" s="481"/>
      <c r="M816" s="481"/>
      <c r="N816" s="481"/>
      <c r="O816" s="481"/>
      <c r="P816" s="481"/>
      <c r="Q816" s="481"/>
      <c r="R816" s="481"/>
      <c r="S816" s="481"/>
      <c r="T816" s="481"/>
      <c r="U816" s="481"/>
      <c r="V816" s="481"/>
      <c r="W816" s="481"/>
      <c r="X816" s="481"/>
      <c r="Y816" s="481"/>
      <c r="Z816" s="481"/>
      <c r="AA816" s="481"/>
      <c r="AB816" s="481"/>
      <c r="AC816" s="481"/>
    </row>
    <row r="817" hidden="1">
      <c r="A817" s="535"/>
      <c r="B817" s="536"/>
      <c r="C817" s="536"/>
      <c r="D817" s="537"/>
      <c r="E817" s="537"/>
      <c r="F817" s="537"/>
      <c r="G817" s="536"/>
      <c r="H817" s="481"/>
      <c r="I817" s="481"/>
      <c r="J817" s="481"/>
      <c r="K817" s="481"/>
      <c r="L817" s="481"/>
      <c r="M817" s="481"/>
      <c r="N817" s="481"/>
      <c r="O817" s="481"/>
      <c r="P817" s="481"/>
      <c r="Q817" s="481"/>
      <c r="R817" s="481"/>
      <c r="S817" s="481"/>
      <c r="T817" s="481"/>
      <c r="U817" s="481"/>
      <c r="V817" s="481"/>
      <c r="W817" s="481"/>
      <c r="X817" s="481"/>
      <c r="Y817" s="481"/>
      <c r="Z817" s="481"/>
      <c r="AA817" s="481"/>
      <c r="AB817" s="481"/>
      <c r="AC817" s="481"/>
    </row>
    <row r="818" hidden="1">
      <c r="A818" s="532"/>
      <c r="B818" s="533"/>
      <c r="C818" s="533"/>
      <c r="D818" s="534"/>
      <c r="E818" s="534"/>
      <c r="F818" s="534"/>
      <c r="G818" s="533"/>
      <c r="H818" s="481"/>
      <c r="I818" s="481"/>
      <c r="J818" s="481"/>
      <c r="K818" s="481"/>
      <c r="L818" s="481"/>
      <c r="M818" s="481"/>
      <c r="N818" s="481"/>
      <c r="O818" s="481"/>
      <c r="P818" s="481"/>
      <c r="Q818" s="481"/>
      <c r="R818" s="481"/>
      <c r="S818" s="481"/>
      <c r="T818" s="481"/>
      <c r="U818" s="481"/>
      <c r="V818" s="481"/>
      <c r="W818" s="481"/>
      <c r="X818" s="481"/>
      <c r="Y818" s="481"/>
      <c r="Z818" s="481"/>
      <c r="AA818" s="481"/>
      <c r="AB818" s="481"/>
      <c r="AC818" s="481"/>
    </row>
    <row r="819" hidden="1">
      <c r="A819" s="535"/>
      <c r="B819" s="536"/>
      <c r="C819" s="536"/>
      <c r="D819" s="537"/>
      <c r="E819" s="537"/>
      <c r="F819" s="537"/>
      <c r="G819" s="536"/>
      <c r="H819" s="481"/>
      <c r="I819" s="481"/>
      <c r="J819" s="481"/>
      <c r="K819" s="481"/>
      <c r="L819" s="481"/>
      <c r="M819" s="481"/>
      <c r="N819" s="481"/>
      <c r="O819" s="481"/>
      <c r="P819" s="481"/>
      <c r="Q819" s="481"/>
      <c r="R819" s="481"/>
      <c r="S819" s="481"/>
      <c r="T819" s="481"/>
      <c r="U819" s="481"/>
      <c r="V819" s="481"/>
      <c r="W819" s="481"/>
      <c r="X819" s="481"/>
      <c r="Y819" s="481"/>
      <c r="Z819" s="481"/>
      <c r="AA819" s="481"/>
      <c r="AB819" s="481"/>
      <c r="AC819" s="481"/>
    </row>
    <row r="820" hidden="1">
      <c r="A820" s="532"/>
      <c r="B820" s="533"/>
      <c r="C820" s="533"/>
      <c r="D820" s="534"/>
      <c r="E820" s="534"/>
      <c r="F820" s="534"/>
      <c r="G820" s="533"/>
      <c r="H820" s="481"/>
      <c r="I820" s="481"/>
      <c r="J820" s="481"/>
      <c r="K820" s="481"/>
      <c r="L820" s="481"/>
      <c r="M820" s="481"/>
      <c r="N820" s="481"/>
      <c r="O820" s="481"/>
      <c r="P820" s="481"/>
      <c r="Q820" s="481"/>
      <c r="R820" s="481"/>
      <c r="S820" s="481"/>
      <c r="T820" s="481"/>
      <c r="U820" s="481"/>
      <c r="V820" s="481"/>
      <c r="W820" s="481"/>
      <c r="X820" s="481"/>
      <c r="Y820" s="481"/>
      <c r="Z820" s="481"/>
      <c r="AA820" s="481"/>
      <c r="AB820" s="481"/>
      <c r="AC820" s="481"/>
    </row>
    <row r="821" hidden="1">
      <c r="A821" s="535"/>
      <c r="B821" s="536"/>
      <c r="C821" s="536"/>
      <c r="D821" s="537"/>
      <c r="E821" s="537"/>
      <c r="F821" s="537"/>
      <c r="G821" s="536"/>
      <c r="H821" s="481"/>
      <c r="I821" s="481"/>
      <c r="J821" s="481"/>
      <c r="K821" s="481"/>
      <c r="L821" s="481"/>
      <c r="M821" s="481"/>
      <c r="N821" s="481"/>
      <c r="O821" s="481"/>
      <c r="P821" s="481"/>
      <c r="Q821" s="481"/>
      <c r="R821" s="481"/>
      <c r="S821" s="481"/>
      <c r="T821" s="481"/>
      <c r="U821" s="481"/>
      <c r="V821" s="481"/>
      <c r="W821" s="481"/>
      <c r="X821" s="481"/>
      <c r="Y821" s="481"/>
      <c r="Z821" s="481"/>
      <c r="AA821" s="481"/>
      <c r="AB821" s="481"/>
      <c r="AC821" s="481"/>
    </row>
    <row r="822" hidden="1">
      <c r="A822" s="532"/>
      <c r="B822" s="533"/>
      <c r="C822" s="533"/>
      <c r="D822" s="534"/>
      <c r="E822" s="534"/>
      <c r="F822" s="534"/>
      <c r="G822" s="533"/>
      <c r="H822" s="481"/>
      <c r="I822" s="481"/>
      <c r="J822" s="481"/>
      <c r="K822" s="481"/>
      <c r="L822" s="481"/>
      <c r="M822" s="481"/>
      <c r="N822" s="481"/>
      <c r="O822" s="481"/>
      <c r="P822" s="481"/>
      <c r="Q822" s="481"/>
      <c r="R822" s="481"/>
      <c r="S822" s="481"/>
      <c r="T822" s="481"/>
      <c r="U822" s="481"/>
      <c r="V822" s="481"/>
      <c r="W822" s="481"/>
      <c r="X822" s="481"/>
      <c r="Y822" s="481"/>
      <c r="Z822" s="481"/>
      <c r="AA822" s="481"/>
      <c r="AB822" s="481"/>
      <c r="AC822" s="481"/>
    </row>
    <row r="823" hidden="1">
      <c r="A823" s="535"/>
      <c r="B823" s="536"/>
      <c r="C823" s="536"/>
      <c r="D823" s="537"/>
      <c r="E823" s="537"/>
      <c r="F823" s="537"/>
      <c r="G823" s="536"/>
      <c r="H823" s="481"/>
      <c r="I823" s="481"/>
      <c r="J823" s="481"/>
      <c r="K823" s="481"/>
      <c r="L823" s="481"/>
      <c r="M823" s="481"/>
      <c r="N823" s="481"/>
      <c r="O823" s="481"/>
      <c r="P823" s="481"/>
      <c r="Q823" s="481"/>
      <c r="R823" s="481"/>
      <c r="S823" s="481"/>
      <c r="T823" s="481"/>
      <c r="U823" s="481"/>
      <c r="V823" s="481"/>
      <c r="W823" s="481"/>
      <c r="X823" s="481"/>
      <c r="Y823" s="481"/>
      <c r="Z823" s="481"/>
      <c r="AA823" s="481"/>
      <c r="AB823" s="481"/>
      <c r="AC823" s="481"/>
    </row>
    <row r="824" hidden="1">
      <c r="A824" s="532"/>
      <c r="B824" s="533"/>
      <c r="C824" s="533"/>
      <c r="D824" s="534"/>
      <c r="E824" s="534"/>
      <c r="F824" s="534"/>
      <c r="G824" s="533"/>
      <c r="H824" s="481"/>
      <c r="I824" s="481"/>
      <c r="J824" s="481"/>
      <c r="K824" s="481"/>
      <c r="L824" s="481"/>
      <c r="M824" s="481"/>
      <c r="N824" s="481"/>
      <c r="O824" s="481"/>
      <c r="P824" s="481"/>
      <c r="Q824" s="481"/>
      <c r="R824" s="481"/>
      <c r="S824" s="481"/>
      <c r="T824" s="481"/>
      <c r="U824" s="481"/>
      <c r="V824" s="481"/>
      <c r="W824" s="481"/>
      <c r="X824" s="481"/>
      <c r="Y824" s="481"/>
      <c r="Z824" s="481"/>
      <c r="AA824" s="481"/>
      <c r="AB824" s="481"/>
      <c r="AC824" s="481"/>
    </row>
    <row r="825" hidden="1">
      <c r="A825" s="535"/>
      <c r="B825" s="536"/>
      <c r="C825" s="536"/>
      <c r="D825" s="537"/>
      <c r="E825" s="537"/>
      <c r="F825" s="537"/>
      <c r="G825" s="536"/>
      <c r="H825" s="481"/>
      <c r="I825" s="481"/>
      <c r="J825" s="481"/>
      <c r="K825" s="481"/>
      <c r="L825" s="481"/>
      <c r="M825" s="481"/>
      <c r="N825" s="481"/>
      <c r="O825" s="481"/>
      <c r="P825" s="481"/>
      <c r="Q825" s="481"/>
      <c r="R825" s="481"/>
      <c r="S825" s="481"/>
      <c r="T825" s="481"/>
      <c r="U825" s="481"/>
      <c r="V825" s="481"/>
      <c r="W825" s="481"/>
      <c r="X825" s="481"/>
      <c r="Y825" s="481"/>
      <c r="Z825" s="481"/>
      <c r="AA825" s="481"/>
      <c r="AB825" s="481"/>
      <c r="AC825" s="481"/>
    </row>
    <row r="826" hidden="1">
      <c r="A826" s="532"/>
      <c r="B826" s="533"/>
      <c r="C826" s="533"/>
      <c r="D826" s="534"/>
      <c r="E826" s="534"/>
      <c r="F826" s="534"/>
      <c r="G826" s="533"/>
      <c r="H826" s="481"/>
      <c r="I826" s="481"/>
      <c r="J826" s="481"/>
      <c r="K826" s="481"/>
      <c r="L826" s="481"/>
      <c r="M826" s="481"/>
      <c r="N826" s="481"/>
      <c r="O826" s="481"/>
      <c r="P826" s="481"/>
      <c r="Q826" s="481"/>
      <c r="R826" s="481"/>
      <c r="S826" s="481"/>
      <c r="T826" s="481"/>
      <c r="U826" s="481"/>
      <c r="V826" s="481"/>
      <c r="W826" s="481"/>
      <c r="X826" s="481"/>
      <c r="Y826" s="481"/>
      <c r="Z826" s="481"/>
      <c r="AA826" s="481"/>
      <c r="AB826" s="481"/>
      <c r="AC826" s="481"/>
    </row>
    <row r="827" hidden="1">
      <c r="A827" s="535"/>
      <c r="B827" s="536"/>
      <c r="C827" s="536"/>
      <c r="D827" s="537"/>
      <c r="E827" s="537"/>
      <c r="F827" s="537"/>
      <c r="G827" s="536"/>
      <c r="H827" s="481"/>
      <c r="I827" s="481"/>
      <c r="J827" s="481"/>
      <c r="K827" s="481"/>
      <c r="L827" s="481"/>
      <c r="M827" s="481"/>
      <c r="N827" s="481"/>
      <c r="O827" s="481"/>
      <c r="P827" s="481"/>
      <c r="Q827" s="481"/>
      <c r="R827" s="481"/>
      <c r="S827" s="481"/>
      <c r="T827" s="481"/>
      <c r="U827" s="481"/>
      <c r="V827" s="481"/>
      <c r="W827" s="481"/>
      <c r="X827" s="481"/>
      <c r="Y827" s="481"/>
      <c r="Z827" s="481"/>
      <c r="AA827" s="481"/>
      <c r="AB827" s="481"/>
      <c r="AC827" s="481"/>
    </row>
    <row r="828" hidden="1">
      <c r="A828" s="532"/>
      <c r="B828" s="533"/>
      <c r="C828" s="533"/>
      <c r="D828" s="534"/>
      <c r="E828" s="534"/>
      <c r="F828" s="534"/>
      <c r="G828" s="533"/>
      <c r="H828" s="481"/>
      <c r="I828" s="481"/>
      <c r="J828" s="481"/>
      <c r="K828" s="481"/>
      <c r="L828" s="481"/>
      <c r="M828" s="481"/>
      <c r="N828" s="481"/>
      <c r="O828" s="481"/>
      <c r="P828" s="481"/>
      <c r="Q828" s="481"/>
      <c r="R828" s="481"/>
      <c r="S828" s="481"/>
      <c r="T828" s="481"/>
      <c r="U828" s="481"/>
      <c r="V828" s="481"/>
      <c r="W828" s="481"/>
      <c r="X828" s="481"/>
      <c r="Y828" s="481"/>
      <c r="Z828" s="481"/>
      <c r="AA828" s="481"/>
      <c r="AB828" s="481"/>
      <c r="AC828" s="481"/>
    </row>
    <row r="829" hidden="1">
      <c r="A829" s="535"/>
      <c r="B829" s="536"/>
      <c r="C829" s="536"/>
      <c r="D829" s="537"/>
      <c r="E829" s="537"/>
      <c r="F829" s="537"/>
      <c r="G829" s="536"/>
      <c r="H829" s="481"/>
      <c r="I829" s="481"/>
      <c r="J829" s="481"/>
      <c r="K829" s="481"/>
      <c r="L829" s="481"/>
      <c r="M829" s="481"/>
      <c r="N829" s="481"/>
      <c r="O829" s="481"/>
      <c r="P829" s="481"/>
      <c r="Q829" s="481"/>
      <c r="R829" s="481"/>
      <c r="S829" s="481"/>
      <c r="T829" s="481"/>
      <c r="U829" s="481"/>
      <c r="V829" s="481"/>
      <c r="W829" s="481"/>
      <c r="X829" s="481"/>
      <c r="Y829" s="481"/>
      <c r="Z829" s="481"/>
      <c r="AA829" s="481"/>
      <c r="AB829" s="481"/>
      <c r="AC829" s="481"/>
    </row>
    <row r="830" hidden="1">
      <c r="A830" s="532"/>
      <c r="B830" s="533"/>
      <c r="C830" s="533"/>
      <c r="D830" s="534"/>
      <c r="E830" s="534"/>
      <c r="F830" s="534"/>
      <c r="G830" s="533"/>
      <c r="H830" s="481"/>
      <c r="I830" s="481"/>
      <c r="J830" s="481"/>
      <c r="K830" s="481"/>
      <c r="L830" s="481"/>
      <c r="M830" s="481"/>
      <c r="N830" s="481"/>
      <c r="O830" s="481"/>
      <c r="P830" s="481"/>
      <c r="Q830" s="481"/>
      <c r="R830" s="481"/>
      <c r="S830" s="481"/>
      <c r="T830" s="481"/>
      <c r="U830" s="481"/>
      <c r="V830" s="481"/>
      <c r="W830" s="481"/>
      <c r="X830" s="481"/>
      <c r="Y830" s="481"/>
      <c r="Z830" s="481"/>
      <c r="AA830" s="481"/>
      <c r="AB830" s="481"/>
      <c r="AC830" s="481"/>
    </row>
    <row r="831" hidden="1">
      <c r="A831" s="535"/>
      <c r="B831" s="536"/>
      <c r="C831" s="536"/>
      <c r="D831" s="537"/>
      <c r="E831" s="537"/>
      <c r="F831" s="537"/>
      <c r="G831" s="536"/>
      <c r="H831" s="481"/>
      <c r="I831" s="481"/>
      <c r="J831" s="481"/>
      <c r="K831" s="481"/>
      <c r="L831" s="481"/>
      <c r="M831" s="481"/>
      <c r="N831" s="481"/>
      <c r="O831" s="481"/>
      <c r="P831" s="481"/>
      <c r="Q831" s="481"/>
      <c r="R831" s="481"/>
      <c r="S831" s="481"/>
      <c r="T831" s="481"/>
      <c r="U831" s="481"/>
      <c r="V831" s="481"/>
      <c r="W831" s="481"/>
      <c r="X831" s="481"/>
      <c r="Y831" s="481"/>
      <c r="Z831" s="481"/>
      <c r="AA831" s="481"/>
      <c r="AB831" s="481"/>
      <c r="AC831" s="481"/>
    </row>
    <row r="832" hidden="1">
      <c r="A832" s="532"/>
      <c r="B832" s="533"/>
      <c r="C832" s="533"/>
      <c r="D832" s="534"/>
      <c r="E832" s="534"/>
      <c r="F832" s="534"/>
      <c r="G832" s="533"/>
      <c r="H832" s="481"/>
      <c r="I832" s="481"/>
      <c r="J832" s="481"/>
      <c r="K832" s="481"/>
      <c r="L832" s="481"/>
      <c r="M832" s="481"/>
      <c r="N832" s="481"/>
      <c r="O832" s="481"/>
      <c r="P832" s="481"/>
      <c r="Q832" s="481"/>
      <c r="R832" s="481"/>
      <c r="S832" s="481"/>
      <c r="T832" s="481"/>
      <c r="U832" s="481"/>
      <c r="V832" s="481"/>
      <c r="W832" s="481"/>
      <c r="X832" s="481"/>
      <c r="Y832" s="481"/>
      <c r="Z832" s="481"/>
      <c r="AA832" s="481"/>
      <c r="AB832" s="481"/>
      <c r="AC832" s="481"/>
    </row>
    <row r="833" hidden="1">
      <c r="A833" s="535"/>
      <c r="B833" s="536"/>
      <c r="C833" s="536"/>
      <c r="D833" s="537"/>
      <c r="E833" s="537"/>
      <c r="F833" s="537"/>
      <c r="G833" s="536"/>
      <c r="H833" s="481"/>
      <c r="I833" s="481"/>
      <c r="J833" s="481"/>
      <c r="K833" s="481"/>
      <c r="L833" s="481"/>
      <c r="M833" s="481"/>
      <c r="N833" s="481"/>
      <c r="O833" s="481"/>
      <c r="P833" s="481"/>
      <c r="Q833" s="481"/>
      <c r="R833" s="481"/>
      <c r="S833" s="481"/>
      <c r="T833" s="481"/>
      <c r="U833" s="481"/>
      <c r="V833" s="481"/>
      <c r="W833" s="481"/>
      <c r="X833" s="481"/>
      <c r="Y833" s="481"/>
      <c r="Z833" s="481"/>
      <c r="AA833" s="481"/>
      <c r="AB833" s="481"/>
      <c r="AC833" s="481"/>
    </row>
    <row r="834" hidden="1">
      <c r="A834" s="532"/>
      <c r="B834" s="533"/>
      <c r="C834" s="533"/>
      <c r="D834" s="534"/>
      <c r="E834" s="534"/>
      <c r="F834" s="534"/>
      <c r="G834" s="533"/>
      <c r="H834" s="481"/>
      <c r="I834" s="481"/>
      <c r="J834" s="481"/>
      <c r="K834" s="481"/>
      <c r="L834" s="481"/>
      <c r="M834" s="481"/>
      <c r="N834" s="481"/>
      <c r="O834" s="481"/>
      <c r="P834" s="481"/>
      <c r="Q834" s="481"/>
      <c r="R834" s="481"/>
      <c r="S834" s="481"/>
      <c r="T834" s="481"/>
      <c r="U834" s="481"/>
      <c r="V834" s="481"/>
      <c r="W834" s="481"/>
      <c r="X834" s="481"/>
      <c r="Y834" s="481"/>
      <c r="Z834" s="481"/>
      <c r="AA834" s="481"/>
      <c r="AB834" s="481"/>
      <c r="AC834" s="481"/>
    </row>
    <row r="835" hidden="1">
      <c r="A835" s="535"/>
      <c r="B835" s="536"/>
      <c r="C835" s="536"/>
      <c r="D835" s="537"/>
      <c r="E835" s="537"/>
      <c r="F835" s="537"/>
      <c r="G835" s="536"/>
      <c r="H835" s="481"/>
      <c r="I835" s="481"/>
      <c r="J835" s="481"/>
      <c r="K835" s="481"/>
      <c r="L835" s="481"/>
      <c r="M835" s="481"/>
      <c r="N835" s="481"/>
      <c r="O835" s="481"/>
      <c r="P835" s="481"/>
      <c r="Q835" s="481"/>
      <c r="R835" s="481"/>
      <c r="S835" s="481"/>
      <c r="T835" s="481"/>
      <c r="U835" s="481"/>
      <c r="V835" s="481"/>
      <c r="W835" s="481"/>
      <c r="X835" s="481"/>
      <c r="Y835" s="481"/>
      <c r="Z835" s="481"/>
      <c r="AA835" s="481"/>
      <c r="AB835" s="481"/>
      <c r="AC835" s="481"/>
    </row>
    <row r="836" hidden="1">
      <c r="A836" s="532"/>
      <c r="B836" s="533"/>
      <c r="C836" s="533"/>
      <c r="D836" s="534"/>
      <c r="E836" s="534"/>
      <c r="F836" s="534"/>
      <c r="G836" s="533"/>
      <c r="H836" s="481"/>
      <c r="I836" s="481"/>
      <c r="J836" s="481"/>
      <c r="K836" s="481"/>
      <c r="L836" s="481"/>
      <c r="M836" s="481"/>
      <c r="N836" s="481"/>
      <c r="O836" s="481"/>
      <c r="P836" s="481"/>
      <c r="Q836" s="481"/>
      <c r="R836" s="481"/>
      <c r="S836" s="481"/>
      <c r="T836" s="481"/>
      <c r="U836" s="481"/>
      <c r="V836" s="481"/>
      <c r="W836" s="481"/>
      <c r="X836" s="481"/>
      <c r="Y836" s="481"/>
      <c r="Z836" s="481"/>
      <c r="AA836" s="481"/>
      <c r="AB836" s="481"/>
      <c r="AC836" s="481"/>
    </row>
    <row r="837" hidden="1">
      <c r="A837" s="535"/>
      <c r="B837" s="536"/>
      <c r="C837" s="536"/>
      <c r="D837" s="537"/>
      <c r="E837" s="537"/>
      <c r="F837" s="537"/>
      <c r="G837" s="536"/>
      <c r="H837" s="481"/>
      <c r="I837" s="481"/>
      <c r="J837" s="481"/>
      <c r="K837" s="481"/>
      <c r="L837" s="481"/>
      <c r="M837" s="481"/>
      <c r="N837" s="481"/>
      <c r="O837" s="481"/>
      <c r="P837" s="481"/>
      <c r="Q837" s="481"/>
      <c r="R837" s="481"/>
      <c r="S837" s="481"/>
      <c r="T837" s="481"/>
      <c r="U837" s="481"/>
      <c r="V837" s="481"/>
      <c r="W837" s="481"/>
      <c r="X837" s="481"/>
      <c r="Y837" s="481"/>
      <c r="Z837" s="481"/>
      <c r="AA837" s="481"/>
      <c r="AB837" s="481"/>
      <c r="AC837" s="481"/>
    </row>
    <row r="838" hidden="1">
      <c r="A838" s="532"/>
      <c r="B838" s="533"/>
      <c r="C838" s="533"/>
      <c r="D838" s="534"/>
      <c r="E838" s="534"/>
      <c r="F838" s="534"/>
      <c r="G838" s="533"/>
      <c r="H838" s="481"/>
      <c r="I838" s="481"/>
      <c r="J838" s="481"/>
      <c r="K838" s="481"/>
      <c r="L838" s="481"/>
      <c r="M838" s="481"/>
      <c r="N838" s="481"/>
      <c r="O838" s="481"/>
      <c r="P838" s="481"/>
      <c r="Q838" s="481"/>
      <c r="R838" s="481"/>
      <c r="S838" s="481"/>
      <c r="T838" s="481"/>
      <c r="U838" s="481"/>
      <c r="V838" s="481"/>
      <c r="W838" s="481"/>
      <c r="X838" s="481"/>
      <c r="Y838" s="481"/>
      <c r="Z838" s="481"/>
      <c r="AA838" s="481"/>
      <c r="AB838" s="481"/>
      <c r="AC838" s="481"/>
    </row>
    <row r="839" hidden="1">
      <c r="A839" s="535"/>
      <c r="B839" s="536"/>
      <c r="C839" s="536"/>
      <c r="D839" s="537"/>
      <c r="E839" s="537"/>
      <c r="F839" s="537"/>
      <c r="G839" s="536"/>
      <c r="H839" s="481"/>
      <c r="I839" s="481"/>
      <c r="J839" s="481"/>
      <c r="K839" s="481"/>
      <c r="L839" s="481"/>
      <c r="M839" s="481"/>
      <c r="N839" s="481"/>
      <c r="O839" s="481"/>
      <c r="P839" s="481"/>
      <c r="Q839" s="481"/>
      <c r="R839" s="481"/>
      <c r="S839" s="481"/>
      <c r="T839" s="481"/>
      <c r="U839" s="481"/>
      <c r="V839" s="481"/>
      <c r="W839" s="481"/>
      <c r="X839" s="481"/>
      <c r="Y839" s="481"/>
      <c r="Z839" s="481"/>
      <c r="AA839" s="481"/>
      <c r="AB839" s="481"/>
      <c r="AC839" s="481"/>
    </row>
    <row r="840" hidden="1">
      <c r="A840" s="532"/>
      <c r="B840" s="533"/>
      <c r="C840" s="533"/>
      <c r="D840" s="534"/>
      <c r="E840" s="534"/>
      <c r="F840" s="534"/>
      <c r="G840" s="533"/>
      <c r="H840" s="481"/>
      <c r="I840" s="481"/>
      <c r="J840" s="481"/>
      <c r="K840" s="481"/>
      <c r="L840" s="481"/>
      <c r="M840" s="481"/>
      <c r="N840" s="481"/>
      <c r="O840" s="481"/>
      <c r="P840" s="481"/>
      <c r="Q840" s="481"/>
      <c r="R840" s="481"/>
      <c r="S840" s="481"/>
      <c r="T840" s="481"/>
      <c r="U840" s="481"/>
      <c r="V840" s="481"/>
      <c r="W840" s="481"/>
      <c r="X840" s="481"/>
      <c r="Y840" s="481"/>
      <c r="Z840" s="481"/>
      <c r="AA840" s="481"/>
      <c r="AB840" s="481"/>
      <c r="AC840" s="481"/>
    </row>
    <row r="841" hidden="1">
      <c r="A841" s="535"/>
      <c r="B841" s="536"/>
      <c r="C841" s="536"/>
      <c r="D841" s="537"/>
      <c r="E841" s="537"/>
      <c r="F841" s="537"/>
      <c r="G841" s="536"/>
      <c r="H841" s="481"/>
      <c r="I841" s="481"/>
      <c r="J841" s="481"/>
      <c r="K841" s="481"/>
      <c r="L841" s="481"/>
      <c r="M841" s="481"/>
      <c r="N841" s="481"/>
      <c r="O841" s="481"/>
      <c r="P841" s="481"/>
      <c r="Q841" s="481"/>
      <c r="R841" s="481"/>
      <c r="S841" s="481"/>
      <c r="T841" s="481"/>
      <c r="U841" s="481"/>
      <c r="V841" s="481"/>
      <c r="W841" s="481"/>
      <c r="X841" s="481"/>
      <c r="Y841" s="481"/>
      <c r="Z841" s="481"/>
      <c r="AA841" s="481"/>
      <c r="AB841" s="481"/>
      <c r="AC841" s="481"/>
    </row>
    <row r="842" hidden="1">
      <c r="A842" s="532"/>
      <c r="B842" s="533"/>
      <c r="C842" s="533"/>
      <c r="D842" s="534"/>
      <c r="E842" s="534"/>
      <c r="F842" s="534"/>
      <c r="G842" s="533"/>
      <c r="H842" s="481"/>
      <c r="I842" s="481"/>
      <c r="J842" s="481"/>
      <c r="K842" s="481"/>
      <c r="L842" s="481"/>
      <c r="M842" s="481"/>
      <c r="N842" s="481"/>
      <c r="O842" s="481"/>
      <c r="P842" s="481"/>
      <c r="Q842" s="481"/>
      <c r="R842" s="481"/>
      <c r="S842" s="481"/>
      <c r="T842" s="481"/>
      <c r="U842" s="481"/>
      <c r="V842" s="481"/>
      <c r="W842" s="481"/>
      <c r="X842" s="481"/>
      <c r="Y842" s="481"/>
      <c r="Z842" s="481"/>
      <c r="AA842" s="481"/>
      <c r="AB842" s="481"/>
      <c r="AC842" s="481"/>
    </row>
    <row r="843" hidden="1">
      <c r="A843" s="535"/>
      <c r="B843" s="536"/>
      <c r="C843" s="536"/>
      <c r="D843" s="537"/>
      <c r="E843" s="537"/>
      <c r="F843" s="537"/>
      <c r="G843" s="536"/>
      <c r="H843" s="481"/>
      <c r="I843" s="481"/>
      <c r="J843" s="481"/>
      <c r="K843" s="481"/>
      <c r="L843" s="481"/>
      <c r="M843" s="481"/>
      <c r="N843" s="481"/>
      <c r="O843" s="481"/>
      <c r="P843" s="481"/>
      <c r="Q843" s="481"/>
      <c r="R843" s="481"/>
      <c r="S843" s="481"/>
      <c r="T843" s="481"/>
      <c r="U843" s="481"/>
      <c r="V843" s="481"/>
      <c r="W843" s="481"/>
      <c r="X843" s="481"/>
      <c r="Y843" s="481"/>
      <c r="Z843" s="481"/>
      <c r="AA843" s="481"/>
      <c r="AB843" s="481"/>
      <c r="AC843" s="481"/>
    </row>
    <row r="844" hidden="1">
      <c r="A844" s="532"/>
      <c r="B844" s="533"/>
      <c r="C844" s="533"/>
      <c r="D844" s="534"/>
      <c r="E844" s="534"/>
      <c r="F844" s="534"/>
      <c r="G844" s="533"/>
      <c r="H844" s="481"/>
      <c r="I844" s="481"/>
      <c r="J844" s="481"/>
      <c r="K844" s="481"/>
      <c r="L844" s="481"/>
      <c r="M844" s="481"/>
      <c r="N844" s="481"/>
      <c r="O844" s="481"/>
      <c r="P844" s="481"/>
      <c r="Q844" s="481"/>
      <c r="R844" s="481"/>
      <c r="S844" s="481"/>
      <c r="T844" s="481"/>
      <c r="U844" s="481"/>
      <c r="V844" s="481"/>
      <c r="W844" s="481"/>
      <c r="X844" s="481"/>
      <c r="Y844" s="481"/>
      <c r="Z844" s="481"/>
      <c r="AA844" s="481"/>
      <c r="AB844" s="481"/>
      <c r="AC844" s="481"/>
    </row>
    <row r="845" hidden="1">
      <c r="A845" s="535"/>
      <c r="B845" s="536"/>
      <c r="C845" s="536"/>
      <c r="D845" s="537"/>
      <c r="E845" s="537"/>
      <c r="F845" s="537"/>
      <c r="G845" s="536"/>
      <c r="H845" s="481"/>
      <c r="I845" s="481"/>
      <c r="J845" s="481"/>
      <c r="K845" s="481"/>
      <c r="L845" s="481"/>
      <c r="M845" s="481"/>
      <c r="N845" s="481"/>
      <c r="O845" s="481"/>
      <c r="P845" s="481"/>
      <c r="Q845" s="481"/>
      <c r="R845" s="481"/>
      <c r="S845" s="481"/>
      <c r="T845" s="481"/>
      <c r="U845" s="481"/>
      <c r="V845" s="481"/>
      <c r="W845" s="481"/>
      <c r="X845" s="481"/>
      <c r="Y845" s="481"/>
      <c r="Z845" s="481"/>
      <c r="AA845" s="481"/>
      <c r="AB845" s="481"/>
      <c r="AC845" s="481"/>
    </row>
    <row r="846" hidden="1">
      <c r="A846" s="532"/>
      <c r="B846" s="533"/>
      <c r="C846" s="533"/>
      <c r="D846" s="534"/>
      <c r="E846" s="534"/>
      <c r="F846" s="534"/>
      <c r="G846" s="533"/>
      <c r="H846" s="481"/>
      <c r="I846" s="481"/>
      <c r="J846" s="481"/>
      <c r="K846" s="481"/>
      <c r="L846" s="481"/>
      <c r="M846" s="481"/>
      <c r="N846" s="481"/>
      <c r="O846" s="481"/>
      <c r="P846" s="481"/>
      <c r="Q846" s="481"/>
      <c r="R846" s="481"/>
      <c r="S846" s="481"/>
      <c r="T846" s="481"/>
      <c r="U846" s="481"/>
      <c r="V846" s="481"/>
      <c r="W846" s="481"/>
      <c r="X846" s="481"/>
      <c r="Y846" s="481"/>
      <c r="Z846" s="481"/>
      <c r="AA846" s="481"/>
      <c r="AB846" s="481"/>
      <c r="AC846" s="481"/>
    </row>
    <row r="847" hidden="1">
      <c r="A847" s="535"/>
      <c r="B847" s="536"/>
      <c r="C847" s="536"/>
      <c r="D847" s="537"/>
      <c r="E847" s="537"/>
      <c r="F847" s="537"/>
      <c r="G847" s="536"/>
      <c r="H847" s="481"/>
      <c r="I847" s="481"/>
      <c r="J847" s="481"/>
      <c r="K847" s="481"/>
      <c r="L847" s="481"/>
      <c r="M847" s="481"/>
      <c r="N847" s="481"/>
      <c r="O847" s="481"/>
      <c r="P847" s="481"/>
      <c r="Q847" s="481"/>
      <c r="R847" s="481"/>
      <c r="S847" s="481"/>
      <c r="T847" s="481"/>
      <c r="U847" s="481"/>
      <c r="V847" s="481"/>
      <c r="W847" s="481"/>
      <c r="X847" s="481"/>
      <c r="Y847" s="481"/>
      <c r="Z847" s="481"/>
      <c r="AA847" s="481"/>
      <c r="AB847" s="481"/>
      <c r="AC847" s="481"/>
    </row>
    <row r="848" hidden="1">
      <c r="A848" s="532"/>
      <c r="B848" s="533"/>
      <c r="C848" s="533"/>
      <c r="D848" s="534"/>
      <c r="E848" s="534"/>
      <c r="F848" s="534"/>
      <c r="G848" s="533"/>
      <c r="H848" s="481"/>
      <c r="I848" s="481"/>
      <c r="J848" s="481"/>
      <c r="K848" s="481"/>
      <c r="L848" s="481"/>
      <c r="M848" s="481"/>
      <c r="N848" s="481"/>
      <c r="O848" s="481"/>
      <c r="P848" s="481"/>
      <c r="Q848" s="481"/>
      <c r="R848" s="481"/>
      <c r="S848" s="481"/>
      <c r="T848" s="481"/>
      <c r="U848" s="481"/>
      <c r="V848" s="481"/>
      <c r="W848" s="481"/>
      <c r="X848" s="481"/>
      <c r="Y848" s="481"/>
      <c r="Z848" s="481"/>
      <c r="AA848" s="481"/>
      <c r="AB848" s="481"/>
      <c r="AC848" s="481"/>
    </row>
    <row r="849" hidden="1">
      <c r="A849" s="535"/>
      <c r="B849" s="536"/>
      <c r="C849" s="536"/>
      <c r="D849" s="537"/>
      <c r="E849" s="537"/>
      <c r="F849" s="537"/>
      <c r="G849" s="536"/>
      <c r="H849" s="481"/>
      <c r="I849" s="481"/>
      <c r="J849" s="481"/>
      <c r="K849" s="481"/>
      <c r="L849" s="481"/>
      <c r="M849" s="481"/>
      <c r="N849" s="481"/>
      <c r="O849" s="481"/>
      <c r="P849" s="481"/>
      <c r="Q849" s="481"/>
      <c r="R849" s="481"/>
      <c r="S849" s="481"/>
      <c r="T849" s="481"/>
      <c r="U849" s="481"/>
      <c r="V849" s="481"/>
      <c r="W849" s="481"/>
      <c r="X849" s="481"/>
      <c r="Y849" s="481"/>
      <c r="Z849" s="481"/>
      <c r="AA849" s="481"/>
      <c r="AB849" s="481"/>
      <c r="AC849" s="481"/>
    </row>
    <row r="850" hidden="1">
      <c r="A850" s="532"/>
      <c r="B850" s="533"/>
      <c r="C850" s="533"/>
      <c r="D850" s="534"/>
      <c r="E850" s="534"/>
      <c r="F850" s="534"/>
      <c r="G850" s="533"/>
      <c r="H850" s="481"/>
      <c r="I850" s="481"/>
      <c r="J850" s="481"/>
      <c r="K850" s="481"/>
      <c r="L850" s="481"/>
      <c r="M850" s="481"/>
      <c r="N850" s="481"/>
      <c r="O850" s="481"/>
      <c r="P850" s="481"/>
      <c r="Q850" s="481"/>
      <c r="R850" s="481"/>
      <c r="S850" s="481"/>
      <c r="T850" s="481"/>
      <c r="U850" s="481"/>
      <c r="V850" s="481"/>
      <c r="W850" s="481"/>
      <c r="X850" s="481"/>
      <c r="Y850" s="481"/>
      <c r="Z850" s="481"/>
      <c r="AA850" s="481"/>
      <c r="AB850" s="481"/>
      <c r="AC850" s="481"/>
    </row>
    <row r="851" hidden="1">
      <c r="A851" s="535"/>
      <c r="B851" s="536"/>
      <c r="C851" s="536"/>
      <c r="D851" s="537"/>
      <c r="E851" s="537"/>
      <c r="F851" s="537"/>
      <c r="G851" s="536"/>
      <c r="H851" s="481"/>
      <c r="I851" s="481"/>
      <c r="J851" s="481"/>
      <c r="K851" s="481"/>
      <c r="L851" s="481"/>
      <c r="M851" s="481"/>
      <c r="N851" s="481"/>
      <c r="O851" s="481"/>
      <c r="P851" s="481"/>
      <c r="Q851" s="481"/>
      <c r="R851" s="481"/>
      <c r="S851" s="481"/>
      <c r="T851" s="481"/>
      <c r="U851" s="481"/>
      <c r="V851" s="481"/>
      <c r="W851" s="481"/>
      <c r="X851" s="481"/>
      <c r="Y851" s="481"/>
      <c r="Z851" s="481"/>
      <c r="AA851" s="481"/>
      <c r="AB851" s="481"/>
      <c r="AC851" s="481"/>
    </row>
    <row r="852" hidden="1">
      <c r="A852" s="532"/>
      <c r="B852" s="533"/>
      <c r="C852" s="533"/>
      <c r="D852" s="534"/>
      <c r="E852" s="534"/>
      <c r="F852" s="534"/>
      <c r="G852" s="533"/>
      <c r="H852" s="481"/>
      <c r="I852" s="481"/>
      <c r="J852" s="481"/>
      <c r="K852" s="481"/>
      <c r="L852" s="481"/>
      <c r="M852" s="481"/>
      <c r="N852" s="481"/>
      <c r="O852" s="481"/>
      <c r="P852" s="481"/>
      <c r="Q852" s="481"/>
      <c r="R852" s="481"/>
      <c r="S852" s="481"/>
      <c r="T852" s="481"/>
      <c r="U852" s="481"/>
      <c r="V852" s="481"/>
      <c r="W852" s="481"/>
      <c r="X852" s="481"/>
      <c r="Y852" s="481"/>
      <c r="Z852" s="481"/>
      <c r="AA852" s="481"/>
      <c r="AB852" s="481"/>
      <c r="AC852" s="481"/>
    </row>
    <row r="853" hidden="1">
      <c r="A853" s="535"/>
      <c r="B853" s="536"/>
      <c r="C853" s="536"/>
      <c r="D853" s="537"/>
      <c r="E853" s="537"/>
      <c r="F853" s="537"/>
      <c r="G853" s="536"/>
      <c r="H853" s="481"/>
      <c r="I853" s="481"/>
      <c r="J853" s="481"/>
      <c r="K853" s="481"/>
      <c r="L853" s="481"/>
      <c r="M853" s="481"/>
      <c r="N853" s="481"/>
      <c r="O853" s="481"/>
      <c r="P853" s="481"/>
      <c r="Q853" s="481"/>
      <c r="R853" s="481"/>
      <c r="S853" s="481"/>
      <c r="T853" s="481"/>
      <c r="U853" s="481"/>
      <c r="V853" s="481"/>
      <c r="W853" s="481"/>
      <c r="X853" s="481"/>
      <c r="Y853" s="481"/>
      <c r="Z853" s="481"/>
      <c r="AA853" s="481"/>
      <c r="AB853" s="481"/>
      <c r="AC853" s="481"/>
    </row>
    <row r="854" hidden="1">
      <c r="A854" s="532"/>
      <c r="B854" s="533"/>
      <c r="C854" s="533"/>
      <c r="D854" s="534"/>
      <c r="E854" s="534"/>
      <c r="F854" s="534"/>
      <c r="G854" s="533"/>
      <c r="H854" s="481"/>
      <c r="I854" s="481"/>
      <c r="J854" s="481"/>
      <c r="K854" s="481"/>
      <c r="L854" s="481"/>
      <c r="M854" s="481"/>
      <c r="N854" s="481"/>
      <c r="O854" s="481"/>
      <c r="P854" s="481"/>
      <c r="Q854" s="481"/>
      <c r="R854" s="481"/>
      <c r="S854" s="481"/>
      <c r="T854" s="481"/>
      <c r="U854" s="481"/>
      <c r="V854" s="481"/>
      <c r="W854" s="481"/>
      <c r="X854" s="481"/>
      <c r="Y854" s="481"/>
      <c r="Z854" s="481"/>
      <c r="AA854" s="481"/>
      <c r="AB854" s="481"/>
      <c r="AC854" s="481"/>
    </row>
    <row r="855" hidden="1">
      <c r="A855" s="535"/>
      <c r="B855" s="536"/>
      <c r="C855" s="536"/>
      <c r="D855" s="537"/>
      <c r="E855" s="537"/>
      <c r="F855" s="537"/>
      <c r="G855" s="536"/>
      <c r="H855" s="481"/>
      <c r="I855" s="481"/>
      <c r="J855" s="481"/>
      <c r="K855" s="481"/>
      <c r="L855" s="481"/>
      <c r="M855" s="481"/>
      <c r="N855" s="481"/>
      <c r="O855" s="481"/>
      <c r="P855" s="481"/>
      <c r="Q855" s="481"/>
      <c r="R855" s="481"/>
      <c r="S855" s="481"/>
      <c r="T855" s="481"/>
      <c r="U855" s="481"/>
      <c r="V855" s="481"/>
      <c r="W855" s="481"/>
      <c r="X855" s="481"/>
      <c r="Y855" s="481"/>
      <c r="Z855" s="481"/>
      <c r="AA855" s="481"/>
      <c r="AB855" s="481"/>
      <c r="AC855" s="481"/>
    </row>
    <row r="856" hidden="1">
      <c r="A856" s="532"/>
      <c r="B856" s="533"/>
      <c r="C856" s="533"/>
      <c r="D856" s="534"/>
      <c r="E856" s="534"/>
      <c r="F856" s="534"/>
      <c r="G856" s="533"/>
      <c r="H856" s="481"/>
      <c r="I856" s="481"/>
      <c r="J856" s="481"/>
      <c r="K856" s="481"/>
      <c r="L856" s="481"/>
      <c r="M856" s="481"/>
      <c r="N856" s="481"/>
      <c r="O856" s="481"/>
      <c r="P856" s="481"/>
      <c r="Q856" s="481"/>
      <c r="R856" s="481"/>
      <c r="S856" s="481"/>
      <c r="T856" s="481"/>
      <c r="U856" s="481"/>
      <c r="V856" s="481"/>
      <c r="W856" s="481"/>
      <c r="X856" s="481"/>
      <c r="Y856" s="481"/>
      <c r="Z856" s="481"/>
      <c r="AA856" s="481"/>
      <c r="AB856" s="481"/>
      <c r="AC856" s="481"/>
    </row>
    <row r="857" hidden="1">
      <c r="A857" s="535"/>
      <c r="B857" s="536"/>
      <c r="C857" s="536"/>
      <c r="D857" s="537"/>
      <c r="E857" s="537"/>
      <c r="F857" s="537"/>
      <c r="G857" s="536"/>
      <c r="H857" s="481"/>
      <c r="I857" s="481"/>
      <c r="J857" s="481"/>
      <c r="K857" s="481"/>
      <c r="L857" s="481"/>
      <c r="M857" s="481"/>
      <c r="N857" s="481"/>
      <c r="O857" s="481"/>
      <c r="P857" s="481"/>
      <c r="Q857" s="481"/>
      <c r="R857" s="481"/>
      <c r="S857" s="481"/>
      <c r="T857" s="481"/>
      <c r="U857" s="481"/>
      <c r="V857" s="481"/>
      <c r="W857" s="481"/>
      <c r="X857" s="481"/>
      <c r="Y857" s="481"/>
      <c r="Z857" s="481"/>
      <c r="AA857" s="481"/>
      <c r="AB857" s="481"/>
      <c r="AC857" s="481"/>
    </row>
    <row r="858" hidden="1">
      <c r="A858" s="532"/>
      <c r="B858" s="533"/>
      <c r="C858" s="533"/>
      <c r="D858" s="534"/>
      <c r="E858" s="534"/>
      <c r="F858" s="534"/>
      <c r="G858" s="533"/>
      <c r="H858" s="481"/>
      <c r="I858" s="481"/>
      <c r="J858" s="481"/>
      <c r="K858" s="481"/>
      <c r="L858" s="481"/>
      <c r="M858" s="481"/>
      <c r="N858" s="481"/>
      <c r="O858" s="481"/>
      <c r="P858" s="481"/>
      <c r="Q858" s="481"/>
      <c r="R858" s="481"/>
      <c r="S858" s="481"/>
      <c r="T858" s="481"/>
      <c r="U858" s="481"/>
      <c r="V858" s="481"/>
      <c r="W858" s="481"/>
      <c r="X858" s="481"/>
      <c r="Y858" s="481"/>
      <c r="Z858" s="481"/>
      <c r="AA858" s="481"/>
      <c r="AB858" s="481"/>
      <c r="AC858" s="481"/>
    </row>
    <row r="859" hidden="1">
      <c r="A859" s="535"/>
      <c r="B859" s="536"/>
      <c r="C859" s="536"/>
      <c r="D859" s="537"/>
      <c r="E859" s="537"/>
      <c r="F859" s="537"/>
      <c r="G859" s="536"/>
      <c r="H859" s="481"/>
      <c r="I859" s="481"/>
      <c r="J859" s="481"/>
      <c r="K859" s="481"/>
      <c r="L859" s="481"/>
      <c r="M859" s="481"/>
      <c r="N859" s="481"/>
      <c r="O859" s="481"/>
      <c r="P859" s="481"/>
      <c r="Q859" s="481"/>
      <c r="R859" s="481"/>
      <c r="S859" s="481"/>
      <c r="T859" s="481"/>
      <c r="U859" s="481"/>
      <c r="V859" s="481"/>
      <c r="W859" s="481"/>
      <c r="X859" s="481"/>
      <c r="Y859" s="481"/>
      <c r="Z859" s="481"/>
      <c r="AA859" s="481"/>
      <c r="AB859" s="481"/>
      <c r="AC859" s="481"/>
    </row>
    <row r="860" hidden="1">
      <c r="A860" s="532"/>
      <c r="B860" s="533"/>
      <c r="C860" s="533"/>
      <c r="D860" s="534"/>
      <c r="E860" s="534"/>
      <c r="F860" s="534"/>
      <c r="G860" s="533"/>
      <c r="H860" s="481"/>
      <c r="I860" s="481"/>
      <c r="J860" s="481"/>
      <c r="K860" s="481"/>
      <c r="L860" s="481"/>
      <c r="M860" s="481"/>
      <c r="N860" s="481"/>
      <c r="O860" s="481"/>
      <c r="P860" s="481"/>
      <c r="Q860" s="481"/>
      <c r="R860" s="481"/>
      <c r="S860" s="481"/>
      <c r="T860" s="481"/>
      <c r="U860" s="481"/>
      <c r="V860" s="481"/>
      <c r="W860" s="481"/>
      <c r="X860" s="481"/>
      <c r="Y860" s="481"/>
      <c r="Z860" s="481"/>
      <c r="AA860" s="481"/>
      <c r="AB860" s="481"/>
      <c r="AC860" s="481"/>
    </row>
    <row r="861" hidden="1">
      <c r="A861" s="535"/>
      <c r="B861" s="536"/>
      <c r="C861" s="536"/>
      <c r="D861" s="537"/>
      <c r="E861" s="537"/>
      <c r="F861" s="537"/>
      <c r="G861" s="536"/>
      <c r="H861" s="481"/>
      <c r="I861" s="481"/>
      <c r="J861" s="481"/>
      <c r="K861" s="481"/>
      <c r="L861" s="481"/>
      <c r="M861" s="481"/>
      <c r="N861" s="481"/>
      <c r="O861" s="481"/>
      <c r="P861" s="481"/>
      <c r="Q861" s="481"/>
      <c r="R861" s="481"/>
      <c r="S861" s="481"/>
      <c r="T861" s="481"/>
      <c r="U861" s="481"/>
      <c r="V861" s="481"/>
      <c r="W861" s="481"/>
      <c r="X861" s="481"/>
      <c r="Y861" s="481"/>
      <c r="Z861" s="481"/>
      <c r="AA861" s="481"/>
      <c r="AB861" s="481"/>
      <c r="AC861" s="481"/>
    </row>
    <row r="862" hidden="1">
      <c r="A862" s="532"/>
      <c r="B862" s="533"/>
      <c r="C862" s="533"/>
      <c r="D862" s="534"/>
      <c r="E862" s="534"/>
      <c r="F862" s="534"/>
      <c r="G862" s="533"/>
      <c r="H862" s="481"/>
      <c r="I862" s="481"/>
      <c r="J862" s="481"/>
      <c r="K862" s="481"/>
      <c r="L862" s="481"/>
      <c r="M862" s="481"/>
      <c r="N862" s="481"/>
      <c r="O862" s="481"/>
      <c r="P862" s="481"/>
      <c r="Q862" s="481"/>
      <c r="R862" s="481"/>
      <c r="S862" s="481"/>
      <c r="T862" s="481"/>
      <c r="U862" s="481"/>
      <c r="V862" s="481"/>
      <c r="W862" s="481"/>
      <c r="X862" s="481"/>
      <c r="Y862" s="481"/>
      <c r="Z862" s="481"/>
      <c r="AA862" s="481"/>
      <c r="AB862" s="481"/>
      <c r="AC862" s="481"/>
    </row>
    <row r="863" hidden="1">
      <c r="A863" s="535"/>
      <c r="B863" s="536"/>
      <c r="C863" s="536"/>
      <c r="D863" s="537"/>
      <c r="E863" s="537"/>
      <c r="F863" s="537"/>
      <c r="G863" s="536"/>
      <c r="H863" s="481"/>
      <c r="I863" s="481"/>
      <c r="J863" s="481"/>
      <c r="K863" s="481"/>
      <c r="L863" s="481"/>
      <c r="M863" s="481"/>
      <c r="N863" s="481"/>
      <c r="O863" s="481"/>
      <c r="P863" s="481"/>
      <c r="Q863" s="481"/>
      <c r="R863" s="481"/>
      <c r="S863" s="481"/>
      <c r="T863" s="481"/>
      <c r="U863" s="481"/>
      <c r="V863" s="481"/>
      <c r="W863" s="481"/>
      <c r="X863" s="481"/>
      <c r="Y863" s="481"/>
      <c r="Z863" s="481"/>
      <c r="AA863" s="481"/>
      <c r="AB863" s="481"/>
      <c r="AC863" s="481"/>
    </row>
    <row r="864" hidden="1">
      <c r="A864" s="532"/>
      <c r="B864" s="533"/>
      <c r="C864" s="533"/>
      <c r="D864" s="534"/>
      <c r="E864" s="534"/>
      <c r="F864" s="534"/>
      <c r="G864" s="533"/>
      <c r="H864" s="481"/>
      <c r="I864" s="481"/>
      <c r="J864" s="481"/>
      <c r="K864" s="481"/>
      <c r="L864" s="481"/>
      <c r="M864" s="481"/>
      <c r="N864" s="481"/>
      <c r="O864" s="481"/>
      <c r="P864" s="481"/>
      <c r="Q864" s="481"/>
      <c r="R864" s="481"/>
      <c r="S864" s="481"/>
      <c r="T864" s="481"/>
      <c r="U864" s="481"/>
      <c r="V864" s="481"/>
      <c r="W864" s="481"/>
      <c r="X864" s="481"/>
      <c r="Y864" s="481"/>
      <c r="Z864" s="481"/>
      <c r="AA864" s="481"/>
      <c r="AB864" s="481"/>
      <c r="AC864" s="481"/>
    </row>
    <row r="865" hidden="1">
      <c r="A865" s="535"/>
      <c r="B865" s="536"/>
      <c r="C865" s="536"/>
      <c r="D865" s="537"/>
      <c r="E865" s="537"/>
      <c r="F865" s="537"/>
      <c r="G865" s="536"/>
      <c r="H865" s="481"/>
      <c r="I865" s="481"/>
      <c r="J865" s="481"/>
      <c r="K865" s="481"/>
      <c r="L865" s="481"/>
      <c r="M865" s="481"/>
      <c r="N865" s="481"/>
      <c r="O865" s="481"/>
      <c r="P865" s="481"/>
      <c r="Q865" s="481"/>
      <c r="R865" s="481"/>
      <c r="S865" s="481"/>
      <c r="T865" s="481"/>
      <c r="U865" s="481"/>
      <c r="V865" s="481"/>
      <c r="W865" s="481"/>
      <c r="X865" s="481"/>
      <c r="Y865" s="481"/>
      <c r="Z865" s="481"/>
      <c r="AA865" s="481"/>
      <c r="AB865" s="481"/>
      <c r="AC865" s="481"/>
    </row>
    <row r="866" hidden="1">
      <c r="A866" s="532"/>
      <c r="B866" s="533"/>
      <c r="C866" s="533"/>
      <c r="D866" s="534"/>
      <c r="E866" s="534"/>
      <c r="F866" s="534"/>
      <c r="G866" s="533"/>
      <c r="H866" s="481"/>
      <c r="I866" s="481"/>
      <c r="J866" s="481"/>
      <c r="K866" s="481"/>
      <c r="L866" s="481"/>
      <c r="M866" s="481"/>
      <c r="N866" s="481"/>
      <c r="O866" s="481"/>
      <c r="P866" s="481"/>
      <c r="Q866" s="481"/>
      <c r="R866" s="481"/>
      <c r="S866" s="481"/>
      <c r="T866" s="481"/>
      <c r="U866" s="481"/>
      <c r="V866" s="481"/>
      <c r="W866" s="481"/>
      <c r="X866" s="481"/>
      <c r="Y866" s="481"/>
      <c r="Z866" s="481"/>
      <c r="AA866" s="481"/>
      <c r="AB866" s="481"/>
      <c r="AC866" s="481"/>
    </row>
    <row r="867" hidden="1">
      <c r="A867" s="535"/>
      <c r="B867" s="536"/>
      <c r="C867" s="536"/>
      <c r="D867" s="537"/>
      <c r="E867" s="537"/>
      <c r="F867" s="537"/>
      <c r="G867" s="536"/>
      <c r="H867" s="481"/>
      <c r="I867" s="481"/>
      <c r="J867" s="481"/>
      <c r="K867" s="481"/>
      <c r="L867" s="481"/>
      <c r="M867" s="481"/>
      <c r="N867" s="481"/>
      <c r="O867" s="481"/>
      <c r="P867" s="481"/>
      <c r="Q867" s="481"/>
      <c r="R867" s="481"/>
      <c r="S867" s="481"/>
      <c r="T867" s="481"/>
      <c r="U867" s="481"/>
      <c r="V867" s="481"/>
      <c r="W867" s="481"/>
      <c r="X867" s="481"/>
      <c r="Y867" s="481"/>
      <c r="Z867" s="481"/>
      <c r="AA867" s="481"/>
      <c r="AB867" s="481"/>
      <c r="AC867" s="481"/>
    </row>
    <row r="868" hidden="1">
      <c r="A868" s="532"/>
      <c r="B868" s="533"/>
      <c r="C868" s="533"/>
      <c r="D868" s="534"/>
      <c r="E868" s="534"/>
      <c r="F868" s="534"/>
      <c r="G868" s="533"/>
      <c r="H868" s="481"/>
      <c r="I868" s="481"/>
      <c r="J868" s="481"/>
      <c r="K868" s="481"/>
      <c r="L868" s="481"/>
      <c r="M868" s="481"/>
      <c r="N868" s="481"/>
      <c r="O868" s="481"/>
      <c r="P868" s="481"/>
      <c r="Q868" s="481"/>
      <c r="R868" s="481"/>
      <c r="S868" s="481"/>
      <c r="T868" s="481"/>
      <c r="U868" s="481"/>
      <c r="V868" s="481"/>
      <c r="W868" s="481"/>
      <c r="X868" s="481"/>
      <c r="Y868" s="481"/>
      <c r="Z868" s="481"/>
      <c r="AA868" s="481"/>
      <c r="AB868" s="481"/>
      <c r="AC868" s="481"/>
    </row>
    <row r="869" hidden="1">
      <c r="A869" s="535"/>
      <c r="B869" s="536"/>
      <c r="C869" s="536"/>
      <c r="D869" s="537"/>
      <c r="E869" s="537"/>
      <c r="F869" s="537"/>
      <c r="G869" s="536"/>
      <c r="H869" s="481"/>
      <c r="I869" s="481"/>
      <c r="J869" s="481"/>
      <c r="K869" s="481"/>
      <c r="L869" s="481"/>
      <c r="M869" s="481"/>
      <c r="N869" s="481"/>
      <c r="O869" s="481"/>
      <c r="P869" s="481"/>
      <c r="Q869" s="481"/>
      <c r="R869" s="481"/>
      <c r="S869" s="481"/>
      <c r="T869" s="481"/>
      <c r="U869" s="481"/>
      <c r="V869" s="481"/>
      <c r="W869" s="481"/>
      <c r="X869" s="481"/>
      <c r="Y869" s="481"/>
      <c r="Z869" s="481"/>
      <c r="AA869" s="481"/>
      <c r="AB869" s="481"/>
      <c r="AC869" s="481"/>
    </row>
    <row r="870" hidden="1">
      <c r="A870" s="532"/>
      <c r="B870" s="533"/>
      <c r="C870" s="533"/>
      <c r="D870" s="534"/>
      <c r="E870" s="534"/>
      <c r="F870" s="534"/>
      <c r="G870" s="533"/>
      <c r="H870" s="481"/>
      <c r="I870" s="481"/>
      <c r="J870" s="481"/>
      <c r="K870" s="481"/>
      <c r="L870" s="481"/>
      <c r="M870" s="481"/>
      <c r="N870" s="481"/>
      <c r="O870" s="481"/>
      <c r="P870" s="481"/>
      <c r="Q870" s="481"/>
      <c r="R870" s="481"/>
      <c r="S870" s="481"/>
      <c r="T870" s="481"/>
      <c r="U870" s="481"/>
      <c r="V870" s="481"/>
      <c r="W870" s="481"/>
      <c r="X870" s="481"/>
      <c r="Y870" s="481"/>
      <c r="Z870" s="481"/>
      <c r="AA870" s="481"/>
      <c r="AB870" s="481"/>
      <c r="AC870" s="481"/>
    </row>
    <row r="871" hidden="1">
      <c r="A871" s="535"/>
      <c r="B871" s="536"/>
      <c r="C871" s="536"/>
      <c r="D871" s="537"/>
      <c r="E871" s="537"/>
      <c r="F871" s="537"/>
      <c r="G871" s="536"/>
      <c r="H871" s="481"/>
      <c r="I871" s="481"/>
      <c r="J871" s="481"/>
      <c r="K871" s="481"/>
      <c r="L871" s="481"/>
      <c r="M871" s="481"/>
      <c r="N871" s="481"/>
      <c r="O871" s="481"/>
      <c r="P871" s="481"/>
      <c r="Q871" s="481"/>
      <c r="R871" s="481"/>
      <c r="S871" s="481"/>
      <c r="T871" s="481"/>
      <c r="U871" s="481"/>
      <c r="V871" s="481"/>
      <c r="W871" s="481"/>
      <c r="X871" s="481"/>
      <c r="Y871" s="481"/>
      <c r="Z871" s="481"/>
      <c r="AA871" s="481"/>
      <c r="AB871" s="481"/>
      <c r="AC871" s="481"/>
    </row>
    <row r="872" hidden="1">
      <c r="A872" s="532"/>
      <c r="B872" s="533"/>
      <c r="C872" s="533"/>
      <c r="D872" s="534"/>
      <c r="E872" s="534"/>
      <c r="F872" s="534"/>
      <c r="G872" s="533"/>
      <c r="H872" s="481"/>
      <c r="I872" s="481"/>
      <c r="J872" s="481"/>
      <c r="K872" s="481"/>
      <c r="L872" s="481"/>
      <c r="M872" s="481"/>
      <c r="N872" s="481"/>
      <c r="O872" s="481"/>
      <c r="P872" s="481"/>
      <c r="Q872" s="481"/>
      <c r="R872" s="481"/>
      <c r="S872" s="481"/>
      <c r="T872" s="481"/>
      <c r="U872" s="481"/>
      <c r="V872" s="481"/>
      <c r="W872" s="481"/>
      <c r="X872" s="481"/>
      <c r="Y872" s="481"/>
      <c r="Z872" s="481"/>
      <c r="AA872" s="481"/>
      <c r="AB872" s="481"/>
      <c r="AC872" s="481"/>
    </row>
    <row r="873" hidden="1">
      <c r="A873" s="535"/>
      <c r="B873" s="536"/>
      <c r="C873" s="536"/>
      <c r="D873" s="537"/>
      <c r="E873" s="537"/>
      <c r="F873" s="537"/>
      <c r="G873" s="536"/>
      <c r="H873" s="481"/>
      <c r="I873" s="481"/>
      <c r="J873" s="481"/>
      <c r="K873" s="481"/>
      <c r="L873" s="481"/>
      <c r="M873" s="481"/>
      <c r="N873" s="481"/>
      <c r="O873" s="481"/>
      <c r="P873" s="481"/>
      <c r="Q873" s="481"/>
      <c r="R873" s="481"/>
      <c r="S873" s="481"/>
      <c r="T873" s="481"/>
      <c r="U873" s="481"/>
      <c r="V873" s="481"/>
      <c r="W873" s="481"/>
      <c r="X873" s="481"/>
      <c r="Y873" s="481"/>
      <c r="Z873" s="481"/>
      <c r="AA873" s="481"/>
      <c r="AB873" s="481"/>
      <c r="AC873" s="481"/>
    </row>
    <row r="874" hidden="1">
      <c r="A874" s="532"/>
      <c r="B874" s="533"/>
      <c r="C874" s="533"/>
      <c r="D874" s="534"/>
      <c r="E874" s="534"/>
      <c r="F874" s="534"/>
      <c r="G874" s="533"/>
      <c r="H874" s="481"/>
      <c r="I874" s="481"/>
      <c r="J874" s="481"/>
      <c r="K874" s="481"/>
      <c r="L874" s="481"/>
      <c r="M874" s="481"/>
      <c r="N874" s="481"/>
      <c r="O874" s="481"/>
      <c r="P874" s="481"/>
      <c r="Q874" s="481"/>
      <c r="R874" s="481"/>
      <c r="S874" s="481"/>
      <c r="T874" s="481"/>
      <c r="U874" s="481"/>
      <c r="V874" s="481"/>
      <c r="W874" s="481"/>
      <c r="X874" s="481"/>
      <c r="Y874" s="481"/>
      <c r="Z874" s="481"/>
      <c r="AA874" s="481"/>
      <c r="AB874" s="481"/>
      <c r="AC874" s="481"/>
    </row>
    <row r="875" hidden="1">
      <c r="A875" s="535"/>
      <c r="B875" s="536"/>
      <c r="C875" s="536"/>
      <c r="D875" s="537"/>
      <c r="E875" s="537"/>
      <c r="F875" s="537"/>
      <c r="G875" s="536"/>
      <c r="H875" s="481"/>
      <c r="I875" s="481"/>
      <c r="J875" s="481"/>
      <c r="K875" s="481"/>
      <c r="L875" s="481"/>
      <c r="M875" s="481"/>
      <c r="N875" s="481"/>
      <c r="O875" s="481"/>
      <c r="P875" s="481"/>
      <c r="Q875" s="481"/>
      <c r="R875" s="481"/>
      <c r="S875" s="481"/>
      <c r="T875" s="481"/>
      <c r="U875" s="481"/>
      <c r="V875" s="481"/>
      <c r="W875" s="481"/>
      <c r="X875" s="481"/>
      <c r="Y875" s="481"/>
      <c r="Z875" s="481"/>
      <c r="AA875" s="481"/>
      <c r="AB875" s="481"/>
      <c r="AC875" s="481"/>
    </row>
    <row r="876" hidden="1">
      <c r="A876" s="532"/>
      <c r="B876" s="533"/>
      <c r="C876" s="533"/>
      <c r="D876" s="534"/>
      <c r="E876" s="534"/>
      <c r="F876" s="534"/>
      <c r="G876" s="533"/>
      <c r="H876" s="481"/>
      <c r="I876" s="481"/>
      <c r="J876" s="481"/>
      <c r="K876" s="481"/>
      <c r="L876" s="481"/>
      <c r="M876" s="481"/>
      <c r="N876" s="481"/>
      <c r="O876" s="481"/>
      <c r="P876" s="481"/>
      <c r="Q876" s="481"/>
      <c r="R876" s="481"/>
      <c r="S876" s="481"/>
      <c r="T876" s="481"/>
      <c r="U876" s="481"/>
      <c r="V876" s="481"/>
      <c r="W876" s="481"/>
      <c r="X876" s="481"/>
      <c r="Y876" s="481"/>
      <c r="Z876" s="481"/>
      <c r="AA876" s="481"/>
      <c r="AB876" s="481"/>
      <c r="AC876" s="481"/>
    </row>
    <row r="877" hidden="1">
      <c r="A877" s="535"/>
      <c r="B877" s="536"/>
      <c r="C877" s="536"/>
      <c r="D877" s="537"/>
      <c r="E877" s="537"/>
      <c r="F877" s="537"/>
      <c r="G877" s="536"/>
      <c r="H877" s="481"/>
      <c r="I877" s="481"/>
      <c r="J877" s="481"/>
      <c r="K877" s="481"/>
      <c r="L877" s="481"/>
      <c r="M877" s="481"/>
      <c r="N877" s="481"/>
      <c r="O877" s="481"/>
      <c r="P877" s="481"/>
      <c r="Q877" s="481"/>
      <c r="R877" s="481"/>
      <c r="S877" s="481"/>
      <c r="T877" s="481"/>
      <c r="U877" s="481"/>
      <c r="V877" s="481"/>
      <c r="W877" s="481"/>
      <c r="X877" s="481"/>
      <c r="Y877" s="481"/>
      <c r="Z877" s="481"/>
      <c r="AA877" s="481"/>
      <c r="AB877" s="481"/>
      <c r="AC877" s="481"/>
    </row>
    <row r="878" hidden="1">
      <c r="A878" s="532"/>
      <c r="B878" s="533"/>
      <c r="C878" s="533"/>
      <c r="D878" s="534"/>
      <c r="E878" s="534"/>
      <c r="F878" s="534"/>
      <c r="G878" s="533"/>
      <c r="H878" s="481"/>
      <c r="I878" s="481"/>
      <c r="J878" s="481"/>
      <c r="K878" s="481"/>
      <c r="L878" s="481"/>
      <c r="M878" s="481"/>
      <c r="N878" s="481"/>
      <c r="O878" s="481"/>
      <c r="P878" s="481"/>
      <c r="Q878" s="481"/>
      <c r="R878" s="481"/>
      <c r="S878" s="481"/>
      <c r="T878" s="481"/>
      <c r="U878" s="481"/>
      <c r="V878" s="481"/>
      <c r="W878" s="481"/>
      <c r="X878" s="481"/>
      <c r="Y878" s="481"/>
      <c r="Z878" s="481"/>
      <c r="AA878" s="481"/>
      <c r="AB878" s="481"/>
      <c r="AC878" s="481"/>
    </row>
    <row r="879" hidden="1">
      <c r="A879" s="535"/>
      <c r="B879" s="536"/>
      <c r="C879" s="536"/>
      <c r="D879" s="537"/>
      <c r="E879" s="537"/>
      <c r="F879" s="537"/>
      <c r="G879" s="536"/>
      <c r="H879" s="481"/>
      <c r="I879" s="481"/>
      <c r="J879" s="481"/>
      <c r="K879" s="481"/>
      <c r="L879" s="481"/>
      <c r="M879" s="481"/>
      <c r="N879" s="481"/>
      <c r="O879" s="481"/>
      <c r="P879" s="481"/>
      <c r="Q879" s="481"/>
      <c r="R879" s="481"/>
      <c r="S879" s="481"/>
      <c r="T879" s="481"/>
      <c r="U879" s="481"/>
      <c r="V879" s="481"/>
      <c r="W879" s="481"/>
      <c r="X879" s="481"/>
      <c r="Y879" s="481"/>
      <c r="Z879" s="481"/>
      <c r="AA879" s="481"/>
      <c r="AB879" s="481"/>
      <c r="AC879" s="481"/>
    </row>
    <row r="880" hidden="1">
      <c r="A880" s="532"/>
      <c r="B880" s="533"/>
      <c r="C880" s="533"/>
      <c r="D880" s="534"/>
      <c r="E880" s="534"/>
      <c r="F880" s="534"/>
      <c r="G880" s="533"/>
      <c r="H880" s="481"/>
      <c r="I880" s="481"/>
      <c r="J880" s="481"/>
      <c r="K880" s="481"/>
      <c r="L880" s="481"/>
      <c r="M880" s="481"/>
      <c r="N880" s="481"/>
      <c r="O880" s="481"/>
      <c r="P880" s="481"/>
      <c r="Q880" s="481"/>
      <c r="R880" s="481"/>
      <c r="S880" s="481"/>
      <c r="T880" s="481"/>
      <c r="U880" s="481"/>
      <c r="V880" s="481"/>
      <c r="W880" s="481"/>
      <c r="X880" s="481"/>
      <c r="Y880" s="481"/>
      <c r="Z880" s="481"/>
      <c r="AA880" s="481"/>
      <c r="AB880" s="481"/>
      <c r="AC880" s="481"/>
    </row>
    <row r="881" hidden="1">
      <c r="A881" s="535"/>
      <c r="B881" s="536"/>
      <c r="C881" s="536"/>
      <c r="D881" s="537"/>
      <c r="E881" s="537"/>
      <c r="F881" s="537"/>
      <c r="G881" s="536"/>
      <c r="H881" s="481"/>
      <c r="I881" s="481"/>
      <c r="J881" s="481"/>
      <c r="K881" s="481"/>
      <c r="L881" s="481"/>
      <c r="M881" s="481"/>
      <c r="N881" s="481"/>
      <c r="O881" s="481"/>
      <c r="P881" s="481"/>
      <c r="Q881" s="481"/>
      <c r="R881" s="481"/>
      <c r="S881" s="481"/>
      <c r="T881" s="481"/>
      <c r="U881" s="481"/>
      <c r="V881" s="481"/>
      <c r="W881" s="481"/>
      <c r="X881" s="481"/>
      <c r="Y881" s="481"/>
      <c r="Z881" s="481"/>
      <c r="AA881" s="481"/>
      <c r="AB881" s="481"/>
      <c r="AC881" s="481"/>
    </row>
    <row r="882" hidden="1">
      <c r="A882" s="532"/>
      <c r="B882" s="533"/>
      <c r="C882" s="533"/>
      <c r="D882" s="534"/>
      <c r="E882" s="534"/>
      <c r="F882" s="534"/>
      <c r="G882" s="533"/>
      <c r="H882" s="481"/>
      <c r="I882" s="481"/>
      <c r="J882" s="481"/>
      <c r="K882" s="481"/>
      <c r="L882" s="481"/>
      <c r="M882" s="481"/>
      <c r="N882" s="481"/>
      <c r="O882" s="481"/>
      <c r="P882" s="481"/>
      <c r="Q882" s="481"/>
      <c r="R882" s="481"/>
      <c r="S882" s="481"/>
      <c r="T882" s="481"/>
      <c r="U882" s="481"/>
      <c r="V882" s="481"/>
      <c r="W882" s="481"/>
      <c r="X882" s="481"/>
      <c r="Y882" s="481"/>
      <c r="Z882" s="481"/>
      <c r="AA882" s="481"/>
      <c r="AB882" s="481"/>
      <c r="AC882" s="481"/>
    </row>
    <row r="883" hidden="1">
      <c r="A883" s="535"/>
      <c r="B883" s="536"/>
      <c r="C883" s="536"/>
      <c r="D883" s="537"/>
      <c r="E883" s="537"/>
      <c r="F883" s="537"/>
      <c r="G883" s="536"/>
      <c r="H883" s="481"/>
      <c r="I883" s="481"/>
      <c r="J883" s="481"/>
      <c r="K883" s="481"/>
      <c r="L883" s="481"/>
      <c r="M883" s="481"/>
      <c r="N883" s="481"/>
      <c r="O883" s="481"/>
      <c r="P883" s="481"/>
      <c r="Q883" s="481"/>
      <c r="R883" s="481"/>
      <c r="S883" s="481"/>
      <c r="T883" s="481"/>
      <c r="U883" s="481"/>
      <c r="V883" s="481"/>
      <c r="W883" s="481"/>
      <c r="X883" s="481"/>
      <c r="Y883" s="481"/>
      <c r="Z883" s="481"/>
      <c r="AA883" s="481"/>
      <c r="AB883" s="481"/>
      <c r="AC883" s="481"/>
    </row>
    <row r="884" hidden="1">
      <c r="A884" s="532"/>
      <c r="B884" s="533"/>
      <c r="C884" s="533"/>
      <c r="D884" s="534"/>
      <c r="E884" s="534"/>
      <c r="F884" s="534"/>
      <c r="G884" s="533"/>
      <c r="H884" s="481"/>
      <c r="I884" s="481"/>
      <c r="J884" s="481"/>
      <c r="K884" s="481"/>
      <c r="L884" s="481"/>
      <c r="M884" s="481"/>
      <c r="N884" s="481"/>
      <c r="O884" s="481"/>
      <c r="P884" s="481"/>
      <c r="Q884" s="481"/>
      <c r="R884" s="481"/>
      <c r="S884" s="481"/>
      <c r="T884" s="481"/>
      <c r="U884" s="481"/>
      <c r="V884" s="481"/>
      <c r="W884" s="481"/>
      <c r="X884" s="481"/>
      <c r="Y884" s="481"/>
      <c r="Z884" s="481"/>
      <c r="AA884" s="481"/>
      <c r="AB884" s="481"/>
      <c r="AC884" s="481"/>
    </row>
    <row r="885" hidden="1">
      <c r="A885" s="535"/>
      <c r="B885" s="536"/>
      <c r="C885" s="536"/>
      <c r="D885" s="537"/>
      <c r="E885" s="537"/>
      <c r="F885" s="537"/>
      <c r="G885" s="536"/>
      <c r="H885" s="481"/>
      <c r="I885" s="481"/>
      <c r="J885" s="481"/>
      <c r="K885" s="481"/>
      <c r="L885" s="481"/>
      <c r="M885" s="481"/>
      <c r="N885" s="481"/>
      <c r="O885" s="481"/>
      <c r="P885" s="481"/>
      <c r="Q885" s="481"/>
      <c r="R885" s="481"/>
      <c r="S885" s="481"/>
      <c r="T885" s="481"/>
      <c r="U885" s="481"/>
      <c r="V885" s="481"/>
      <c r="W885" s="481"/>
      <c r="X885" s="481"/>
      <c r="Y885" s="481"/>
      <c r="Z885" s="481"/>
      <c r="AA885" s="481"/>
      <c r="AB885" s="481"/>
      <c r="AC885" s="481"/>
    </row>
    <row r="886" hidden="1">
      <c r="A886" s="532"/>
      <c r="B886" s="533"/>
      <c r="C886" s="533"/>
      <c r="D886" s="534"/>
      <c r="E886" s="534"/>
      <c r="F886" s="534"/>
      <c r="G886" s="533"/>
      <c r="H886" s="481"/>
      <c r="I886" s="481"/>
      <c r="J886" s="481"/>
      <c r="K886" s="481"/>
      <c r="L886" s="481"/>
      <c r="M886" s="481"/>
      <c r="N886" s="481"/>
      <c r="O886" s="481"/>
      <c r="P886" s="481"/>
      <c r="Q886" s="481"/>
      <c r="R886" s="481"/>
      <c r="S886" s="481"/>
      <c r="T886" s="481"/>
      <c r="U886" s="481"/>
      <c r="V886" s="481"/>
      <c r="W886" s="481"/>
      <c r="X886" s="481"/>
      <c r="Y886" s="481"/>
      <c r="Z886" s="481"/>
      <c r="AA886" s="481"/>
      <c r="AB886" s="481"/>
      <c r="AC886" s="481"/>
    </row>
    <row r="887" hidden="1">
      <c r="A887" s="535"/>
      <c r="B887" s="536"/>
      <c r="C887" s="536"/>
      <c r="D887" s="537"/>
      <c r="E887" s="537"/>
      <c r="F887" s="537"/>
      <c r="G887" s="536"/>
      <c r="H887" s="481"/>
      <c r="I887" s="481"/>
      <c r="J887" s="481"/>
      <c r="K887" s="481"/>
      <c r="L887" s="481"/>
      <c r="M887" s="481"/>
      <c r="N887" s="481"/>
      <c r="O887" s="481"/>
      <c r="P887" s="481"/>
      <c r="Q887" s="481"/>
      <c r="R887" s="481"/>
      <c r="S887" s="481"/>
      <c r="T887" s="481"/>
      <c r="U887" s="481"/>
      <c r="V887" s="481"/>
      <c r="W887" s="481"/>
      <c r="X887" s="481"/>
      <c r="Y887" s="481"/>
      <c r="Z887" s="481"/>
      <c r="AA887" s="481"/>
      <c r="AB887" s="481"/>
      <c r="AC887" s="481"/>
    </row>
    <row r="888" hidden="1">
      <c r="A888" s="532"/>
      <c r="B888" s="533"/>
      <c r="C888" s="533"/>
      <c r="D888" s="534"/>
      <c r="E888" s="534"/>
      <c r="F888" s="534"/>
      <c r="G888" s="533"/>
      <c r="H888" s="481"/>
      <c r="I888" s="481"/>
      <c r="J888" s="481"/>
      <c r="K888" s="481"/>
      <c r="L888" s="481"/>
      <c r="M888" s="481"/>
      <c r="N888" s="481"/>
      <c r="O888" s="481"/>
      <c r="P888" s="481"/>
      <c r="Q888" s="481"/>
      <c r="R888" s="481"/>
      <c r="S888" s="481"/>
      <c r="T888" s="481"/>
      <c r="U888" s="481"/>
      <c r="V888" s="481"/>
      <c r="W888" s="481"/>
      <c r="X888" s="481"/>
      <c r="Y888" s="481"/>
      <c r="Z888" s="481"/>
      <c r="AA888" s="481"/>
      <c r="AB888" s="481"/>
      <c r="AC888" s="481"/>
    </row>
    <row r="889" hidden="1">
      <c r="A889" s="535"/>
      <c r="B889" s="536"/>
      <c r="C889" s="536"/>
      <c r="D889" s="537"/>
      <c r="E889" s="537"/>
      <c r="F889" s="537"/>
      <c r="G889" s="536"/>
      <c r="H889" s="481"/>
      <c r="I889" s="481"/>
      <c r="J889" s="481"/>
      <c r="K889" s="481"/>
      <c r="L889" s="481"/>
      <c r="M889" s="481"/>
      <c r="N889" s="481"/>
      <c r="O889" s="481"/>
      <c r="P889" s="481"/>
      <c r="Q889" s="481"/>
      <c r="R889" s="481"/>
      <c r="S889" s="481"/>
      <c r="T889" s="481"/>
      <c r="U889" s="481"/>
      <c r="V889" s="481"/>
      <c r="W889" s="481"/>
      <c r="X889" s="481"/>
      <c r="Y889" s="481"/>
      <c r="Z889" s="481"/>
      <c r="AA889" s="481"/>
      <c r="AB889" s="481"/>
      <c r="AC889" s="481"/>
    </row>
    <row r="890" hidden="1">
      <c r="A890" s="532"/>
      <c r="B890" s="533"/>
      <c r="C890" s="533"/>
      <c r="D890" s="534"/>
      <c r="E890" s="534"/>
      <c r="F890" s="534"/>
      <c r="G890" s="533"/>
      <c r="H890" s="481"/>
      <c r="I890" s="481"/>
      <c r="J890" s="481"/>
      <c r="K890" s="481"/>
      <c r="L890" s="481"/>
      <c r="M890" s="481"/>
      <c r="N890" s="481"/>
      <c r="O890" s="481"/>
      <c r="P890" s="481"/>
      <c r="Q890" s="481"/>
      <c r="R890" s="481"/>
      <c r="S890" s="481"/>
      <c r="T890" s="481"/>
      <c r="U890" s="481"/>
      <c r="V890" s="481"/>
      <c r="W890" s="481"/>
      <c r="X890" s="481"/>
      <c r="Y890" s="481"/>
      <c r="Z890" s="481"/>
      <c r="AA890" s="481"/>
      <c r="AB890" s="481"/>
      <c r="AC890" s="481"/>
    </row>
    <row r="891" hidden="1">
      <c r="A891" s="535"/>
      <c r="B891" s="536"/>
      <c r="C891" s="536"/>
      <c r="D891" s="537"/>
      <c r="E891" s="537"/>
      <c r="F891" s="537"/>
      <c r="G891" s="536"/>
      <c r="H891" s="481"/>
      <c r="I891" s="481"/>
      <c r="J891" s="481"/>
      <c r="K891" s="481"/>
      <c r="L891" s="481"/>
      <c r="M891" s="481"/>
      <c r="N891" s="481"/>
      <c r="O891" s="481"/>
      <c r="P891" s="481"/>
      <c r="Q891" s="481"/>
      <c r="R891" s="481"/>
      <c r="S891" s="481"/>
      <c r="T891" s="481"/>
      <c r="U891" s="481"/>
      <c r="V891" s="481"/>
      <c r="W891" s="481"/>
      <c r="X891" s="481"/>
      <c r="Y891" s="481"/>
      <c r="Z891" s="481"/>
      <c r="AA891" s="481"/>
      <c r="AB891" s="481"/>
      <c r="AC891" s="481"/>
    </row>
    <row r="892" hidden="1">
      <c r="A892" s="532"/>
      <c r="B892" s="533"/>
      <c r="C892" s="533"/>
      <c r="D892" s="534"/>
      <c r="E892" s="534"/>
      <c r="F892" s="534"/>
      <c r="G892" s="533"/>
      <c r="H892" s="481"/>
      <c r="I892" s="481"/>
      <c r="J892" s="481"/>
      <c r="K892" s="481"/>
      <c r="L892" s="481"/>
      <c r="M892" s="481"/>
      <c r="N892" s="481"/>
      <c r="O892" s="481"/>
      <c r="P892" s="481"/>
      <c r="Q892" s="481"/>
      <c r="R892" s="481"/>
      <c r="S892" s="481"/>
      <c r="T892" s="481"/>
      <c r="U892" s="481"/>
      <c r="V892" s="481"/>
      <c r="W892" s="481"/>
      <c r="X892" s="481"/>
      <c r="Y892" s="481"/>
      <c r="Z892" s="481"/>
      <c r="AA892" s="481"/>
      <c r="AB892" s="481"/>
      <c r="AC892" s="481"/>
    </row>
    <row r="893" hidden="1">
      <c r="A893" s="535"/>
      <c r="B893" s="536"/>
      <c r="C893" s="536"/>
      <c r="D893" s="537"/>
      <c r="E893" s="537"/>
      <c r="F893" s="537"/>
      <c r="G893" s="536"/>
      <c r="H893" s="481"/>
      <c r="I893" s="481"/>
      <c r="J893" s="481"/>
      <c r="K893" s="481"/>
      <c r="L893" s="481"/>
      <c r="M893" s="481"/>
      <c r="N893" s="481"/>
      <c r="O893" s="481"/>
      <c r="P893" s="481"/>
      <c r="Q893" s="481"/>
      <c r="R893" s="481"/>
      <c r="S893" s="481"/>
      <c r="T893" s="481"/>
      <c r="U893" s="481"/>
      <c r="V893" s="481"/>
      <c r="W893" s="481"/>
      <c r="X893" s="481"/>
      <c r="Y893" s="481"/>
      <c r="Z893" s="481"/>
      <c r="AA893" s="481"/>
      <c r="AB893" s="481"/>
      <c r="AC893" s="481"/>
    </row>
    <row r="894" hidden="1">
      <c r="A894" s="532"/>
      <c r="B894" s="533"/>
      <c r="C894" s="533"/>
      <c r="D894" s="534"/>
      <c r="E894" s="534"/>
      <c r="F894" s="534"/>
      <c r="G894" s="533"/>
      <c r="H894" s="481"/>
      <c r="I894" s="481"/>
      <c r="J894" s="481"/>
      <c r="K894" s="481"/>
      <c r="L894" s="481"/>
      <c r="M894" s="481"/>
      <c r="N894" s="481"/>
      <c r="O894" s="481"/>
      <c r="P894" s="481"/>
      <c r="Q894" s="481"/>
      <c r="R894" s="481"/>
      <c r="S894" s="481"/>
      <c r="T894" s="481"/>
      <c r="U894" s="481"/>
      <c r="V894" s="481"/>
      <c r="W894" s="481"/>
      <c r="X894" s="481"/>
      <c r="Y894" s="481"/>
      <c r="Z894" s="481"/>
      <c r="AA894" s="481"/>
      <c r="AB894" s="481"/>
      <c r="AC894" s="481"/>
    </row>
    <row r="895" hidden="1">
      <c r="A895" s="535"/>
      <c r="B895" s="536"/>
      <c r="C895" s="536"/>
      <c r="D895" s="537"/>
      <c r="E895" s="537"/>
      <c r="F895" s="537"/>
      <c r="G895" s="536"/>
      <c r="H895" s="481"/>
      <c r="I895" s="481"/>
      <c r="J895" s="481"/>
      <c r="K895" s="481"/>
      <c r="L895" s="481"/>
      <c r="M895" s="481"/>
      <c r="N895" s="481"/>
      <c r="O895" s="481"/>
      <c r="P895" s="481"/>
      <c r="Q895" s="481"/>
      <c r="R895" s="481"/>
      <c r="S895" s="481"/>
      <c r="T895" s="481"/>
      <c r="U895" s="481"/>
      <c r="V895" s="481"/>
      <c r="W895" s="481"/>
      <c r="X895" s="481"/>
      <c r="Y895" s="481"/>
      <c r="Z895" s="481"/>
      <c r="AA895" s="481"/>
      <c r="AB895" s="481"/>
      <c r="AC895" s="481"/>
    </row>
    <row r="896" hidden="1">
      <c r="A896" s="532"/>
      <c r="B896" s="533"/>
      <c r="C896" s="533"/>
      <c r="D896" s="534"/>
      <c r="E896" s="534"/>
      <c r="F896" s="534"/>
      <c r="G896" s="533"/>
      <c r="H896" s="481"/>
      <c r="I896" s="481"/>
      <c r="J896" s="481"/>
      <c r="K896" s="481"/>
      <c r="L896" s="481"/>
      <c r="M896" s="481"/>
      <c r="N896" s="481"/>
      <c r="O896" s="481"/>
      <c r="P896" s="481"/>
      <c r="Q896" s="481"/>
      <c r="R896" s="481"/>
      <c r="S896" s="481"/>
      <c r="T896" s="481"/>
      <c r="U896" s="481"/>
      <c r="V896" s="481"/>
      <c r="W896" s="481"/>
      <c r="X896" s="481"/>
      <c r="Y896" s="481"/>
      <c r="Z896" s="481"/>
      <c r="AA896" s="481"/>
      <c r="AB896" s="481"/>
      <c r="AC896" s="481"/>
    </row>
    <row r="897" hidden="1">
      <c r="A897" s="535"/>
      <c r="B897" s="536"/>
      <c r="C897" s="536"/>
      <c r="D897" s="537"/>
      <c r="E897" s="537"/>
      <c r="F897" s="537"/>
      <c r="G897" s="536"/>
      <c r="H897" s="481"/>
      <c r="I897" s="481"/>
      <c r="J897" s="481"/>
      <c r="K897" s="481"/>
      <c r="L897" s="481"/>
      <c r="M897" s="481"/>
      <c r="N897" s="481"/>
      <c r="O897" s="481"/>
      <c r="P897" s="481"/>
      <c r="Q897" s="481"/>
      <c r="R897" s="481"/>
      <c r="S897" s="481"/>
      <c r="T897" s="481"/>
      <c r="U897" s="481"/>
      <c r="V897" s="481"/>
      <c r="W897" s="481"/>
      <c r="X897" s="481"/>
      <c r="Y897" s="481"/>
      <c r="Z897" s="481"/>
      <c r="AA897" s="481"/>
      <c r="AB897" s="481"/>
      <c r="AC897" s="481"/>
    </row>
    <row r="898" hidden="1">
      <c r="A898" s="532"/>
      <c r="B898" s="533"/>
      <c r="C898" s="533"/>
      <c r="D898" s="534"/>
      <c r="E898" s="534"/>
      <c r="F898" s="534"/>
      <c r="G898" s="533"/>
      <c r="H898" s="481"/>
      <c r="I898" s="481"/>
      <c r="J898" s="481"/>
      <c r="K898" s="481"/>
      <c r="L898" s="481"/>
      <c r="M898" s="481"/>
      <c r="N898" s="481"/>
      <c r="O898" s="481"/>
      <c r="P898" s="481"/>
      <c r="Q898" s="481"/>
      <c r="R898" s="481"/>
      <c r="S898" s="481"/>
      <c r="T898" s="481"/>
      <c r="U898" s="481"/>
      <c r="V898" s="481"/>
      <c r="W898" s="481"/>
      <c r="X898" s="481"/>
      <c r="Y898" s="481"/>
      <c r="Z898" s="481"/>
      <c r="AA898" s="481"/>
      <c r="AB898" s="481"/>
      <c r="AC898" s="481"/>
    </row>
    <row r="899" hidden="1">
      <c r="A899" s="535"/>
      <c r="B899" s="536"/>
      <c r="C899" s="536"/>
      <c r="D899" s="537"/>
      <c r="E899" s="537"/>
      <c r="F899" s="537"/>
      <c r="G899" s="536"/>
      <c r="H899" s="481"/>
      <c r="I899" s="481"/>
      <c r="J899" s="481"/>
      <c r="K899" s="481"/>
      <c r="L899" s="481"/>
      <c r="M899" s="481"/>
      <c r="N899" s="481"/>
      <c r="O899" s="481"/>
      <c r="P899" s="481"/>
      <c r="Q899" s="481"/>
      <c r="R899" s="481"/>
      <c r="S899" s="481"/>
      <c r="T899" s="481"/>
      <c r="U899" s="481"/>
      <c r="V899" s="481"/>
      <c r="W899" s="481"/>
      <c r="X899" s="481"/>
      <c r="Y899" s="481"/>
      <c r="Z899" s="481"/>
      <c r="AA899" s="481"/>
      <c r="AB899" s="481"/>
      <c r="AC899" s="481"/>
    </row>
    <row r="900" hidden="1">
      <c r="A900" s="532"/>
      <c r="B900" s="533"/>
      <c r="C900" s="533"/>
      <c r="D900" s="534"/>
      <c r="E900" s="534"/>
      <c r="F900" s="534"/>
      <c r="G900" s="533"/>
      <c r="H900" s="481"/>
      <c r="I900" s="481"/>
      <c r="J900" s="481"/>
      <c r="K900" s="481"/>
      <c r="L900" s="481"/>
      <c r="M900" s="481"/>
      <c r="N900" s="481"/>
      <c r="O900" s="481"/>
      <c r="P900" s="481"/>
      <c r="Q900" s="481"/>
      <c r="R900" s="481"/>
      <c r="S900" s="481"/>
      <c r="T900" s="481"/>
      <c r="U900" s="481"/>
      <c r="V900" s="481"/>
      <c r="W900" s="481"/>
      <c r="X900" s="481"/>
      <c r="Y900" s="481"/>
      <c r="Z900" s="481"/>
      <c r="AA900" s="481"/>
      <c r="AB900" s="481"/>
      <c r="AC900" s="481"/>
    </row>
    <row r="901" hidden="1">
      <c r="A901" s="535"/>
      <c r="B901" s="536"/>
      <c r="C901" s="536"/>
      <c r="D901" s="537"/>
      <c r="E901" s="537"/>
      <c r="F901" s="537"/>
      <c r="G901" s="536"/>
      <c r="H901" s="481"/>
      <c r="I901" s="481"/>
      <c r="J901" s="481"/>
      <c r="K901" s="481"/>
      <c r="L901" s="481"/>
      <c r="M901" s="481"/>
      <c r="N901" s="481"/>
      <c r="O901" s="481"/>
      <c r="P901" s="481"/>
      <c r="Q901" s="481"/>
      <c r="R901" s="481"/>
      <c r="S901" s="481"/>
      <c r="T901" s="481"/>
      <c r="U901" s="481"/>
      <c r="V901" s="481"/>
      <c r="W901" s="481"/>
      <c r="X901" s="481"/>
      <c r="Y901" s="481"/>
      <c r="Z901" s="481"/>
      <c r="AA901" s="481"/>
      <c r="AB901" s="481"/>
      <c r="AC901" s="481"/>
    </row>
    <row r="902" hidden="1">
      <c r="A902" s="532"/>
      <c r="B902" s="533"/>
      <c r="C902" s="533"/>
      <c r="D902" s="534"/>
      <c r="E902" s="534"/>
      <c r="F902" s="534"/>
      <c r="G902" s="533"/>
      <c r="H902" s="481"/>
      <c r="I902" s="481"/>
      <c r="J902" s="481"/>
      <c r="K902" s="481"/>
      <c r="L902" s="481"/>
      <c r="M902" s="481"/>
      <c r="N902" s="481"/>
      <c r="O902" s="481"/>
      <c r="P902" s="481"/>
      <c r="Q902" s="481"/>
      <c r="R902" s="481"/>
      <c r="S902" s="481"/>
      <c r="T902" s="481"/>
      <c r="U902" s="481"/>
      <c r="V902" s="481"/>
      <c r="W902" s="481"/>
      <c r="X902" s="481"/>
      <c r="Y902" s="481"/>
      <c r="Z902" s="481"/>
      <c r="AA902" s="481"/>
      <c r="AB902" s="481"/>
      <c r="AC902" s="481"/>
    </row>
    <row r="903" hidden="1">
      <c r="A903" s="535"/>
      <c r="B903" s="536"/>
      <c r="C903" s="536"/>
      <c r="D903" s="537"/>
      <c r="E903" s="537"/>
      <c r="F903" s="537"/>
      <c r="G903" s="536"/>
      <c r="H903" s="481"/>
      <c r="I903" s="481"/>
      <c r="J903" s="481"/>
      <c r="K903" s="481"/>
      <c r="L903" s="481"/>
      <c r="M903" s="481"/>
      <c r="N903" s="481"/>
      <c r="O903" s="481"/>
      <c r="P903" s="481"/>
      <c r="Q903" s="481"/>
      <c r="R903" s="481"/>
      <c r="S903" s="481"/>
      <c r="T903" s="481"/>
      <c r="U903" s="481"/>
      <c r="V903" s="481"/>
      <c r="W903" s="481"/>
      <c r="X903" s="481"/>
      <c r="Y903" s="481"/>
      <c r="Z903" s="481"/>
      <c r="AA903" s="481"/>
      <c r="AB903" s="481"/>
      <c r="AC903" s="481"/>
    </row>
    <row r="904" hidden="1">
      <c r="A904" s="532"/>
      <c r="B904" s="533"/>
      <c r="C904" s="533"/>
      <c r="D904" s="534"/>
      <c r="E904" s="534"/>
      <c r="F904" s="534"/>
      <c r="G904" s="533"/>
      <c r="H904" s="481"/>
      <c r="I904" s="481"/>
      <c r="J904" s="481"/>
      <c r="K904" s="481"/>
      <c r="L904" s="481"/>
      <c r="M904" s="481"/>
      <c r="N904" s="481"/>
      <c r="O904" s="481"/>
      <c r="P904" s="481"/>
      <c r="Q904" s="481"/>
      <c r="R904" s="481"/>
      <c r="S904" s="481"/>
      <c r="T904" s="481"/>
      <c r="U904" s="481"/>
      <c r="V904" s="481"/>
      <c r="W904" s="481"/>
      <c r="X904" s="481"/>
      <c r="Y904" s="481"/>
      <c r="Z904" s="481"/>
      <c r="AA904" s="481"/>
      <c r="AB904" s="481"/>
      <c r="AC904" s="481"/>
    </row>
    <row r="905" hidden="1">
      <c r="A905" s="535"/>
      <c r="B905" s="536"/>
      <c r="C905" s="536"/>
      <c r="D905" s="537"/>
      <c r="E905" s="537"/>
      <c r="F905" s="537"/>
      <c r="G905" s="536"/>
      <c r="H905" s="481"/>
      <c r="I905" s="481"/>
      <c r="J905" s="481"/>
      <c r="K905" s="481"/>
      <c r="L905" s="481"/>
      <c r="M905" s="481"/>
      <c r="N905" s="481"/>
      <c r="O905" s="481"/>
      <c r="P905" s="481"/>
      <c r="Q905" s="481"/>
      <c r="R905" s="481"/>
      <c r="S905" s="481"/>
      <c r="T905" s="481"/>
      <c r="U905" s="481"/>
      <c r="V905" s="481"/>
      <c r="W905" s="481"/>
      <c r="X905" s="481"/>
      <c r="Y905" s="481"/>
      <c r="Z905" s="481"/>
      <c r="AA905" s="481"/>
      <c r="AB905" s="481"/>
      <c r="AC905" s="481"/>
    </row>
    <row r="906" hidden="1">
      <c r="A906" s="532"/>
      <c r="B906" s="533"/>
      <c r="C906" s="533"/>
      <c r="D906" s="534"/>
      <c r="E906" s="534"/>
      <c r="F906" s="534"/>
      <c r="G906" s="533"/>
      <c r="H906" s="481"/>
      <c r="I906" s="481"/>
      <c r="J906" s="481"/>
      <c r="K906" s="481"/>
      <c r="L906" s="481"/>
      <c r="M906" s="481"/>
      <c r="N906" s="481"/>
      <c r="O906" s="481"/>
      <c r="P906" s="481"/>
      <c r="Q906" s="481"/>
      <c r="R906" s="481"/>
      <c r="S906" s="481"/>
      <c r="T906" s="481"/>
      <c r="U906" s="481"/>
      <c r="V906" s="481"/>
      <c r="W906" s="481"/>
      <c r="X906" s="481"/>
      <c r="Y906" s="481"/>
      <c r="Z906" s="481"/>
      <c r="AA906" s="481"/>
      <c r="AB906" s="481"/>
      <c r="AC906" s="481"/>
    </row>
    <row r="907" hidden="1">
      <c r="A907" s="535"/>
      <c r="B907" s="536"/>
      <c r="C907" s="536"/>
      <c r="D907" s="537"/>
      <c r="E907" s="537"/>
      <c r="F907" s="537"/>
      <c r="G907" s="536"/>
      <c r="H907" s="481"/>
      <c r="I907" s="481"/>
      <c r="J907" s="481"/>
      <c r="K907" s="481"/>
      <c r="L907" s="481"/>
      <c r="M907" s="481"/>
      <c r="N907" s="481"/>
      <c r="O907" s="481"/>
      <c r="P907" s="481"/>
      <c r="Q907" s="481"/>
      <c r="R907" s="481"/>
      <c r="S907" s="481"/>
      <c r="T907" s="481"/>
      <c r="U907" s="481"/>
      <c r="V907" s="481"/>
      <c r="W907" s="481"/>
      <c r="X907" s="481"/>
      <c r="Y907" s="481"/>
      <c r="Z907" s="481"/>
      <c r="AA907" s="481"/>
      <c r="AB907" s="481"/>
      <c r="AC907" s="481"/>
    </row>
    <row r="908" hidden="1">
      <c r="A908" s="532"/>
      <c r="B908" s="533"/>
      <c r="C908" s="533"/>
      <c r="D908" s="534"/>
      <c r="E908" s="534"/>
      <c r="F908" s="534"/>
      <c r="G908" s="533"/>
      <c r="H908" s="481"/>
      <c r="I908" s="481"/>
      <c r="J908" s="481"/>
      <c r="K908" s="481"/>
      <c r="L908" s="481"/>
      <c r="M908" s="481"/>
      <c r="N908" s="481"/>
      <c r="O908" s="481"/>
      <c r="P908" s="481"/>
      <c r="Q908" s="481"/>
      <c r="R908" s="481"/>
      <c r="S908" s="481"/>
      <c r="T908" s="481"/>
      <c r="U908" s="481"/>
      <c r="V908" s="481"/>
      <c r="W908" s="481"/>
      <c r="X908" s="481"/>
      <c r="Y908" s="481"/>
      <c r="Z908" s="481"/>
      <c r="AA908" s="481"/>
      <c r="AB908" s="481"/>
      <c r="AC908" s="481"/>
    </row>
    <row r="909" hidden="1">
      <c r="A909" s="535"/>
      <c r="B909" s="536"/>
      <c r="C909" s="536"/>
      <c r="D909" s="537"/>
      <c r="E909" s="537"/>
      <c r="F909" s="537"/>
      <c r="G909" s="536"/>
      <c r="H909" s="481"/>
      <c r="I909" s="481"/>
      <c r="J909" s="481"/>
      <c r="K909" s="481"/>
      <c r="L909" s="481"/>
      <c r="M909" s="481"/>
      <c r="N909" s="481"/>
      <c r="O909" s="481"/>
      <c r="P909" s="481"/>
      <c r="Q909" s="481"/>
      <c r="R909" s="481"/>
      <c r="S909" s="481"/>
      <c r="T909" s="481"/>
      <c r="U909" s="481"/>
      <c r="V909" s="481"/>
      <c r="W909" s="481"/>
      <c r="X909" s="481"/>
      <c r="Y909" s="481"/>
      <c r="Z909" s="481"/>
      <c r="AA909" s="481"/>
      <c r="AB909" s="481"/>
      <c r="AC909" s="481"/>
    </row>
    <row r="910" hidden="1">
      <c r="A910" s="532"/>
      <c r="B910" s="533"/>
      <c r="C910" s="533"/>
      <c r="D910" s="534"/>
      <c r="E910" s="534"/>
      <c r="F910" s="534"/>
      <c r="G910" s="533"/>
      <c r="H910" s="481"/>
      <c r="I910" s="481"/>
      <c r="J910" s="481"/>
      <c r="K910" s="481"/>
      <c r="L910" s="481"/>
      <c r="M910" s="481"/>
      <c r="N910" s="481"/>
      <c r="O910" s="481"/>
      <c r="P910" s="481"/>
      <c r="Q910" s="481"/>
      <c r="R910" s="481"/>
      <c r="S910" s="481"/>
      <c r="T910" s="481"/>
      <c r="U910" s="481"/>
      <c r="V910" s="481"/>
      <c r="W910" s="481"/>
      <c r="X910" s="481"/>
      <c r="Y910" s="481"/>
      <c r="Z910" s="481"/>
      <c r="AA910" s="481"/>
      <c r="AB910" s="481"/>
      <c r="AC910" s="481"/>
    </row>
    <row r="911" hidden="1">
      <c r="A911" s="535"/>
      <c r="B911" s="536"/>
      <c r="C911" s="536"/>
      <c r="D911" s="537"/>
      <c r="E911" s="537"/>
      <c r="F911" s="537"/>
      <c r="G911" s="536"/>
      <c r="H911" s="481"/>
      <c r="I911" s="481"/>
      <c r="J911" s="481"/>
      <c r="K911" s="481"/>
      <c r="L911" s="481"/>
      <c r="M911" s="481"/>
      <c r="N911" s="481"/>
      <c r="O911" s="481"/>
      <c r="P911" s="481"/>
      <c r="Q911" s="481"/>
      <c r="R911" s="481"/>
      <c r="S911" s="481"/>
      <c r="T911" s="481"/>
      <c r="U911" s="481"/>
      <c r="V911" s="481"/>
      <c r="W911" s="481"/>
      <c r="X911" s="481"/>
      <c r="Y911" s="481"/>
      <c r="Z911" s="481"/>
      <c r="AA911" s="481"/>
      <c r="AB911" s="481"/>
      <c r="AC911" s="481"/>
    </row>
    <row r="912" hidden="1">
      <c r="A912" s="532"/>
      <c r="B912" s="533"/>
      <c r="C912" s="533"/>
      <c r="D912" s="534"/>
      <c r="E912" s="534"/>
      <c r="F912" s="534"/>
      <c r="G912" s="533"/>
      <c r="H912" s="481"/>
      <c r="I912" s="481"/>
      <c r="J912" s="481"/>
      <c r="K912" s="481"/>
      <c r="L912" s="481"/>
      <c r="M912" s="481"/>
      <c r="N912" s="481"/>
      <c r="O912" s="481"/>
      <c r="P912" s="481"/>
      <c r="Q912" s="481"/>
      <c r="R912" s="481"/>
      <c r="S912" s="481"/>
      <c r="T912" s="481"/>
      <c r="U912" s="481"/>
      <c r="V912" s="481"/>
      <c r="W912" s="481"/>
      <c r="X912" s="481"/>
      <c r="Y912" s="481"/>
      <c r="Z912" s="481"/>
      <c r="AA912" s="481"/>
      <c r="AB912" s="481"/>
      <c r="AC912" s="481"/>
    </row>
    <row r="913" hidden="1">
      <c r="A913" s="535"/>
      <c r="B913" s="536"/>
      <c r="C913" s="536"/>
      <c r="D913" s="537"/>
      <c r="E913" s="537"/>
      <c r="F913" s="537"/>
      <c r="G913" s="536"/>
      <c r="H913" s="481"/>
      <c r="I913" s="481"/>
      <c r="J913" s="481"/>
      <c r="K913" s="481"/>
      <c r="L913" s="481"/>
      <c r="M913" s="481"/>
      <c r="N913" s="481"/>
      <c r="O913" s="481"/>
      <c r="P913" s="481"/>
      <c r="Q913" s="481"/>
      <c r="R913" s="481"/>
      <c r="S913" s="481"/>
      <c r="T913" s="481"/>
      <c r="U913" s="481"/>
      <c r="V913" s="481"/>
      <c r="W913" s="481"/>
      <c r="X913" s="481"/>
      <c r="Y913" s="481"/>
      <c r="Z913" s="481"/>
      <c r="AA913" s="481"/>
      <c r="AB913" s="481"/>
      <c r="AC913" s="481"/>
    </row>
    <row r="914" hidden="1">
      <c r="A914" s="532"/>
      <c r="B914" s="533"/>
      <c r="C914" s="533"/>
      <c r="D914" s="534"/>
      <c r="E914" s="534"/>
      <c r="F914" s="534"/>
      <c r="G914" s="533"/>
      <c r="H914" s="481"/>
      <c r="I914" s="481"/>
      <c r="J914" s="481"/>
      <c r="K914" s="481"/>
      <c r="L914" s="481"/>
      <c r="M914" s="481"/>
      <c r="N914" s="481"/>
      <c r="O914" s="481"/>
      <c r="P914" s="481"/>
      <c r="Q914" s="481"/>
      <c r="R914" s="481"/>
      <c r="S914" s="481"/>
      <c r="T914" s="481"/>
      <c r="U914" s="481"/>
      <c r="V914" s="481"/>
      <c r="W914" s="481"/>
      <c r="X914" s="481"/>
      <c r="Y914" s="481"/>
      <c r="Z914" s="481"/>
      <c r="AA914" s="481"/>
      <c r="AB914" s="481"/>
      <c r="AC914" s="481"/>
    </row>
    <row r="915" hidden="1">
      <c r="A915" s="535"/>
      <c r="B915" s="536"/>
      <c r="C915" s="536"/>
      <c r="D915" s="537"/>
      <c r="E915" s="537"/>
      <c r="F915" s="537"/>
      <c r="G915" s="536"/>
      <c r="H915" s="481"/>
      <c r="I915" s="481"/>
      <c r="J915" s="481"/>
      <c r="K915" s="481"/>
      <c r="L915" s="481"/>
      <c r="M915" s="481"/>
      <c r="N915" s="481"/>
      <c r="O915" s="481"/>
      <c r="P915" s="481"/>
      <c r="Q915" s="481"/>
      <c r="R915" s="481"/>
      <c r="S915" s="481"/>
      <c r="T915" s="481"/>
      <c r="U915" s="481"/>
      <c r="V915" s="481"/>
      <c r="W915" s="481"/>
      <c r="X915" s="481"/>
      <c r="Y915" s="481"/>
      <c r="Z915" s="481"/>
      <c r="AA915" s="481"/>
      <c r="AB915" s="481"/>
      <c r="AC915" s="481"/>
    </row>
    <row r="916" hidden="1">
      <c r="A916" s="532"/>
      <c r="B916" s="533"/>
      <c r="C916" s="533"/>
      <c r="D916" s="534"/>
      <c r="E916" s="534"/>
      <c r="F916" s="534"/>
      <c r="G916" s="533"/>
      <c r="H916" s="481"/>
      <c r="I916" s="481"/>
      <c r="J916" s="481"/>
      <c r="K916" s="481"/>
      <c r="L916" s="481"/>
      <c r="M916" s="481"/>
      <c r="N916" s="481"/>
      <c r="O916" s="481"/>
      <c r="P916" s="481"/>
      <c r="Q916" s="481"/>
      <c r="R916" s="481"/>
      <c r="S916" s="481"/>
      <c r="T916" s="481"/>
      <c r="U916" s="481"/>
      <c r="V916" s="481"/>
      <c r="W916" s="481"/>
      <c r="X916" s="481"/>
      <c r="Y916" s="481"/>
      <c r="Z916" s="481"/>
      <c r="AA916" s="481"/>
      <c r="AB916" s="481"/>
      <c r="AC916" s="481"/>
    </row>
    <row r="917" hidden="1">
      <c r="A917" s="535"/>
      <c r="B917" s="536"/>
      <c r="C917" s="536"/>
      <c r="D917" s="537"/>
      <c r="E917" s="537"/>
      <c r="F917" s="537"/>
      <c r="G917" s="536"/>
      <c r="H917" s="481"/>
      <c r="I917" s="481"/>
      <c r="J917" s="481"/>
      <c r="K917" s="481"/>
      <c r="L917" s="481"/>
      <c r="M917" s="481"/>
      <c r="N917" s="481"/>
      <c r="O917" s="481"/>
      <c r="P917" s="481"/>
      <c r="Q917" s="481"/>
      <c r="R917" s="481"/>
      <c r="S917" s="481"/>
      <c r="T917" s="481"/>
      <c r="U917" s="481"/>
      <c r="V917" s="481"/>
      <c r="W917" s="481"/>
      <c r="X917" s="481"/>
      <c r="Y917" s="481"/>
      <c r="Z917" s="481"/>
      <c r="AA917" s="481"/>
      <c r="AB917" s="481"/>
      <c r="AC917" s="481"/>
    </row>
    <row r="918" hidden="1">
      <c r="A918" s="532"/>
      <c r="B918" s="533"/>
      <c r="C918" s="533"/>
      <c r="D918" s="534"/>
      <c r="E918" s="534"/>
      <c r="F918" s="534"/>
      <c r="G918" s="533"/>
      <c r="H918" s="481"/>
      <c r="I918" s="481"/>
      <c r="J918" s="481"/>
      <c r="K918" s="481"/>
      <c r="L918" s="481"/>
      <c r="M918" s="481"/>
      <c r="N918" s="481"/>
      <c r="O918" s="481"/>
      <c r="P918" s="481"/>
      <c r="Q918" s="481"/>
      <c r="R918" s="481"/>
      <c r="S918" s="481"/>
      <c r="T918" s="481"/>
      <c r="U918" s="481"/>
      <c r="V918" s="481"/>
      <c r="W918" s="481"/>
      <c r="X918" s="481"/>
      <c r="Y918" s="481"/>
      <c r="Z918" s="481"/>
      <c r="AA918" s="481"/>
      <c r="AB918" s="481"/>
      <c r="AC918" s="481"/>
    </row>
    <row r="919" hidden="1">
      <c r="A919" s="535"/>
      <c r="B919" s="536"/>
      <c r="C919" s="536"/>
      <c r="D919" s="537"/>
      <c r="E919" s="537"/>
      <c r="F919" s="537"/>
      <c r="G919" s="536"/>
      <c r="H919" s="481"/>
      <c r="I919" s="481"/>
      <c r="J919" s="481"/>
      <c r="K919" s="481"/>
      <c r="L919" s="481"/>
      <c r="M919" s="481"/>
      <c r="N919" s="481"/>
      <c r="O919" s="481"/>
      <c r="P919" s="481"/>
      <c r="Q919" s="481"/>
      <c r="R919" s="481"/>
      <c r="S919" s="481"/>
      <c r="T919" s="481"/>
      <c r="U919" s="481"/>
      <c r="V919" s="481"/>
      <c r="W919" s="481"/>
      <c r="X919" s="481"/>
      <c r="Y919" s="481"/>
      <c r="Z919" s="481"/>
      <c r="AA919" s="481"/>
      <c r="AB919" s="481"/>
      <c r="AC919" s="481"/>
    </row>
    <row r="920" hidden="1">
      <c r="A920" s="532"/>
      <c r="B920" s="533"/>
      <c r="C920" s="533"/>
      <c r="D920" s="534"/>
      <c r="E920" s="534"/>
      <c r="F920" s="534"/>
      <c r="G920" s="533"/>
      <c r="H920" s="481"/>
      <c r="I920" s="481"/>
      <c r="J920" s="481"/>
      <c r="K920" s="481"/>
      <c r="L920" s="481"/>
      <c r="M920" s="481"/>
      <c r="N920" s="481"/>
      <c r="O920" s="481"/>
      <c r="P920" s="481"/>
      <c r="Q920" s="481"/>
      <c r="R920" s="481"/>
      <c r="S920" s="481"/>
      <c r="T920" s="481"/>
      <c r="U920" s="481"/>
      <c r="V920" s="481"/>
      <c r="W920" s="481"/>
      <c r="X920" s="481"/>
      <c r="Y920" s="481"/>
      <c r="Z920" s="481"/>
      <c r="AA920" s="481"/>
      <c r="AB920" s="481"/>
      <c r="AC920" s="481"/>
    </row>
    <row r="921" hidden="1">
      <c r="A921" s="535"/>
      <c r="B921" s="536"/>
      <c r="C921" s="536"/>
      <c r="D921" s="537"/>
      <c r="E921" s="537"/>
      <c r="F921" s="537"/>
      <c r="G921" s="536"/>
      <c r="H921" s="481"/>
      <c r="I921" s="481"/>
      <c r="J921" s="481"/>
      <c r="K921" s="481"/>
      <c r="L921" s="481"/>
      <c r="M921" s="481"/>
      <c r="N921" s="481"/>
      <c r="O921" s="481"/>
      <c r="P921" s="481"/>
      <c r="Q921" s="481"/>
      <c r="R921" s="481"/>
      <c r="S921" s="481"/>
      <c r="T921" s="481"/>
      <c r="U921" s="481"/>
      <c r="V921" s="481"/>
      <c r="W921" s="481"/>
      <c r="X921" s="481"/>
      <c r="Y921" s="481"/>
      <c r="Z921" s="481"/>
      <c r="AA921" s="481"/>
      <c r="AB921" s="481"/>
      <c r="AC921" s="481"/>
    </row>
    <row r="922" hidden="1">
      <c r="A922" s="532"/>
      <c r="B922" s="533"/>
      <c r="C922" s="533"/>
      <c r="D922" s="534"/>
      <c r="E922" s="534"/>
      <c r="F922" s="534"/>
      <c r="G922" s="533"/>
      <c r="H922" s="481"/>
      <c r="I922" s="481"/>
      <c r="J922" s="481"/>
      <c r="K922" s="481"/>
      <c r="L922" s="481"/>
      <c r="M922" s="481"/>
      <c r="N922" s="481"/>
      <c r="O922" s="481"/>
      <c r="P922" s="481"/>
      <c r="Q922" s="481"/>
      <c r="R922" s="481"/>
      <c r="S922" s="481"/>
      <c r="T922" s="481"/>
      <c r="U922" s="481"/>
      <c r="V922" s="481"/>
      <c r="W922" s="481"/>
      <c r="X922" s="481"/>
      <c r="Y922" s="481"/>
      <c r="Z922" s="481"/>
      <c r="AA922" s="481"/>
      <c r="AB922" s="481"/>
      <c r="AC922" s="481"/>
    </row>
    <row r="923" hidden="1">
      <c r="A923" s="535"/>
      <c r="B923" s="536"/>
      <c r="C923" s="536"/>
      <c r="D923" s="537"/>
      <c r="E923" s="537"/>
      <c r="F923" s="537"/>
      <c r="G923" s="536"/>
      <c r="H923" s="481"/>
      <c r="I923" s="481"/>
      <c r="J923" s="481"/>
      <c r="K923" s="481"/>
      <c r="L923" s="481"/>
      <c r="M923" s="481"/>
      <c r="N923" s="481"/>
      <c r="O923" s="481"/>
      <c r="P923" s="481"/>
      <c r="Q923" s="481"/>
      <c r="R923" s="481"/>
      <c r="S923" s="481"/>
      <c r="T923" s="481"/>
      <c r="U923" s="481"/>
      <c r="V923" s="481"/>
      <c r="W923" s="481"/>
      <c r="X923" s="481"/>
      <c r="Y923" s="481"/>
      <c r="Z923" s="481"/>
      <c r="AA923" s="481"/>
      <c r="AB923" s="481"/>
      <c r="AC923" s="481"/>
    </row>
    <row r="924" hidden="1">
      <c r="A924" s="532"/>
      <c r="B924" s="533"/>
      <c r="C924" s="533"/>
      <c r="D924" s="534"/>
      <c r="E924" s="534"/>
      <c r="F924" s="534"/>
      <c r="G924" s="533"/>
      <c r="H924" s="481"/>
      <c r="I924" s="481"/>
      <c r="J924" s="481"/>
      <c r="K924" s="481"/>
      <c r="L924" s="481"/>
      <c r="M924" s="481"/>
      <c r="N924" s="481"/>
      <c r="O924" s="481"/>
      <c r="P924" s="481"/>
      <c r="Q924" s="481"/>
      <c r="R924" s="481"/>
      <c r="S924" s="481"/>
      <c r="T924" s="481"/>
      <c r="U924" s="481"/>
      <c r="V924" s="481"/>
      <c r="W924" s="481"/>
      <c r="X924" s="481"/>
      <c r="Y924" s="481"/>
      <c r="Z924" s="481"/>
      <c r="AA924" s="481"/>
      <c r="AB924" s="481"/>
      <c r="AC924" s="481"/>
    </row>
    <row r="925" hidden="1">
      <c r="A925" s="535"/>
      <c r="B925" s="536"/>
      <c r="C925" s="536"/>
      <c r="D925" s="537"/>
      <c r="E925" s="537"/>
      <c r="F925" s="537"/>
      <c r="G925" s="536"/>
      <c r="H925" s="481"/>
      <c r="I925" s="481"/>
      <c r="J925" s="481"/>
      <c r="K925" s="481"/>
      <c r="L925" s="481"/>
      <c r="M925" s="481"/>
      <c r="N925" s="481"/>
      <c r="O925" s="481"/>
      <c r="P925" s="481"/>
      <c r="Q925" s="481"/>
      <c r="R925" s="481"/>
      <c r="S925" s="481"/>
      <c r="T925" s="481"/>
      <c r="U925" s="481"/>
      <c r="V925" s="481"/>
      <c r="W925" s="481"/>
      <c r="X925" s="481"/>
      <c r="Y925" s="481"/>
      <c r="Z925" s="481"/>
      <c r="AA925" s="481"/>
      <c r="AB925" s="481"/>
      <c r="AC925" s="481"/>
    </row>
    <row r="926" hidden="1">
      <c r="A926" s="532"/>
      <c r="B926" s="533"/>
      <c r="C926" s="533"/>
      <c r="D926" s="534"/>
      <c r="E926" s="534"/>
      <c r="F926" s="534"/>
      <c r="G926" s="533"/>
      <c r="H926" s="481"/>
      <c r="I926" s="481"/>
      <c r="J926" s="481"/>
      <c r="K926" s="481"/>
      <c r="L926" s="481"/>
      <c r="M926" s="481"/>
      <c r="N926" s="481"/>
      <c r="O926" s="481"/>
      <c r="P926" s="481"/>
      <c r="Q926" s="481"/>
      <c r="R926" s="481"/>
      <c r="S926" s="481"/>
      <c r="T926" s="481"/>
      <c r="U926" s="481"/>
      <c r="V926" s="481"/>
      <c r="W926" s="481"/>
      <c r="X926" s="481"/>
      <c r="Y926" s="481"/>
      <c r="Z926" s="481"/>
      <c r="AA926" s="481"/>
      <c r="AB926" s="481"/>
      <c r="AC926" s="481"/>
    </row>
    <row r="927" hidden="1">
      <c r="A927" s="535"/>
      <c r="B927" s="536"/>
      <c r="C927" s="536"/>
      <c r="D927" s="537"/>
      <c r="E927" s="537"/>
      <c r="F927" s="537"/>
      <c r="G927" s="536"/>
      <c r="H927" s="481"/>
      <c r="I927" s="481"/>
      <c r="J927" s="481"/>
      <c r="K927" s="481"/>
      <c r="L927" s="481"/>
      <c r="M927" s="481"/>
      <c r="N927" s="481"/>
      <c r="O927" s="481"/>
      <c r="P927" s="481"/>
      <c r="Q927" s="481"/>
      <c r="R927" s="481"/>
      <c r="S927" s="481"/>
      <c r="T927" s="481"/>
      <c r="U927" s="481"/>
      <c r="V927" s="481"/>
      <c r="W927" s="481"/>
      <c r="X927" s="481"/>
      <c r="Y927" s="481"/>
      <c r="Z927" s="481"/>
      <c r="AA927" s="481"/>
      <c r="AB927" s="481"/>
      <c r="AC927" s="481"/>
    </row>
    <row r="928" hidden="1">
      <c r="A928" s="532"/>
      <c r="B928" s="533"/>
      <c r="C928" s="533"/>
      <c r="D928" s="534"/>
      <c r="E928" s="534"/>
      <c r="F928" s="534"/>
      <c r="G928" s="533"/>
      <c r="H928" s="481"/>
      <c r="I928" s="481"/>
      <c r="J928" s="481"/>
      <c r="K928" s="481"/>
      <c r="L928" s="481"/>
      <c r="M928" s="481"/>
      <c r="N928" s="481"/>
      <c r="O928" s="481"/>
      <c r="P928" s="481"/>
      <c r="Q928" s="481"/>
      <c r="R928" s="481"/>
      <c r="S928" s="481"/>
      <c r="T928" s="481"/>
      <c r="U928" s="481"/>
      <c r="V928" s="481"/>
      <c r="W928" s="481"/>
      <c r="X928" s="481"/>
      <c r="Y928" s="481"/>
      <c r="Z928" s="481"/>
      <c r="AA928" s="481"/>
      <c r="AB928" s="481"/>
      <c r="AC928" s="481"/>
    </row>
    <row r="929" hidden="1">
      <c r="A929" s="535"/>
      <c r="B929" s="536"/>
      <c r="C929" s="536"/>
      <c r="D929" s="537"/>
      <c r="E929" s="537"/>
      <c r="F929" s="537"/>
      <c r="G929" s="536"/>
      <c r="H929" s="481"/>
      <c r="I929" s="481"/>
      <c r="J929" s="481"/>
      <c r="K929" s="481"/>
      <c r="L929" s="481"/>
      <c r="M929" s="481"/>
      <c r="N929" s="481"/>
      <c r="O929" s="481"/>
      <c r="P929" s="481"/>
      <c r="Q929" s="481"/>
      <c r="R929" s="481"/>
      <c r="S929" s="481"/>
      <c r="T929" s="481"/>
      <c r="U929" s="481"/>
      <c r="V929" s="481"/>
      <c r="W929" s="481"/>
      <c r="X929" s="481"/>
      <c r="Y929" s="481"/>
      <c r="Z929" s="481"/>
      <c r="AA929" s="481"/>
      <c r="AB929" s="481"/>
      <c r="AC929" s="481"/>
    </row>
    <row r="930" hidden="1">
      <c r="A930" s="532"/>
      <c r="B930" s="533"/>
      <c r="C930" s="533"/>
      <c r="D930" s="534"/>
      <c r="E930" s="534"/>
      <c r="F930" s="534"/>
      <c r="G930" s="533"/>
      <c r="H930" s="481"/>
      <c r="I930" s="481"/>
      <c r="J930" s="481"/>
      <c r="K930" s="481"/>
      <c r="L930" s="481"/>
      <c r="M930" s="481"/>
      <c r="N930" s="481"/>
      <c r="O930" s="481"/>
      <c r="P930" s="481"/>
      <c r="Q930" s="481"/>
      <c r="R930" s="481"/>
      <c r="S930" s="481"/>
      <c r="T930" s="481"/>
      <c r="U930" s="481"/>
      <c r="V930" s="481"/>
      <c r="W930" s="481"/>
      <c r="X930" s="481"/>
      <c r="Y930" s="481"/>
      <c r="Z930" s="481"/>
      <c r="AA930" s="481"/>
      <c r="AB930" s="481"/>
      <c r="AC930" s="481"/>
    </row>
    <row r="931" hidden="1">
      <c r="A931" s="535"/>
      <c r="B931" s="536"/>
      <c r="C931" s="536"/>
      <c r="D931" s="537"/>
      <c r="E931" s="537"/>
      <c r="F931" s="537"/>
      <c r="G931" s="536"/>
      <c r="H931" s="481"/>
      <c r="I931" s="481"/>
      <c r="J931" s="481"/>
      <c r="K931" s="481"/>
      <c r="L931" s="481"/>
      <c r="M931" s="481"/>
      <c r="N931" s="481"/>
      <c r="O931" s="481"/>
      <c r="P931" s="481"/>
      <c r="Q931" s="481"/>
      <c r="R931" s="481"/>
      <c r="S931" s="481"/>
      <c r="T931" s="481"/>
      <c r="U931" s="481"/>
      <c r="V931" s="481"/>
      <c r="W931" s="481"/>
      <c r="X931" s="481"/>
      <c r="Y931" s="481"/>
      <c r="Z931" s="481"/>
      <c r="AA931" s="481"/>
      <c r="AB931" s="481"/>
      <c r="AC931" s="481"/>
    </row>
    <row r="932" hidden="1">
      <c r="A932" s="532"/>
      <c r="B932" s="533"/>
      <c r="C932" s="533"/>
      <c r="D932" s="534"/>
      <c r="E932" s="534"/>
      <c r="F932" s="534"/>
      <c r="G932" s="533"/>
      <c r="H932" s="481"/>
      <c r="I932" s="481"/>
      <c r="J932" s="481"/>
      <c r="K932" s="481"/>
      <c r="L932" s="481"/>
      <c r="M932" s="481"/>
      <c r="N932" s="481"/>
      <c r="O932" s="481"/>
      <c r="P932" s="481"/>
      <c r="Q932" s="481"/>
      <c r="R932" s="481"/>
      <c r="S932" s="481"/>
      <c r="T932" s="481"/>
      <c r="U932" s="481"/>
      <c r="V932" s="481"/>
      <c r="W932" s="481"/>
      <c r="X932" s="481"/>
      <c r="Y932" s="481"/>
      <c r="Z932" s="481"/>
      <c r="AA932" s="481"/>
      <c r="AB932" s="481"/>
      <c r="AC932" s="481"/>
    </row>
    <row r="933" hidden="1">
      <c r="A933" s="535"/>
      <c r="B933" s="536"/>
      <c r="C933" s="536"/>
      <c r="D933" s="537"/>
      <c r="E933" s="537"/>
      <c r="F933" s="537"/>
      <c r="G933" s="536"/>
      <c r="H933" s="481"/>
      <c r="I933" s="481"/>
      <c r="J933" s="481"/>
      <c r="K933" s="481"/>
      <c r="L933" s="481"/>
      <c r="M933" s="481"/>
      <c r="N933" s="481"/>
      <c r="O933" s="481"/>
      <c r="P933" s="481"/>
      <c r="Q933" s="481"/>
      <c r="R933" s="481"/>
      <c r="S933" s="481"/>
      <c r="T933" s="481"/>
      <c r="U933" s="481"/>
      <c r="V933" s="481"/>
      <c r="W933" s="481"/>
      <c r="X933" s="481"/>
      <c r="Y933" s="481"/>
      <c r="Z933" s="481"/>
      <c r="AA933" s="481"/>
      <c r="AB933" s="481"/>
      <c r="AC933" s="481"/>
    </row>
    <row r="934" hidden="1">
      <c r="A934" s="532"/>
      <c r="B934" s="533"/>
      <c r="C934" s="533"/>
      <c r="D934" s="534"/>
      <c r="E934" s="534"/>
      <c r="F934" s="534"/>
      <c r="G934" s="533"/>
      <c r="H934" s="481"/>
      <c r="I934" s="481"/>
      <c r="J934" s="481"/>
      <c r="K934" s="481"/>
      <c r="L934" s="481"/>
      <c r="M934" s="481"/>
      <c r="N934" s="481"/>
      <c r="O934" s="481"/>
      <c r="P934" s="481"/>
      <c r="Q934" s="481"/>
      <c r="R934" s="481"/>
      <c r="S934" s="481"/>
      <c r="T934" s="481"/>
      <c r="U934" s="481"/>
      <c r="V934" s="481"/>
      <c r="W934" s="481"/>
      <c r="X934" s="481"/>
      <c r="Y934" s="481"/>
      <c r="Z934" s="481"/>
      <c r="AA934" s="481"/>
      <c r="AB934" s="481"/>
      <c r="AC934" s="481"/>
    </row>
    <row r="935" hidden="1">
      <c r="A935" s="535"/>
      <c r="B935" s="536"/>
      <c r="C935" s="536"/>
      <c r="D935" s="537"/>
      <c r="E935" s="537"/>
      <c r="F935" s="537"/>
      <c r="G935" s="536"/>
      <c r="H935" s="481"/>
      <c r="I935" s="481"/>
      <c r="J935" s="481"/>
      <c r="K935" s="481"/>
      <c r="L935" s="481"/>
      <c r="M935" s="481"/>
      <c r="N935" s="481"/>
      <c r="O935" s="481"/>
      <c r="P935" s="481"/>
      <c r="Q935" s="481"/>
      <c r="R935" s="481"/>
      <c r="S935" s="481"/>
      <c r="T935" s="481"/>
      <c r="U935" s="481"/>
      <c r="V935" s="481"/>
      <c r="W935" s="481"/>
      <c r="X935" s="481"/>
      <c r="Y935" s="481"/>
      <c r="Z935" s="481"/>
      <c r="AA935" s="481"/>
      <c r="AB935" s="481"/>
      <c r="AC935" s="481"/>
    </row>
    <row r="936" hidden="1">
      <c r="A936" s="532"/>
      <c r="B936" s="533"/>
      <c r="C936" s="533"/>
      <c r="D936" s="534"/>
      <c r="E936" s="534"/>
      <c r="F936" s="534"/>
      <c r="G936" s="533"/>
      <c r="H936" s="481"/>
      <c r="I936" s="481"/>
      <c r="J936" s="481"/>
      <c r="K936" s="481"/>
      <c r="L936" s="481"/>
      <c r="M936" s="481"/>
      <c r="N936" s="481"/>
      <c r="O936" s="481"/>
      <c r="P936" s="481"/>
      <c r="Q936" s="481"/>
      <c r="R936" s="481"/>
      <c r="S936" s="481"/>
      <c r="T936" s="481"/>
      <c r="U936" s="481"/>
      <c r="V936" s="481"/>
      <c r="W936" s="481"/>
      <c r="X936" s="481"/>
      <c r="Y936" s="481"/>
      <c r="Z936" s="481"/>
      <c r="AA936" s="481"/>
      <c r="AB936" s="481"/>
      <c r="AC936" s="481"/>
    </row>
    <row r="937" hidden="1">
      <c r="A937" s="535"/>
      <c r="B937" s="536"/>
      <c r="C937" s="536"/>
      <c r="D937" s="537"/>
      <c r="E937" s="537"/>
      <c r="F937" s="537"/>
      <c r="G937" s="536"/>
      <c r="H937" s="481"/>
      <c r="I937" s="481"/>
      <c r="J937" s="481"/>
      <c r="K937" s="481"/>
      <c r="L937" s="481"/>
      <c r="M937" s="481"/>
      <c r="N937" s="481"/>
      <c r="O937" s="481"/>
      <c r="P937" s="481"/>
      <c r="Q937" s="481"/>
      <c r="R937" s="481"/>
      <c r="S937" s="481"/>
      <c r="T937" s="481"/>
      <c r="U937" s="481"/>
      <c r="V937" s="481"/>
      <c r="W937" s="481"/>
      <c r="X937" s="481"/>
      <c r="Y937" s="481"/>
      <c r="Z937" s="481"/>
      <c r="AA937" s="481"/>
      <c r="AB937" s="481"/>
      <c r="AC937" s="481"/>
    </row>
    <row r="938" hidden="1">
      <c r="A938" s="532"/>
      <c r="B938" s="533"/>
      <c r="C938" s="533"/>
      <c r="D938" s="534"/>
      <c r="E938" s="534"/>
      <c r="F938" s="534"/>
      <c r="G938" s="533"/>
      <c r="H938" s="481"/>
      <c r="I938" s="481"/>
      <c r="J938" s="481"/>
      <c r="K938" s="481"/>
      <c r="L938" s="481"/>
      <c r="M938" s="481"/>
      <c r="N938" s="481"/>
      <c r="O938" s="481"/>
      <c r="P938" s="481"/>
      <c r="Q938" s="481"/>
      <c r="R938" s="481"/>
      <c r="S938" s="481"/>
      <c r="T938" s="481"/>
      <c r="U938" s="481"/>
      <c r="V938" s="481"/>
      <c r="W938" s="481"/>
      <c r="X938" s="481"/>
      <c r="Y938" s="481"/>
      <c r="Z938" s="481"/>
      <c r="AA938" s="481"/>
      <c r="AB938" s="481"/>
      <c r="AC938" s="481"/>
    </row>
    <row r="939" hidden="1">
      <c r="A939" s="535"/>
      <c r="B939" s="536"/>
      <c r="C939" s="536"/>
      <c r="D939" s="537"/>
      <c r="E939" s="537"/>
      <c r="F939" s="537"/>
      <c r="G939" s="536"/>
      <c r="H939" s="481"/>
      <c r="I939" s="481"/>
      <c r="J939" s="481"/>
      <c r="K939" s="481"/>
      <c r="L939" s="481"/>
      <c r="M939" s="481"/>
      <c r="N939" s="481"/>
      <c r="O939" s="481"/>
      <c r="P939" s="481"/>
      <c r="Q939" s="481"/>
      <c r="R939" s="481"/>
      <c r="S939" s="481"/>
      <c r="T939" s="481"/>
      <c r="U939" s="481"/>
      <c r="V939" s="481"/>
      <c r="W939" s="481"/>
      <c r="X939" s="481"/>
      <c r="Y939" s="481"/>
      <c r="Z939" s="481"/>
      <c r="AA939" s="481"/>
      <c r="AB939" s="481"/>
      <c r="AC939" s="481"/>
    </row>
    <row r="940" hidden="1">
      <c r="A940" s="532"/>
      <c r="B940" s="533"/>
      <c r="C940" s="533"/>
      <c r="D940" s="534"/>
      <c r="E940" s="534"/>
      <c r="F940" s="534"/>
      <c r="G940" s="533"/>
      <c r="H940" s="481"/>
      <c r="I940" s="481"/>
      <c r="J940" s="481"/>
      <c r="K940" s="481"/>
      <c r="L940" s="481"/>
      <c r="M940" s="481"/>
      <c r="N940" s="481"/>
      <c r="O940" s="481"/>
      <c r="P940" s="481"/>
      <c r="Q940" s="481"/>
      <c r="R940" s="481"/>
      <c r="S940" s="481"/>
      <c r="T940" s="481"/>
      <c r="U940" s="481"/>
      <c r="V940" s="481"/>
      <c r="W940" s="481"/>
      <c r="X940" s="481"/>
      <c r="Y940" s="481"/>
      <c r="Z940" s="481"/>
      <c r="AA940" s="481"/>
      <c r="AB940" s="481"/>
      <c r="AC940" s="481"/>
    </row>
    <row r="941" hidden="1">
      <c r="A941" s="535"/>
      <c r="B941" s="536"/>
      <c r="C941" s="536"/>
      <c r="D941" s="537"/>
      <c r="E941" s="537"/>
      <c r="F941" s="537"/>
      <c r="G941" s="536"/>
      <c r="H941" s="481"/>
      <c r="I941" s="481"/>
      <c r="J941" s="481"/>
      <c r="K941" s="481"/>
      <c r="L941" s="481"/>
      <c r="M941" s="481"/>
      <c r="N941" s="481"/>
      <c r="O941" s="481"/>
      <c r="P941" s="481"/>
      <c r="Q941" s="481"/>
      <c r="R941" s="481"/>
      <c r="S941" s="481"/>
      <c r="T941" s="481"/>
      <c r="U941" s="481"/>
      <c r="V941" s="481"/>
      <c r="W941" s="481"/>
      <c r="X941" s="481"/>
      <c r="Y941" s="481"/>
      <c r="Z941" s="481"/>
      <c r="AA941" s="481"/>
      <c r="AB941" s="481"/>
      <c r="AC941" s="481"/>
    </row>
    <row r="942" hidden="1">
      <c r="A942" s="532"/>
      <c r="B942" s="533"/>
      <c r="C942" s="533"/>
      <c r="D942" s="534"/>
      <c r="E942" s="534"/>
      <c r="F942" s="534"/>
      <c r="G942" s="533"/>
      <c r="H942" s="481"/>
      <c r="I942" s="481"/>
      <c r="J942" s="481"/>
      <c r="K942" s="481"/>
      <c r="L942" s="481"/>
      <c r="M942" s="481"/>
      <c r="N942" s="481"/>
      <c r="O942" s="481"/>
      <c r="P942" s="481"/>
      <c r="Q942" s="481"/>
      <c r="R942" s="481"/>
      <c r="S942" s="481"/>
      <c r="T942" s="481"/>
      <c r="U942" s="481"/>
      <c r="V942" s="481"/>
      <c r="W942" s="481"/>
      <c r="X942" s="481"/>
      <c r="Y942" s="481"/>
      <c r="Z942" s="481"/>
      <c r="AA942" s="481"/>
      <c r="AB942" s="481"/>
      <c r="AC942" s="481"/>
    </row>
    <row r="943" hidden="1">
      <c r="A943" s="535"/>
      <c r="B943" s="536"/>
      <c r="C943" s="536"/>
      <c r="D943" s="537"/>
      <c r="E943" s="537"/>
      <c r="F943" s="537"/>
      <c r="G943" s="536"/>
      <c r="H943" s="481"/>
      <c r="I943" s="481"/>
      <c r="J943" s="481"/>
      <c r="K943" s="481"/>
      <c r="L943" s="481"/>
      <c r="M943" s="481"/>
      <c r="N943" s="481"/>
      <c r="O943" s="481"/>
      <c r="P943" s="481"/>
      <c r="Q943" s="481"/>
      <c r="R943" s="481"/>
      <c r="S943" s="481"/>
      <c r="T943" s="481"/>
      <c r="U943" s="481"/>
      <c r="V943" s="481"/>
      <c r="W943" s="481"/>
      <c r="X943" s="481"/>
      <c r="Y943" s="481"/>
      <c r="Z943" s="481"/>
      <c r="AA943" s="481"/>
      <c r="AB943" s="481"/>
      <c r="AC943" s="481"/>
    </row>
    <row r="944" hidden="1">
      <c r="A944" s="532"/>
      <c r="B944" s="533"/>
      <c r="C944" s="533"/>
      <c r="D944" s="534"/>
      <c r="E944" s="534"/>
      <c r="F944" s="534"/>
      <c r="G944" s="533"/>
      <c r="H944" s="481"/>
      <c r="I944" s="481"/>
      <c r="J944" s="481"/>
      <c r="K944" s="481"/>
      <c r="L944" s="481"/>
      <c r="M944" s="481"/>
      <c r="N944" s="481"/>
      <c r="O944" s="481"/>
      <c r="P944" s="481"/>
      <c r="Q944" s="481"/>
      <c r="R944" s="481"/>
      <c r="S944" s="481"/>
      <c r="T944" s="481"/>
      <c r="U944" s="481"/>
      <c r="V944" s="481"/>
      <c r="W944" s="481"/>
      <c r="X944" s="481"/>
      <c r="Y944" s="481"/>
      <c r="Z944" s="481"/>
      <c r="AA944" s="481"/>
      <c r="AB944" s="481"/>
      <c r="AC944" s="481"/>
    </row>
    <row r="945" hidden="1">
      <c r="A945" s="535"/>
      <c r="B945" s="536"/>
      <c r="C945" s="536"/>
      <c r="D945" s="537"/>
      <c r="E945" s="537"/>
      <c r="F945" s="537"/>
      <c r="G945" s="536"/>
      <c r="H945" s="481"/>
      <c r="I945" s="481"/>
      <c r="J945" s="481"/>
      <c r="K945" s="481"/>
      <c r="L945" s="481"/>
      <c r="M945" s="481"/>
      <c r="N945" s="481"/>
      <c r="O945" s="481"/>
      <c r="P945" s="481"/>
      <c r="Q945" s="481"/>
      <c r="R945" s="481"/>
      <c r="S945" s="481"/>
      <c r="T945" s="481"/>
      <c r="U945" s="481"/>
      <c r="V945" s="481"/>
      <c r="W945" s="481"/>
      <c r="X945" s="481"/>
      <c r="Y945" s="481"/>
      <c r="Z945" s="481"/>
      <c r="AA945" s="481"/>
      <c r="AB945" s="481"/>
      <c r="AC945" s="481"/>
    </row>
    <row r="946" hidden="1">
      <c r="A946" s="532"/>
      <c r="B946" s="533"/>
      <c r="C946" s="533"/>
      <c r="D946" s="534"/>
      <c r="E946" s="534"/>
      <c r="F946" s="534"/>
      <c r="G946" s="533"/>
      <c r="H946" s="481"/>
      <c r="I946" s="481"/>
      <c r="J946" s="481"/>
      <c r="K946" s="481"/>
      <c r="L946" s="481"/>
      <c r="M946" s="481"/>
      <c r="N946" s="481"/>
      <c r="O946" s="481"/>
      <c r="P946" s="481"/>
      <c r="Q946" s="481"/>
      <c r="R946" s="481"/>
      <c r="S946" s="481"/>
      <c r="T946" s="481"/>
      <c r="U946" s="481"/>
      <c r="V946" s="481"/>
      <c r="W946" s="481"/>
      <c r="X946" s="481"/>
      <c r="Y946" s="481"/>
      <c r="Z946" s="481"/>
      <c r="AA946" s="481"/>
      <c r="AB946" s="481"/>
      <c r="AC946" s="481"/>
    </row>
    <row r="947" hidden="1">
      <c r="A947" s="535"/>
      <c r="B947" s="536"/>
      <c r="C947" s="536"/>
      <c r="D947" s="537"/>
      <c r="E947" s="537"/>
      <c r="F947" s="537"/>
      <c r="G947" s="536"/>
      <c r="H947" s="481"/>
      <c r="I947" s="481"/>
      <c r="J947" s="481"/>
      <c r="K947" s="481"/>
      <c r="L947" s="481"/>
      <c r="M947" s="481"/>
      <c r="N947" s="481"/>
      <c r="O947" s="481"/>
      <c r="P947" s="481"/>
      <c r="Q947" s="481"/>
      <c r="R947" s="481"/>
      <c r="S947" s="481"/>
      <c r="T947" s="481"/>
      <c r="U947" s="481"/>
      <c r="V947" s="481"/>
      <c r="W947" s="481"/>
      <c r="X947" s="481"/>
      <c r="Y947" s="481"/>
      <c r="Z947" s="481"/>
      <c r="AA947" s="481"/>
      <c r="AB947" s="481"/>
      <c r="AC947" s="481"/>
    </row>
    <row r="948" hidden="1">
      <c r="A948" s="532"/>
      <c r="B948" s="533"/>
      <c r="C948" s="533"/>
      <c r="D948" s="534"/>
      <c r="E948" s="534"/>
      <c r="F948" s="534"/>
      <c r="G948" s="533"/>
      <c r="H948" s="481"/>
      <c r="I948" s="481"/>
      <c r="J948" s="481"/>
      <c r="K948" s="481"/>
      <c r="L948" s="481"/>
      <c r="M948" s="481"/>
      <c r="N948" s="481"/>
      <c r="O948" s="481"/>
      <c r="P948" s="481"/>
      <c r="Q948" s="481"/>
      <c r="R948" s="481"/>
      <c r="S948" s="481"/>
      <c r="T948" s="481"/>
      <c r="U948" s="481"/>
      <c r="V948" s="481"/>
      <c r="W948" s="481"/>
      <c r="X948" s="481"/>
      <c r="Y948" s="481"/>
      <c r="Z948" s="481"/>
      <c r="AA948" s="481"/>
      <c r="AB948" s="481"/>
      <c r="AC948" s="481"/>
    </row>
    <row r="949" hidden="1">
      <c r="A949" s="535"/>
      <c r="B949" s="536"/>
      <c r="C949" s="536"/>
      <c r="D949" s="537"/>
      <c r="E949" s="537"/>
      <c r="F949" s="537"/>
      <c r="G949" s="536"/>
      <c r="H949" s="481"/>
      <c r="I949" s="481"/>
      <c r="J949" s="481"/>
      <c r="K949" s="481"/>
      <c r="L949" s="481"/>
      <c r="M949" s="481"/>
      <c r="N949" s="481"/>
      <c r="O949" s="481"/>
      <c r="P949" s="481"/>
      <c r="Q949" s="481"/>
      <c r="R949" s="481"/>
      <c r="S949" s="481"/>
      <c r="T949" s="481"/>
      <c r="U949" s="481"/>
      <c r="V949" s="481"/>
      <c r="W949" s="481"/>
      <c r="X949" s="481"/>
      <c r="Y949" s="481"/>
      <c r="Z949" s="481"/>
      <c r="AA949" s="481"/>
      <c r="AB949" s="481"/>
      <c r="AC949" s="481"/>
    </row>
    <row r="950" hidden="1">
      <c r="A950" s="532"/>
      <c r="B950" s="533"/>
      <c r="C950" s="533"/>
      <c r="D950" s="534"/>
      <c r="E950" s="534"/>
      <c r="F950" s="534"/>
      <c r="G950" s="533"/>
      <c r="H950" s="481"/>
      <c r="I950" s="481"/>
      <c r="J950" s="481"/>
      <c r="K950" s="481"/>
      <c r="L950" s="481"/>
      <c r="M950" s="481"/>
      <c r="N950" s="481"/>
      <c r="O950" s="481"/>
      <c r="P950" s="481"/>
      <c r="Q950" s="481"/>
      <c r="R950" s="481"/>
      <c r="S950" s="481"/>
      <c r="T950" s="481"/>
      <c r="U950" s="481"/>
      <c r="V950" s="481"/>
      <c r="W950" s="481"/>
      <c r="X950" s="481"/>
      <c r="Y950" s="481"/>
      <c r="Z950" s="481"/>
      <c r="AA950" s="481"/>
      <c r="AB950" s="481"/>
      <c r="AC950" s="481"/>
    </row>
    <row r="951" hidden="1">
      <c r="A951" s="535"/>
      <c r="B951" s="536"/>
      <c r="C951" s="536"/>
      <c r="D951" s="537"/>
      <c r="E951" s="537"/>
      <c r="F951" s="537"/>
      <c r="G951" s="536"/>
      <c r="H951" s="481"/>
      <c r="I951" s="481"/>
      <c r="J951" s="481"/>
      <c r="K951" s="481"/>
      <c r="L951" s="481"/>
      <c r="M951" s="481"/>
      <c r="N951" s="481"/>
      <c r="O951" s="481"/>
      <c r="P951" s="481"/>
      <c r="Q951" s="481"/>
      <c r="R951" s="481"/>
      <c r="S951" s="481"/>
      <c r="T951" s="481"/>
      <c r="U951" s="481"/>
      <c r="V951" s="481"/>
      <c r="W951" s="481"/>
      <c r="X951" s="481"/>
      <c r="Y951" s="481"/>
      <c r="Z951" s="481"/>
      <c r="AA951" s="481"/>
      <c r="AB951" s="481"/>
      <c r="AC951" s="481"/>
    </row>
    <row r="952" hidden="1">
      <c r="A952" s="532"/>
      <c r="B952" s="533"/>
      <c r="C952" s="533"/>
      <c r="D952" s="534"/>
      <c r="E952" s="534"/>
      <c r="F952" s="534"/>
      <c r="G952" s="533"/>
      <c r="H952" s="481"/>
      <c r="I952" s="481"/>
      <c r="J952" s="481"/>
      <c r="K952" s="481"/>
      <c r="L952" s="481"/>
      <c r="M952" s="481"/>
      <c r="N952" s="481"/>
      <c r="O952" s="481"/>
      <c r="P952" s="481"/>
      <c r="Q952" s="481"/>
      <c r="R952" s="481"/>
      <c r="S952" s="481"/>
      <c r="T952" s="481"/>
      <c r="U952" s="481"/>
      <c r="V952" s="481"/>
      <c r="W952" s="481"/>
      <c r="X952" s="481"/>
      <c r="Y952" s="481"/>
      <c r="Z952" s="481"/>
      <c r="AA952" s="481"/>
      <c r="AB952" s="481"/>
      <c r="AC952" s="481"/>
    </row>
    <row r="953" hidden="1">
      <c r="A953" s="535"/>
      <c r="B953" s="536"/>
      <c r="C953" s="536"/>
      <c r="D953" s="537"/>
      <c r="E953" s="537"/>
      <c r="F953" s="537"/>
      <c r="G953" s="536"/>
      <c r="H953" s="481"/>
      <c r="I953" s="481"/>
      <c r="J953" s="481"/>
      <c r="K953" s="481"/>
      <c r="L953" s="481"/>
      <c r="M953" s="481"/>
      <c r="N953" s="481"/>
      <c r="O953" s="481"/>
      <c r="P953" s="481"/>
      <c r="Q953" s="481"/>
      <c r="R953" s="481"/>
      <c r="S953" s="481"/>
      <c r="T953" s="481"/>
      <c r="U953" s="481"/>
      <c r="V953" s="481"/>
      <c r="W953" s="481"/>
      <c r="X953" s="481"/>
      <c r="Y953" s="481"/>
      <c r="Z953" s="481"/>
      <c r="AA953" s="481"/>
      <c r="AB953" s="481"/>
      <c r="AC953" s="481"/>
    </row>
    <row r="954" hidden="1">
      <c r="A954" s="532"/>
      <c r="B954" s="533"/>
      <c r="C954" s="533"/>
      <c r="D954" s="534"/>
      <c r="E954" s="534"/>
      <c r="F954" s="534"/>
      <c r="G954" s="533"/>
      <c r="H954" s="481"/>
      <c r="I954" s="481"/>
      <c r="J954" s="481"/>
      <c r="K954" s="481"/>
      <c r="L954" s="481"/>
      <c r="M954" s="481"/>
      <c r="N954" s="481"/>
      <c r="O954" s="481"/>
      <c r="P954" s="481"/>
      <c r="Q954" s="481"/>
      <c r="R954" s="481"/>
      <c r="S954" s="481"/>
      <c r="T954" s="481"/>
      <c r="U954" s="481"/>
      <c r="V954" s="481"/>
      <c r="W954" s="481"/>
      <c r="X954" s="481"/>
      <c r="Y954" s="481"/>
      <c r="Z954" s="481"/>
      <c r="AA954" s="481"/>
      <c r="AB954" s="481"/>
      <c r="AC954" s="481"/>
    </row>
    <row r="955" hidden="1">
      <c r="A955" s="535"/>
      <c r="B955" s="536"/>
      <c r="C955" s="536"/>
      <c r="D955" s="537"/>
      <c r="E955" s="537"/>
      <c r="F955" s="537"/>
      <c r="G955" s="536"/>
      <c r="H955" s="481"/>
      <c r="I955" s="481"/>
      <c r="J955" s="481"/>
      <c r="K955" s="481"/>
      <c r="L955" s="481"/>
      <c r="M955" s="481"/>
      <c r="N955" s="481"/>
      <c r="O955" s="481"/>
      <c r="P955" s="481"/>
      <c r="Q955" s="481"/>
      <c r="R955" s="481"/>
      <c r="S955" s="481"/>
      <c r="T955" s="481"/>
      <c r="U955" s="481"/>
      <c r="V955" s="481"/>
      <c r="W955" s="481"/>
      <c r="X955" s="481"/>
      <c r="Y955" s="481"/>
      <c r="Z955" s="481"/>
      <c r="AA955" s="481"/>
      <c r="AB955" s="481"/>
      <c r="AC955" s="481"/>
    </row>
    <row r="956" hidden="1">
      <c r="A956" s="532"/>
      <c r="B956" s="533"/>
      <c r="C956" s="533"/>
      <c r="D956" s="534"/>
      <c r="E956" s="534"/>
      <c r="F956" s="534"/>
      <c r="G956" s="533"/>
      <c r="H956" s="481"/>
      <c r="I956" s="481"/>
      <c r="J956" s="481"/>
      <c r="K956" s="481"/>
      <c r="L956" s="481"/>
      <c r="M956" s="481"/>
      <c r="N956" s="481"/>
      <c r="O956" s="481"/>
      <c r="P956" s="481"/>
      <c r="Q956" s="481"/>
      <c r="R956" s="481"/>
      <c r="S956" s="481"/>
      <c r="T956" s="481"/>
      <c r="U956" s="481"/>
      <c r="V956" s="481"/>
      <c r="W956" s="481"/>
      <c r="X956" s="481"/>
      <c r="Y956" s="481"/>
      <c r="Z956" s="481"/>
      <c r="AA956" s="481"/>
      <c r="AB956" s="481"/>
      <c r="AC956" s="481"/>
    </row>
    <row r="957" hidden="1">
      <c r="A957" s="535"/>
      <c r="B957" s="536"/>
      <c r="C957" s="536"/>
      <c r="D957" s="537"/>
      <c r="E957" s="537"/>
      <c r="F957" s="537"/>
      <c r="G957" s="536"/>
      <c r="H957" s="481"/>
      <c r="I957" s="481"/>
      <c r="J957" s="481"/>
      <c r="K957" s="481"/>
      <c r="L957" s="481"/>
      <c r="M957" s="481"/>
      <c r="N957" s="481"/>
      <c r="O957" s="481"/>
      <c r="P957" s="481"/>
      <c r="Q957" s="481"/>
      <c r="R957" s="481"/>
      <c r="S957" s="481"/>
      <c r="T957" s="481"/>
      <c r="U957" s="481"/>
      <c r="V957" s="481"/>
      <c r="W957" s="481"/>
      <c r="X957" s="481"/>
      <c r="Y957" s="481"/>
      <c r="Z957" s="481"/>
      <c r="AA957" s="481"/>
      <c r="AB957" s="481"/>
      <c r="AC957" s="481"/>
    </row>
    <row r="958" hidden="1">
      <c r="A958" s="532"/>
      <c r="B958" s="533"/>
      <c r="C958" s="533"/>
      <c r="D958" s="534"/>
      <c r="E958" s="534"/>
      <c r="F958" s="534"/>
      <c r="G958" s="533"/>
      <c r="H958" s="481"/>
      <c r="I958" s="481"/>
      <c r="J958" s="481"/>
      <c r="K958" s="481"/>
      <c r="L958" s="481"/>
      <c r="M958" s="481"/>
      <c r="N958" s="481"/>
      <c r="O958" s="481"/>
      <c r="P958" s="481"/>
      <c r="Q958" s="481"/>
      <c r="R958" s="481"/>
      <c r="S958" s="481"/>
      <c r="T958" s="481"/>
      <c r="U958" s="481"/>
      <c r="V958" s="481"/>
      <c r="W958" s="481"/>
      <c r="X958" s="481"/>
      <c r="Y958" s="481"/>
      <c r="Z958" s="481"/>
      <c r="AA958" s="481"/>
      <c r="AB958" s="481"/>
      <c r="AC958" s="481"/>
    </row>
    <row r="959" hidden="1">
      <c r="A959" s="535"/>
      <c r="B959" s="536"/>
      <c r="C959" s="536"/>
      <c r="D959" s="537"/>
      <c r="E959" s="537"/>
      <c r="F959" s="537"/>
      <c r="G959" s="536"/>
      <c r="H959" s="481"/>
      <c r="I959" s="481"/>
      <c r="J959" s="481"/>
      <c r="K959" s="481"/>
      <c r="L959" s="481"/>
      <c r="M959" s="481"/>
      <c r="N959" s="481"/>
      <c r="O959" s="481"/>
      <c r="P959" s="481"/>
      <c r="Q959" s="481"/>
      <c r="R959" s="481"/>
      <c r="S959" s="481"/>
      <c r="T959" s="481"/>
      <c r="U959" s="481"/>
      <c r="V959" s="481"/>
      <c r="W959" s="481"/>
      <c r="X959" s="481"/>
      <c r="Y959" s="481"/>
      <c r="Z959" s="481"/>
      <c r="AA959" s="481"/>
      <c r="AB959" s="481"/>
      <c r="AC959" s="481"/>
    </row>
    <row r="960" hidden="1">
      <c r="A960" s="532"/>
      <c r="B960" s="533"/>
      <c r="C960" s="533"/>
      <c r="D960" s="534"/>
      <c r="E960" s="534"/>
      <c r="F960" s="534"/>
      <c r="G960" s="533"/>
      <c r="H960" s="481"/>
      <c r="I960" s="481"/>
      <c r="J960" s="481"/>
      <c r="K960" s="481"/>
      <c r="L960" s="481"/>
      <c r="M960" s="481"/>
      <c r="N960" s="481"/>
      <c r="O960" s="481"/>
      <c r="P960" s="481"/>
      <c r="Q960" s="481"/>
      <c r="R960" s="481"/>
      <c r="S960" s="481"/>
      <c r="T960" s="481"/>
      <c r="U960" s="481"/>
      <c r="V960" s="481"/>
      <c r="W960" s="481"/>
      <c r="X960" s="481"/>
      <c r="Y960" s="481"/>
      <c r="Z960" s="481"/>
      <c r="AA960" s="481"/>
      <c r="AB960" s="481"/>
      <c r="AC960" s="481"/>
    </row>
    <row r="961" hidden="1">
      <c r="A961" s="535"/>
      <c r="B961" s="536"/>
      <c r="C961" s="536"/>
      <c r="D961" s="537"/>
      <c r="E961" s="537"/>
      <c r="F961" s="537"/>
      <c r="G961" s="536"/>
      <c r="H961" s="481"/>
      <c r="I961" s="481"/>
      <c r="J961" s="481"/>
      <c r="K961" s="481"/>
      <c r="L961" s="481"/>
      <c r="M961" s="481"/>
      <c r="N961" s="481"/>
      <c r="O961" s="481"/>
      <c r="P961" s="481"/>
      <c r="Q961" s="481"/>
      <c r="R961" s="481"/>
      <c r="S961" s="481"/>
      <c r="T961" s="481"/>
      <c r="U961" s="481"/>
      <c r="V961" s="481"/>
      <c r="W961" s="481"/>
      <c r="X961" s="481"/>
      <c r="Y961" s="481"/>
      <c r="Z961" s="481"/>
      <c r="AA961" s="481"/>
      <c r="AB961" s="481"/>
      <c r="AC961" s="481"/>
    </row>
    <row r="962" hidden="1">
      <c r="A962" s="532"/>
      <c r="B962" s="533"/>
      <c r="C962" s="533"/>
      <c r="D962" s="534"/>
      <c r="E962" s="534"/>
      <c r="F962" s="534"/>
      <c r="G962" s="533"/>
      <c r="H962" s="481"/>
      <c r="I962" s="481"/>
      <c r="J962" s="481"/>
      <c r="K962" s="481"/>
      <c r="L962" s="481"/>
      <c r="M962" s="481"/>
      <c r="N962" s="481"/>
      <c r="O962" s="481"/>
      <c r="P962" s="481"/>
      <c r="Q962" s="481"/>
      <c r="R962" s="481"/>
      <c r="S962" s="481"/>
      <c r="T962" s="481"/>
      <c r="U962" s="481"/>
      <c r="V962" s="481"/>
      <c r="W962" s="481"/>
      <c r="X962" s="481"/>
      <c r="Y962" s="481"/>
      <c r="Z962" s="481"/>
      <c r="AA962" s="481"/>
      <c r="AB962" s="481"/>
      <c r="AC962" s="481"/>
    </row>
    <row r="963" hidden="1">
      <c r="A963" s="535"/>
      <c r="B963" s="536"/>
      <c r="C963" s="536"/>
      <c r="D963" s="537"/>
      <c r="E963" s="537"/>
      <c r="F963" s="537"/>
      <c r="G963" s="536"/>
      <c r="H963" s="481"/>
      <c r="I963" s="481"/>
      <c r="J963" s="481"/>
      <c r="K963" s="481"/>
      <c r="L963" s="481"/>
      <c r="M963" s="481"/>
      <c r="N963" s="481"/>
      <c r="O963" s="481"/>
      <c r="P963" s="481"/>
      <c r="Q963" s="481"/>
      <c r="R963" s="481"/>
      <c r="S963" s="481"/>
      <c r="T963" s="481"/>
      <c r="U963" s="481"/>
      <c r="V963" s="481"/>
      <c r="W963" s="481"/>
      <c r="X963" s="481"/>
      <c r="Y963" s="481"/>
      <c r="Z963" s="481"/>
      <c r="AA963" s="481"/>
      <c r="AB963" s="481"/>
      <c r="AC963" s="481"/>
    </row>
    <row r="964" hidden="1">
      <c r="A964" s="532"/>
      <c r="B964" s="533"/>
      <c r="C964" s="533"/>
      <c r="D964" s="534"/>
      <c r="E964" s="534"/>
      <c r="F964" s="534"/>
      <c r="G964" s="533"/>
      <c r="H964" s="481"/>
      <c r="I964" s="481"/>
      <c r="J964" s="481"/>
      <c r="K964" s="481"/>
      <c r="L964" s="481"/>
      <c r="M964" s="481"/>
      <c r="N964" s="481"/>
      <c r="O964" s="481"/>
      <c r="P964" s="481"/>
      <c r="Q964" s="481"/>
      <c r="R964" s="481"/>
      <c r="S964" s="481"/>
      <c r="T964" s="481"/>
      <c r="U964" s="481"/>
      <c r="V964" s="481"/>
      <c r="W964" s="481"/>
      <c r="X964" s="481"/>
      <c r="Y964" s="481"/>
      <c r="Z964" s="481"/>
      <c r="AA964" s="481"/>
      <c r="AB964" s="481"/>
      <c r="AC964" s="481"/>
    </row>
    <row r="965" hidden="1">
      <c r="A965" s="535"/>
      <c r="B965" s="536"/>
      <c r="C965" s="536"/>
      <c r="D965" s="537"/>
      <c r="E965" s="537"/>
      <c r="F965" s="537"/>
      <c r="G965" s="536"/>
      <c r="H965" s="481"/>
      <c r="I965" s="481"/>
      <c r="J965" s="481"/>
      <c r="K965" s="481"/>
      <c r="L965" s="481"/>
      <c r="M965" s="481"/>
      <c r="N965" s="481"/>
      <c r="O965" s="481"/>
      <c r="P965" s="481"/>
      <c r="Q965" s="481"/>
      <c r="R965" s="481"/>
      <c r="S965" s="481"/>
      <c r="T965" s="481"/>
      <c r="U965" s="481"/>
      <c r="V965" s="481"/>
      <c r="W965" s="481"/>
      <c r="X965" s="481"/>
      <c r="Y965" s="481"/>
      <c r="Z965" s="481"/>
      <c r="AA965" s="481"/>
      <c r="AB965" s="481"/>
      <c r="AC965" s="481"/>
    </row>
    <row r="966" hidden="1">
      <c r="A966" s="532"/>
      <c r="B966" s="533"/>
      <c r="C966" s="533"/>
      <c r="D966" s="534"/>
      <c r="E966" s="534"/>
      <c r="F966" s="534"/>
      <c r="G966" s="533"/>
      <c r="H966" s="481"/>
      <c r="I966" s="481"/>
      <c r="J966" s="481"/>
      <c r="K966" s="481"/>
      <c r="L966" s="481"/>
      <c r="M966" s="481"/>
      <c r="N966" s="481"/>
      <c r="O966" s="481"/>
      <c r="P966" s="481"/>
      <c r="Q966" s="481"/>
      <c r="R966" s="481"/>
      <c r="S966" s="481"/>
      <c r="T966" s="481"/>
      <c r="U966" s="481"/>
      <c r="V966" s="481"/>
      <c r="W966" s="481"/>
      <c r="X966" s="481"/>
      <c r="Y966" s="481"/>
      <c r="Z966" s="481"/>
      <c r="AA966" s="481"/>
      <c r="AB966" s="481"/>
      <c r="AC966" s="481"/>
    </row>
    <row r="967" hidden="1">
      <c r="A967" s="535"/>
      <c r="B967" s="536"/>
      <c r="C967" s="536"/>
      <c r="D967" s="537"/>
      <c r="E967" s="537"/>
      <c r="F967" s="537"/>
      <c r="G967" s="536"/>
      <c r="H967" s="481"/>
      <c r="I967" s="481"/>
      <c r="J967" s="481"/>
      <c r="K967" s="481"/>
      <c r="L967" s="481"/>
      <c r="M967" s="481"/>
      <c r="N967" s="481"/>
      <c r="O967" s="481"/>
      <c r="P967" s="481"/>
      <c r="Q967" s="481"/>
      <c r="R967" s="481"/>
      <c r="S967" s="481"/>
      <c r="T967" s="481"/>
      <c r="U967" s="481"/>
      <c r="V967" s="481"/>
      <c r="W967" s="481"/>
      <c r="X967" s="481"/>
      <c r="Y967" s="481"/>
      <c r="Z967" s="481"/>
      <c r="AA967" s="481"/>
      <c r="AB967" s="481"/>
      <c r="AC967" s="481"/>
    </row>
    <row r="968" hidden="1">
      <c r="A968" s="532"/>
      <c r="B968" s="533"/>
      <c r="C968" s="533"/>
      <c r="D968" s="534"/>
      <c r="E968" s="534"/>
      <c r="F968" s="534"/>
      <c r="G968" s="533"/>
      <c r="H968" s="481"/>
      <c r="I968" s="481"/>
      <c r="J968" s="481"/>
      <c r="K968" s="481"/>
      <c r="L968" s="481"/>
      <c r="M968" s="481"/>
      <c r="N968" s="481"/>
      <c r="O968" s="481"/>
      <c r="P968" s="481"/>
      <c r="Q968" s="481"/>
      <c r="R968" s="481"/>
      <c r="S968" s="481"/>
      <c r="T968" s="481"/>
      <c r="U968" s="481"/>
      <c r="V968" s="481"/>
      <c r="W968" s="481"/>
      <c r="X968" s="481"/>
      <c r="Y968" s="481"/>
      <c r="Z968" s="481"/>
      <c r="AA968" s="481"/>
      <c r="AB968" s="481"/>
      <c r="AC968" s="481"/>
    </row>
    <row r="969" hidden="1">
      <c r="A969" s="535"/>
      <c r="B969" s="536"/>
      <c r="C969" s="536"/>
      <c r="D969" s="537"/>
      <c r="E969" s="537"/>
      <c r="F969" s="537"/>
      <c r="G969" s="536"/>
      <c r="H969" s="481"/>
      <c r="I969" s="481"/>
      <c r="J969" s="481"/>
      <c r="K969" s="481"/>
      <c r="L969" s="481"/>
      <c r="M969" s="481"/>
      <c r="N969" s="481"/>
      <c r="O969" s="481"/>
      <c r="P969" s="481"/>
      <c r="Q969" s="481"/>
      <c r="R969" s="481"/>
      <c r="S969" s="481"/>
      <c r="T969" s="481"/>
      <c r="U969" s="481"/>
      <c r="V969" s="481"/>
      <c r="W969" s="481"/>
      <c r="X969" s="481"/>
      <c r="Y969" s="481"/>
      <c r="Z969" s="481"/>
      <c r="AA969" s="481"/>
      <c r="AB969" s="481"/>
      <c r="AC969" s="481"/>
    </row>
    <row r="970" hidden="1">
      <c r="A970" s="532"/>
      <c r="B970" s="533"/>
      <c r="C970" s="533"/>
      <c r="D970" s="534"/>
      <c r="E970" s="534"/>
      <c r="F970" s="534"/>
      <c r="G970" s="533"/>
      <c r="H970" s="481"/>
      <c r="I970" s="481"/>
      <c r="J970" s="481"/>
      <c r="K970" s="481"/>
      <c r="L970" s="481"/>
      <c r="M970" s="481"/>
      <c r="N970" s="481"/>
      <c r="O970" s="481"/>
      <c r="P970" s="481"/>
      <c r="Q970" s="481"/>
      <c r="R970" s="481"/>
      <c r="S970" s="481"/>
      <c r="T970" s="481"/>
      <c r="U970" s="481"/>
      <c r="V970" s="481"/>
      <c r="W970" s="481"/>
      <c r="X970" s="481"/>
      <c r="Y970" s="481"/>
      <c r="Z970" s="481"/>
      <c r="AA970" s="481"/>
      <c r="AB970" s="481"/>
      <c r="AC970" s="481"/>
    </row>
    <row r="971" hidden="1">
      <c r="A971" s="535"/>
      <c r="B971" s="536"/>
      <c r="C971" s="536"/>
      <c r="D971" s="537"/>
      <c r="E971" s="537"/>
      <c r="F971" s="537"/>
      <c r="G971" s="536"/>
      <c r="H971" s="481"/>
      <c r="I971" s="481"/>
      <c r="J971" s="481"/>
      <c r="K971" s="481"/>
      <c r="L971" s="481"/>
      <c r="M971" s="481"/>
      <c r="N971" s="481"/>
      <c r="O971" s="481"/>
      <c r="P971" s="481"/>
      <c r="Q971" s="481"/>
      <c r="R971" s="481"/>
      <c r="S971" s="481"/>
      <c r="T971" s="481"/>
      <c r="U971" s="481"/>
      <c r="V971" s="481"/>
      <c r="W971" s="481"/>
      <c r="X971" s="481"/>
      <c r="Y971" s="481"/>
      <c r="Z971" s="481"/>
      <c r="AA971" s="481"/>
      <c r="AB971" s="481"/>
      <c r="AC971" s="481"/>
    </row>
    <row r="972" hidden="1">
      <c r="A972" s="532"/>
      <c r="B972" s="533"/>
      <c r="C972" s="533"/>
      <c r="D972" s="534"/>
      <c r="E972" s="534"/>
      <c r="F972" s="534"/>
      <c r="G972" s="533"/>
      <c r="H972" s="481"/>
      <c r="I972" s="481"/>
      <c r="J972" s="481"/>
      <c r="K972" s="481"/>
      <c r="L972" s="481"/>
      <c r="M972" s="481"/>
      <c r="N972" s="481"/>
      <c r="O972" s="481"/>
      <c r="P972" s="481"/>
      <c r="Q972" s="481"/>
      <c r="R972" s="481"/>
      <c r="S972" s="481"/>
      <c r="T972" s="481"/>
      <c r="U972" s="481"/>
      <c r="V972" s="481"/>
      <c r="W972" s="481"/>
      <c r="X972" s="481"/>
      <c r="Y972" s="481"/>
      <c r="Z972" s="481"/>
      <c r="AA972" s="481"/>
      <c r="AB972" s="481"/>
      <c r="AC972" s="481"/>
    </row>
    <row r="973" hidden="1">
      <c r="A973" s="535"/>
      <c r="B973" s="536"/>
      <c r="C973" s="536"/>
      <c r="D973" s="537"/>
      <c r="E973" s="537"/>
      <c r="F973" s="537"/>
      <c r="G973" s="536"/>
      <c r="H973" s="481"/>
      <c r="I973" s="481"/>
      <c r="J973" s="481"/>
      <c r="K973" s="481"/>
      <c r="L973" s="481"/>
      <c r="M973" s="481"/>
      <c r="N973" s="481"/>
      <c r="O973" s="481"/>
      <c r="P973" s="481"/>
      <c r="Q973" s="481"/>
      <c r="R973" s="481"/>
      <c r="S973" s="481"/>
      <c r="T973" s="481"/>
      <c r="U973" s="481"/>
      <c r="V973" s="481"/>
      <c r="W973" s="481"/>
      <c r="X973" s="481"/>
      <c r="Y973" s="481"/>
      <c r="Z973" s="481"/>
      <c r="AA973" s="481"/>
      <c r="AB973" s="481"/>
      <c r="AC973" s="481"/>
    </row>
    <row r="974" hidden="1">
      <c r="A974" s="532"/>
      <c r="B974" s="533"/>
      <c r="C974" s="533"/>
      <c r="D974" s="534"/>
      <c r="E974" s="534"/>
      <c r="F974" s="534"/>
      <c r="G974" s="533"/>
      <c r="H974" s="481"/>
      <c r="I974" s="481"/>
      <c r="J974" s="481"/>
      <c r="K974" s="481"/>
      <c r="L974" s="481"/>
      <c r="M974" s="481"/>
      <c r="N974" s="481"/>
      <c r="O974" s="481"/>
      <c r="P974" s="481"/>
      <c r="Q974" s="481"/>
      <c r="R974" s="481"/>
      <c r="S974" s="481"/>
      <c r="T974" s="481"/>
      <c r="U974" s="481"/>
      <c r="V974" s="481"/>
      <c r="W974" s="481"/>
      <c r="X974" s="481"/>
      <c r="Y974" s="481"/>
      <c r="Z974" s="481"/>
      <c r="AA974" s="481"/>
      <c r="AB974" s="481"/>
      <c r="AC974" s="481"/>
    </row>
    <row r="975" hidden="1">
      <c r="A975" s="535"/>
      <c r="B975" s="536"/>
      <c r="C975" s="536"/>
      <c r="D975" s="537"/>
      <c r="E975" s="537"/>
      <c r="F975" s="537"/>
      <c r="G975" s="536"/>
      <c r="H975" s="481"/>
      <c r="I975" s="481"/>
      <c r="J975" s="481"/>
      <c r="K975" s="481"/>
      <c r="L975" s="481"/>
      <c r="M975" s="481"/>
      <c r="N975" s="481"/>
      <c r="O975" s="481"/>
      <c r="P975" s="481"/>
      <c r="Q975" s="481"/>
      <c r="R975" s="481"/>
      <c r="S975" s="481"/>
      <c r="T975" s="481"/>
      <c r="U975" s="481"/>
      <c r="V975" s="481"/>
      <c r="W975" s="481"/>
      <c r="X975" s="481"/>
      <c r="Y975" s="481"/>
      <c r="Z975" s="481"/>
      <c r="AA975" s="481"/>
      <c r="AB975" s="481"/>
      <c r="AC975" s="481"/>
    </row>
    <row r="976" hidden="1">
      <c r="A976" s="532"/>
      <c r="B976" s="533"/>
      <c r="C976" s="533"/>
      <c r="D976" s="534"/>
      <c r="E976" s="534"/>
      <c r="F976" s="534"/>
      <c r="G976" s="533"/>
      <c r="H976" s="481"/>
      <c r="I976" s="481"/>
      <c r="J976" s="481"/>
      <c r="K976" s="481"/>
      <c r="L976" s="481"/>
      <c r="M976" s="481"/>
      <c r="N976" s="481"/>
      <c r="O976" s="481"/>
      <c r="P976" s="481"/>
      <c r="Q976" s="481"/>
      <c r="R976" s="481"/>
      <c r="S976" s="481"/>
      <c r="T976" s="481"/>
      <c r="U976" s="481"/>
      <c r="V976" s="481"/>
      <c r="W976" s="481"/>
      <c r="X976" s="481"/>
      <c r="Y976" s="481"/>
      <c r="Z976" s="481"/>
      <c r="AA976" s="481"/>
      <c r="AB976" s="481"/>
      <c r="AC976" s="481"/>
    </row>
    <row r="977" hidden="1">
      <c r="A977" s="535"/>
      <c r="B977" s="536"/>
      <c r="C977" s="536"/>
      <c r="D977" s="537"/>
      <c r="E977" s="537"/>
      <c r="F977" s="537"/>
      <c r="G977" s="536"/>
      <c r="H977" s="481"/>
      <c r="I977" s="481"/>
      <c r="J977" s="481"/>
      <c r="K977" s="481"/>
      <c r="L977" s="481"/>
      <c r="M977" s="481"/>
      <c r="N977" s="481"/>
      <c r="O977" s="481"/>
      <c r="P977" s="481"/>
      <c r="Q977" s="481"/>
      <c r="R977" s="481"/>
      <c r="S977" s="481"/>
      <c r="T977" s="481"/>
      <c r="U977" s="481"/>
      <c r="V977" s="481"/>
      <c r="W977" s="481"/>
      <c r="X977" s="481"/>
      <c r="Y977" s="481"/>
      <c r="Z977" s="481"/>
      <c r="AA977" s="481"/>
      <c r="AB977" s="481"/>
      <c r="AC977" s="481"/>
    </row>
    <row r="978" hidden="1">
      <c r="A978" s="532"/>
      <c r="B978" s="533"/>
      <c r="C978" s="533"/>
      <c r="D978" s="534"/>
      <c r="E978" s="534"/>
      <c r="F978" s="534"/>
      <c r="G978" s="533"/>
      <c r="H978" s="481"/>
      <c r="I978" s="481"/>
      <c r="J978" s="481"/>
      <c r="K978" s="481"/>
      <c r="L978" s="481"/>
      <c r="M978" s="481"/>
      <c r="N978" s="481"/>
      <c r="O978" s="481"/>
      <c r="P978" s="481"/>
      <c r="Q978" s="481"/>
      <c r="R978" s="481"/>
      <c r="S978" s="481"/>
      <c r="T978" s="481"/>
      <c r="U978" s="481"/>
      <c r="V978" s="481"/>
      <c r="W978" s="481"/>
      <c r="X978" s="481"/>
      <c r="Y978" s="481"/>
      <c r="Z978" s="481"/>
      <c r="AA978" s="481"/>
      <c r="AB978" s="481"/>
      <c r="AC978" s="481"/>
    </row>
    <row r="979" hidden="1">
      <c r="A979" s="535"/>
      <c r="B979" s="536"/>
      <c r="C979" s="536"/>
      <c r="D979" s="537"/>
      <c r="E979" s="537"/>
      <c r="F979" s="537"/>
      <c r="G979" s="536"/>
      <c r="H979" s="481"/>
      <c r="I979" s="481"/>
      <c r="J979" s="481"/>
      <c r="K979" s="481"/>
      <c r="L979" s="481"/>
      <c r="M979" s="481"/>
      <c r="N979" s="481"/>
      <c r="O979" s="481"/>
      <c r="P979" s="481"/>
      <c r="Q979" s="481"/>
      <c r="R979" s="481"/>
      <c r="S979" s="481"/>
      <c r="T979" s="481"/>
      <c r="U979" s="481"/>
      <c r="V979" s="481"/>
      <c r="W979" s="481"/>
      <c r="X979" s="481"/>
      <c r="Y979" s="481"/>
      <c r="Z979" s="481"/>
      <c r="AA979" s="481"/>
      <c r="AB979" s="481"/>
      <c r="AC979" s="481"/>
    </row>
    <row r="980" hidden="1">
      <c r="A980" s="532"/>
      <c r="B980" s="533"/>
      <c r="C980" s="533"/>
      <c r="D980" s="534"/>
      <c r="E980" s="534"/>
      <c r="F980" s="534"/>
      <c r="G980" s="533"/>
      <c r="H980" s="481"/>
      <c r="I980" s="481"/>
      <c r="J980" s="481"/>
      <c r="K980" s="481"/>
      <c r="L980" s="481"/>
      <c r="M980" s="481"/>
      <c r="N980" s="481"/>
      <c r="O980" s="481"/>
      <c r="P980" s="481"/>
      <c r="Q980" s="481"/>
      <c r="R980" s="481"/>
      <c r="S980" s="481"/>
      <c r="T980" s="481"/>
      <c r="U980" s="481"/>
      <c r="V980" s="481"/>
      <c r="W980" s="481"/>
      <c r="X980" s="481"/>
      <c r="Y980" s="481"/>
      <c r="Z980" s="481"/>
      <c r="AA980" s="481"/>
      <c r="AB980" s="481"/>
      <c r="AC980" s="481"/>
    </row>
    <row r="981" hidden="1">
      <c r="A981" s="535"/>
      <c r="B981" s="536"/>
      <c r="C981" s="536"/>
      <c r="D981" s="537"/>
      <c r="E981" s="537"/>
      <c r="F981" s="537"/>
      <c r="G981" s="536"/>
      <c r="H981" s="481"/>
      <c r="I981" s="481"/>
      <c r="J981" s="481"/>
      <c r="K981" s="481"/>
      <c r="L981" s="481"/>
      <c r="M981" s="481"/>
      <c r="N981" s="481"/>
      <c r="O981" s="481"/>
      <c r="P981" s="481"/>
      <c r="Q981" s="481"/>
      <c r="R981" s="481"/>
      <c r="S981" s="481"/>
      <c r="T981" s="481"/>
      <c r="U981" s="481"/>
      <c r="V981" s="481"/>
      <c r="W981" s="481"/>
      <c r="X981" s="481"/>
      <c r="Y981" s="481"/>
      <c r="Z981" s="481"/>
      <c r="AA981" s="481"/>
      <c r="AB981" s="481"/>
      <c r="AC981" s="481"/>
    </row>
    <row r="982" hidden="1">
      <c r="A982" s="532"/>
      <c r="B982" s="533"/>
      <c r="C982" s="533"/>
      <c r="D982" s="534"/>
      <c r="E982" s="534"/>
      <c r="F982" s="534"/>
      <c r="G982" s="533"/>
      <c r="H982" s="481"/>
      <c r="I982" s="481"/>
      <c r="J982" s="481"/>
      <c r="K982" s="481"/>
      <c r="L982" s="481"/>
      <c r="M982" s="481"/>
      <c r="N982" s="481"/>
      <c r="O982" s="481"/>
      <c r="P982" s="481"/>
      <c r="Q982" s="481"/>
      <c r="R982" s="481"/>
      <c r="S982" s="481"/>
      <c r="T982" s="481"/>
      <c r="U982" s="481"/>
      <c r="V982" s="481"/>
      <c r="W982" s="481"/>
      <c r="X982" s="481"/>
      <c r="Y982" s="481"/>
      <c r="Z982" s="481"/>
      <c r="AA982" s="481"/>
      <c r="AB982" s="481"/>
      <c r="AC982" s="481"/>
    </row>
    <row r="983" hidden="1">
      <c r="A983" s="535"/>
      <c r="B983" s="536"/>
      <c r="C983" s="536"/>
      <c r="D983" s="537"/>
      <c r="E983" s="537"/>
      <c r="F983" s="537"/>
      <c r="G983" s="536"/>
      <c r="H983" s="481"/>
      <c r="I983" s="481"/>
      <c r="J983" s="481"/>
      <c r="K983" s="481"/>
      <c r="L983" s="481"/>
      <c r="M983" s="481"/>
      <c r="N983" s="481"/>
      <c r="O983" s="481"/>
      <c r="P983" s="481"/>
      <c r="Q983" s="481"/>
      <c r="R983" s="481"/>
      <c r="S983" s="481"/>
      <c r="T983" s="481"/>
      <c r="U983" s="481"/>
      <c r="V983" s="481"/>
      <c r="W983" s="481"/>
      <c r="X983" s="481"/>
      <c r="Y983" s="481"/>
      <c r="Z983" s="481"/>
      <c r="AA983" s="481"/>
      <c r="AB983" s="481"/>
      <c r="AC983" s="481"/>
    </row>
    <row r="984" hidden="1">
      <c r="A984" s="532"/>
      <c r="B984" s="533"/>
      <c r="C984" s="533"/>
      <c r="D984" s="534"/>
      <c r="E984" s="534"/>
      <c r="F984" s="534"/>
      <c r="G984" s="533"/>
      <c r="H984" s="481"/>
      <c r="I984" s="481"/>
      <c r="J984" s="481"/>
      <c r="K984" s="481"/>
      <c r="L984" s="481"/>
      <c r="M984" s="481"/>
      <c r="N984" s="481"/>
      <c r="O984" s="481"/>
      <c r="P984" s="481"/>
      <c r="Q984" s="481"/>
      <c r="R984" s="481"/>
      <c r="S984" s="481"/>
      <c r="T984" s="481"/>
      <c r="U984" s="481"/>
      <c r="V984" s="481"/>
      <c r="W984" s="481"/>
      <c r="X984" s="481"/>
      <c r="Y984" s="481"/>
      <c r="Z984" s="481"/>
      <c r="AA984" s="481"/>
      <c r="AB984" s="481"/>
      <c r="AC984" s="481"/>
    </row>
    <row r="985" hidden="1">
      <c r="A985" s="535"/>
      <c r="B985" s="536"/>
      <c r="C985" s="536"/>
      <c r="D985" s="537"/>
      <c r="E985" s="537"/>
      <c r="F985" s="537"/>
      <c r="G985" s="536"/>
      <c r="H985" s="481"/>
      <c r="I985" s="481"/>
      <c r="J985" s="481"/>
      <c r="K985" s="481"/>
      <c r="L985" s="481"/>
      <c r="M985" s="481"/>
      <c r="N985" s="481"/>
      <c r="O985" s="481"/>
      <c r="P985" s="481"/>
      <c r="Q985" s="481"/>
      <c r="R985" s="481"/>
      <c r="S985" s="481"/>
      <c r="T985" s="481"/>
      <c r="U985" s="481"/>
      <c r="V985" s="481"/>
      <c r="W985" s="481"/>
      <c r="X985" s="481"/>
      <c r="Y985" s="481"/>
      <c r="Z985" s="481"/>
      <c r="AA985" s="481"/>
      <c r="AB985" s="481"/>
      <c r="AC985" s="481"/>
    </row>
    <row r="986" hidden="1">
      <c r="A986" s="532"/>
      <c r="B986" s="533"/>
      <c r="C986" s="533"/>
      <c r="D986" s="534"/>
      <c r="E986" s="534"/>
      <c r="F986" s="534"/>
      <c r="G986" s="533"/>
      <c r="H986" s="481"/>
      <c r="I986" s="481"/>
      <c r="J986" s="481"/>
      <c r="K986" s="481"/>
      <c r="L986" s="481"/>
      <c r="M986" s="481"/>
      <c r="N986" s="481"/>
      <c r="O986" s="481"/>
      <c r="P986" s="481"/>
      <c r="Q986" s="481"/>
      <c r="R986" s="481"/>
      <c r="S986" s="481"/>
      <c r="T986" s="481"/>
      <c r="U986" s="481"/>
      <c r="V986" s="481"/>
      <c r="W986" s="481"/>
      <c r="X986" s="481"/>
      <c r="Y986" s="481"/>
      <c r="Z986" s="481"/>
      <c r="AA986" s="481"/>
      <c r="AB986" s="481"/>
      <c r="AC986" s="481"/>
    </row>
    <row r="987" hidden="1">
      <c r="A987" s="535"/>
      <c r="B987" s="536"/>
      <c r="C987" s="536"/>
      <c r="D987" s="537"/>
      <c r="E987" s="537"/>
      <c r="F987" s="537"/>
      <c r="G987" s="536"/>
      <c r="H987" s="481"/>
      <c r="I987" s="481"/>
      <c r="J987" s="481"/>
      <c r="K987" s="481"/>
      <c r="L987" s="481"/>
      <c r="M987" s="481"/>
      <c r="N987" s="481"/>
      <c r="O987" s="481"/>
      <c r="P987" s="481"/>
      <c r="Q987" s="481"/>
      <c r="R987" s="481"/>
      <c r="S987" s="481"/>
      <c r="T987" s="481"/>
      <c r="U987" s="481"/>
      <c r="V987" s="481"/>
      <c r="W987" s="481"/>
      <c r="X987" s="481"/>
      <c r="Y987" s="481"/>
      <c r="Z987" s="481"/>
      <c r="AA987" s="481"/>
      <c r="AB987" s="481"/>
      <c r="AC987" s="481"/>
    </row>
    <row r="988" hidden="1">
      <c r="A988" s="532"/>
      <c r="B988" s="533"/>
      <c r="C988" s="533"/>
      <c r="D988" s="534"/>
      <c r="E988" s="534"/>
      <c r="F988" s="534"/>
      <c r="G988" s="533"/>
      <c r="H988" s="481"/>
      <c r="I988" s="481"/>
      <c r="J988" s="481"/>
      <c r="K988" s="481"/>
      <c r="L988" s="481"/>
      <c r="M988" s="481"/>
      <c r="N988" s="481"/>
      <c r="O988" s="481"/>
      <c r="P988" s="481"/>
      <c r="Q988" s="481"/>
      <c r="R988" s="481"/>
      <c r="S988" s="481"/>
      <c r="T988" s="481"/>
      <c r="U988" s="481"/>
      <c r="V988" s="481"/>
      <c r="W988" s="481"/>
      <c r="X988" s="481"/>
      <c r="Y988" s="481"/>
      <c r="Z988" s="481"/>
      <c r="AA988" s="481"/>
      <c r="AB988" s="481"/>
      <c r="AC988" s="481"/>
    </row>
    <row r="989" hidden="1">
      <c r="A989" s="535"/>
      <c r="B989" s="536"/>
      <c r="C989" s="536"/>
      <c r="D989" s="537"/>
      <c r="E989" s="537"/>
      <c r="F989" s="537"/>
      <c r="G989" s="536"/>
      <c r="H989" s="481"/>
      <c r="I989" s="481"/>
      <c r="J989" s="481"/>
      <c r="K989" s="481"/>
      <c r="L989" s="481"/>
      <c r="M989" s="481"/>
      <c r="N989" s="481"/>
      <c r="O989" s="481"/>
      <c r="P989" s="481"/>
      <c r="Q989" s="481"/>
      <c r="R989" s="481"/>
      <c r="S989" s="481"/>
      <c r="T989" s="481"/>
      <c r="U989" s="481"/>
      <c r="V989" s="481"/>
      <c r="W989" s="481"/>
      <c r="X989" s="481"/>
      <c r="Y989" s="481"/>
      <c r="Z989" s="481"/>
      <c r="AA989" s="481"/>
      <c r="AB989" s="481"/>
      <c r="AC989" s="481"/>
    </row>
    <row r="990" hidden="1">
      <c r="A990" s="532"/>
      <c r="B990" s="533"/>
      <c r="C990" s="533"/>
      <c r="D990" s="534"/>
      <c r="E990" s="534"/>
      <c r="F990" s="534"/>
      <c r="G990" s="533"/>
      <c r="H990" s="481"/>
      <c r="I990" s="481"/>
      <c r="J990" s="481"/>
      <c r="K990" s="481"/>
      <c r="L990" s="481"/>
      <c r="M990" s="481"/>
      <c r="N990" s="481"/>
      <c r="O990" s="481"/>
      <c r="P990" s="481"/>
      <c r="Q990" s="481"/>
      <c r="R990" s="481"/>
      <c r="S990" s="481"/>
      <c r="T990" s="481"/>
      <c r="U990" s="481"/>
      <c r="V990" s="481"/>
      <c r="W990" s="481"/>
      <c r="X990" s="481"/>
      <c r="Y990" s="481"/>
      <c r="Z990" s="481"/>
      <c r="AA990" s="481"/>
      <c r="AB990" s="481"/>
      <c r="AC990" s="481"/>
    </row>
    <row r="991" hidden="1">
      <c r="A991" s="535"/>
      <c r="B991" s="536"/>
      <c r="C991" s="536"/>
      <c r="D991" s="537"/>
      <c r="E991" s="537"/>
      <c r="F991" s="537"/>
      <c r="G991" s="536"/>
      <c r="H991" s="481"/>
      <c r="I991" s="481"/>
      <c r="J991" s="481"/>
      <c r="K991" s="481"/>
      <c r="L991" s="481"/>
      <c r="M991" s="481"/>
      <c r="N991" s="481"/>
      <c r="O991" s="481"/>
      <c r="P991" s="481"/>
      <c r="Q991" s="481"/>
      <c r="R991" s="481"/>
      <c r="S991" s="481"/>
      <c r="T991" s="481"/>
      <c r="U991" s="481"/>
      <c r="V991" s="481"/>
      <c r="W991" s="481"/>
      <c r="X991" s="481"/>
      <c r="Y991" s="481"/>
      <c r="Z991" s="481"/>
      <c r="AA991" s="481"/>
      <c r="AB991" s="481"/>
      <c r="AC991" s="481"/>
    </row>
    <row r="992" hidden="1">
      <c r="A992" s="532"/>
      <c r="B992" s="533"/>
      <c r="C992" s="533"/>
      <c r="D992" s="534"/>
      <c r="E992" s="534"/>
      <c r="F992" s="534"/>
      <c r="G992" s="533"/>
      <c r="H992" s="481"/>
      <c r="I992" s="481"/>
      <c r="J992" s="481"/>
      <c r="K992" s="481"/>
      <c r="L992" s="481"/>
      <c r="M992" s="481"/>
      <c r="N992" s="481"/>
      <c r="O992" s="481"/>
      <c r="P992" s="481"/>
      <c r="Q992" s="481"/>
      <c r="R992" s="481"/>
      <c r="S992" s="481"/>
      <c r="T992" s="481"/>
      <c r="U992" s="481"/>
      <c r="V992" s="481"/>
      <c r="W992" s="481"/>
      <c r="X992" s="481"/>
      <c r="Y992" s="481"/>
      <c r="Z992" s="481"/>
      <c r="AA992" s="481"/>
      <c r="AB992" s="481"/>
      <c r="AC992" s="481"/>
    </row>
    <row r="993" hidden="1">
      <c r="A993" s="535"/>
      <c r="B993" s="536"/>
      <c r="C993" s="536"/>
      <c r="D993" s="537"/>
      <c r="E993" s="537"/>
      <c r="F993" s="537"/>
      <c r="G993" s="536"/>
      <c r="H993" s="481"/>
      <c r="I993" s="481"/>
      <c r="J993" s="481"/>
      <c r="K993" s="481"/>
      <c r="L993" s="481"/>
      <c r="M993" s="481"/>
      <c r="N993" s="481"/>
      <c r="O993" s="481"/>
      <c r="P993" s="481"/>
      <c r="Q993" s="481"/>
      <c r="R993" s="481"/>
      <c r="S993" s="481"/>
      <c r="T993" s="481"/>
      <c r="U993" s="481"/>
      <c r="V993" s="481"/>
      <c r="W993" s="481"/>
      <c r="X993" s="481"/>
      <c r="Y993" s="481"/>
      <c r="Z993" s="481"/>
      <c r="AA993" s="481"/>
      <c r="AB993" s="481"/>
      <c r="AC993" s="481"/>
    </row>
    <row r="994" hidden="1">
      <c r="A994" s="532"/>
      <c r="B994" s="533"/>
      <c r="C994" s="533"/>
      <c r="D994" s="534"/>
      <c r="E994" s="534"/>
      <c r="F994" s="534"/>
      <c r="G994" s="533"/>
      <c r="H994" s="481"/>
      <c r="I994" s="481"/>
      <c r="J994" s="481"/>
      <c r="K994" s="481"/>
      <c r="L994" s="481"/>
      <c r="M994" s="481"/>
      <c r="N994" s="481"/>
      <c r="O994" s="481"/>
      <c r="P994" s="481"/>
      <c r="Q994" s="481"/>
      <c r="R994" s="481"/>
      <c r="S994" s="481"/>
      <c r="T994" s="481"/>
      <c r="U994" s="481"/>
      <c r="V994" s="481"/>
      <c r="W994" s="481"/>
      <c r="X994" s="481"/>
      <c r="Y994" s="481"/>
      <c r="Z994" s="481"/>
      <c r="AA994" s="481"/>
      <c r="AB994" s="481"/>
      <c r="AC994" s="481"/>
    </row>
    <row r="995" hidden="1">
      <c r="A995" s="535"/>
      <c r="B995" s="536"/>
      <c r="C995" s="536"/>
      <c r="D995" s="537"/>
      <c r="E995" s="537"/>
      <c r="F995" s="537"/>
      <c r="G995" s="536"/>
      <c r="H995" s="481"/>
      <c r="I995" s="481"/>
      <c r="J995" s="481"/>
      <c r="K995" s="481"/>
      <c r="L995" s="481"/>
      <c r="M995" s="481"/>
      <c r="N995" s="481"/>
      <c r="O995" s="481"/>
      <c r="P995" s="481"/>
      <c r="Q995" s="481"/>
      <c r="R995" s="481"/>
      <c r="S995" s="481"/>
      <c r="T995" s="481"/>
      <c r="U995" s="481"/>
      <c r="V995" s="481"/>
      <c r="W995" s="481"/>
      <c r="X995" s="481"/>
      <c r="Y995" s="481"/>
      <c r="Z995" s="481"/>
      <c r="AA995" s="481"/>
      <c r="AB995" s="481"/>
      <c r="AC995" s="481"/>
    </row>
    <row r="996" hidden="1">
      <c r="A996" s="532"/>
      <c r="B996" s="533"/>
      <c r="C996" s="533"/>
      <c r="D996" s="534"/>
      <c r="E996" s="534"/>
      <c r="F996" s="534"/>
      <c r="G996" s="533"/>
      <c r="H996" s="481"/>
      <c r="I996" s="481"/>
      <c r="J996" s="481"/>
      <c r="K996" s="481"/>
      <c r="L996" s="481"/>
      <c r="M996" s="481"/>
      <c r="N996" s="481"/>
      <c r="O996" s="481"/>
      <c r="P996" s="481"/>
      <c r="Q996" s="481"/>
      <c r="R996" s="481"/>
      <c r="S996" s="481"/>
      <c r="T996" s="481"/>
      <c r="U996" s="481"/>
      <c r="V996" s="481"/>
      <c r="W996" s="481"/>
      <c r="X996" s="481"/>
      <c r="Y996" s="481"/>
      <c r="Z996" s="481"/>
      <c r="AA996" s="481"/>
      <c r="AB996" s="481"/>
      <c r="AC996" s="481"/>
    </row>
    <row r="997" hidden="1">
      <c r="A997" s="535"/>
      <c r="B997" s="536"/>
      <c r="C997" s="536"/>
      <c r="D997" s="537"/>
      <c r="E997" s="537"/>
      <c r="F997" s="537"/>
      <c r="G997" s="536"/>
      <c r="H997" s="481"/>
      <c r="I997" s="481"/>
      <c r="J997" s="481"/>
      <c r="K997" s="481"/>
      <c r="L997" s="481"/>
      <c r="M997" s="481"/>
      <c r="N997" s="481"/>
      <c r="O997" s="481"/>
      <c r="P997" s="481"/>
      <c r="Q997" s="481"/>
      <c r="R997" s="481"/>
      <c r="S997" s="481"/>
      <c r="T997" s="481"/>
      <c r="U997" s="481"/>
      <c r="V997" s="481"/>
      <c r="W997" s="481"/>
      <c r="X997" s="481"/>
      <c r="Y997" s="481"/>
      <c r="Z997" s="481"/>
      <c r="AA997" s="481"/>
      <c r="AB997" s="481"/>
      <c r="AC997" s="481"/>
    </row>
    <row r="998" hidden="1">
      <c r="A998" s="532"/>
      <c r="B998" s="533"/>
      <c r="C998" s="533"/>
      <c r="D998" s="534"/>
      <c r="E998" s="534"/>
      <c r="F998" s="534"/>
      <c r="G998" s="533"/>
      <c r="H998" s="481"/>
      <c r="I998" s="481"/>
      <c r="J998" s="481"/>
      <c r="K998" s="481"/>
      <c r="L998" s="481"/>
      <c r="M998" s="481"/>
      <c r="N998" s="481"/>
      <c r="O998" s="481"/>
      <c r="P998" s="481"/>
      <c r="Q998" s="481"/>
      <c r="R998" s="481"/>
      <c r="S998" s="481"/>
      <c r="T998" s="481"/>
      <c r="U998" s="481"/>
      <c r="V998" s="481"/>
      <c r="W998" s="481"/>
      <c r="X998" s="481"/>
      <c r="Y998" s="481"/>
      <c r="Z998" s="481"/>
      <c r="AA998" s="481"/>
      <c r="AB998" s="481"/>
      <c r="AC998" s="481"/>
    </row>
    <row r="999" hidden="1">
      <c r="A999" s="535"/>
      <c r="B999" s="536"/>
      <c r="C999" s="536"/>
      <c r="D999" s="537"/>
      <c r="E999" s="537"/>
      <c r="F999" s="537"/>
      <c r="G999" s="536"/>
      <c r="H999" s="481"/>
      <c r="I999" s="481"/>
      <c r="J999" s="481"/>
      <c r="K999" s="481"/>
      <c r="L999" s="481"/>
      <c r="M999" s="481"/>
      <c r="N999" s="481"/>
      <c r="O999" s="481"/>
      <c r="P999" s="481"/>
      <c r="Q999" s="481"/>
      <c r="R999" s="481"/>
      <c r="S999" s="481"/>
      <c r="T999" s="481"/>
      <c r="U999" s="481"/>
      <c r="V999" s="481"/>
      <c r="W999" s="481"/>
      <c r="X999" s="481"/>
      <c r="Y999" s="481"/>
      <c r="Z999" s="481"/>
      <c r="AA999" s="481"/>
      <c r="AB999" s="481"/>
      <c r="AC999" s="481"/>
    </row>
    <row r="1000" hidden="1">
      <c r="A1000" s="532"/>
      <c r="B1000" s="533"/>
      <c r="C1000" s="533"/>
      <c r="D1000" s="534"/>
      <c r="E1000" s="534"/>
      <c r="F1000" s="534"/>
      <c r="G1000" s="533"/>
      <c r="H1000" s="481"/>
      <c r="I1000" s="481"/>
      <c r="J1000" s="481"/>
      <c r="K1000" s="481"/>
      <c r="L1000" s="481"/>
      <c r="M1000" s="481"/>
      <c r="N1000" s="481"/>
      <c r="O1000" s="481"/>
      <c r="P1000" s="481"/>
      <c r="Q1000" s="481"/>
      <c r="R1000" s="481"/>
      <c r="S1000" s="481"/>
      <c r="T1000" s="481"/>
      <c r="U1000" s="481"/>
      <c r="V1000" s="481"/>
      <c r="W1000" s="481"/>
      <c r="X1000" s="481"/>
      <c r="Y1000" s="481"/>
      <c r="Z1000" s="481"/>
      <c r="AA1000" s="481"/>
      <c r="AB1000" s="481"/>
      <c r="AC1000" s="481"/>
    </row>
  </sheetData>
  <autoFilter ref="$A$1:$G$1000">
    <filterColumn colId="6">
      <filters>
        <filter val="Военная"/>
      </filters>
    </filterColumn>
    <sortState ref="A1:G1000">
      <sortCondition ref="G1:G1000"/>
    </sortState>
  </autoFilter>
  <mergeCells count="3">
    <mergeCell ref="J2:M2"/>
    <mergeCell ref="J9:M9"/>
    <mergeCell ref="J16:M16"/>
  </mergeCells>
  <hyperlinks>
    <hyperlink display="2000 зм (Осколок маны)" location="'Энциклопедия материалов'!A43" ref="F11"/>
    <hyperlink display="125 зм (Пыль призрака)" location="'Энциклопедия материалов'!A16" ref="F22"/>
    <hyperlink display="50 зм (Коготь чудовища)" location="'Энциклопедия материалов'!A18" ref="F23"/>
    <hyperlink display="150 зм (Сердце чудовища)" location="'Энциклопедия материалов'!A20" ref="F24"/>
    <hyperlink display="100 зм (Язык чудовища)" location="'Энциклопедия материалов'!A22" ref="F25"/>
    <hyperlink display="500 зм (Щупальце чудовища)" location="'Энциклопедия материалов'!A33" ref="F26"/>
    <hyperlink display="500 зм (Ледяной клык)" location="'Энциклопедия материалов'!A39" ref="F27"/>
    <hyperlink display="250 зм (Эктоплазма)" location="'Энциклопедия материалов'!A40" ref="F28"/>
    <hyperlink display="500 зм (Ядовитый шип)" location="'Энциклопедия материалов'!I42" ref="F29"/>
    <hyperlink display="100 зм (Эссенция света)" location="'Энциклопедия материалов'!A56" ref="F30"/>
    <hyperlink display="1200 (Лёгкое чудовища)" location="'Энциклопедия материалов'!A46" ref="F44"/>
    <hyperlink display="1500 зм (Регенерирующая плоть)" location="'Энциклопедия материалов'!A49" ref="F45"/>
    <hyperlink display="1800 зм (Живая вода)" location="'Энциклопедия материалов'!A58" ref="F46"/>
    <hyperlink display="350 зм (Мозг чудовища)" location="'Энциклопедия материалов'!A32" ref="F62"/>
    <hyperlink display="5000 зм (Эссенция хаоса)" location="'Энциклопедия материалов'!A71" ref="F79"/>
    <hyperlink display="18000 зм (Сердце преобразования)" location="'Энциклопедия материалов'!A79" ref="F80"/>
    <hyperlink display="40000 зм (Ядро переплетённой реальности)" location="'Энциклопедия материалов'!A85" ref="F81"/>
  </hyperlink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75"/>
    <col customWidth="1" min="2" max="2" width="9.38"/>
    <col customWidth="1" min="3" max="3" width="20.5"/>
    <col customWidth="1" min="4" max="4" width="75.63"/>
    <col customWidth="1" min="5" max="5" width="9.88"/>
    <col customWidth="1" min="6" max="6" width="22.63"/>
    <col customWidth="1" min="7" max="8" width="21.5"/>
  </cols>
  <sheetData>
    <row r="1">
      <c r="A1" s="474" t="s">
        <v>167</v>
      </c>
      <c r="B1" s="474" t="s">
        <v>171</v>
      </c>
      <c r="C1" s="474" t="s">
        <v>1910</v>
      </c>
      <c r="D1" s="474" t="s">
        <v>505</v>
      </c>
      <c r="E1" s="474" t="s">
        <v>541</v>
      </c>
      <c r="F1" s="474" t="s">
        <v>1911</v>
      </c>
      <c r="G1" s="474" t="s">
        <v>1739</v>
      </c>
      <c r="H1" s="538"/>
    </row>
    <row r="2">
      <c r="A2" s="480" t="s">
        <v>1912</v>
      </c>
      <c r="B2" s="539">
        <v>5.0</v>
      </c>
      <c r="C2" s="480" t="s">
        <v>1913</v>
      </c>
      <c r="D2" s="497" t="s">
        <v>1914</v>
      </c>
      <c r="E2" s="479" t="s">
        <v>341</v>
      </c>
      <c r="F2" s="497" t="s">
        <v>26</v>
      </c>
      <c r="G2" s="480" t="s">
        <v>1915</v>
      </c>
      <c r="H2" s="540"/>
    </row>
    <row r="3">
      <c r="A3" s="486" t="s">
        <v>1916</v>
      </c>
      <c r="B3" s="541">
        <v>8.0</v>
      </c>
      <c r="C3" s="486" t="s">
        <v>1913</v>
      </c>
      <c r="D3" s="505" t="s">
        <v>1917</v>
      </c>
      <c r="E3" s="485" t="s">
        <v>610</v>
      </c>
      <c r="F3" s="505" t="s">
        <v>26</v>
      </c>
      <c r="G3" s="486" t="s">
        <v>1915</v>
      </c>
      <c r="H3" s="542"/>
    </row>
    <row r="4">
      <c r="A4" s="480" t="s">
        <v>1918</v>
      </c>
      <c r="B4" s="543">
        <v>4.0</v>
      </c>
      <c r="C4" s="480" t="s">
        <v>1913</v>
      </c>
      <c r="D4" s="497" t="s">
        <v>1919</v>
      </c>
      <c r="E4" s="479" t="s">
        <v>1084</v>
      </c>
      <c r="F4" s="497" t="s">
        <v>26</v>
      </c>
      <c r="G4" s="480" t="s">
        <v>1915</v>
      </c>
      <c r="H4" s="540"/>
    </row>
    <row r="5">
      <c r="A5" s="486" t="s">
        <v>1920</v>
      </c>
      <c r="B5" s="541">
        <v>2.0</v>
      </c>
      <c r="C5" s="486" t="s">
        <v>1913</v>
      </c>
      <c r="D5" s="505" t="s">
        <v>1921</v>
      </c>
      <c r="E5" s="485" t="s">
        <v>267</v>
      </c>
      <c r="F5" s="505" t="s">
        <v>26</v>
      </c>
      <c r="G5" s="486" t="s">
        <v>1915</v>
      </c>
      <c r="H5" s="542"/>
    </row>
    <row r="6">
      <c r="A6" s="479" t="s">
        <v>957</v>
      </c>
      <c r="B6" s="543">
        <v>2.0</v>
      </c>
      <c r="C6" s="479" t="s">
        <v>2</v>
      </c>
      <c r="D6" s="479" t="s">
        <v>1922</v>
      </c>
      <c r="E6" s="479" t="s">
        <v>1524</v>
      </c>
      <c r="F6" s="508" t="s">
        <v>957</v>
      </c>
      <c r="G6" s="479" t="s">
        <v>1923</v>
      </c>
      <c r="H6" s="540"/>
    </row>
    <row r="7">
      <c r="A7" s="485" t="s">
        <v>1486</v>
      </c>
      <c r="B7" s="544">
        <v>4.0</v>
      </c>
      <c r="C7" s="485" t="s">
        <v>2</v>
      </c>
      <c r="D7" s="485" t="s">
        <v>1924</v>
      </c>
      <c r="E7" s="485" t="s">
        <v>327</v>
      </c>
      <c r="F7" s="500" t="s">
        <v>1486</v>
      </c>
      <c r="G7" s="485" t="s">
        <v>1923</v>
      </c>
      <c r="H7" s="542"/>
    </row>
    <row r="8">
      <c r="A8" s="479" t="s">
        <v>1598</v>
      </c>
      <c r="B8" s="499">
        <v>3.0</v>
      </c>
      <c r="C8" s="479" t="s">
        <v>2</v>
      </c>
      <c r="D8" s="479" t="s">
        <v>1925</v>
      </c>
      <c r="E8" s="479" t="s">
        <v>295</v>
      </c>
      <c r="F8" s="508" t="s">
        <v>1598</v>
      </c>
      <c r="G8" s="479" t="s">
        <v>1923</v>
      </c>
      <c r="H8" s="540"/>
    </row>
    <row r="9">
      <c r="A9" s="485" t="s">
        <v>1600</v>
      </c>
      <c r="B9" s="544">
        <v>5.0</v>
      </c>
      <c r="C9" s="485" t="s">
        <v>2</v>
      </c>
      <c r="D9" s="485" t="s">
        <v>1926</v>
      </c>
      <c r="E9" s="485" t="s">
        <v>327</v>
      </c>
      <c r="F9" s="500" t="s">
        <v>1602</v>
      </c>
      <c r="G9" s="485" t="s">
        <v>1923</v>
      </c>
      <c r="H9" s="542"/>
    </row>
    <row r="10">
      <c r="A10" s="480" t="s">
        <v>1603</v>
      </c>
      <c r="B10" s="499">
        <v>3.0</v>
      </c>
      <c r="C10" s="480" t="s">
        <v>2</v>
      </c>
      <c r="D10" s="497" t="s">
        <v>1927</v>
      </c>
      <c r="E10" s="479" t="s">
        <v>1604</v>
      </c>
      <c r="F10" s="508" t="s">
        <v>1603</v>
      </c>
      <c r="G10" s="479" t="s">
        <v>1923</v>
      </c>
      <c r="H10" s="540"/>
    </row>
    <row r="11">
      <c r="A11" s="485" t="s">
        <v>1606</v>
      </c>
      <c r="B11" s="544">
        <v>5.0</v>
      </c>
      <c r="C11" s="485" t="s">
        <v>2</v>
      </c>
      <c r="D11" s="485" t="s">
        <v>1928</v>
      </c>
      <c r="E11" s="485" t="s">
        <v>1607</v>
      </c>
      <c r="F11" s="500" t="s">
        <v>1606</v>
      </c>
      <c r="G11" s="485" t="s">
        <v>1923</v>
      </c>
      <c r="H11" s="542"/>
    </row>
    <row r="12">
      <c r="A12" s="479" t="s">
        <v>1609</v>
      </c>
      <c r="B12" s="499">
        <v>3.0</v>
      </c>
      <c r="C12" s="479" t="s">
        <v>2</v>
      </c>
      <c r="D12" s="479" t="s">
        <v>1929</v>
      </c>
      <c r="E12" s="479" t="s">
        <v>1524</v>
      </c>
      <c r="F12" s="508" t="s">
        <v>1609</v>
      </c>
      <c r="G12" s="479" t="s">
        <v>1923</v>
      </c>
      <c r="H12" s="540"/>
    </row>
    <row r="13">
      <c r="A13" s="485" t="s">
        <v>1611</v>
      </c>
      <c r="B13" s="544">
        <v>5.0</v>
      </c>
      <c r="C13" s="485" t="s">
        <v>2</v>
      </c>
      <c r="D13" s="485" t="s">
        <v>1930</v>
      </c>
      <c r="E13" s="485" t="s">
        <v>1524</v>
      </c>
      <c r="F13" s="500" t="s">
        <v>1611</v>
      </c>
      <c r="G13" s="485" t="s">
        <v>1923</v>
      </c>
      <c r="H13" s="542"/>
    </row>
    <row r="14">
      <c r="A14" s="479" t="s">
        <v>1613</v>
      </c>
      <c r="B14" s="499">
        <v>6.0</v>
      </c>
      <c r="C14" s="479" t="s">
        <v>2</v>
      </c>
      <c r="D14" s="479" t="s">
        <v>1931</v>
      </c>
      <c r="E14" s="479" t="s">
        <v>327</v>
      </c>
      <c r="F14" s="508" t="s">
        <v>1613</v>
      </c>
      <c r="G14" s="479" t="s">
        <v>1923</v>
      </c>
      <c r="H14" s="540"/>
    </row>
    <row r="15">
      <c r="A15" s="485" t="s">
        <v>1615</v>
      </c>
      <c r="B15" s="544">
        <v>7.0</v>
      </c>
      <c r="C15" s="485" t="s">
        <v>2</v>
      </c>
      <c r="D15" s="485" t="s">
        <v>1932</v>
      </c>
      <c r="E15" s="485" t="s">
        <v>1524</v>
      </c>
      <c r="F15" s="500" t="s">
        <v>1615</v>
      </c>
      <c r="G15" s="485" t="s">
        <v>1923</v>
      </c>
      <c r="H15" s="542"/>
    </row>
    <row r="16">
      <c r="A16" s="479" t="s">
        <v>1617</v>
      </c>
      <c r="B16" s="499">
        <v>4.0</v>
      </c>
      <c r="C16" s="479" t="s">
        <v>2</v>
      </c>
      <c r="D16" s="479" t="s">
        <v>1933</v>
      </c>
      <c r="E16" s="479" t="s">
        <v>1604</v>
      </c>
      <c r="F16" s="508" t="s">
        <v>1617</v>
      </c>
      <c r="G16" s="479" t="s">
        <v>1923</v>
      </c>
      <c r="H16" s="540"/>
    </row>
    <row r="17">
      <c r="A17" s="486" t="s">
        <v>1934</v>
      </c>
      <c r="B17" s="541">
        <v>7.0</v>
      </c>
      <c r="C17" s="486" t="s">
        <v>2</v>
      </c>
      <c r="D17" s="505" t="s">
        <v>1935</v>
      </c>
      <c r="E17" s="485" t="s">
        <v>583</v>
      </c>
      <c r="F17" s="505" t="s">
        <v>26</v>
      </c>
      <c r="G17" s="486" t="s">
        <v>1915</v>
      </c>
      <c r="H17" s="542"/>
    </row>
    <row r="18">
      <c r="A18" s="479" t="s">
        <v>1936</v>
      </c>
      <c r="B18" s="545">
        <v>10.0</v>
      </c>
      <c r="C18" s="479" t="s">
        <v>2</v>
      </c>
      <c r="D18" s="479" t="s">
        <v>1937</v>
      </c>
      <c r="E18" s="479" t="s">
        <v>1568</v>
      </c>
      <c r="F18" s="479" t="s">
        <v>26</v>
      </c>
      <c r="G18" s="480" t="s">
        <v>1915</v>
      </c>
      <c r="H18" s="540"/>
    </row>
    <row r="19">
      <c r="A19" s="486" t="s">
        <v>1938</v>
      </c>
      <c r="B19" s="486">
        <v>5.0</v>
      </c>
      <c r="C19" s="486" t="s">
        <v>1939</v>
      </c>
      <c r="D19" s="505" t="s">
        <v>1940</v>
      </c>
      <c r="E19" s="485" t="s">
        <v>572</v>
      </c>
      <c r="F19" s="505" t="s">
        <v>26</v>
      </c>
      <c r="G19" s="486" t="s">
        <v>1915</v>
      </c>
      <c r="H19" s="542"/>
    </row>
    <row r="20">
      <c r="A20" s="479" t="s">
        <v>1486</v>
      </c>
      <c r="B20" s="546">
        <v>4.0</v>
      </c>
      <c r="C20" s="479" t="s">
        <v>1941</v>
      </c>
      <c r="D20" s="479" t="s">
        <v>1942</v>
      </c>
      <c r="E20" s="479" t="s">
        <v>365</v>
      </c>
      <c r="F20" s="508" t="s">
        <v>1486</v>
      </c>
      <c r="G20" s="479" t="s">
        <v>1923</v>
      </c>
      <c r="H20" s="540"/>
    </row>
    <row r="21">
      <c r="A21" s="485" t="s">
        <v>1483</v>
      </c>
      <c r="B21" s="547">
        <v>3.0</v>
      </c>
      <c r="C21" s="485" t="s">
        <v>1941</v>
      </c>
      <c r="D21" s="485" t="s">
        <v>1943</v>
      </c>
      <c r="E21" s="485" t="s">
        <v>327</v>
      </c>
      <c r="F21" s="500" t="s">
        <v>1483</v>
      </c>
      <c r="G21" s="485" t="s">
        <v>1923</v>
      </c>
      <c r="H21" s="542"/>
    </row>
    <row r="22">
      <c r="A22" s="479" t="s">
        <v>1623</v>
      </c>
      <c r="B22" s="546">
        <v>7.0</v>
      </c>
      <c r="C22" s="479" t="s">
        <v>1941</v>
      </c>
      <c r="D22" s="479" t="s">
        <v>1944</v>
      </c>
      <c r="E22" s="479" t="s">
        <v>341</v>
      </c>
      <c r="F22" s="508" t="s">
        <v>1623</v>
      </c>
      <c r="G22" s="479" t="s">
        <v>1923</v>
      </c>
      <c r="H22" s="506"/>
    </row>
    <row r="23">
      <c r="A23" s="485" t="s">
        <v>1625</v>
      </c>
      <c r="B23" s="547">
        <v>5.0</v>
      </c>
      <c r="C23" s="485" t="s">
        <v>1941</v>
      </c>
      <c r="D23" s="485" t="s">
        <v>1945</v>
      </c>
      <c r="E23" s="485" t="s">
        <v>295</v>
      </c>
      <c r="F23" s="500" t="s">
        <v>1625</v>
      </c>
      <c r="G23" s="485" t="s">
        <v>1923</v>
      </c>
      <c r="H23" s="548"/>
    </row>
    <row r="24">
      <c r="A24" s="479" t="s">
        <v>1627</v>
      </c>
      <c r="B24" s="546">
        <v>6.0</v>
      </c>
      <c r="C24" s="479" t="s">
        <v>1941</v>
      </c>
      <c r="D24" s="479" t="s">
        <v>1946</v>
      </c>
      <c r="E24" s="479" t="s">
        <v>1628</v>
      </c>
      <c r="F24" s="508" t="s">
        <v>1627</v>
      </c>
      <c r="G24" s="479" t="s">
        <v>1923</v>
      </c>
      <c r="H24" s="506"/>
    </row>
    <row r="25">
      <c r="A25" s="485" t="s">
        <v>1947</v>
      </c>
      <c r="B25" s="547">
        <v>8.0</v>
      </c>
      <c r="C25" s="505" t="s">
        <v>1941</v>
      </c>
      <c r="D25" s="485" t="s">
        <v>1948</v>
      </c>
      <c r="E25" s="485" t="s">
        <v>583</v>
      </c>
      <c r="F25" s="500" t="s">
        <v>1947</v>
      </c>
      <c r="G25" s="485" t="s">
        <v>1923</v>
      </c>
      <c r="H25" s="548"/>
    </row>
    <row r="26">
      <c r="A26" s="480" t="s">
        <v>1949</v>
      </c>
      <c r="B26" s="480">
        <v>6.0</v>
      </c>
      <c r="C26" s="480" t="s">
        <v>1941</v>
      </c>
      <c r="D26" s="497" t="s">
        <v>1950</v>
      </c>
      <c r="E26" s="479" t="s">
        <v>347</v>
      </c>
      <c r="F26" s="508" t="s">
        <v>1949</v>
      </c>
      <c r="G26" s="479" t="s">
        <v>1923</v>
      </c>
      <c r="H26" s="506"/>
    </row>
    <row r="27">
      <c r="A27" s="486" t="s">
        <v>1951</v>
      </c>
      <c r="B27" s="486">
        <v>9.0</v>
      </c>
      <c r="C27" s="486" t="s">
        <v>1941</v>
      </c>
      <c r="D27" s="505" t="s">
        <v>1952</v>
      </c>
      <c r="E27" s="485" t="s">
        <v>365</v>
      </c>
      <c r="F27" s="500" t="s">
        <v>1951</v>
      </c>
      <c r="G27" s="485" t="s">
        <v>1923</v>
      </c>
      <c r="H27" s="548"/>
    </row>
    <row r="28">
      <c r="A28" s="480" t="s">
        <v>1953</v>
      </c>
      <c r="B28" s="480">
        <v>8.0</v>
      </c>
      <c r="C28" s="480" t="s">
        <v>1941</v>
      </c>
      <c r="D28" s="497" t="s">
        <v>1954</v>
      </c>
      <c r="E28" s="479" t="s">
        <v>1955</v>
      </c>
      <c r="F28" s="508" t="s">
        <v>1953</v>
      </c>
      <c r="G28" s="479" t="s">
        <v>1923</v>
      </c>
      <c r="H28" s="506"/>
    </row>
    <row r="29">
      <c r="A29" s="486" t="s">
        <v>1956</v>
      </c>
      <c r="B29" s="486">
        <v>4.0</v>
      </c>
      <c r="C29" s="486" t="s">
        <v>1941</v>
      </c>
      <c r="D29" s="505" t="s">
        <v>1957</v>
      </c>
      <c r="E29" s="485" t="s">
        <v>1607</v>
      </c>
      <c r="F29" s="505" t="s">
        <v>26</v>
      </c>
      <c r="G29" s="486" t="s">
        <v>1915</v>
      </c>
      <c r="H29" s="548"/>
    </row>
    <row r="30">
      <c r="A30" s="480" t="s">
        <v>1958</v>
      </c>
      <c r="B30" s="480">
        <v>6.0</v>
      </c>
      <c r="C30" s="480" t="s">
        <v>1941</v>
      </c>
      <c r="D30" s="497" t="s">
        <v>1959</v>
      </c>
      <c r="E30" s="479" t="s">
        <v>341</v>
      </c>
      <c r="F30" s="497" t="s">
        <v>26</v>
      </c>
      <c r="G30" s="480" t="s">
        <v>1915</v>
      </c>
      <c r="H30" s="506"/>
    </row>
    <row r="31">
      <c r="A31" s="485" t="s">
        <v>1889</v>
      </c>
      <c r="B31" s="485">
        <v>8.0</v>
      </c>
      <c r="C31" s="485" t="s">
        <v>1941</v>
      </c>
      <c r="D31" s="485" t="s">
        <v>1960</v>
      </c>
      <c r="E31" s="485" t="s">
        <v>1961</v>
      </c>
      <c r="F31" s="485" t="s">
        <v>1570</v>
      </c>
      <c r="G31" s="486" t="s">
        <v>1923</v>
      </c>
      <c r="H31" s="548"/>
    </row>
    <row r="32">
      <c r="A32" s="479" t="s">
        <v>1962</v>
      </c>
      <c r="B32" s="479">
        <v>9.0</v>
      </c>
      <c r="C32" s="479" t="s">
        <v>1941</v>
      </c>
      <c r="D32" s="479" t="s">
        <v>1963</v>
      </c>
      <c r="E32" s="479" t="s">
        <v>1964</v>
      </c>
      <c r="F32" s="479" t="s">
        <v>1965</v>
      </c>
      <c r="G32" s="479" t="s">
        <v>1923</v>
      </c>
      <c r="H32" s="540"/>
    </row>
    <row r="33">
      <c r="A33" s="485" t="s">
        <v>1520</v>
      </c>
      <c r="B33" s="485">
        <v>4.0</v>
      </c>
      <c r="C33" s="485" t="s">
        <v>1941</v>
      </c>
      <c r="D33" s="549"/>
      <c r="E33" s="485" t="s">
        <v>332</v>
      </c>
      <c r="F33" s="500" t="s">
        <v>1966</v>
      </c>
      <c r="G33" s="485" t="s">
        <v>1923</v>
      </c>
      <c r="H33" s="542"/>
    </row>
    <row r="34">
      <c r="A34" s="479" t="s">
        <v>1967</v>
      </c>
      <c r="B34" s="479">
        <v>9.0</v>
      </c>
      <c r="C34" s="479" t="s">
        <v>2</v>
      </c>
      <c r="D34" s="479" t="s">
        <v>1968</v>
      </c>
      <c r="E34" s="479" t="s">
        <v>1969</v>
      </c>
      <c r="F34" s="479" t="s">
        <v>1970</v>
      </c>
      <c r="G34" s="479" t="s">
        <v>1923</v>
      </c>
      <c r="H34" s="540"/>
    </row>
    <row r="35">
      <c r="A35" s="485" t="s">
        <v>1967</v>
      </c>
      <c r="B35" s="485">
        <v>9.0</v>
      </c>
      <c r="C35" s="485" t="s">
        <v>1070</v>
      </c>
      <c r="D35" s="485" t="s">
        <v>1971</v>
      </c>
      <c r="E35" s="485" t="s">
        <v>1969</v>
      </c>
      <c r="F35" s="485" t="s">
        <v>1970</v>
      </c>
      <c r="G35" s="485" t="s">
        <v>1923</v>
      </c>
      <c r="H35" s="542"/>
    </row>
    <row r="36">
      <c r="A36" s="540" t="s">
        <v>1972</v>
      </c>
      <c r="B36" s="479">
        <v>9.0</v>
      </c>
      <c r="C36" s="479" t="s">
        <v>2</v>
      </c>
      <c r="D36" s="479" t="s">
        <v>1973</v>
      </c>
      <c r="E36" s="479" t="s">
        <v>409</v>
      </c>
      <c r="F36" s="479" t="s">
        <v>1970</v>
      </c>
      <c r="G36" s="479" t="s">
        <v>1923</v>
      </c>
      <c r="H36" s="540"/>
    </row>
    <row r="37">
      <c r="A37" s="485" t="s">
        <v>1517</v>
      </c>
      <c r="B37" s="485">
        <v>6.0</v>
      </c>
      <c r="C37" s="485" t="s">
        <v>2</v>
      </c>
      <c r="D37" s="485" t="s">
        <v>1974</v>
      </c>
      <c r="E37" s="485" t="s">
        <v>409</v>
      </c>
      <c r="F37" s="485" t="s">
        <v>1519</v>
      </c>
      <c r="G37" s="485" t="s">
        <v>1923</v>
      </c>
      <c r="H37" s="542"/>
    </row>
    <row r="38">
      <c r="A38" s="480" t="s">
        <v>1975</v>
      </c>
      <c r="B38" s="480">
        <v>1.0</v>
      </c>
      <c r="C38" s="480" t="s">
        <v>1941</v>
      </c>
      <c r="D38" s="497" t="s">
        <v>1976</v>
      </c>
      <c r="E38" s="479" t="s">
        <v>224</v>
      </c>
      <c r="F38" s="508" t="s">
        <v>1975</v>
      </c>
      <c r="G38" s="480" t="s">
        <v>1923</v>
      </c>
      <c r="H38" s="506"/>
    </row>
    <row r="39">
      <c r="A39" s="486" t="s">
        <v>1977</v>
      </c>
      <c r="B39" s="486">
        <v>1.0</v>
      </c>
      <c r="C39" s="486" t="s">
        <v>1978</v>
      </c>
      <c r="D39" s="505" t="s">
        <v>1979</v>
      </c>
      <c r="E39" s="485" t="s">
        <v>224</v>
      </c>
      <c r="F39" s="500" t="s">
        <v>1980</v>
      </c>
      <c r="G39" s="486" t="s">
        <v>1981</v>
      </c>
      <c r="H39" s="548"/>
    </row>
    <row r="40">
      <c r="A40" s="480" t="s">
        <v>1630</v>
      </c>
      <c r="B40" s="480">
        <v>1.0</v>
      </c>
      <c r="C40" s="480" t="s">
        <v>1941</v>
      </c>
      <c r="D40" s="497" t="s">
        <v>1982</v>
      </c>
      <c r="E40" s="479" t="s">
        <v>224</v>
      </c>
      <c r="F40" s="508" t="s">
        <v>1630</v>
      </c>
      <c r="G40" s="480" t="s">
        <v>1923</v>
      </c>
      <c r="H40" s="506"/>
    </row>
    <row r="41">
      <c r="A41" s="486" t="s">
        <v>1632</v>
      </c>
      <c r="B41" s="486">
        <v>1.0</v>
      </c>
      <c r="C41" s="485" t="s">
        <v>1941</v>
      </c>
      <c r="D41" s="505" t="s">
        <v>1983</v>
      </c>
      <c r="E41" s="485" t="s">
        <v>1524</v>
      </c>
      <c r="F41" s="500" t="s">
        <v>1634</v>
      </c>
      <c r="G41" s="486" t="s">
        <v>1981</v>
      </c>
      <c r="H41" s="548"/>
    </row>
    <row r="42">
      <c r="A42" s="480" t="s">
        <v>1635</v>
      </c>
      <c r="B42" s="480">
        <v>1.0</v>
      </c>
      <c r="C42" s="480" t="s">
        <v>1913</v>
      </c>
      <c r="D42" s="497" t="s">
        <v>1984</v>
      </c>
      <c r="E42" s="479" t="s">
        <v>1524</v>
      </c>
      <c r="F42" s="508" t="s">
        <v>1635</v>
      </c>
      <c r="G42" s="480" t="s">
        <v>1923</v>
      </c>
      <c r="H42" s="506"/>
    </row>
    <row r="43">
      <c r="A43" s="486" t="s">
        <v>1637</v>
      </c>
      <c r="B43" s="486">
        <v>2.0</v>
      </c>
      <c r="C43" s="486" t="s">
        <v>1941</v>
      </c>
      <c r="D43" s="505" t="s">
        <v>1985</v>
      </c>
      <c r="E43" s="485" t="s">
        <v>267</v>
      </c>
      <c r="F43" s="500" t="s">
        <v>1637</v>
      </c>
      <c r="G43" s="486" t="s">
        <v>1923</v>
      </c>
      <c r="H43" s="548"/>
    </row>
    <row r="44">
      <c r="A44" s="480" t="s">
        <v>1526</v>
      </c>
      <c r="B44" s="480">
        <v>2.0</v>
      </c>
      <c r="C44" s="497" t="s">
        <v>1986</v>
      </c>
      <c r="D44" s="497" t="s">
        <v>1987</v>
      </c>
      <c r="E44" s="479" t="s">
        <v>241</v>
      </c>
      <c r="F44" s="508" t="s">
        <v>1526</v>
      </c>
      <c r="G44" s="480" t="s">
        <v>1923</v>
      </c>
      <c r="H44" s="506"/>
    </row>
    <row r="45">
      <c r="A45" s="485" t="s">
        <v>1640</v>
      </c>
      <c r="B45" s="485">
        <v>2.0</v>
      </c>
      <c r="C45" s="485" t="s">
        <v>1941</v>
      </c>
      <c r="D45" s="505" t="s">
        <v>1988</v>
      </c>
      <c r="E45" s="485" t="s">
        <v>282</v>
      </c>
      <c r="F45" s="500" t="s">
        <v>1640</v>
      </c>
      <c r="G45" s="485" t="s">
        <v>1923</v>
      </c>
      <c r="H45" s="542"/>
    </row>
    <row r="46">
      <c r="A46" s="479" t="s">
        <v>1642</v>
      </c>
      <c r="B46" s="479">
        <v>2.0</v>
      </c>
      <c r="C46" s="479" t="s">
        <v>2</v>
      </c>
      <c r="D46" s="479" t="s">
        <v>1989</v>
      </c>
      <c r="E46" s="479" t="s">
        <v>295</v>
      </c>
      <c r="F46" s="508" t="s">
        <v>1642</v>
      </c>
      <c r="G46" s="479" t="s">
        <v>1923</v>
      </c>
      <c r="H46" s="540"/>
    </row>
    <row r="47">
      <c r="A47" s="485" t="s">
        <v>1644</v>
      </c>
      <c r="B47" s="485">
        <v>2.0</v>
      </c>
      <c r="C47" s="485" t="s">
        <v>1990</v>
      </c>
      <c r="D47" s="485" t="s">
        <v>1991</v>
      </c>
      <c r="E47" s="485" t="s">
        <v>327</v>
      </c>
      <c r="F47" s="500" t="s">
        <v>1646</v>
      </c>
      <c r="G47" s="485" t="s">
        <v>1923</v>
      </c>
      <c r="H47" s="542"/>
    </row>
    <row r="48">
      <c r="A48" s="480" t="s">
        <v>1647</v>
      </c>
      <c r="B48" s="480">
        <v>2.0</v>
      </c>
      <c r="C48" s="480" t="s">
        <v>1941</v>
      </c>
      <c r="D48" s="497" t="s">
        <v>1992</v>
      </c>
      <c r="E48" s="479" t="s">
        <v>1524</v>
      </c>
      <c r="F48" s="508" t="s">
        <v>1649</v>
      </c>
      <c r="G48" s="480" t="s">
        <v>1923</v>
      </c>
      <c r="H48" s="506"/>
    </row>
    <row r="49">
      <c r="A49" s="485" t="s">
        <v>1650</v>
      </c>
      <c r="B49" s="486">
        <v>2.0</v>
      </c>
      <c r="C49" s="486" t="s">
        <v>1939</v>
      </c>
      <c r="D49" s="505" t="s">
        <v>1993</v>
      </c>
      <c r="E49" s="485" t="s">
        <v>295</v>
      </c>
      <c r="F49" s="500" t="s">
        <v>1650</v>
      </c>
      <c r="G49" s="486" t="s">
        <v>1923</v>
      </c>
      <c r="H49" s="548"/>
    </row>
    <row r="50">
      <c r="A50" s="480" t="s">
        <v>1652</v>
      </c>
      <c r="B50" s="480">
        <v>2.0</v>
      </c>
      <c r="C50" s="480" t="s">
        <v>1994</v>
      </c>
      <c r="D50" s="497" t="s">
        <v>1995</v>
      </c>
      <c r="E50" s="479" t="s">
        <v>295</v>
      </c>
      <c r="F50" s="508" t="s">
        <v>1652</v>
      </c>
      <c r="G50" s="480" t="s">
        <v>1923</v>
      </c>
      <c r="H50" s="506"/>
    </row>
    <row r="51">
      <c r="A51" s="486" t="s">
        <v>1654</v>
      </c>
      <c r="B51" s="485">
        <v>2.0</v>
      </c>
      <c r="C51" s="486" t="s">
        <v>1941</v>
      </c>
      <c r="D51" s="505" t="s">
        <v>1996</v>
      </c>
      <c r="E51" s="485" t="s">
        <v>1524</v>
      </c>
      <c r="F51" s="500" t="s">
        <v>1656</v>
      </c>
      <c r="G51" s="486" t="s">
        <v>1981</v>
      </c>
      <c r="H51" s="548"/>
    </row>
    <row r="52">
      <c r="A52" s="480" t="s">
        <v>1657</v>
      </c>
      <c r="B52" s="479">
        <v>3.0</v>
      </c>
      <c r="C52" s="480" t="s">
        <v>2</v>
      </c>
      <c r="D52" s="497" t="s">
        <v>1997</v>
      </c>
      <c r="E52" s="479" t="s">
        <v>327</v>
      </c>
      <c r="F52" s="508" t="s">
        <v>1657</v>
      </c>
      <c r="G52" s="480" t="s">
        <v>1923</v>
      </c>
      <c r="H52" s="506"/>
    </row>
    <row r="53">
      <c r="A53" s="485" t="s">
        <v>1659</v>
      </c>
      <c r="B53" s="485">
        <v>3.0</v>
      </c>
      <c r="C53" s="486" t="s">
        <v>1941</v>
      </c>
      <c r="D53" s="505" t="s">
        <v>1998</v>
      </c>
      <c r="E53" s="485" t="s">
        <v>327</v>
      </c>
      <c r="F53" s="500" t="s">
        <v>1659</v>
      </c>
      <c r="G53" s="486" t="s">
        <v>1923</v>
      </c>
      <c r="H53" s="548"/>
    </row>
    <row r="54">
      <c r="A54" s="480" t="s">
        <v>1532</v>
      </c>
      <c r="B54" s="480">
        <v>3.0</v>
      </c>
      <c r="C54" s="480" t="s">
        <v>2</v>
      </c>
      <c r="D54" s="497" t="s">
        <v>1999</v>
      </c>
      <c r="E54" s="479" t="s">
        <v>381</v>
      </c>
      <c r="F54" s="508" t="s">
        <v>1662</v>
      </c>
      <c r="G54" s="480" t="s">
        <v>1923</v>
      </c>
      <c r="H54" s="506"/>
    </row>
    <row r="55">
      <c r="A55" s="486" t="s">
        <v>1663</v>
      </c>
      <c r="B55" s="485">
        <v>3.0</v>
      </c>
      <c r="C55" s="486" t="s">
        <v>1913</v>
      </c>
      <c r="D55" s="505" t="s">
        <v>2000</v>
      </c>
      <c r="E55" s="485" t="s">
        <v>293</v>
      </c>
      <c r="F55" s="500" t="s">
        <v>1665</v>
      </c>
      <c r="G55" s="486" t="s">
        <v>1981</v>
      </c>
      <c r="H55" s="548"/>
    </row>
    <row r="56">
      <c r="A56" s="479" t="s">
        <v>1666</v>
      </c>
      <c r="B56" s="479">
        <v>3.0</v>
      </c>
      <c r="C56" s="480" t="s">
        <v>1941</v>
      </c>
      <c r="D56" s="497" t="s">
        <v>2001</v>
      </c>
      <c r="E56" s="479" t="s">
        <v>327</v>
      </c>
      <c r="F56" s="508" t="s">
        <v>1666</v>
      </c>
      <c r="G56" s="480" t="s">
        <v>1923</v>
      </c>
      <c r="H56" s="506"/>
    </row>
    <row r="57">
      <c r="A57" s="336" t="s">
        <v>1534</v>
      </c>
      <c r="B57" s="486">
        <v>3.0</v>
      </c>
      <c r="C57" s="486" t="s">
        <v>2</v>
      </c>
      <c r="D57" s="505" t="s">
        <v>2002</v>
      </c>
      <c r="E57" s="485" t="s">
        <v>295</v>
      </c>
      <c r="F57" s="500" t="s">
        <v>1534</v>
      </c>
      <c r="G57" s="486" t="s">
        <v>1923</v>
      </c>
      <c r="H57" s="548"/>
    </row>
    <row r="58">
      <c r="A58" s="480" t="s">
        <v>1536</v>
      </c>
      <c r="B58" s="480">
        <v>3.0</v>
      </c>
      <c r="C58" s="480" t="s">
        <v>1913</v>
      </c>
      <c r="D58" s="497" t="s">
        <v>2003</v>
      </c>
      <c r="E58" s="479" t="s">
        <v>327</v>
      </c>
      <c r="F58" s="508" t="s">
        <v>1536</v>
      </c>
      <c r="G58" s="480" t="s">
        <v>1923</v>
      </c>
      <c r="H58" s="506"/>
    </row>
    <row r="59">
      <c r="A59" s="486" t="s">
        <v>1670</v>
      </c>
      <c r="B59" s="486">
        <v>3.0</v>
      </c>
      <c r="C59" s="486" t="s">
        <v>2</v>
      </c>
      <c r="D59" s="505" t="s">
        <v>2004</v>
      </c>
      <c r="E59" s="485" t="s">
        <v>267</v>
      </c>
      <c r="F59" s="500" t="s">
        <v>1672</v>
      </c>
      <c r="G59" s="486" t="s">
        <v>1923</v>
      </c>
      <c r="H59" s="548"/>
    </row>
    <row r="60">
      <c r="A60" s="480" t="s">
        <v>1673</v>
      </c>
      <c r="B60" s="480">
        <v>3.0</v>
      </c>
      <c r="C60" s="480" t="s">
        <v>2</v>
      </c>
      <c r="D60" s="497" t="s">
        <v>2005</v>
      </c>
      <c r="E60" s="479" t="s">
        <v>381</v>
      </c>
      <c r="F60" s="508" t="s">
        <v>1500</v>
      </c>
      <c r="G60" s="480" t="s">
        <v>1981</v>
      </c>
      <c r="H60" s="506"/>
    </row>
    <row r="61">
      <c r="A61" s="486" t="s">
        <v>1675</v>
      </c>
      <c r="B61" s="486">
        <v>3.0</v>
      </c>
      <c r="C61" s="486" t="s">
        <v>1941</v>
      </c>
      <c r="D61" s="505" t="s">
        <v>2006</v>
      </c>
      <c r="E61" s="485" t="s">
        <v>381</v>
      </c>
      <c r="F61" s="500" t="s">
        <v>1500</v>
      </c>
      <c r="G61" s="486" t="s">
        <v>1981</v>
      </c>
      <c r="H61" s="548"/>
    </row>
    <row r="62">
      <c r="A62" s="480" t="s">
        <v>1677</v>
      </c>
      <c r="B62" s="480">
        <v>3.0</v>
      </c>
      <c r="C62" s="480" t="s">
        <v>1913</v>
      </c>
      <c r="D62" s="497" t="s">
        <v>2007</v>
      </c>
      <c r="E62" s="479" t="s">
        <v>381</v>
      </c>
      <c r="F62" s="508" t="s">
        <v>1500</v>
      </c>
      <c r="G62" s="480" t="s">
        <v>1981</v>
      </c>
      <c r="H62" s="506"/>
    </row>
    <row r="63">
      <c r="A63" s="486" t="s">
        <v>1679</v>
      </c>
      <c r="B63" s="486">
        <v>4.0</v>
      </c>
      <c r="C63" s="486" t="s">
        <v>1941</v>
      </c>
      <c r="D63" s="505" t="s">
        <v>2008</v>
      </c>
      <c r="E63" s="485" t="s">
        <v>341</v>
      </c>
      <c r="F63" s="500" t="s">
        <v>1679</v>
      </c>
      <c r="G63" s="486" t="s">
        <v>1923</v>
      </c>
      <c r="H63" s="548"/>
    </row>
    <row r="64">
      <c r="A64" s="480" t="s">
        <v>1681</v>
      </c>
      <c r="B64" s="480">
        <v>4.0</v>
      </c>
      <c r="C64" s="480" t="s">
        <v>2</v>
      </c>
      <c r="D64" s="497" t="s">
        <v>2009</v>
      </c>
      <c r="E64" s="479" t="s">
        <v>1682</v>
      </c>
      <c r="F64" s="508" t="s">
        <v>1684</v>
      </c>
      <c r="G64" s="480" t="s">
        <v>1923</v>
      </c>
      <c r="H64" s="506"/>
    </row>
    <row r="65">
      <c r="A65" s="486" t="s">
        <v>1685</v>
      </c>
      <c r="B65" s="486">
        <v>4.0</v>
      </c>
      <c r="C65" s="486" t="s">
        <v>2</v>
      </c>
      <c r="D65" s="505" t="s">
        <v>2010</v>
      </c>
      <c r="E65" s="485" t="s">
        <v>387</v>
      </c>
      <c r="F65" s="500" t="s">
        <v>1687</v>
      </c>
      <c r="G65" s="486" t="s">
        <v>1981</v>
      </c>
      <c r="H65" s="548"/>
    </row>
    <row r="66">
      <c r="A66" s="480" t="s">
        <v>1688</v>
      </c>
      <c r="B66" s="480">
        <v>4.0</v>
      </c>
      <c r="C66" s="480" t="s">
        <v>2</v>
      </c>
      <c r="D66" s="497" t="s">
        <v>2011</v>
      </c>
      <c r="E66" s="479" t="s">
        <v>583</v>
      </c>
      <c r="F66" s="508" t="s">
        <v>1688</v>
      </c>
      <c r="G66" s="480" t="s">
        <v>1923</v>
      </c>
      <c r="H66" s="506"/>
    </row>
    <row r="67">
      <c r="A67" s="486" t="s">
        <v>1688</v>
      </c>
      <c r="B67" s="486">
        <v>4.0</v>
      </c>
      <c r="C67" s="486" t="s">
        <v>1941</v>
      </c>
      <c r="D67" s="505" t="s">
        <v>2012</v>
      </c>
      <c r="E67" s="485" t="s">
        <v>583</v>
      </c>
      <c r="F67" s="500" t="s">
        <v>1688</v>
      </c>
      <c r="G67" s="486" t="s">
        <v>1923</v>
      </c>
      <c r="H67" s="548"/>
    </row>
    <row r="68">
      <c r="A68" s="480" t="s">
        <v>1690</v>
      </c>
      <c r="B68" s="480">
        <v>5.0</v>
      </c>
      <c r="C68" s="480" t="s">
        <v>2</v>
      </c>
      <c r="D68" s="497" t="s">
        <v>2013</v>
      </c>
      <c r="E68" s="479" t="s">
        <v>1576</v>
      </c>
      <c r="F68" s="508" t="s">
        <v>1690</v>
      </c>
      <c r="G68" s="480" t="s">
        <v>1923</v>
      </c>
      <c r="H68" s="506"/>
    </row>
    <row r="69">
      <c r="A69" s="550" t="s">
        <v>2014</v>
      </c>
      <c r="B69" s="486">
        <v>5.0</v>
      </c>
      <c r="C69" s="486" t="s">
        <v>1913</v>
      </c>
      <c r="D69" s="505" t="s">
        <v>2015</v>
      </c>
      <c r="E69" s="485" t="s">
        <v>381</v>
      </c>
      <c r="F69" s="500" t="s">
        <v>2016</v>
      </c>
      <c r="G69" s="486" t="s">
        <v>1915</v>
      </c>
      <c r="H69" s="548"/>
    </row>
    <row r="70">
      <c r="A70" s="480" t="s">
        <v>1540</v>
      </c>
      <c r="B70" s="480">
        <v>5.0</v>
      </c>
      <c r="C70" s="480" t="s">
        <v>1941</v>
      </c>
      <c r="D70" s="497" t="s">
        <v>2017</v>
      </c>
      <c r="E70" s="479" t="s">
        <v>381</v>
      </c>
      <c r="F70" s="508" t="s">
        <v>1540</v>
      </c>
      <c r="G70" s="480" t="s">
        <v>1923</v>
      </c>
      <c r="H70" s="506"/>
    </row>
    <row r="71">
      <c r="A71" s="485" t="s">
        <v>1693</v>
      </c>
      <c r="B71" s="486">
        <v>5.0</v>
      </c>
      <c r="C71" s="486" t="s">
        <v>2</v>
      </c>
      <c r="D71" s="505" t="s">
        <v>2018</v>
      </c>
      <c r="E71" s="485" t="s">
        <v>381</v>
      </c>
      <c r="F71" s="500" t="s">
        <v>1693</v>
      </c>
      <c r="G71" s="486" t="s">
        <v>1923</v>
      </c>
      <c r="H71" s="548"/>
    </row>
    <row r="72">
      <c r="A72" s="479" t="s">
        <v>1575</v>
      </c>
      <c r="B72" s="480">
        <v>5.0</v>
      </c>
      <c r="C72" s="480" t="s">
        <v>1913</v>
      </c>
      <c r="D72" s="497" t="s">
        <v>2019</v>
      </c>
      <c r="E72" s="479" t="s">
        <v>1695</v>
      </c>
      <c r="F72" s="508" t="s">
        <v>1575</v>
      </c>
      <c r="G72" s="480" t="s">
        <v>1923</v>
      </c>
      <c r="H72" s="506"/>
    </row>
    <row r="73">
      <c r="A73" s="485" t="s">
        <v>1697</v>
      </c>
      <c r="B73" s="486">
        <v>5.0</v>
      </c>
      <c r="C73" s="486" t="s">
        <v>2</v>
      </c>
      <c r="D73" s="505" t="s">
        <v>2020</v>
      </c>
      <c r="E73" s="485" t="s">
        <v>365</v>
      </c>
      <c r="F73" s="500" t="s">
        <v>1699</v>
      </c>
      <c r="G73" s="486" t="s">
        <v>1923</v>
      </c>
      <c r="H73" s="548"/>
    </row>
    <row r="74">
      <c r="A74" s="480" t="s">
        <v>1700</v>
      </c>
      <c r="B74" s="480">
        <v>5.0</v>
      </c>
      <c r="C74" s="480" t="s">
        <v>2</v>
      </c>
      <c r="D74" s="497" t="s">
        <v>2021</v>
      </c>
      <c r="E74" s="479" t="s">
        <v>572</v>
      </c>
      <c r="F74" s="508" t="s">
        <v>1702</v>
      </c>
      <c r="G74" s="480" t="s">
        <v>1981</v>
      </c>
      <c r="H74" s="506"/>
    </row>
    <row r="75">
      <c r="A75" s="486" t="s">
        <v>1703</v>
      </c>
      <c r="B75" s="486">
        <v>5.0</v>
      </c>
      <c r="C75" s="486" t="s">
        <v>1941</v>
      </c>
      <c r="D75" s="505" t="s">
        <v>2022</v>
      </c>
      <c r="E75" s="485" t="s">
        <v>572</v>
      </c>
      <c r="F75" s="500" t="s">
        <v>1702</v>
      </c>
      <c r="G75" s="486" t="s">
        <v>1981</v>
      </c>
      <c r="H75" s="548"/>
    </row>
    <row r="76">
      <c r="A76" s="480" t="s">
        <v>1705</v>
      </c>
      <c r="B76" s="480">
        <v>6.0</v>
      </c>
      <c r="C76" s="480" t="s">
        <v>2</v>
      </c>
      <c r="D76" s="497" t="s">
        <v>2023</v>
      </c>
      <c r="E76" s="479" t="s">
        <v>1488</v>
      </c>
      <c r="F76" s="508" t="s">
        <v>1707</v>
      </c>
      <c r="G76" s="480" t="s">
        <v>1923</v>
      </c>
      <c r="H76" s="506"/>
    </row>
    <row r="77">
      <c r="A77" s="486" t="s">
        <v>2024</v>
      </c>
      <c r="B77" s="486">
        <v>6.0</v>
      </c>
      <c r="C77" s="486" t="s">
        <v>2</v>
      </c>
      <c r="D77" s="505" t="s">
        <v>2025</v>
      </c>
      <c r="E77" s="485" t="s">
        <v>583</v>
      </c>
      <c r="F77" s="500" t="s">
        <v>2026</v>
      </c>
      <c r="G77" s="486" t="s">
        <v>1915</v>
      </c>
      <c r="H77" s="548"/>
    </row>
    <row r="78">
      <c r="A78" s="480" t="s">
        <v>1708</v>
      </c>
      <c r="B78" s="480">
        <v>6.0</v>
      </c>
      <c r="C78" s="480" t="s">
        <v>2</v>
      </c>
      <c r="D78" s="497" t="s">
        <v>2027</v>
      </c>
      <c r="E78" s="479" t="s">
        <v>1709</v>
      </c>
      <c r="F78" s="508" t="s">
        <v>2028</v>
      </c>
      <c r="G78" s="480" t="s">
        <v>1923</v>
      </c>
      <c r="H78" s="506"/>
    </row>
    <row r="79">
      <c r="A79" s="486" t="s">
        <v>1712</v>
      </c>
      <c r="B79" s="486">
        <v>7.0</v>
      </c>
      <c r="C79" s="486" t="s">
        <v>2</v>
      </c>
      <c r="D79" s="505" t="s">
        <v>2029</v>
      </c>
      <c r="E79" s="485" t="s">
        <v>1713</v>
      </c>
      <c r="F79" s="500" t="s">
        <v>1715</v>
      </c>
      <c r="G79" s="486" t="s">
        <v>1981</v>
      </c>
      <c r="H79" s="548"/>
    </row>
    <row r="80">
      <c r="A80" s="480" t="s">
        <v>1716</v>
      </c>
      <c r="B80" s="480">
        <v>7.0</v>
      </c>
      <c r="C80" s="480" t="s">
        <v>1941</v>
      </c>
      <c r="D80" s="497" t="s">
        <v>2030</v>
      </c>
      <c r="E80" s="479" t="s">
        <v>1713</v>
      </c>
      <c r="F80" s="508" t="s">
        <v>1715</v>
      </c>
      <c r="G80" s="480" t="s">
        <v>1981</v>
      </c>
      <c r="H80" s="506"/>
    </row>
    <row r="81">
      <c r="A81" s="486" t="s">
        <v>1718</v>
      </c>
      <c r="B81" s="486">
        <v>7.0</v>
      </c>
      <c r="C81" s="486" t="s">
        <v>2</v>
      </c>
      <c r="D81" s="505" t="s">
        <v>2031</v>
      </c>
      <c r="E81" s="485" t="s">
        <v>400</v>
      </c>
      <c r="F81" s="500" t="s">
        <v>1718</v>
      </c>
      <c r="G81" s="486" t="s">
        <v>1923</v>
      </c>
      <c r="H81" s="548"/>
    </row>
    <row r="82">
      <c r="A82" s="480" t="s">
        <v>1720</v>
      </c>
      <c r="B82" s="480">
        <v>7.0</v>
      </c>
      <c r="C82" s="480" t="s">
        <v>1941</v>
      </c>
      <c r="D82" s="497" t="s">
        <v>2032</v>
      </c>
      <c r="E82" s="479" t="s">
        <v>392</v>
      </c>
      <c r="F82" s="508" t="s">
        <v>1720</v>
      </c>
      <c r="G82" s="480" t="s">
        <v>1923</v>
      </c>
      <c r="H82" s="506"/>
    </row>
    <row r="83">
      <c r="A83" s="486" t="s">
        <v>1722</v>
      </c>
      <c r="B83" s="486">
        <v>7.0</v>
      </c>
      <c r="C83" s="486" t="s">
        <v>2</v>
      </c>
      <c r="D83" s="505" t="s">
        <v>2033</v>
      </c>
      <c r="E83" s="485" t="s">
        <v>1723</v>
      </c>
      <c r="F83" s="500" t="s">
        <v>1725</v>
      </c>
      <c r="G83" s="486" t="s">
        <v>1923</v>
      </c>
      <c r="H83" s="548"/>
    </row>
    <row r="84">
      <c r="A84" s="480" t="s">
        <v>1726</v>
      </c>
      <c r="B84" s="480">
        <v>8.0</v>
      </c>
      <c r="C84" s="480" t="s">
        <v>2</v>
      </c>
      <c r="D84" s="497" t="s">
        <v>2034</v>
      </c>
      <c r="E84" s="479" t="s">
        <v>593</v>
      </c>
      <c r="F84" s="508" t="s">
        <v>1728</v>
      </c>
      <c r="G84" s="480" t="s">
        <v>1923</v>
      </c>
      <c r="H84" s="506"/>
    </row>
    <row r="85">
      <c r="A85" s="486" t="s">
        <v>2035</v>
      </c>
      <c r="B85" s="486">
        <v>9.0</v>
      </c>
      <c r="C85" s="486" t="s">
        <v>1941</v>
      </c>
      <c r="D85" s="507"/>
      <c r="E85" s="485" t="s">
        <v>2036</v>
      </c>
      <c r="F85" s="500" t="s">
        <v>2035</v>
      </c>
      <c r="G85" s="486" t="s">
        <v>1923</v>
      </c>
      <c r="H85" s="548"/>
    </row>
    <row r="86">
      <c r="A86" s="480" t="s">
        <v>2037</v>
      </c>
      <c r="B86" s="480">
        <v>9.0</v>
      </c>
      <c r="C86" s="480" t="s">
        <v>1913</v>
      </c>
      <c r="D86" s="519"/>
      <c r="E86" s="479" t="s">
        <v>1964</v>
      </c>
      <c r="F86" s="508" t="s">
        <v>2038</v>
      </c>
      <c r="G86" s="480" t="s">
        <v>1923</v>
      </c>
      <c r="H86" s="506"/>
    </row>
    <row r="87">
      <c r="A87" s="486" t="s">
        <v>2039</v>
      </c>
      <c r="B87" s="486">
        <v>10.0</v>
      </c>
      <c r="C87" s="486" t="s">
        <v>1941</v>
      </c>
      <c r="D87" s="505" t="s">
        <v>2040</v>
      </c>
      <c r="E87" s="505" t="s">
        <v>2041</v>
      </c>
      <c r="F87" s="505" t="s">
        <v>2042</v>
      </c>
      <c r="G87" s="486" t="s">
        <v>1923</v>
      </c>
      <c r="H87" s="530"/>
    </row>
    <row r="88">
      <c r="A88" s="480" t="s">
        <v>2043</v>
      </c>
      <c r="B88" s="480">
        <v>5.0</v>
      </c>
      <c r="C88" s="480" t="s">
        <v>2044</v>
      </c>
      <c r="D88" s="497" t="s">
        <v>2045</v>
      </c>
      <c r="E88" s="497" t="s">
        <v>341</v>
      </c>
      <c r="F88" s="508" t="s">
        <v>1731</v>
      </c>
      <c r="G88" s="480" t="s">
        <v>1923</v>
      </c>
      <c r="H88" s="527"/>
    </row>
    <row r="89">
      <c r="A89" s="486" t="s">
        <v>1732</v>
      </c>
      <c r="B89" s="486">
        <v>4.0</v>
      </c>
      <c r="C89" s="486" t="s">
        <v>2044</v>
      </c>
      <c r="D89" s="505" t="s">
        <v>2046</v>
      </c>
      <c r="E89" s="505" t="s">
        <v>327</v>
      </c>
      <c r="F89" s="500" t="s">
        <v>1734</v>
      </c>
      <c r="G89" s="486" t="s">
        <v>1923</v>
      </c>
      <c r="H89" s="530"/>
    </row>
    <row r="90">
      <c r="A90" s="518"/>
      <c r="B90" s="518"/>
      <c r="C90" s="518"/>
      <c r="D90" s="519"/>
      <c r="E90" s="519"/>
      <c r="F90" s="519"/>
      <c r="G90" s="518"/>
      <c r="H90" s="527"/>
    </row>
    <row r="91">
      <c r="A91" s="520"/>
      <c r="B91" s="520"/>
      <c r="C91" s="520"/>
      <c r="D91" s="507"/>
      <c r="E91" s="507"/>
      <c r="F91" s="507"/>
      <c r="G91" s="520"/>
      <c r="H91" s="530"/>
    </row>
    <row r="92">
      <c r="A92" s="518"/>
      <c r="B92" s="518"/>
      <c r="C92" s="518"/>
      <c r="D92" s="519"/>
      <c r="E92" s="519"/>
      <c r="F92" s="519"/>
      <c r="G92" s="518"/>
      <c r="H92" s="527"/>
    </row>
    <row r="93">
      <c r="A93" s="520"/>
      <c r="B93" s="520"/>
      <c r="C93" s="520"/>
      <c r="D93" s="507"/>
      <c r="E93" s="507"/>
      <c r="F93" s="507"/>
      <c r="G93" s="520"/>
      <c r="H93" s="530"/>
    </row>
    <row r="94">
      <c r="A94" s="518"/>
      <c r="B94" s="518"/>
      <c r="C94" s="518"/>
      <c r="D94" s="519"/>
      <c r="E94" s="519"/>
      <c r="F94" s="519"/>
      <c r="G94" s="518"/>
      <c r="H94" s="527"/>
    </row>
    <row r="95">
      <c r="A95" s="520"/>
      <c r="B95" s="520"/>
      <c r="C95" s="520"/>
      <c r="D95" s="507"/>
      <c r="E95" s="507"/>
      <c r="F95" s="507"/>
      <c r="G95" s="520"/>
      <c r="H95" s="530"/>
    </row>
    <row r="96">
      <c r="A96" s="518"/>
      <c r="B96" s="518"/>
      <c r="C96" s="518"/>
      <c r="D96" s="519"/>
      <c r="E96" s="519"/>
      <c r="F96" s="519"/>
      <c r="G96" s="518"/>
      <c r="H96" s="527"/>
    </row>
    <row r="97">
      <c r="A97" s="530"/>
      <c r="B97" s="530"/>
      <c r="C97" s="530"/>
      <c r="D97" s="531"/>
      <c r="E97" s="531"/>
      <c r="F97" s="531"/>
      <c r="G97" s="530"/>
      <c r="H97" s="530"/>
    </row>
    <row r="98">
      <c r="A98" s="527"/>
      <c r="B98" s="527"/>
      <c r="C98" s="527"/>
      <c r="D98" s="528"/>
      <c r="E98" s="528"/>
      <c r="F98" s="528"/>
      <c r="G98" s="527"/>
      <c r="H98" s="527"/>
    </row>
    <row r="99">
      <c r="A99" s="530"/>
      <c r="B99" s="530"/>
      <c r="C99" s="530"/>
      <c r="D99" s="531"/>
      <c r="E99" s="531"/>
      <c r="F99" s="531"/>
      <c r="G99" s="530"/>
      <c r="H99" s="530"/>
    </row>
    <row r="100">
      <c r="A100" s="527"/>
      <c r="B100" s="527"/>
      <c r="C100" s="527"/>
      <c r="D100" s="528"/>
      <c r="E100" s="528"/>
      <c r="F100" s="528"/>
      <c r="G100" s="527"/>
      <c r="H100" s="527"/>
    </row>
    <row r="101">
      <c r="A101" s="530"/>
      <c r="B101" s="530"/>
      <c r="C101" s="530"/>
      <c r="D101" s="531"/>
      <c r="E101" s="531"/>
      <c r="F101" s="531"/>
      <c r="G101" s="530"/>
      <c r="H101" s="530"/>
    </row>
    <row r="102">
      <c r="A102" s="527"/>
      <c r="B102" s="527"/>
      <c r="C102" s="527"/>
      <c r="D102" s="528"/>
      <c r="E102" s="528"/>
      <c r="F102" s="528"/>
      <c r="G102" s="527"/>
      <c r="H102" s="527"/>
    </row>
    <row r="103">
      <c r="A103" s="530"/>
      <c r="B103" s="530"/>
      <c r="C103" s="530"/>
      <c r="D103" s="531"/>
      <c r="E103" s="531"/>
      <c r="F103" s="531"/>
      <c r="G103" s="530"/>
      <c r="H103" s="530"/>
    </row>
    <row r="104">
      <c r="A104" s="527"/>
      <c r="B104" s="527"/>
      <c r="C104" s="527"/>
      <c r="D104" s="528"/>
      <c r="E104" s="528"/>
      <c r="F104" s="528"/>
      <c r="G104" s="527"/>
      <c r="H104" s="527"/>
    </row>
    <row r="105">
      <c r="A105" s="530"/>
      <c r="B105" s="530"/>
      <c r="C105" s="530"/>
      <c r="D105" s="531"/>
      <c r="E105" s="531"/>
      <c r="F105" s="531"/>
      <c r="G105" s="530"/>
      <c r="H105" s="530"/>
    </row>
    <row r="106">
      <c r="A106" s="527"/>
      <c r="B106" s="527"/>
      <c r="C106" s="527"/>
      <c r="D106" s="528"/>
      <c r="E106" s="528"/>
      <c r="F106" s="528"/>
      <c r="G106" s="527"/>
      <c r="H106" s="527"/>
    </row>
    <row r="107">
      <c r="A107" s="530"/>
      <c r="B107" s="530"/>
      <c r="C107" s="530"/>
      <c r="D107" s="531"/>
      <c r="E107" s="531"/>
      <c r="F107" s="531"/>
      <c r="G107" s="530"/>
      <c r="H107" s="530"/>
    </row>
    <row r="108">
      <c r="A108" s="527"/>
      <c r="B108" s="527"/>
      <c r="C108" s="527"/>
      <c r="D108" s="528"/>
      <c r="E108" s="528"/>
      <c r="F108" s="528"/>
      <c r="G108" s="527"/>
      <c r="H108" s="527"/>
    </row>
    <row r="109">
      <c r="A109" s="530"/>
      <c r="B109" s="530"/>
      <c r="C109" s="530"/>
      <c r="D109" s="531"/>
      <c r="E109" s="531"/>
      <c r="F109" s="531"/>
      <c r="G109" s="530"/>
      <c r="H109" s="530"/>
    </row>
    <row r="110">
      <c r="A110" s="527"/>
      <c r="B110" s="527"/>
      <c r="C110" s="527"/>
      <c r="D110" s="528"/>
      <c r="E110" s="528"/>
      <c r="F110" s="528"/>
      <c r="G110" s="527"/>
      <c r="H110" s="527"/>
    </row>
    <row r="111">
      <c r="A111" s="530"/>
      <c r="B111" s="530"/>
      <c r="C111" s="530"/>
      <c r="D111" s="531"/>
      <c r="E111" s="531"/>
      <c r="F111" s="531"/>
      <c r="G111" s="530"/>
      <c r="H111" s="530"/>
    </row>
    <row r="112">
      <c r="A112" s="527"/>
      <c r="B112" s="527"/>
      <c r="C112" s="527"/>
      <c r="D112" s="528"/>
      <c r="E112" s="528"/>
      <c r="F112" s="528"/>
      <c r="G112" s="527"/>
      <c r="H112" s="527"/>
    </row>
    <row r="113">
      <c r="A113" s="530"/>
      <c r="B113" s="530"/>
      <c r="C113" s="530"/>
      <c r="D113" s="531"/>
      <c r="E113" s="531"/>
      <c r="F113" s="531"/>
      <c r="G113" s="530"/>
      <c r="H113" s="530"/>
    </row>
    <row r="114">
      <c r="A114" s="527"/>
      <c r="B114" s="527"/>
      <c r="C114" s="527"/>
      <c r="D114" s="528"/>
      <c r="E114" s="528"/>
      <c r="F114" s="528"/>
      <c r="G114" s="527"/>
      <c r="H114" s="527"/>
    </row>
    <row r="115">
      <c r="A115" s="530"/>
      <c r="B115" s="530"/>
      <c r="C115" s="530"/>
      <c r="D115" s="531"/>
      <c r="E115" s="531"/>
      <c r="F115" s="531"/>
      <c r="G115" s="530"/>
      <c r="H115" s="530"/>
    </row>
    <row r="116">
      <c r="A116" s="527"/>
      <c r="B116" s="527"/>
      <c r="C116" s="527"/>
      <c r="D116" s="528"/>
      <c r="E116" s="528"/>
      <c r="F116" s="528"/>
      <c r="G116" s="527"/>
      <c r="H116" s="527"/>
    </row>
    <row r="117">
      <c r="A117" s="530"/>
      <c r="B117" s="530"/>
      <c r="C117" s="530"/>
      <c r="D117" s="531"/>
      <c r="E117" s="531"/>
      <c r="F117" s="531"/>
      <c r="G117" s="530"/>
      <c r="H117" s="530"/>
    </row>
    <row r="118">
      <c r="A118" s="527"/>
      <c r="B118" s="527"/>
      <c r="C118" s="527"/>
      <c r="D118" s="528"/>
      <c r="E118" s="528"/>
      <c r="F118" s="528"/>
      <c r="G118" s="527"/>
      <c r="H118" s="527"/>
    </row>
    <row r="119">
      <c r="A119" s="530"/>
      <c r="B119" s="530"/>
      <c r="C119" s="530"/>
      <c r="D119" s="531"/>
      <c r="E119" s="531"/>
      <c r="F119" s="531"/>
      <c r="G119" s="530"/>
      <c r="H119" s="530"/>
    </row>
    <row r="120">
      <c r="A120" s="527"/>
      <c r="B120" s="527"/>
      <c r="C120" s="527"/>
      <c r="D120" s="528"/>
      <c r="E120" s="528"/>
      <c r="F120" s="528"/>
      <c r="G120" s="527"/>
      <c r="H120" s="527"/>
    </row>
    <row r="121">
      <c r="A121" s="530"/>
      <c r="B121" s="530"/>
      <c r="C121" s="530"/>
      <c r="D121" s="531"/>
      <c r="E121" s="531"/>
      <c r="F121" s="531"/>
      <c r="G121" s="530"/>
      <c r="H121" s="530"/>
    </row>
    <row r="122">
      <c r="A122" s="527"/>
      <c r="B122" s="527"/>
      <c r="C122" s="527"/>
      <c r="D122" s="528"/>
      <c r="E122" s="528"/>
      <c r="F122" s="528"/>
      <c r="G122" s="527"/>
      <c r="H122" s="527"/>
    </row>
    <row r="123">
      <c r="A123" s="530"/>
      <c r="B123" s="530"/>
      <c r="C123" s="530"/>
      <c r="D123" s="531"/>
      <c r="E123" s="531"/>
      <c r="F123" s="531"/>
      <c r="G123" s="530"/>
      <c r="H123" s="530"/>
    </row>
    <row r="124">
      <c r="A124" s="527"/>
      <c r="B124" s="527"/>
      <c r="C124" s="527"/>
      <c r="D124" s="528"/>
      <c r="E124" s="528"/>
      <c r="F124" s="528"/>
      <c r="G124" s="527"/>
      <c r="H124" s="527"/>
    </row>
    <row r="125">
      <c r="A125" s="530"/>
      <c r="B125" s="530"/>
      <c r="C125" s="530"/>
      <c r="D125" s="531"/>
      <c r="E125" s="531"/>
      <c r="F125" s="531"/>
      <c r="G125" s="530"/>
      <c r="H125" s="530"/>
    </row>
    <row r="126">
      <c r="A126" s="527"/>
      <c r="B126" s="527"/>
      <c r="C126" s="527"/>
      <c r="D126" s="528"/>
      <c r="E126" s="528"/>
      <c r="F126" s="528"/>
      <c r="G126" s="527"/>
      <c r="H126" s="527"/>
    </row>
    <row r="127">
      <c r="A127" s="530"/>
      <c r="B127" s="530"/>
      <c r="C127" s="530"/>
      <c r="D127" s="531"/>
      <c r="E127" s="531"/>
      <c r="F127" s="531"/>
      <c r="G127" s="530"/>
      <c r="H127" s="530"/>
    </row>
    <row r="128">
      <c r="A128" s="527"/>
      <c r="B128" s="527"/>
      <c r="C128" s="527"/>
      <c r="D128" s="528"/>
      <c r="E128" s="528"/>
      <c r="F128" s="528"/>
      <c r="G128" s="527"/>
      <c r="H128" s="527"/>
    </row>
    <row r="129">
      <c r="A129" s="530"/>
      <c r="B129" s="530"/>
      <c r="C129" s="530"/>
      <c r="D129" s="531"/>
      <c r="E129" s="531"/>
      <c r="F129" s="531"/>
      <c r="G129" s="530"/>
      <c r="H129" s="530"/>
    </row>
    <row r="130">
      <c r="A130" s="527"/>
      <c r="B130" s="527"/>
      <c r="C130" s="527"/>
      <c r="D130" s="528"/>
      <c r="E130" s="528"/>
      <c r="F130" s="528"/>
      <c r="G130" s="527"/>
      <c r="H130" s="527"/>
    </row>
    <row r="131">
      <c r="A131" s="530"/>
      <c r="B131" s="530"/>
      <c r="C131" s="530"/>
      <c r="D131" s="531"/>
      <c r="E131" s="531"/>
      <c r="F131" s="531"/>
      <c r="G131" s="530"/>
      <c r="H131" s="530"/>
    </row>
    <row r="132">
      <c r="A132" s="527"/>
      <c r="B132" s="527"/>
      <c r="C132" s="527"/>
      <c r="D132" s="528"/>
      <c r="E132" s="528"/>
      <c r="F132" s="528"/>
      <c r="G132" s="527"/>
      <c r="H132" s="527"/>
    </row>
    <row r="133">
      <c r="A133" s="530"/>
      <c r="B133" s="530"/>
      <c r="C133" s="530"/>
      <c r="D133" s="531"/>
      <c r="E133" s="531"/>
      <c r="F133" s="531"/>
      <c r="G133" s="530"/>
      <c r="H133" s="530"/>
    </row>
    <row r="134">
      <c r="A134" s="527"/>
      <c r="B134" s="527"/>
      <c r="C134" s="527"/>
      <c r="D134" s="528"/>
      <c r="E134" s="528"/>
      <c r="F134" s="528"/>
      <c r="G134" s="527"/>
      <c r="H134" s="527"/>
    </row>
    <row r="135">
      <c r="A135" s="530"/>
      <c r="B135" s="530"/>
      <c r="C135" s="530"/>
      <c r="D135" s="531"/>
      <c r="E135" s="531"/>
      <c r="F135" s="531"/>
      <c r="G135" s="530"/>
      <c r="H135" s="530"/>
    </row>
    <row r="136">
      <c r="A136" s="527"/>
      <c r="B136" s="527"/>
      <c r="C136" s="527"/>
      <c r="D136" s="528"/>
      <c r="E136" s="528"/>
      <c r="F136" s="528"/>
      <c r="G136" s="527"/>
      <c r="H136" s="527"/>
    </row>
    <row r="137">
      <c r="A137" s="530"/>
      <c r="B137" s="530"/>
      <c r="C137" s="530"/>
      <c r="D137" s="531"/>
      <c r="E137" s="531"/>
      <c r="F137" s="531"/>
      <c r="G137" s="530"/>
      <c r="H137" s="530"/>
    </row>
    <row r="138">
      <c r="A138" s="527"/>
      <c r="B138" s="527"/>
      <c r="C138" s="527"/>
      <c r="D138" s="528"/>
      <c r="E138" s="528"/>
      <c r="F138" s="528"/>
      <c r="G138" s="527"/>
      <c r="H138" s="527"/>
    </row>
    <row r="139">
      <c r="A139" s="530"/>
      <c r="B139" s="530"/>
      <c r="C139" s="530"/>
      <c r="D139" s="531"/>
      <c r="E139" s="531"/>
      <c r="F139" s="531"/>
      <c r="G139" s="530"/>
      <c r="H139" s="530"/>
    </row>
    <row r="140">
      <c r="A140" s="527"/>
      <c r="B140" s="527"/>
      <c r="C140" s="527"/>
      <c r="D140" s="528"/>
      <c r="E140" s="528"/>
      <c r="F140" s="528"/>
      <c r="G140" s="527"/>
      <c r="H140" s="527"/>
    </row>
    <row r="141">
      <c r="A141" s="530"/>
      <c r="B141" s="530"/>
      <c r="C141" s="530"/>
      <c r="D141" s="531"/>
      <c r="E141" s="531"/>
      <c r="F141" s="531"/>
      <c r="G141" s="530"/>
      <c r="H141" s="530"/>
    </row>
    <row r="142">
      <c r="A142" s="527"/>
      <c r="B142" s="527"/>
      <c r="C142" s="527"/>
      <c r="D142" s="528"/>
      <c r="E142" s="528"/>
      <c r="F142" s="528"/>
      <c r="G142" s="527"/>
      <c r="H142" s="527"/>
    </row>
    <row r="143">
      <c r="A143" s="530"/>
      <c r="B143" s="530"/>
      <c r="C143" s="530"/>
      <c r="D143" s="531"/>
      <c r="E143" s="531"/>
      <c r="F143" s="531"/>
      <c r="G143" s="530"/>
      <c r="H143" s="530"/>
    </row>
    <row r="144">
      <c r="A144" s="527"/>
      <c r="B144" s="527"/>
      <c r="C144" s="527"/>
      <c r="D144" s="528"/>
      <c r="E144" s="528"/>
      <c r="F144" s="528"/>
      <c r="G144" s="527"/>
      <c r="H144" s="527"/>
    </row>
    <row r="145">
      <c r="A145" s="530"/>
      <c r="B145" s="530"/>
      <c r="C145" s="530"/>
      <c r="D145" s="531"/>
      <c r="E145" s="531"/>
      <c r="F145" s="531"/>
      <c r="G145" s="530"/>
      <c r="H145" s="530"/>
    </row>
    <row r="146">
      <c r="A146" s="527"/>
      <c r="B146" s="527"/>
      <c r="C146" s="527"/>
      <c r="D146" s="528"/>
      <c r="E146" s="528"/>
      <c r="F146" s="528"/>
      <c r="G146" s="527"/>
      <c r="H146" s="527"/>
    </row>
    <row r="147">
      <c r="A147" s="530"/>
      <c r="B147" s="530"/>
      <c r="C147" s="530"/>
      <c r="D147" s="531"/>
      <c r="E147" s="531"/>
      <c r="F147" s="531"/>
      <c r="G147" s="530"/>
      <c r="H147" s="530"/>
    </row>
    <row r="148">
      <c r="A148" s="527"/>
      <c r="B148" s="527"/>
      <c r="C148" s="527"/>
      <c r="D148" s="528"/>
      <c r="E148" s="528"/>
      <c r="F148" s="528"/>
      <c r="G148" s="527"/>
      <c r="H148" s="527"/>
    </row>
    <row r="149">
      <c r="A149" s="530"/>
      <c r="B149" s="530"/>
      <c r="C149" s="530"/>
      <c r="D149" s="531"/>
      <c r="E149" s="531"/>
      <c r="F149" s="531"/>
      <c r="G149" s="530"/>
      <c r="H149" s="530"/>
    </row>
    <row r="150">
      <c r="A150" s="527"/>
      <c r="B150" s="527"/>
      <c r="C150" s="527"/>
      <c r="D150" s="528"/>
      <c r="E150" s="528"/>
      <c r="F150" s="528"/>
      <c r="G150" s="527"/>
      <c r="H150" s="527"/>
    </row>
    <row r="151">
      <c r="A151" s="530"/>
      <c r="B151" s="530"/>
      <c r="C151" s="530"/>
      <c r="D151" s="531"/>
      <c r="E151" s="531"/>
      <c r="F151" s="531"/>
      <c r="G151" s="530"/>
      <c r="H151" s="530"/>
    </row>
    <row r="152">
      <c r="A152" s="527"/>
      <c r="B152" s="527"/>
      <c r="C152" s="527"/>
      <c r="D152" s="528"/>
      <c r="E152" s="528"/>
      <c r="F152" s="528"/>
      <c r="G152" s="527"/>
      <c r="H152" s="527"/>
    </row>
    <row r="153">
      <c r="A153" s="530"/>
      <c r="B153" s="530"/>
      <c r="C153" s="530"/>
      <c r="D153" s="531"/>
      <c r="E153" s="531"/>
      <c r="F153" s="531"/>
      <c r="G153" s="530"/>
      <c r="H153" s="530"/>
    </row>
    <row r="154">
      <c r="A154" s="527"/>
      <c r="B154" s="527"/>
      <c r="C154" s="527"/>
      <c r="D154" s="528"/>
      <c r="E154" s="528"/>
      <c r="F154" s="528"/>
      <c r="G154" s="527"/>
      <c r="H154" s="527"/>
    </row>
    <row r="155">
      <c r="A155" s="530"/>
      <c r="B155" s="530"/>
      <c r="C155" s="530"/>
      <c r="D155" s="531"/>
      <c r="E155" s="531"/>
      <c r="F155" s="531"/>
      <c r="G155" s="530"/>
      <c r="H155" s="530"/>
    </row>
    <row r="156">
      <c r="A156" s="527"/>
      <c r="B156" s="527"/>
      <c r="C156" s="527"/>
      <c r="D156" s="528"/>
      <c r="E156" s="528"/>
      <c r="F156" s="528"/>
      <c r="G156" s="527"/>
      <c r="H156" s="527"/>
    </row>
    <row r="157">
      <c r="A157" s="530"/>
      <c r="B157" s="530"/>
      <c r="C157" s="530"/>
      <c r="D157" s="531"/>
      <c r="E157" s="531"/>
      <c r="F157" s="531"/>
      <c r="G157" s="530"/>
      <c r="H157" s="530"/>
    </row>
    <row r="158">
      <c r="A158" s="527"/>
      <c r="B158" s="527"/>
      <c r="C158" s="527"/>
      <c r="D158" s="528"/>
      <c r="E158" s="528"/>
      <c r="F158" s="528"/>
      <c r="G158" s="527"/>
      <c r="H158" s="527"/>
    </row>
    <row r="159">
      <c r="A159" s="530"/>
      <c r="B159" s="530"/>
      <c r="C159" s="530"/>
      <c r="D159" s="531"/>
      <c r="E159" s="531"/>
      <c r="F159" s="531"/>
      <c r="G159" s="530"/>
      <c r="H159" s="530"/>
    </row>
    <row r="160">
      <c r="A160" s="527"/>
      <c r="B160" s="527"/>
      <c r="C160" s="527"/>
      <c r="D160" s="528"/>
      <c r="E160" s="528"/>
      <c r="F160" s="528"/>
      <c r="G160" s="527"/>
      <c r="H160" s="527"/>
    </row>
    <row r="161">
      <c r="A161" s="530"/>
      <c r="B161" s="530"/>
      <c r="C161" s="530"/>
      <c r="D161" s="531"/>
      <c r="E161" s="531"/>
      <c r="F161" s="531"/>
      <c r="G161" s="530"/>
      <c r="H161" s="530"/>
    </row>
    <row r="162">
      <c r="A162" s="527"/>
      <c r="B162" s="527"/>
      <c r="C162" s="527"/>
      <c r="D162" s="528"/>
      <c r="E162" s="528"/>
      <c r="F162" s="528"/>
      <c r="G162" s="527"/>
      <c r="H162" s="527"/>
    </row>
    <row r="163">
      <c r="A163" s="530"/>
      <c r="B163" s="530"/>
      <c r="C163" s="530"/>
      <c r="D163" s="531"/>
      <c r="E163" s="531"/>
      <c r="F163" s="531"/>
      <c r="G163" s="530"/>
      <c r="H163" s="530"/>
    </row>
    <row r="164">
      <c r="A164" s="527"/>
      <c r="B164" s="527"/>
      <c r="C164" s="527"/>
      <c r="D164" s="528"/>
      <c r="E164" s="528"/>
      <c r="F164" s="528"/>
      <c r="G164" s="527"/>
      <c r="H164" s="527"/>
    </row>
    <row r="165">
      <c r="A165" s="530"/>
      <c r="B165" s="530"/>
      <c r="C165" s="530"/>
      <c r="D165" s="531"/>
      <c r="E165" s="531"/>
      <c r="F165" s="531"/>
      <c r="G165" s="530"/>
      <c r="H165" s="530"/>
    </row>
    <row r="166">
      <c r="A166" s="527"/>
      <c r="B166" s="527"/>
      <c r="C166" s="527"/>
      <c r="D166" s="528"/>
      <c r="E166" s="528"/>
      <c r="F166" s="528"/>
      <c r="G166" s="527"/>
      <c r="H166" s="527"/>
    </row>
    <row r="167">
      <c r="A167" s="530"/>
      <c r="B167" s="530"/>
      <c r="C167" s="530"/>
      <c r="D167" s="531"/>
      <c r="E167" s="531"/>
      <c r="F167" s="531"/>
      <c r="G167" s="530"/>
      <c r="H167" s="530"/>
    </row>
    <row r="168">
      <c r="A168" s="527"/>
      <c r="B168" s="527"/>
      <c r="C168" s="527"/>
      <c r="D168" s="528"/>
      <c r="E168" s="528"/>
      <c r="F168" s="528"/>
      <c r="G168" s="527"/>
      <c r="H168" s="527"/>
    </row>
    <row r="169">
      <c r="A169" s="530"/>
      <c r="B169" s="530"/>
      <c r="C169" s="530"/>
      <c r="D169" s="531"/>
      <c r="E169" s="531"/>
      <c r="F169" s="531"/>
      <c r="G169" s="530"/>
      <c r="H169" s="530"/>
    </row>
    <row r="170">
      <c r="A170" s="527"/>
      <c r="B170" s="527"/>
      <c r="C170" s="527"/>
      <c r="D170" s="528"/>
      <c r="E170" s="528"/>
      <c r="F170" s="528"/>
      <c r="G170" s="527"/>
      <c r="H170" s="527"/>
    </row>
    <row r="171">
      <c r="A171" s="530"/>
      <c r="B171" s="530"/>
      <c r="C171" s="530"/>
      <c r="D171" s="531"/>
      <c r="E171" s="531"/>
      <c r="F171" s="531"/>
      <c r="G171" s="530"/>
      <c r="H171" s="530"/>
    </row>
    <row r="172">
      <c r="A172" s="527"/>
      <c r="B172" s="527"/>
      <c r="C172" s="527"/>
      <c r="D172" s="528"/>
      <c r="E172" s="528"/>
      <c r="F172" s="528"/>
      <c r="G172" s="527"/>
      <c r="H172" s="527"/>
    </row>
    <row r="173">
      <c r="A173" s="530"/>
      <c r="B173" s="530"/>
      <c r="C173" s="530"/>
      <c r="D173" s="531"/>
      <c r="E173" s="531"/>
      <c r="F173" s="531"/>
      <c r="G173" s="530"/>
      <c r="H173" s="530"/>
    </row>
    <row r="174">
      <c r="A174" s="527"/>
      <c r="B174" s="527"/>
      <c r="C174" s="527"/>
      <c r="D174" s="528"/>
      <c r="E174" s="528"/>
      <c r="F174" s="528"/>
      <c r="G174" s="527"/>
      <c r="H174" s="527"/>
    </row>
    <row r="175">
      <c r="A175" s="530"/>
      <c r="B175" s="530"/>
      <c r="C175" s="530"/>
      <c r="D175" s="531"/>
      <c r="E175" s="531"/>
      <c r="F175" s="531"/>
      <c r="G175" s="530"/>
      <c r="H175" s="530"/>
    </row>
    <row r="176">
      <c r="A176" s="527"/>
      <c r="B176" s="527"/>
      <c r="C176" s="527"/>
      <c r="D176" s="528"/>
      <c r="E176" s="528"/>
      <c r="F176" s="528"/>
      <c r="G176" s="527"/>
      <c r="H176" s="527"/>
    </row>
    <row r="177">
      <c r="A177" s="530"/>
      <c r="B177" s="530"/>
      <c r="C177" s="530"/>
      <c r="D177" s="531"/>
      <c r="E177" s="531"/>
      <c r="F177" s="531"/>
      <c r="G177" s="530"/>
      <c r="H177" s="530"/>
    </row>
    <row r="178">
      <c r="A178" s="527"/>
      <c r="B178" s="527"/>
      <c r="C178" s="527"/>
      <c r="D178" s="528"/>
      <c r="E178" s="528"/>
      <c r="F178" s="528"/>
      <c r="G178" s="527"/>
      <c r="H178" s="527"/>
    </row>
    <row r="179">
      <c r="A179" s="530"/>
      <c r="B179" s="530"/>
      <c r="C179" s="530"/>
      <c r="D179" s="531"/>
      <c r="E179" s="531"/>
      <c r="F179" s="531"/>
      <c r="G179" s="530"/>
      <c r="H179" s="530"/>
    </row>
    <row r="180">
      <c r="A180" s="527"/>
      <c r="B180" s="527"/>
      <c r="C180" s="527"/>
      <c r="D180" s="528"/>
      <c r="E180" s="528"/>
      <c r="F180" s="528"/>
      <c r="G180" s="527"/>
      <c r="H180" s="527"/>
    </row>
    <row r="181">
      <c r="A181" s="530"/>
      <c r="B181" s="530"/>
      <c r="C181" s="530"/>
      <c r="D181" s="531"/>
      <c r="E181" s="531"/>
      <c r="F181" s="531"/>
      <c r="G181" s="530"/>
      <c r="H181" s="530"/>
    </row>
    <row r="182">
      <c r="A182" s="527"/>
      <c r="B182" s="527"/>
      <c r="C182" s="527"/>
      <c r="D182" s="528"/>
      <c r="E182" s="528"/>
      <c r="F182" s="528"/>
      <c r="G182" s="527"/>
      <c r="H182" s="527"/>
    </row>
    <row r="183">
      <c r="A183" s="530"/>
      <c r="B183" s="530"/>
      <c r="C183" s="530"/>
      <c r="D183" s="531"/>
      <c r="E183" s="531"/>
      <c r="F183" s="531"/>
      <c r="G183" s="530"/>
      <c r="H183" s="530"/>
    </row>
    <row r="184">
      <c r="A184" s="527"/>
      <c r="B184" s="527"/>
      <c r="C184" s="527"/>
      <c r="D184" s="528"/>
      <c r="E184" s="528"/>
      <c r="F184" s="528"/>
      <c r="G184" s="527"/>
      <c r="H184" s="527"/>
    </row>
    <row r="185">
      <c r="A185" s="530"/>
      <c r="B185" s="530"/>
      <c r="C185" s="530"/>
      <c r="D185" s="531"/>
      <c r="E185" s="531"/>
      <c r="F185" s="531"/>
      <c r="G185" s="530"/>
      <c r="H185" s="530"/>
    </row>
    <row r="186">
      <c r="A186" s="527"/>
      <c r="B186" s="527"/>
      <c r="C186" s="527"/>
      <c r="D186" s="528"/>
      <c r="E186" s="528"/>
      <c r="F186" s="528"/>
      <c r="G186" s="527"/>
      <c r="H186" s="527"/>
    </row>
    <row r="187">
      <c r="A187" s="530"/>
      <c r="B187" s="530"/>
      <c r="C187" s="530"/>
      <c r="D187" s="531"/>
      <c r="E187" s="531"/>
      <c r="F187" s="531"/>
      <c r="G187" s="530"/>
      <c r="H187" s="530"/>
    </row>
    <row r="188">
      <c r="A188" s="527"/>
      <c r="B188" s="527"/>
      <c r="C188" s="527"/>
      <c r="D188" s="528"/>
      <c r="E188" s="528"/>
      <c r="F188" s="528"/>
      <c r="G188" s="527"/>
      <c r="H188" s="527"/>
    </row>
    <row r="189">
      <c r="A189" s="530"/>
      <c r="B189" s="530"/>
      <c r="C189" s="530"/>
      <c r="D189" s="531"/>
      <c r="E189" s="531"/>
      <c r="F189" s="531"/>
      <c r="G189" s="530"/>
      <c r="H189" s="530"/>
    </row>
    <row r="190">
      <c r="A190" s="527"/>
      <c r="B190" s="527"/>
      <c r="C190" s="527"/>
      <c r="D190" s="528"/>
      <c r="E190" s="528"/>
      <c r="F190" s="528"/>
      <c r="G190" s="527"/>
      <c r="H190" s="527"/>
    </row>
    <row r="191">
      <c r="A191" s="530"/>
      <c r="B191" s="530"/>
      <c r="C191" s="530"/>
      <c r="D191" s="531"/>
      <c r="E191" s="531"/>
      <c r="F191" s="531"/>
      <c r="G191" s="530"/>
      <c r="H191" s="530"/>
    </row>
    <row r="192">
      <c r="A192" s="527"/>
      <c r="B192" s="527"/>
      <c r="C192" s="527"/>
      <c r="D192" s="528"/>
      <c r="E192" s="528"/>
      <c r="F192" s="528"/>
      <c r="G192" s="527"/>
      <c r="H192" s="527"/>
    </row>
    <row r="193">
      <c r="A193" s="530"/>
      <c r="B193" s="530"/>
      <c r="C193" s="530"/>
      <c r="D193" s="531"/>
      <c r="E193" s="531"/>
      <c r="F193" s="531"/>
      <c r="G193" s="530"/>
      <c r="H193" s="530"/>
    </row>
    <row r="194">
      <c r="A194" s="527"/>
      <c r="B194" s="527"/>
      <c r="C194" s="527"/>
      <c r="D194" s="528"/>
      <c r="E194" s="528"/>
      <c r="F194" s="528"/>
      <c r="G194" s="527"/>
      <c r="H194" s="527"/>
    </row>
    <row r="195">
      <c r="A195" s="530"/>
      <c r="B195" s="530"/>
      <c r="C195" s="530"/>
      <c r="D195" s="531"/>
      <c r="E195" s="531"/>
      <c r="F195" s="531"/>
      <c r="G195" s="530"/>
      <c r="H195" s="530"/>
    </row>
    <row r="196">
      <c r="A196" s="527"/>
      <c r="B196" s="527"/>
      <c r="C196" s="527"/>
      <c r="D196" s="528"/>
      <c r="E196" s="528"/>
      <c r="F196" s="528"/>
      <c r="G196" s="527"/>
      <c r="H196" s="527"/>
    </row>
    <row r="197">
      <c r="A197" s="530"/>
      <c r="B197" s="530"/>
      <c r="C197" s="530"/>
      <c r="D197" s="531"/>
      <c r="E197" s="531"/>
      <c r="F197" s="531"/>
      <c r="G197" s="530"/>
      <c r="H197" s="530"/>
    </row>
    <row r="198">
      <c r="A198" s="527"/>
      <c r="B198" s="527"/>
      <c r="C198" s="527"/>
      <c r="D198" s="528"/>
      <c r="E198" s="528"/>
      <c r="F198" s="528"/>
      <c r="G198" s="527"/>
      <c r="H198" s="527"/>
    </row>
    <row r="199">
      <c r="A199" s="530"/>
      <c r="B199" s="530"/>
      <c r="C199" s="530"/>
      <c r="D199" s="531"/>
      <c r="E199" s="531"/>
      <c r="F199" s="531"/>
      <c r="G199" s="530"/>
      <c r="H199" s="530"/>
    </row>
    <row r="200">
      <c r="A200" s="527"/>
      <c r="B200" s="527"/>
      <c r="C200" s="527"/>
      <c r="D200" s="528"/>
      <c r="E200" s="528"/>
      <c r="F200" s="528"/>
      <c r="G200" s="527"/>
      <c r="H200" s="527"/>
    </row>
    <row r="201">
      <c r="A201" s="530"/>
      <c r="B201" s="530"/>
      <c r="C201" s="530"/>
      <c r="D201" s="531"/>
      <c r="E201" s="531"/>
      <c r="F201" s="531"/>
      <c r="G201" s="530"/>
      <c r="H201" s="530"/>
    </row>
    <row r="202">
      <c r="A202" s="527"/>
      <c r="B202" s="527"/>
      <c r="C202" s="527"/>
      <c r="D202" s="528"/>
      <c r="E202" s="528"/>
      <c r="F202" s="528"/>
      <c r="G202" s="527"/>
      <c r="H202" s="527"/>
    </row>
    <row r="203">
      <c r="A203" s="530"/>
      <c r="B203" s="530"/>
      <c r="C203" s="530"/>
      <c r="D203" s="531"/>
      <c r="E203" s="531"/>
      <c r="F203" s="531"/>
      <c r="G203" s="530"/>
      <c r="H203" s="530"/>
    </row>
    <row r="204">
      <c r="A204" s="527"/>
      <c r="B204" s="527"/>
      <c r="C204" s="527"/>
      <c r="D204" s="528"/>
      <c r="E204" s="528"/>
      <c r="F204" s="528"/>
      <c r="G204" s="527"/>
      <c r="H204" s="527"/>
    </row>
    <row r="205">
      <c r="A205" s="530"/>
      <c r="B205" s="530"/>
      <c r="C205" s="530"/>
      <c r="D205" s="531"/>
      <c r="E205" s="531"/>
      <c r="F205" s="531"/>
      <c r="G205" s="530"/>
      <c r="H205" s="530"/>
    </row>
    <row r="206">
      <c r="A206" s="527"/>
      <c r="B206" s="527"/>
      <c r="C206" s="527"/>
      <c r="D206" s="528"/>
      <c r="E206" s="528"/>
      <c r="F206" s="528"/>
      <c r="G206" s="527"/>
      <c r="H206" s="527"/>
    </row>
    <row r="207">
      <c r="A207" s="530"/>
      <c r="B207" s="530"/>
      <c r="C207" s="530"/>
      <c r="D207" s="531"/>
      <c r="E207" s="531"/>
      <c r="F207" s="531"/>
      <c r="G207" s="530"/>
      <c r="H207" s="530"/>
    </row>
    <row r="208">
      <c r="A208" s="527"/>
      <c r="B208" s="527"/>
      <c r="C208" s="527"/>
      <c r="D208" s="528"/>
      <c r="E208" s="528"/>
      <c r="F208" s="528"/>
      <c r="G208" s="527"/>
      <c r="H208" s="527"/>
    </row>
    <row r="209">
      <c r="A209" s="530"/>
      <c r="B209" s="530"/>
      <c r="C209" s="530"/>
      <c r="D209" s="531"/>
      <c r="E209" s="531"/>
      <c r="F209" s="531"/>
      <c r="G209" s="530"/>
      <c r="H209" s="530"/>
    </row>
    <row r="210">
      <c r="A210" s="527"/>
      <c r="B210" s="527"/>
      <c r="C210" s="527"/>
      <c r="D210" s="528"/>
      <c r="E210" s="528"/>
      <c r="F210" s="528"/>
      <c r="G210" s="527"/>
      <c r="H210" s="527"/>
    </row>
    <row r="211">
      <c r="A211" s="530"/>
      <c r="B211" s="530"/>
      <c r="C211" s="530"/>
      <c r="D211" s="531"/>
      <c r="E211" s="531"/>
      <c r="F211" s="531"/>
      <c r="G211" s="530"/>
      <c r="H211" s="530"/>
    </row>
    <row r="212">
      <c r="A212" s="527"/>
      <c r="B212" s="527"/>
      <c r="C212" s="527"/>
      <c r="D212" s="528"/>
      <c r="E212" s="528"/>
      <c r="F212" s="528"/>
      <c r="G212" s="527"/>
      <c r="H212" s="527"/>
    </row>
    <row r="213">
      <c r="A213" s="530"/>
      <c r="B213" s="530"/>
      <c r="C213" s="530"/>
      <c r="D213" s="531"/>
      <c r="E213" s="531"/>
      <c r="F213" s="531"/>
      <c r="G213" s="530"/>
      <c r="H213" s="530"/>
    </row>
    <row r="214">
      <c r="A214" s="527"/>
      <c r="B214" s="527"/>
      <c r="C214" s="527"/>
      <c r="D214" s="528"/>
      <c r="E214" s="528"/>
      <c r="F214" s="528"/>
      <c r="G214" s="527"/>
      <c r="H214" s="527"/>
    </row>
    <row r="215">
      <c r="A215" s="530"/>
      <c r="B215" s="530"/>
      <c r="C215" s="530"/>
      <c r="D215" s="531"/>
      <c r="E215" s="531"/>
      <c r="F215" s="531"/>
      <c r="G215" s="530"/>
      <c r="H215" s="530"/>
    </row>
    <row r="216">
      <c r="A216" s="527"/>
      <c r="B216" s="527"/>
      <c r="C216" s="527"/>
      <c r="D216" s="528"/>
      <c r="E216" s="528"/>
      <c r="F216" s="528"/>
      <c r="G216" s="527"/>
      <c r="H216" s="527"/>
    </row>
    <row r="217">
      <c r="A217" s="530"/>
      <c r="B217" s="530"/>
      <c r="C217" s="530"/>
      <c r="D217" s="531"/>
      <c r="E217" s="531"/>
      <c r="F217" s="531"/>
      <c r="G217" s="530"/>
      <c r="H217" s="530"/>
    </row>
    <row r="218">
      <c r="A218" s="527"/>
      <c r="B218" s="527"/>
      <c r="C218" s="527"/>
      <c r="D218" s="528"/>
      <c r="E218" s="528"/>
      <c r="F218" s="528"/>
      <c r="G218" s="527"/>
      <c r="H218" s="527"/>
    </row>
    <row r="219">
      <c r="A219" s="530"/>
      <c r="B219" s="530"/>
      <c r="C219" s="530"/>
      <c r="D219" s="531"/>
      <c r="E219" s="531"/>
      <c r="F219" s="531"/>
      <c r="G219" s="530"/>
      <c r="H219" s="530"/>
    </row>
    <row r="220">
      <c r="A220" s="527"/>
      <c r="B220" s="527"/>
      <c r="C220" s="527"/>
      <c r="D220" s="528"/>
      <c r="E220" s="528"/>
      <c r="F220" s="528"/>
      <c r="G220" s="527"/>
      <c r="H220" s="527"/>
    </row>
    <row r="221">
      <c r="A221" s="530"/>
      <c r="B221" s="530"/>
      <c r="C221" s="530"/>
      <c r="D221" s="531"/>
      <c r="E221" s="531"/>
      <c r="F221" s="531"/>
      <c r="G221" s="530"/>
      <c r="H221" s="530"/>
    </row>
    <row r="222">
      <c r="A222" s="527"/>
      <c r="B222" s="527"/>
      <c r="C222" s="527"/>
      <c r="D222" s="528"/>
      <c r="E222" s="528"/>
      <c r="F222" s="528"/>
      <c r="G222" s="527"/>
      <c r="H222" s="527"/>
    </row>
    <row r="223">
      <c r="A223" s="530"/>
      <c r="B223" s="530"/>
      <c r="C223" s="530"/>
      <c r="D223" s="531"/>
      <c r="E223" s="531"/>
      <c r="F223" s="531"/>
      <c r="G223" s="530"/>
      <c r="H223" s="530"/>
    </row>
    <row r="224">
      <c r="A224" s="527"/>
      <c r="B224" s="527"/>
      <c r="C224" s="527"/>
      <c r="D224" s="528"/>
      <c r="E224" s="528"/>
      <c r="F224" s="528"/>
      <c r="G224" s="527"/>
      <c r="H224" s="527"/>
    </row>
    <row r="225">
      <c r="A225" s="530"/>
      <c r="B225" s="530"/>
      <c r="C225" s="530"/>
      <c r="D225" s="531"/>
      <c r="E225" s="531"/>
      <c r="F225" s="531"/>
      <c r="G225" s="530"/>
      <c r="H225" s="530"/>
    </row>
    <row r="226">
      <c r="A226" s="527"/>
      <c r="B226" s="527"/>
      <c r="C226" s="527"/>
      <c r="D226" s="528"/>
      <c r="E226" s="528"/>
      <c r="F226" s="528"/>
      <c r="G226" s="527"/>
      <c r="H226" s="527"/>
    </row>
    <row r="227">
      <c r="A227" s="530"/>
      <c r="B227" s="530"/>
      <c r="C227" s="530"/>
      <c r="D227" s="531"/>
      <c r="E227" s="531"/>
      <c r="F227" s="531"/>
      <c r="G227" s="530"/>
      <c r="H227" s="530"/>
    </row>
    <row r="228">
      <c r="A228" s="527"/>
      <c r="B228" s="527"/>
      <c r="C228" s="527"/>
      <c r="D228" s="528"/>
      <c r="E228" s="528"/>
      <c r="F228" s="528"/>
      <c r="G228" s="527"/>
      <c r="H228" s="527"/>
    </row>
    <row r="229">
      <c r="A229" s="530"/>
      <c r="B229" s="530"/>
      <c r="C229" s="530"/>
      <c r="D229" s="531"/>
      <c r="E229" s="531"/>
      <c r="F229" s="531"/>
      <c r="G229" s="530"/>
      <c r="H229" s="530"/>
    </row>
    <row r="230">
      <c r="A230" s="527"/>
      <c r="B230" s="527"/>
      <c r="C230" s="527"/>
      <c r="D230" s="528"/>
      <c r="E230" s="528"/>
      <c r="F230" s="528"/>
      <c r="G230" s="527"/>
      <c r="H230" s="527"/>
    </row>
    <row r="231">
      <c r="A231" s="530"/>
      <c r="B231" s="530"/>
      <c r="C231" s="530"/>
      <c r="D231" s="531"/>
      <c r="E231" s="531"/>
      <c r="F231" s="531"/>
      <c r="G231" s="530"/>
      <c r="H231" s="530"/>
    </row>
    <row r="232">
      <c r="A232" s="527"/>
      <c r="B232" s="527"/>
      <c r="C232" s="527"/>
      <c r="D232" s="528"/>
      <c r="E232" s="528"/>
      <c r="F232" s="528"/>
      <c r="G232" s="527"/>
      <c r="H232" s="527"/>
    </row>
    <row r="233">
      <c r="A233" s="530"/>
      <c r="B233" s="530"/>
      <c r="C233" s="530"/>
      <c r="D233" s="531"/>
      <c r="E233" s="531"/>
      <c r="F233" s="531"/>
      <c r="G233" s="530"/>
      <c r="H233" s="530"/>
    </row>
    <row r="234">
      <c r="A234" s="527"/>
      <c r="B234" s="527"/>
      <c r="C234" s="527"/>
      <c r="D234" s="528"/>
      <c r="E234" s="528"/>
      <c r="F234" s="528"/>
      <c r="G234" s="527"/>
      <c r="H234" s="527"/>
    </row>
    <row r="235">
      <c r="A235" s="530"/>
      <c r="B235" s="530"/>
      <c r="C235" s="530"/>
      <c r="D235" s="531"/>
      <c r="E235" s="531"/>
      <c r="F235" s="531"/>
      <c r="G235" s="530"/>
      <c r="H235" s="530"/>
    </row>
    <row r="236">
      <c r="A236" s="527"/>
      <c r="B236" s="527"/>
      <c r="C236" s="527"/>
      <c r="D236" s="528"/>
      <c r="E236" s="528"/>
      <c r="F236" s="528"/>
      <c r="G236" s="527"/>
      <c r="H236" s="527"/>
    </row>
    <row r="237">
      <c r="A237" s="530"/>
      <c r="B237" s="530"/>
      <c r="C237" s="530"/>
      <c r="D237" s="531"/>
      <c r="E237" s="531"/>
      <c r="F237" s="531"/>
      <c r="G237" s="530"/>
      <c r="H237" s="530"/>
    </row>
    <row r="238">
      <c r="A238" s="527"/>
      <c r="B238" s="527"/>
      <c r="C238" s="527"/>
      <c r="D238" s="528"/>
      <c r="E238" s="528"/>
      <c r="F238" s="528"/>
      <c r="G238" s="527"/>
      <c r="H238" s="527"/>
    </row>
    <row r="239">
      <c r="A239" s="530"/>
      <c r="B239" s="530"/>
      <c r="C239" s="530"/>
      <c r="D239" s="531"/>
      <c r="E239" s="531"/>
      <c r="F239" s="531"/>
      <c r="G239" s="530"/>
      <c r="H239" s="530"/>
    </row>
    <row r="240">
      <c r="A240" s="527"/>
      <c r="B240" s="527"/>
      <c r="C240" s="527"/>
      <c r="D240" s="528"/>
      <c r="E240" s="528"/>
      <c r="F240" s="528"/>
      <c r="G240" s="527"/>
      <c r="H240" s="527"/>
    </row>
    <row r="241">
      <c r="A241" s="530"/>
      <c r="B241" s="530"/>
      <c r="C241" s="530"/>
      <c r="D241" s="531"/>
      <c r="E241" s="531"/>
      <c r="F241" s="531"/>
      <c r="G241" s="530"/>
      <c r="H241" s="530"/>
    </row>
    <row r="242">
      <c r="A242" s="527"/>
      <c r="B242" s="527"/>
      <c r="C242" s="527"/>
      <c r="D242" s="528"/>
      <c r="E242" s="528"/>
      <c r="F242" s="528"/>
      <c r="G242" s="527"/>
      <c r="H242" s="527"/>
    </row>
    <row r="243">
      <c r="A243" s="530"/>
      <c r="B243" s="530"/>
      <c r="C243" s="530"/>
      <c r="D243" s="531"/>
      <c r="E243" s="531"/>
      <c r="F243" s="531"/>
      <c r="G243" s="530"/>
      <c r="H243" s="530"/>
    </row>
    <row r="244">
      <c r="A244" s="527"/>
      <c r="B244" s="527"/>
      <c r="C244" s="527"/>
      <c r="D244" s="528"/>
      <c r="E244" s="528"/>
      <c r="F244" s="528"/>
      <c r="G244" s="527"/>
      <c r="H244" s="527"/>
    </row>
    <row r="245">
      <c r="A245" s="530"/>
      <c r="B245" s="530"/>
      <c r="C245" s="530"/>
      <c r="D245" s="531"/>
      <c r="E245" s="531"/>
      <c r="F245" s="531"/>
      <c r="G245" s="530"/>
      <c r="H245" s="530"/>
    </row>
    <row r="246">
      <c r="A246" s="527"/>
      <c r="B246" s="527"/>
      <c r="C246" s="527"/>
      <c r="D246" s="528"/>
      <c r="E246" s="528"/>
      <c r="F246" s="528"/>
      <c r="G246" s="527"/>
      <c r="H246" s="527"/>
    </row>
    <row r="247">
      <c r="A247" s="530"/>
      <c r="B247" s="530"/>
      <c r="C247" s="530"/>
      <c r="D247" s="531"/>
      <c r="E247" s="531"/>
      <c r="F247" s="531"/>
      <c r="G247" s="530"/>
      <c r="H247" s="530"/>
    </row>
    <row r="248">
      <c r="A248" s="527"/>
      <c r="B248" s="527"/>
      <c r="C248" s="527"/>
      <c r="D248" s="528"/>
      <c r="E248" s="528"/>
      <c r="F248" s="528"/>
      <c r="G248" s="527"/>
      <c r="H248" s="527"/>
    </row>
    <row r="249">
      <c r="A249" s="530"/>
      <c r="B249" s="530"/>
      <c r="C249" s="530"/>
      <c r="D249" s="531"/>
      <c r="E249" s="531"/>
      <c r="F249" s="531"/>
      <c r="G249" s="530"/>
      <c r="H249" s="530"/>
    </row>
    <row r="250">
      <c r="A250" s="527"/>
      <c r="B250" s="527"/>
      <c r="C250" s="527"/>
      <c r="D250" s="528"/>
      <c r="E250" s="528"/>
      <c r="F250" s="528"/>
      <c r="G250" s="527"/>
      <c r="H250" s="527"/>
    </row>
    <row r="251">
      <c r="A251" s="530"/>
      <c r="B251" s="530"/>
      <c r="C251" s="530"/>
      <c r="D251" s="531"/>
      <c r="E251" s="531"/>
      <c r="F251" s="531"/>
      <c r="G251" s="530"/>
      <c r="H251" s="530"/>
    </row>
    <row r="252">
      <c r="A252" s="527"/>
      <c r="B252" s="527"/>
      <c r="C252" s="527"/>
      <c r="D252" s="528"/>
      <c r="E252" s="528"/>
      <c r="F252" s="528"/>
      <c r="G252" s="527"/>
      <c r="H252" s="527"/>
    </row>
    <row r="253">
      <c r="A253" s="530"/>
      <c r="B253" s="530"/>
      <c r="C253" s="530"/>
      <c r="D253" s="531"/>
      <c r="E253" s="531"/>
      <c r="F253" s="531"/>
      <c r="G253" s="530"/>
      <c r="H253" s="530"/>
    </row>
    <row r="254">
      <c r="A254" s="527"/>
      <c r="B254" s="527"/>
      <c r="C254" s="527"/>
      <c r="D254" s="528"/>
      <c r="E254" s="528"/>
      <c r="F254" s="528"/>
      <c r="G254" s="527"/>
      <c r="H254" s="527"/>
    </row>
    <row r="255">
      <c r="A255" s="530"/>
      <c r="B255" s="530"/>
      <c r="C255" s="530"/>
      <c r="D255" s="531"/>
      <c r="E255" s="531"/>
      <c r="F255" s="531"/>
      <c r="G255" s="530"/>
      <c r="H255" s="530"/>
    </row>
    <row r="256">
      <c r="A256" s="527"/>
      <c r="B256" s="527"/>
      <c r="C256" s="527"/>
      <c r="D256" s="528"/>
      <c r="E256" s="528"/>
      <c r="F256" s="528"/>
      <c r="G256" s="527"/>
      <c r="H256" s="527"/>
    </row>
    <row r="257">
      <c r="A257" s="530"/>
      <c r="B257" s="530"/>
      <c r="C257" s="530"/>
      <c r="D257" s="531"/>
      <c r="E257" s="531"/>
      <c r="F257" s="531"/>
      <c r="G257" s="530"/>
      <c r="H257" s="530"/>
    </row>
    <row r="258">
      <c r="A258" s="527"/>
      <c r="B258" s="527"/>
      <c r="C258" s="527"/>
      <c r="D258" s="528"/>
      <c r="E258" s="528"/>
      <c r="F258" s="528"/>
      <c r="G258" s="527"/>
      <c r="H258" s="527"/>
    </row>
    <row r="259">
      <c r="A259" s="530"/>
      <c r="B259" s="530"/>
      <c r="C259" s="530"/>
      <c r="D259" s="531"/>
      <c r="E259" s="531"/>
      <c r="F259" s="531"/>
      <c r="G259" s="530"/>
      <c r="H259" s="530"/>
    </row>
    <row r="260">
      <c r="A260" s="527"/>
      <c r="B260" s="527"/>
      <c r="C260" s="527"/>
      <c r="D260" s="528"/>
      <c r="E260" s="528"/>
      <c r="F260" s="528"/>
      <c r="G260" s="527"/>
      <c r="H260" s="527"/>
    </row>
    <row r="261">
      <c r="A261" s="530"/>
      <c r="B261" s="530"/>
      <c r="C261" s="530"/>
      <c r="D261" s="531"/>
      <c r="E261" s="531"/>
      <c r="F261" s="531"/>
      <c r="G261" s="530"/>
      <c r="H261" s="530"/>
    </row>
    <row r="262">
      <c r="A262" s="527"/>
      <c r="B262" s="527"/>
      <c r="C262" s="527"/>
      <c r="D262" s="528"/>
      <c r="E262" s="528"/>
      <c r="F262" s="528"/>
      <c r="G262" s="527"/>
      <c r="H262" s="527"/>
    </row>
    <row r="263">
      <c r="A263" s="530"/>
      <c r="B263" s="530"/>
      <c r="C263" s="530"/>
      <c r="D263" s="531"/>
      <c r="E263" s="531"/>
      <c r="F263" s="531"/>
      <c r="G263" s="530"/>
      <c r="H263" s="530"/>
    </row>
    <row r="264">
      <c r="A264" s="527"/>
      <c r="B264" s="527"/>
      <c r="C264" s="527"/>
      <c r="D264" s="528"/>
      <c r="E264" s="528"/>
      <c r="F264" s="528"/>
      <c r="G264" s="527"/>
      <c r="H264" s="527"/>
    </row>
    <row r="265">
      <c r="A265" s="530"/>
      <c r="B265" s="530"/>
      <c r="C265" s="530"/>
      <c r="D265" s="531"/>
      <c r="E265" s="531"/>
      <c r="F265" s="531"/>
      <c r="G265" s="530"/>
      <c r="H265" s="530"/>
    </row>
    <row r="266">
      <c r="A266" s="527"/>
      <c r="B266" s="527"/>
      <c r="C266" s="527"/>
      <c r="D266" s="528"/>
      <c r="E266" s="528"/>
      <c r="F266" s="528"/>
      <c r="G266" s="527"/>
      <c r="H266" s="527"/>
    </row>
    <row r="267">
      <c r="A267" s="530"/>
      <c r="B267" s="530"/>
      <c r="C267" s="530"/>
      <c r="D267" s="531"/>
      <c r="E267" s="531"/>
      <c r="F267" s="531"/>
      <c r="G267" s="530"/>
      <c r="H267" s="530"/>
    </row>
    <row r="268">
      <c r="A268" s="527"/>
      <c r="B268" s="527"/>
      <c r="C268" s="527"/>
      <c r="D268" s="528"/>
      <c r="E268" s="528"/>
      <c r="F268" s="528"/>
      <c r="G268" s="527"/>
      <c r="H268" s="527"/>
    </row>
    <row r="269">
      <c r="A269" s="530"/>
      <c r="B269" s="530"/>
      <c r="C269" s="530"/>
      <c r="D269" s="531"/>
      <c r="E269" s="531"/>
      <c r="F269" s="531"/>
      <c r="G269" s="530"/>
      <c r="H269" s="530"/>
    </row>
    <row r="270">
      <c r="A270" s="527"/>
      <c r="B270" s="527"/>
      <c r="C270" s="527"/>
      <c r="D270" s="528"/>
      <c r="E270" s="528"/>
      <c r="F270" s="528"/>
      <c r="G270" s="527"/>
      <c r="H270" s="527"/>
    </row>
    <row r="271">
      <c r="A271" s="530"/>
      <c r="B271" s="530"/>
      <c r="C271" s="530"/>
      <c r="D271" s="531"/>
      <c r="E271" s="531"/>
      <c r="F271" s="531"/>
      <c r="G271" s="530"/>
      <c r="H271" s="530"/>
    </row>
    <row r="272">
      <c r="A272" s="527"/>
      <c r="B272" s="527"/>
      <c r="C272" s="527"/>
      <c r="D272" s="528"/>
      <c r="E272" s="528"/>
      <c r="F272" s="528"/>
      <c r="G272" s="527"/>
      <c r="H272" s="527"/>
    </row>
    <row r="273">
      <c r="A273" s="530"/>
      <c r="B273" s="530"/>
      <c r="C273" s="530"/>
      <c r="D273" s="531"/>
      <c r="E273" s="531"/>
      <c r="F273" s="531"/>
      <c r="G273" s="530"/>
      <c r="H273" s="530"/>
    </row>
    <row r="274">
      <c r="A274" s="527"/>
      <c r="B274" s="527"/>
      <c r="C274" s="527"/>
      <c r="D274" s="528"/>
      <c r="E274" s="528"/>
      <c r="F274" s="528"/>
      <c r="G274" s="527"/>
      <c r="H274" s="527"/>
    </row>
    <row r="275">
      <c r="A275" s="530"/>
      <c r="B275" s="530"/>
      <c r="C275" s="530"/>
      <c r="D275" s="531"/>
      <c r="E275" s="531"/>
      <c r="F275" s="531"/>
      <c r="G275" s="530"/>
      <c r="H275" s="530"/>
    </row>
    <row r="276">
      <c r="A276" s="527"/>
      <c r="B276" s="527"/>
      <c r="C276" s="527"/>
      <c r="D276" s="528"/>
      <c r="E276" s="528"/>
      <c r="F276" s="528"/>
      <c r="G276" s="527"/>
      <c r="H276" s="527"/>
    </row>
    <row r="277">
      <c r="A277" s="530"/>
      <c r="B277" s="530"/>
      <c r="C277" s="530"/>
      <c r="D277" s="531"/>
      <c r="E277" s="531"/>
      <c r="F277" s="531"/>
      <c r="G277" s="530"/>
      <c r="H277" s="530"/>
    </row>
    <row r="278">
      <c r="A278" s="527"/>
      <c r="B278" s="527"/>
      <c r="C278" s="527"/>
      <c r="D278" s="528"/>
      <c r="E278" s="528"/>
      <c r="F278" s="528"/>
      <c r="G278" s="527"/>
      <c r="H278" s="527"/>
    </row>
    <row r="279">
      <c r="A279" s="530"/>
      <c r="B279" s="530"/>
      <c r="C279" s="530"/>
      <c r="D279" s="531"/>
      <c r="E279" s="531"/>
      <c r="F279" s="531"/>
      <c r="G279" s="530"/>
      <c r="H279" s="530"/>
    </row>
    <row r="280">
      <c r="A280" s="527"/>
      <c r="B280" s="527"/>
      <c r="C280" s="527"/>
      <c r="D280" s="528"/>
      <c r="E280" s="528"/>
      <c r="F280" s="528"/>
      <c r="G280" s="527"/>
      <c r="H280" s="527"/>
    </row>
    <row r="281">
      <c r="A281" s="530"/>
      <c r="B281" s="530"/>
      <c r="C281" s="530"/>
      <c r="D281" s="531"/>
      <c r="E281" s="531"/>
      <c r="F281" s="531"/>
      <c r="G281" s="530"/>
      <c r="H281" s="530"/>
    </row>
    <row r="282">
      <c r="A282" s="527"/>
      <c r="B282" s="527"/>
      <c r="C282" s="527"/>
      <c r="D282" s="528"/>
      <c r="E282" s="528"/>
      <c r="F282" s="528"/>
      <c r="G282" s="527"/>
      <c r="H282" s="527"/>
    </row>
    <row r="283">
      <c r="A283" s="530"/>
      <c r="B283" s="530"/>
      <c r="C283" s="530"/>
      <c r="D283" s="531"/>
      <c r="E283" s="531"/>
      <c r="F283" s="531"/>
      <c r="G283" s="530"/>
      <c r="H283" s="530"/>
    </row>
    <row r="284">
      <c r="A284" s="527"/>
      <c r="B284" s="527"/>
      <c r="C284" s="527"/>
      <c r="D284" s="528"/>
      <c r="E284" s="528"/>
      <c r="F284" s="528"/>
      <c r="G284" s="527"/>
      <c r="H284" s="527"/>
    </row>
    <row r="285">
      <c r="A285" s="530"/>
      <c r="B285" s="530"/>
      <c r="C285" s="530"/>
      <c r="D285" s="531"/>
      <c r="E285" s="531"/>
      <c r="F285" s="531"/>
      <c r="G285" s="530"/>
      <c r="H285" s="530"/>
    </row>
    <row r="286">
      <c r="A286" s="527"/>
      <c r="B286" s="527"/>
      <c r="C286" s="527"/>
      <c r="D286" s="528"/>
      <c r="E286" s="528"/>
      <c r="F286" s="528"/>
      <c r="G286" s="527"/>
      <c r="H286" s="527"/>
    </row>
    <row r="287">
      <c r="A287" s="530"/>
      <c r="B287" s="530"/>
      <c r="C287" s="530"/>
      <c r="D287" s="531"/>
      <c r="E287" s="531"/>
      <c r="F287" s="531"/>
      <c r="G287" s="530"/>
      <c r="H287" s="530"/>
    </row>
    <row r="288">
      <c r="A288" s="527"/>
      <c r="B288" s="527"/>
      <c r="C288" s="527"/>
      <c r="D288" s="528"/>
      <c r="E288" s="528"/>
      <c r="F288" s="528"/>
      <c r="G288" s="527"/>
      <c r="H288" s="527"/>
    </row>
    <row r="289">
      <c r="A289" s="530"/>
      <c r="B289" s="530"/>
      <c r="C289" s="530"/>
      <c r="D289" s="531"/>
      <c r="E289" s="531"/>
      <c r="F289" s="531"/>
      <c r="G289" s="530"/>
      <c r="H289" s="530"/>
    </row>
    <row r="290">
      <c r="A290" s="527"/>
      <c r="B290" s="527"/>
      <c r="C290" s="527"/>
      <c r="D290" s="528"/>
      <c r="E290" s="528"/>
      <c r="F290" s="528"/>
      <c r="G290" s="527"/>
      <c r="H290" s="527"/>
    </row>
    <row r="291">
      <c r="A291" s="530"/>
      <c r="B291" s="530"/>
      <c r="C291" s="530"/>
      <c r="D291" s="531"/>
      <c r="E291" s="531"/>
      <c r="F291" s="531"/>
      <c r="G291" s="530"/>
      <c r="H291" s="530"/>
    </row>
    <row r="292">
      <c r="A292" s="527"/>
      <c r="B292" s="527"/>
      <c r="C292" s="527"/>
      <c r="D292" s="528"/>
      <c r="E292" s="528"/>
      <c r="F292" s="528"/>
      <c r="G292" s="527"/>
      <c r="H292" s="527"/>
    </row>
    <row r="293">
      <c r="A293" s="530"/>
      <c r="B293" s="530"/>
      <c r="C293" s="530"/>
      <c r="D293" s="531"/>
      <c r="E293" s="531"/>
      <c r="F293" s="531"/>
      <c r="G293" s="530"/>
      <c r="H293" s="530"/>
    </row>
    <row r="294">
      <c r="A294" s="527"/>
      <c r="B294" s="527"/>
      <c r="C294" s="527"/>
      <c r="D294" s="528"/>
      <c r="E294" s="528"/>
      <c r="F294" s="528"/>
      <c r="G294" s="527"/>
      <c r="H294" s="527"/>
    </row>
    <row r="295">
      <c r="A295" s="530"/>
      <c r="B295" s="530"/>
      <c r="C295" s="530"/>
      <c r="D295" s="531"/>
      <c r="E295" s="531"/>
      <c r="F295" s="531"/>
      <c r="G295" s="530"/>
      <c r="H295" s="530"/>
    </row>
    <row r="296">
      <c r="A296" s="527"/>
      <c r="B296" s="527"/>
      <c r="C296" s="527"/>
      <c r="D296" s="528"/>
      <c r="E296" s="528"/>
      <c r="F296" s="528"/>
      <c r="G296" s="527"/>
      <c r="H296" s="527"/>
    </row>
    <row r="297">
      <c r="A297" s="530"/>
      <c r="B297" s="530"/>
      <c r="C297" s="530"/>
      <c r="D297" s="531"/>
      <c r="E297" s="531"/>
      <c r="F297" s="531"/>
      <c r="G297" s="530"/>
      <c r="H297" s="530"/>
    </row>
    <row r="298">
      <c r="A298" s="527"/>
      <c r="B298" s="527"/>
      <c r="C298" s="527"/>
      <c r="D298" s="528"/>
      <c r="E298" s="528"/>
      <c r="F298" s="528"/>
      <c r="G298" s="527"/>
      <c r="H298" s="527"/>
    </row>
    <row r="299">
      <c r="A299" s="530"/>
      <c r="B299" s="530"/>
      <c r="C299" s="530"/>
      <c r="D299" s="531"/>
      <c r="E299" s="531"/>
      <c r="F299" s="531"/>
      <c r="G299" s="530"/>
      <c r="H299" s="530"/>
    </row>
    <row r="300">
      <c r="A300" s="527"/>
      <c r="B300" s="527"/>
      <c r="C300" s="527"/>
      <c r="D300" s="528"/>
      <c r="E300" s="528"/>
      <c r="F300" s="528"/>
      <c r="G300" s="527"/>
      <c r="H300" s="527"/>
    </row>
    <row r="301">
      <c r="A301" s="530"/>
      <c r="B301" s="530"/>
      <c r="C301" s="530"/>
      <c r="D301" s="531"/>
      <c r="E301" s="531"/>
      <c r="F301" s="531"/>
      <c r="G301" s="530"/>
      <c r="H301" s="530"/>
    </row>
    <row r="302">
      <c r="A302" s="527"/>
      <c r="B302" s="527"/>
      <c r="C302" s="527"/>
      <c r="D302" s="528"/>
      <c r="E302" s="528"/>
      <c r="F302" s="528"/>
      <c r="G302" s="527"/>
      <c r="H302" s="527"/>
    </row>
    <row r="303">
      <c r="A303" s="530"/>
      <c r="B303" s="530"/>
      <c r="C303" s="530"/>
      <c r="D303" s="531"/>
      <c r="E303" s="531"/>
      <c r="F303" s="531"/>
      <c r="G303" s="530"/>
      <c r="H303" s="530"/>
    </row>
    <row r="304">
      <c r="A304" s="527"/>
      <c r="B304" s="527"/>
      <c r="C304" s="527"/>
      <c r="D304" s="528"/>
      <c r="E304" s="528"/>
      <c r="F304" s="528"/>
      <c r="G304" s="527"/>
      <c r="H304" s="527"/>
    </row>
    <row r="305">
      <c r="A305" s="530"/>
      <c r="B305" s="530"/>
      <c r="C305" s="530"/>
      <c r="D305" s="531"/>
      <c r="E305" s="531"/>
      <c r="F305" s="531"/>
      <c r="G305" s="530"/>
      <c r="H305" s="530"/>
    </row>
    <row r="306">
      <c r="A306" s="527"/>
      <c r="B306" s="527"/>
      <c r="C306" s="527"/>
      <c r="D306" s="528"/>
      <c r="E306" s="528"/>
      <c r="F306" s="528"/>
      <c r="G306" s="527"/>
      <c r="H306" s="527"/>
    </row>
    <row r="307">
      <c r="A307" s="530"/>
      <c r="B307" s="530"/>
      <c r="C307" s="530"/>
      <c r="D307" s="531"/>
      <c r="E307" s="531"/>
      <c r="F307" s="531"/>
      <c r="G307" s="530"/>
      <c r="H307" s="530"/>
    </row>
    <row r="308">
      <c r="A308" s="527"/>
      <c r="B308" s="527"/>
      <c r="C308" s="527"/>
      <c r="D308" s="528"/>
      <c r="E308" s="528"/>
      <c r="F308" s="528"/>
      <c r="G308" s="527"/>
      <c r="H308" s="527"/>
    </row>
    <row r="309">
      <c r="A309" s="530"/>
      <c r="B309" s="530"/>
      <c r="C309" s="530"/>
      <c r="D309" s="531"/>
      <c r="E309" s="531"/>
      <c r="F309" s="531"/>
      <c r="G309" s="530"/>
      <c r="H309" s="530"/>
    </row>
    <row r="310">
      <c r="A310" s="527"/>
      <c r="B310" s="527"/>
      <c r="C310" s="527"/>
      <c r="D310" s="528"/>
      <c r="E310" s="528"/>
      <c r="F310" s="528"/>
      <c r="G310" s="527"/>
      <c r="H310" s="527"/>
    </row>
    <row r="311">
      <c r="A311" s="530"/>
      <c r="B311" s="530"/>
      <c r="C311" s="530"/>
      <c r="D311" s="531"/>
      <c r="E311" s="531"/>
      <c r="F311" s="531"/>
      <c r="G311" s="530"/>
      <c r="H311" s="530"/>
    </row>
    <row r="312">
      <c r="A312" s="527"/>
      <c r="B312" s="527"/>
      <c r="C312" s="527"/>
      <c r="D312" s="528"/>
      <c r="E312" s="528"/>
      <c r="F312" s="528"/>
      <c r="G312" s="527"/>
      <c r="H312" s="527"/>
    </row>
    <row r="313">
      <c r="A313" s="530"/>
      <c r="B313" s="530"/>
      <c r="C313" s="530"/>
      <c r="D313" s="531"/>
      <c r="E313" s="531"/>
      <c r="F313" s="531"/>
      <c r="G313" s="530"/>
      <c r="H313" s="530"/>
    </row>
    <row r="314">
      <c r="A314" s="527"/>
      <c r="B314" s="527"/>
      <c r="C314" s="527"/>
      <c r="D314" s="528"/>
      <c r="E314" s="528"/>
      <c r="F314" s="528"/>
      <c r="G314" s="527"/>
      <c r="H314" s="527"/>
    </row>
    <row r="315">
      <c r="A315" s="530"/>
      <c r="B315" s="530"/>
      <c r="C315" s="530"/>
      <c r="D315" s="531"/>
      <c r="E315" s="531"/>
      <c r="F315" s="531"/>
      <c r="G315" s="530"/>
      <c r="H315" s="530"/>
    </row>
    <row r="316">
      <c r="A316" s="527"/>
      <c r="B316" s="527"/>
      <c r="C316" s="527"/>
      <c r="D316" s="528"/>
      <c r="E316" s="528"/>
      <c r="F316" s="528"/>
      <c r="G316" s="527"/>
      <c r="H316" s="527"/>
    </row>
    <row r="317">
      <c r="A317" s="530"/>
      <c r="B317" s="530"/>
      <c r="C317" s="530"/>
      <c r="D317" s="531"/>
      <c r="E317" s="531"/>
      <c r="F317" s="531"/>
      <c r="G317" s="530"/>
      <c r="H317" s="530"/>
    </row>
    <row r="318">
      <c r="A318" s="527"/>
      <c r="B318" s="527"/>
      <c r="C318" s="527"/>
      <c r="D318" s="528"/>
      <c r="E318" s="528"/>
      <c r="F318" s="528"/>
      <c r="G318" s="527"/>
      <c r="H318" s="527"/>
    </row>
    <row r="319">
      <c r="A319" s="530"/>
      <c r="B319" s="530"/>
      <c r="C319" s="530"/>
      <c r="D319" s="531"/>
      <c r="E319" s="531"/>
      <c r="F319" s="531"/>
      <c r="G319" s="530"/>
      <c r="H319" s="530"/>
    </row>
    <row r="320">
      <c r="A320" s="527"/>
      <c r="B320" s="527"/>
      <c r="C320" s="527"/>
      <c r="D320" s="528"/>
      <c r="E320" s="528"/>
      <c r="F320" s="528"/>
      <c r="G320" s="527"/>
      <c r="H320" s="527"/>
    </row>
    <row r="321">
      <c r="A321" s="530"/>
      <c r="B321" s="530"/>
      <c r="C321" s="530"/>
      <c r="D321" s="531"/>
      <c r="E321" s="531"/>
      <c r="F321" s="531"/>
      <c r="G321" s="530"/>
      <c r="H321" s="530"/>
    </row>
    <row r="322">
      <c r="A322" s="527"/>
      <c r="B322" s="527"/>
      <c r="C322" s="527"/>
      <c r="D322" s="528"/>
      <c r="E322" s="528"/>
      <c r="F322" s="528"/>
      <c r="G322" s="527"/>
      <c r="H322" s="527"/>
    </row>
    <row r="323">
      <c r="A323" s="530"/>
      <c r="B323" s="530"/>
      <c r="C323" s="530"/>
      <c r="D323" s="531"/>
      <c r="E323" s="531"/>
      <c r="F323" s="531"/>
      <c r="G323" s="530"/>
      <c r="H323" s="530"/>
    </row>
    <row r="324">
      <c r="A324" s="527"/>
      <c r="B324" s="527"/>
      <c r="C324" s="527"/>
      <c r="D324" s="528"/>
      <c r="E324" s="528"/>
      <c r="F324" s="528"/>
      <c r="G324" s="527"/>
      <c r="H324" s="527"/>
    </row>
    <row r="325">
      <c r="A325" s="530"/>
      <c r="B325" s="530"/>
      <c r="C325" s="530"/>
      <c r="D325" s="531"/>
      <c r="E325" s="531"/>
      <c r="F325" s="531"/>
      <c r="G325" s="530"/>
      <c r="H325" s="530"/>
    </row>
    <row r="326">
      <c r="A326" s="527"/>
      <c r="B326" s="527"/>
      <c r="C326" s="527"/>
      <c r="D326" s="528"/>
      <c r="E326" s="528"/>
      <c r="F326" s="528"/>
      <c r="G326" s="527"/>
      <c r="H326" s="527"/>
    </row>
    <row r="327">
      <c r="A327" s="530"/>
      <c r="B327" s="530"/>
      <c r="C327" s="530"/>
      <c r="D327" s="531"/>
      <c r="E327" s="531"/>
      <c r="F327" s="531"/>
      <c r="G327" s="530"/>
      <c r="H327" s="530"/>
    </row>
    <row r="328">
      <c r="A328" s="527"/>
      <c r="B328" s="527"/>
      <c r="C328" s="527"/>
      <c r="D328" s="528"/>
      <c r="E328" s="528"/>
      <c r="F328" s="528"/>
      <c r="G328" s="527"/>
      <c r="H328" s="527"/>
    </row>
    <row r="329">
      <c r="A329" s="530"/>
      <c r="B329" s="530"/>
      <c r="C329" s="530"/>
      <c r="D329" s="531"/>
      <c r="E329" s="531"/>
      <c r="F329" s="531"/>
      <c r="G329" s="530"/>
      <c r="H329" s="530"/>
    </row>
    <row r="330">
      <c r="A330" s="527"/>
      <c r="B330" s="527"/>
      <c r="C330" s="527"/>
      <c r="D330" s="528"/>
      <c r="E330" s="528"/>
      <c r="F330" s="528"/>
      <c r="G330" s="527"/>
      <c r="H330" s="527"/>
    </row>
    <row r="331">
      <c r="A331" s="530"/>
      <c r="B331" s="530"/>
      <c r="C331" s="530"/>
      <c r="D331" s="531"/>
      <c r="E331" s="531"/>
      <c r="F331" s="531"/>
      <c r="G331" s="530"/>
      <c r="H331" s="530"/>
    </row>
    <row r="332">
      <c r="A332" s="527"/>
      <c r="B332" s="527"/>
      <c r="C332" s="527"/>
      <c r="D332" s="528"/>
      <c r="E332" s="528"/>
      <c r="F332" s="528"/>
      <c r="G332" s="527"/>
      <c r="H332" s="527"/>
    </row>
    <row r="333">
      <c r="A333" s="530"/>
      <c r="B333" s="530"/>
      <c r="C333" s="530"/>
      <c r="D333" s="531"/>
      <c r="E333" s="531"/>
      <c r="F333" s="531"/>
      <c r="G333" s="530"/>
      <c r="H333" s="530"/>
    </row>
    <row r="334">
      <c r="A334" s="527"/>
      <c r="B334" s="527"/>
      <c r="C334" s="527"/>
      <c r="D334" s="528"/>
      <c r="E334" s="528"/>
      <c r="F334" s="528"/>
      <c r="G334" s="527"/>
      <c r="H334" s="527"/>
    </row>
    <row r="335">
      <c r="A335" s="530"/>
      <c r="B335" s="530"/>
      <c r="C335" s="530"/>
      <c r="D335" s="531"/>
      <c r="E335" s="531"/>
      <c r="F335" s="531"/>
      <c r="G335" s="530"/>
      <c r="H335" s="530"/>
    </row>
    <row r="336">
      <c r="A336" s="527"/>
      <c r="B336" s="527"/>
      <c r="C336" s="527"/>
      <c r="D336" s="528"/>
      <c r="E336" s="528"/>
      <c r="F336" s="528"/>
      <c r="G336" s="527"/>
      <c r="H336" s="527"/>
    </row>
    <row r="337">
      <c r="A337" s="530"/>
      <c r="B337" s="530"/>
      <c r="C337" s="530"/>
      <c r="D337" s="531"/>
      <c r="E337" s="531"/>
      <c r="F337" s="531"/>
      <c r="G337" s="530"/>
      <c r="H337" s="530"/>
    </row>
    <row r="338">
      <c r="A338" s="527"/>
      <c r="B338" s="527"/>
      <c r="C338" s="527"/>
      <c r="D338" s="528"/>
      <c r="E338" s="528"/>
      <c r="F338" s="528"/>
      <c r="G338" s="527"/>
      <c r="H338" s="527"/>
    </row>
    <row r="339">
      <c r="A339" s="530"/>
      <c r="B339" s="530"/>
      <c r="C339" s="530"/>
      <c r="D339" s="531"/>
      <c r="E339" s="531"/>
      <c r="F339" s="531"/>
      <c r="G339" s="530"/>
      <c r="H339" s="530"/>
    </row>
    <row r="340">
      <c r="A340" s="527"/>
      <c r="B340" s="527"/>
      <c r="C340" s="527"/>
      <c r="D340" s="528"/>
      <c r="E340" s="528"/>
      <c r="F340" s="528"/>
      <c r="G340" s="527"/>
      <c r="H340" s="527"/>
    </row>
    <row r="341">
      <c r="A341" s="530"/>
      <c r="B341" s="530"/>
      <c r="C341" s="530"/>
      <c r="D341" s="531"/>
      <c r="E341" s="531"/>
      <c r="F341" s="531"/>
      <c r="G341" s="530"/>
      <c r="H341" s="530"/>
    </row>
    <row r="342">
      <c r="A342" s="527"/>
      <c r="B342" s="527"/>
      <c r="C342" s="527"/>
      <c r="D342" s="528"/>
      <c r="E342" s="528"/>
      <c r="F342" s="528"/>
      <c r="G342" s="527"/>
      <c r="H342" s="527"/>
    </row>
    <row r="343">
      <c r="A343" s="530"/>
      <c r="B343" s="530"/>
      <c r="C343" s="530"/>
      <c r="D343" s="531"/>
      <c r="E343" s="531"/>
      <c r="F343" s="531"/>
      <c r="G343" s="530"/>
      <c r="H343" s="530"/>
    </row>
    <row r="344">
      <c r="A344" s="527"/>
      <c r="B344" s="527"/>
      <c r="C344" s="527"/>
      <c r="D344" s="528"/>
      <c r="E344" s="528"/>
      <c r="F344" s="528"/>
      <c r="G344" s="527"/>
      <c r="H344" s="527"/>
    </row>
    <row r="345">
      <c r="A345" s="530"/>
      <c r="B345" s="530"/>
      <c r="C345" s="530"/>
      <c r="D345" s="531"/>
      <c r="E345" s="531"/>
      <c r="F345" s="531"/>
      <c r="G345" s="530"/>
      <c r="H345" s="530"/>
    </row>
    <row r="346">
      <c r="A346" s="527"/>
      <c r="B346" s="527"/>
      <c r="C346" s="527"/>
      <c r="D346" s="528"/>
      <c r="E346" s="528"/>
      <c r="F346" s="528"/>
      <c r="G346" s="527"/>
      <c r="H346" s="527"/>
    </row>
    <row r="347">
      <c r="A347" s="530"/>
      <c r="B347" s="530"/>
      <c r="C347" s="530"/>
      <c r="D347" s="531"/>
      <c r="E347" s="531"/>
      <c r="F347" s="531"/>
      <c r="G347" s="530"/>
      <c r="H347" s="530"/>
    </row>
    <row r="348">
      <c r="A348" s="527"/>
      <c r="B348" s="527"/>
      <c r="C348" s="527"/>
      <c r="D348" s="528"/>
      <c r="E348" s="528"/>
      <c r="F348" s="528"/>
      <c r="G348" s="527"/>
      <c r="H348" s="527"/>
    </row>
    <row r="349">
      <c r="A349" s="530"/>
      <c r="B349" s="530"/>
      <c r="C349" s="530"/>
      <c r="D349" s="531"/>
      <c r="E349" s="531"/>
      <c r="F349" s="531"/>
      <c r="G349" s="530"/>
      <c r="H349" s="530"/>
    </row>
    <row r="350">
      <c r="A350" s="527"/>
      <c r="B350" s="527"/>
      <c r="C350" s="527"/>
      <c r="D350" s="528"/>
      <c r="E350" s="528"/>
      <c r="F350" s="528"/>
      <c r="G350" s="527"/>
      <c r="H350" s="527"/>
    </row>
    <row r="351">
      <c r="A351" s="530"/>
      <c r="B351" s="530"/>
      <c r="C351" s="530"/>
      <c r="D351" s="531"/>
      <c r="E351" s="531"/>
      <c r="F351" s="531"/>
      <c r="G351" s="530"/>
      <c r="H351" s="530"/>
    </row>
    <row r="352">
      <c r="A352" s="527"/>
      <c r="B352" s="527"/>
      <c r="C352" s="527"/>
      <c r="D352" s="528"/>
      <c r="E352" s="528"/>
      <c r="F352" s="528"/>
      <c r="G352" s="527"/>
      <c r="H352" s="527"/>
    </row>
    <row r="353">
      <c r="A353" s="530"/>
      <c r="B353" s="530"/>
      <c r="C353" s="530"/>
      <c r="D353" s="531"/>
      <c r="E353" s="531"/>
      <c r="F353" s="531"/>
      <c r="G353" s="530"/>
      <c r="H353" s="530"/>
    </row>
    <row r="354">
      <c r="A354" s="527"/>
      <c r="B354" s="527"/>
      <c r="C354" s="527"/>
      <c r="D354" s="528"/>
      <c r="E354" s="528"/>
      <c r="F354" s="528"/>
      <c r="G354" s="527"/>
      <c r="H354" s="527"/>
    </row>
    <row r="355">
      <c r="A355" s="530"/>
      <c r="B355" s="530"/>
      <c r="C355" s="530"/>
      <c r="D355" s="531"/>
      <c r="E355" s="531"/>
      <c r="F355" s="531"/>
      <c r="G355" s="530"/>
      <c r="H355" s="530"/>
    </row>
    <row r="356">
      <c r="A356" s="527"/>
      <c r="B356" s="527"/>
      <c r="C356" s="527"/>
      <c r="D356" s="528"/>
      <c r="E356" s="528"/>
      <c r="F356" s="528"/>
      <c r="G356" s="527"/>
      <c r="H356" s="527"/>
    </row>
    <row r="357">
      <c r="A357" s="530"/>
      <c r="B357" s="530"/>
      <c r="C357" s="530"/>
      <c r="D357" s="531"/>
      <c r="E357" s="531"/>
      <c r="F357" s="531"/>
      <c r="G357" s="530"/>
      <c r="H357" s="530"/>
    </row>
    <row r="358">
      <c r="A358" s="527"/>
      <c r="B358" s="527"/>
      <c r="C358" s="527"/>
      <c r="D358" s="528"/>
      <c r="E358" s="528"/>
      <c r="F358" s="528"/>
      <c r="G358" s="527"/>
      <c r="H358" s="527"/>
    </row>
    <row r="359">
      <c r="A359" s="530"/>
      <c r="B359" s="530"/>
      <c r="C359" s="530"/>
      <c r="D359" s="531"/>
      <c r="E359" s="531"/>
      <c r="F359" s="531"/>
      <c r="G359" s="530"/>
      <c r="H359" s="530"/>
    </row>
    <row r="360">
      <c r="A360" s="527"/>
      <c r="B360" s="527"/>
      <c r="C360" s="527"/>
      <c r="D360" s="528"/>
      <c r="E360" s="528"/>
      <c r="F360" s="528"/>
      <c r="G360" s="527"/>
      <c r="H360" s="527"/>
    </row>
    <row r="361">
      <c r="A361" s="530"/>
      <c r="B361" s="530"/>
      <c r="C361" s="530"/>
      <c r="D361" s="531"/>
      <c r="E361" s="531"/>
      <c r="F361" s="531"/>
      <c r="G361" s="530"/>
      <c r="H361" s="530"/>
    </row>
    <row r="362">
      <c r="A362" s="527"/>
      <c r="B362" s="527"/>
      <c r="C362" s="527"/>
      <c r="D362" s="528"/>
      <c r="E362" s="528"/>
      <c r="F362" s="528"/>
      <c r="G362" s="527"/>
      <c r="H362" s="527"/>
    </row>
    <row r="363">
      <c r="A363" s="530"/>
      <c r="B363" s="530"/>
      <c r="C363" s="530"/>
      <c r="D363" s="531"/>
      <c r="E363" s="531"/>
      <c r="F363" s="531"/>
      <c r="G363" s="530"/>
      <c r="H363" s="530"/>
    </row>
    <row r="364">
      <c r="A364" s="527"/>
      <c r="B364" s="527"/>
      <c r="C364" s="527"/>
      <c r="D364" s="528"/>
      <c r="E364" s="528"/>
      <c r="F364" s="528"/>
      <c r="G364" s="527"/>
      <c r="H364" s="527"/>
    </row>
    <row r="365">
      <c r="A365" s="530"/>
      <c r="B365" s="530"/>
      <c r="C365" s="530"/>
      <c r="D365" s="531"/>
      <c r="E365" s="531"/>
      <c r="F365" s="531"/>
      <c r="G365" s="530"/>
      <c r="H365" s="530"/>
    </row>
    <row r="366">
      <c r="A366" s="527"/>
      <c r="B366" s="527"/>
      <c r="C366" s="527"/>
      <c r="D366" s="528"/>
      <c r="E366" s="528"/>
      <c r="F366" s="528"/>
      <c r="G366" s="527"/>
      <c r="H366" s="527"/>
    </row>
    <row r="367">
      <c r="A367" s="530"/>
      <c r="B367" s="530"/>
      <c r="C367" s="530"/>
      <c r="D367" s="531"/>
      <c r="E367" s="531"/>
      <c r="F367" s="531"/>
      <c r="G367" s="530"/>
      <c r="H367" s="530"/>
    </row>
    <row r="368">
      <c r="A368" s="527"/>
      <c r="B368" s="527"/>
      <c r="C368" s="527"/>
      <c r="D368" s="528"/>
      <c r="E368" s="528"/>
      <c r="F368" s="528"/>
      <c r="G368" s="527"/>
      <c r="H368" s="527"/>
    </row>
    <row r="369">
      <c r="A369" s="530"/>
      <c r="B369" s="530"/>
      <c r="C369" s="530"/>
      <c r="D369" s="531"/>
      <c r="E369" s="531"/>
      <c r="F369" s="531"/>
      <c r="G369" s="530"/>
      <c r="H369" s="530"/>
    </row>
    <row r="370">
      <c r="A370" s="527"/>
      <c r="B370" s="527"/>
      <c r="C370" s="527"/>
      <c r="D370" s="528"/>
      <c r="E370" s="528"/>
      <c r="F370" s="528"/>
      <c r="G370" s="527"/>
      <c r="H370" s="527"/>
    </row>
    <row r="371">
      <c r="A371" s="530"/>
      <c r="B371" s="530"/>
      <c r="C371" s="530"/>
      <c r="D371" s="531"/>
      <c r="E371" s="531"/>
      <c r="F371" s="531"/>
      <c r="G371" s="530"/>
      <c r="H371" s="530"/>
    </row>
    <row r="372">
      <c r="A372" s="527"/>
      <c r="B372" s="527"/>
      <c r="C372" s="527"/>
      <c r="D372" s="528"/>
      <c r="E372" s="528"/>
      <c r="F372" s="528"/>
      <c r="G372" s="527"/>
      <c r="H372" s="527"/>
    </row>
    <row r="373">
      <c r="A373" s="530"/>
      <c r="B373" s="530"/>
      <c r="C373" s="530"/>
      <c r="D373" s="531"/>
      <c r="E373" s="531"/>
      <c r="F373" s="531"/>
      <c r="G373" s="530"/>
      <c r="H373" s="530"/>
    </row>
    <row r="374">
      <c r="A374" s="527"/>
      <c r="B374" s="527"/>
      <c r="C374" s="527"/>
      <c r="D374" s="528"/>
      <c r="E374" s="528"/>
      <c r="F374" s="528"/>
      <c r="G374" s="527"/>
      <c r="H374" s="527"/>
    </row>
    <row r="375">
      <c r="A375" s="530"/>
      <c r="B375" s="530"/>
      <c r="C375" s="530"/>
      <c r="D375" s="531"/>
      <c r="E375" s="531"/>
      <c r="F375" s="531"/>
      <c r="G375" s="530"/>
      <c r="H375" s="530"/>
    </row>
    <row r="376">
      <c r="A376" s="527"/>
      <c r="B376" s="527"/>
      <c r="C376" s="527"/>
      <c r="D376" s="528"/>
      <c r="E376" s="528"/>
      <c r="F376" s="528"/>
      <c r="G376" s="527"/>
      <c r="H376" s="527"/>
    </row>
    <row r="377">
      <c r="A377" s="530"/>
      <c r="B377" s="530"/>
      <c r="C377" s="530"/>
      <c r="D377" s="531"/>
      <c r="E377" s="531"/>
      <c r="F377" s="531"/>
      <c r="G377" s="530"/>
      <c r="H377" s="530"/>
    </row>
    <row r="378">
      <c r="A378" s="527"/>
      <c r="B378" s="527"/>
      <c r="C378" s="527"/>
      <c r="D378" s="528"/>
      <c r="E378" s="528"/>
      <c r="F378" s="528"/>
      <c r="G378" s="527"/>
      <c r="H378" s="527"/>
    </row>
    <row r="379">
      <c r="A379" s="530"/>
      <c r="B379" s="530"/>
      <c r="C379" s="530"/>
      <c r="D379" s="531"/>
      <c r="E379" s="531"/>
      <c r="F379" s="531"/>
      <c r="G379" s="530"/>
      <c r="H379" s="530"/>
    </row>
    <row r="380">
      <c r="A380" s="527"/>
      <c r="B380" s="527"/>
      <c r="C380" s="527"/>
      <c r="D380" s="528"/>
      <c r="E380" s="528"/>
      <c r="F380" s="528"/>
      <c r="G380" s="527"/>
      <c r="H380" s="527"/>
    </row>
    <row r="381">
      <c r="A381" s="530"/>
      <c r="B381" s="530"/>
      <c r="C381" s="530"/>
      <c r="D381" s="531"/>
      <c r="E381" s="531"/>
      <c r="F381" s="531"/>
      <c r="G381" s="530"/>
      <c r="H381" s="530"/>
    </row>
    <row r="382">
      <c r="A382" s="527"/>
      <c r="B382" s="527"/>
      <c r="C382" s="527"/>
      <c r="D382" s="528"/>
      <c r="E382" s="528"/>
      <c r="F382" s="528"/>
      <c r="G382" s="527"/>
      <c r="H382" s="527"/>
    </row>
    <row r="383">
      <c r="A383" s="530"/>
      <c r="B383" s="530"/>
      <c r="C383" s="530"/>
      <c r="D383" s="531"/>
      <c r="E383" s="531"/>
      <c r="F383" s="531"/>
      <c r="G383" s="530"/>
      <c r="H383" s="530"/>
    </row>
    <row r="384">
      <c r="A384" s="527"/>
      <c r="B384" s="527"/>
      <c r="C384" s="527"/>
      <c r="D384" s="528"/>
      <c r="E384" s="528"/>
      <c r="F384" s="528"/>
      <c r="G384" s="527"/>
      <c r="H384" s="527"/>
    </row>
    <row r="385">
      <c r="A385" s="530"/>
      <c r="B385" s="530"/>
      <c r="C385" s="530"/>
      <c r="D385" s="531"/>
      <c r="E385" s="531"/>
      <c r="F385" s="531"/>
      <c r="G385" s="530"/>
      <c r="H385" s="530"/>
    </row>
    <row r="386">
      <c r="A386" s="527"/>
      <c r="B386" s="527"/>
      <c r="C386" s="527"/>
      <c r="D386" s="528"/>
      <c r="E386" s="528"/>
      <c r="F386" s="528"/>
      <c r="G386" s="527"/>
      <c r="H386" s="527"/>
    </row>
    <row r="387">
      <c r="A387" s="530"/>
      <c r="B387" s="530"/>
      <c r="C387" s="530"/>
      <c r="D387" s="531"/>
      <c r="E387" s="531"/>
      <c r="F387" s="531"/>
      <c r="G387" s="530"/>
      <c r="H387" s="530"/>
    </row>
    <row r="388">
      <c r="A388" s="527"/>
      <c r="B388" s="527"/>
      <c r="C388" s="527"/>
      <c r="D388" s="528"/>
      <c r="E388" s="528"/>
      <c r="F388" s="528"/>
      <c r="G388" s="527"/>
      <c r="H388" s="527"/>
    </row>
    <row r="389">
      <c r="A389" s="530"/>
      <c r="B389" s="530"/>
      <c r="C389" s="530"/>
      <c r="D389" s="531"/>
      <c r="E389" s="531"/>
      <c r="F389" s="531"/>
      <c r="G389" s="530"/>
      <c r="H389" s="530"/>
    </row>
    <row r="390">
      <c r="A390" s="527"/>
      <c r="B390" s="527"/>
      <c r="C390" s="527"/>
      <c r="D390" s="528"/>
      <c r="E390" s="528"/>
      <c r="F390" s="528"/>
      <c r="G390" s="527"/>
      <c r="H390" s="527"/>
    </row>
    <row r="391">
      <c r="A391" s="530"/>
      <c r="B391" s="530"/>
      <c r="C391" s="530"/>
      <c r="D391" s="531"/>
      <c r="E391" s="531"/>
      <c r="F391" s="531"/>
      <c r="G391" s="530"/>
      <c r="H391" s="530"/>
    </row>
    <row r="392">
      <c r="A392" s="527"/>
      <c r="B392" s="527"/>
      <c r="C392" s="527"/>
      <c r="D392" s="528"/>
      <c r="E392" s="528"/>
      <c r="F392" s="528"/>
      <c r="G392" s="527"/>
      <c r="H392" s="527"/>
    </row>
    <row r="393">
      <c r="A393" s="530"/>
      <c r="B393" s="530"/>
      <c r="C393" s="530"/>
      <c r="D393" s="531"/>
      <c r="E393" s="531"/>
      <c r="F393" s="531"/>
      <c r="G393" s="530"/>
      <c r="H393" s="530"/>
    </row>
    <row r="394">
      <c r="A394" s="527"/>
      <c r="B394" s="527"/>
      <c r="C394" s="527"/>
      <c r="D394" s="528"/>
      <c r="E394" s="528"/>
      <c r="F394" s="528"/>
      <c r="G394" s="527"/>
      <c r="H394" s="527"/>
    </row>
    <row r="395">
      <c r="A395" s="530"/>
      <c r="B395" s="530"/>
      <c r="C395" s="530"/>
      <c r="D395" s="531"/>
      <c r="E395" s="531"/>
      <c r="F395" s="531"/>
      <c r="G395" s="530"/>
      <c r="H395" s="530"/>
    </row>
    <row r="396">
      <c r="A396" s="527"/>
      <c r="B396" s="527"/>
      <c r="C396" s="527"/>
      <c r="D396" s="528"/>
      <c r="E396" s="528"/>
      <c r="F396" s="528"/>
      <c r="G396" s="527"/>
      <c r="H396" s="527"/>
    </row>
    <row r="397">
      <c r="A397" s="530"/>
      <c r="B397" s="530"/>
      <c r="C397" s="530"/>
      <c r="D397" s="531"/>
      <c r="E397" s="531"/>
      <c r="F397" s="531"/>
      <c r="G397" s="530"/>
      <c r="H397" s="530"/>
    </row>
    <row r="398">
      <c r="A398" s="527"/>
      <c r="B398" s="527"/>
      <c r="C398" s="527"/>
      <c r="D398" s="528"/>
      <c r="E398" s="528"/>
      <c r="F398" s="528"/>
      <c r="G398" s="527"/>
      <c r="H398" s="527"/>
    </row>
    <row r="399">
      <c r="A399" s="530"/>
      <c r="B399" s="530"/>
      <c r="C399" s="530"/>
      <c r="D399" s="531"/>
      <c r="E399" s="531"/>
      <c r="F399" s="531"/>
      <c r="G399" s="530"/>
      <c r="H399" s="530"/>
    </row>
    <row r="400">
      <c r="A400" s="527"/>
      <c r="B400" s="527"/>
      <c r="C400" s="527"/>
      <c r="D400" s="528"/>
      <c r="E400" s="528"/>
      <c r="F400" s="528"/>
      <c r="G400" s="527"/>
      <c r="H400" s="527"/>
    </row>
    <row r="401">
      <c r="A401" s="530"/>
      <c r="B401" s="530"/>
      <c r="C401" s="530"/>
      <c r="D401" s="531"/>
      <c r="E401" s="531"/>
      <c r="F401" s="531"/>
      <c r="G401" s="530"/>
      <c r="H401" s="530"/>
    </row>
    <row r="402">
      <c r="A402" s="527"/>
      <c r="B402" s="527"/>
      <c r="C402" s="527"/>
      <c r="D402" s="528"/>
      <c r="E402" s="528"/>
      <c r="F402" s="528"/>
      <c r="G402" s="527"/>
      <c r="H402" s="527"/>
    </row>
    <row r="403">
      <c r="A403" s="530"/>
      <c r="B403" s="530"/>
      <c r="C403" s="530"/>
      <c r="D403" s="531"/>
      <c r="E403" s="531"/>
      <c r="F403" s="531"/>
      <c r="G403" s="530"/>
      <c r="H403" s="530"/>
    </row>
    <row r="404">
      <c r="A404" s="527"/>
      <c r="B404" s="527"/>
      <c r="C404" s="527"/>
      <c r="D404" s="528"/>
      <c r="E404" s="528"/>
      <c r="F404" s="528"/>
      <c r="G404" s="527"/>
      <c r="H404" s="527"/>
    </row>
    <row r="405">
      <c r="A405" s="530"/>
      <c r="B405" s="530"/>
      <c r="C405" s="530"/>
      <c r="D405" s="531"/>
      <c r="E405" s="531"/>
      <c r="F405" s="531"/>
      <c r="G405" s="530"/>
      <c r="H405" s="530"/>
    </row>
    <row r="406">
      <c r="A406" s="527"/>
      <c r="B406" s="527"/>
      <c r="C406" s="527"/>
      <c r="D406" s="528"/>
      <c r="E406" s="528"/>
      <c r="F406" s="528"/>
      <c r="G406" s="527"/>
      <c r="H406" s="527"/>
    </row>
    <row r="407">
      <c r="A407" s="530"/>
      <c r="B407" s="530"/>
      <c r="C407" s="530"/>
      <c r="D407" s="531"/>
      <c r="E407" s="531"/>
      <c r="F407" s="531"/>
      <c r="G407" s="530"/>
      <c r="H407" s="530"/>
    </row>
    <row r="408">
      <c r="A408" s="527"/>
      <c r="B408" s="527"/>
      <c r="C408" s="527"/>
      <c r="D408" s="528"/>
      <c r="E408" s="528"/>
      <c r="F408" s="528"/>
      <c r="G408" s="527"/>
      <c r="H408" s="527"/>
    </row>
    <row r="409">
      <c r="A409" s="530"/>
      <c r="B409" s="530"/>
      <c r="C409" s="530"/>
      <c r="D409" s="531"/>
      <c r="E409" s="531"/>
      <c r="F409" s="531"/>
      <c r="G409" s="530"/>
      <c r="H409" s="530"/>
    </row>
    <row r="410">
      <c r="A410" s="527"/>
      <c r="B410" s="527"/>
      <c r="C410" s="527"/>
      <c r="D410" s="528"/>
      <c r="E410" s="528"/>
      <c r="F410" s="528"/>
      <c r="G410" s="527"/>
      <c r="H410" s="527"/>
    </row>
    <row r="411">
      <c r="A411" s="530"/>
      <c r="B411" s="530"/>
      <c r="C411" s="530"/>
      <c r="D411" s="531"/>
      <c r="E411" s="531"/>
      <c r="F411" s="531"/>
      <c r="G411" s="530"/>
      <c r="H411" s="530"/>
    </row>
    <row r="412">
      <c r="A412" s="527"/>
      <c r="B412" s="527"/>
      <c r="C412" s="527"/>
      <c r="D412" s="528"/>
      <c r="E412" s="528"/>
      <c r="F412" s="528"/>
      <c r="G412" s="527"/>
      <c r="H412" s="527"/>
    </row>
    <row r="413">
      <c r="A413" s="530"/>
      <c r="B413" s="530"/>
      <c r="C413" s="530"/>
      <c r="D413" s="531"/>
      <c r="E413" s="531"/>
      <c r="F413" s="531"/>
      <c r="G413" s="530"/>
      <c r="H413" s="530"/>
    </row>
    <row r="414">
      <c r="A414" s="527"/>
      <c r="B414" s="527"/>
      <c r="C414" s="527"/>
      <c r="D414" s="528"/>
      <c r="E414" s="528"/>
      <c r="F414" s="528"/>
      <c r="G414" s="527"/>
      <c r="H414" s="527"/>
    </row>
    <row r="415">
      <c r="A415" s="530"/>
      <c r="B415" s="530"/>
      <c r="C415" s="530"/>
      <c r="D415" s="531"/>
      <c r="E415" s="531"/>
      <c r="F415" s="531"/>
      <c r="G415" s="530"/>
      <c r="H415" s="530"/>
    </row>
    <row r="416">
      <c r="A416" s="527"/>
      <c r="B416" s="527"/>
      <c r="C416" s="527"/>
      <c r="D416" s="528"/>
      <c r="E416" s="528"/>
      <c r="F416" s="528"/>
      <c r="G416" s="527"/>
      <c r="H416" s="527"/>
    </row>
    <row r="417">
      <c r="A417" s="530"/>
      <c r="B417" s="530"/>
      <c r="C417" s="530"/>
      <c r="D417" s="531"/>
      <c r="E417" s="531"/>
      <c r="F417" s="531"/>
      <c r="G417" s="530"/>
      <c r="H417" s="530"/>
    </row>
    <row r="418">
      <c r="A418" s="527"/>
      <c r="B418" s="527"/>
      <c r="C418" s="527"/>
      <c r="D418" s="528"/>
      <c r="E418" s="528"/>
      <c r="F418" s="528"/>
      <c r="G418" s="527"/>
      <c r="H418" s="527"/>
    </row>
    <row r="419">
      <c r="A419" s="530"/>
      <c r="B419" s="530"/>
      <c r="C419" s="530"/>
      <c r="D419" s="531"/>
      <c r="E419" s="531"/>
      <c r="F419" s="531"/>
      <c r="G419" s="530"/>
      <c r="H419" s="530"/>
    </row>
    <row r="420">
      <c r="A420" s="527"/>
      <c r="B420" s="527"/>
      <c r="C420" s="527"/>
      <c r="D420" s="528"/>
      <c r="E420" s="528"/>
      <c r="F420" s="528"/>
      <c r="G420" s="527"/>
      <c r="H420" s="527"/>
    </row>
    <row r="421">
      <c r="A421" s="530"/>
      <c r="B421" s="530"/>
      <c r="C421" s="530"/>
      <c r="D421" s="531"/>
      <c r="E421" s="531"/>
      <c r="F421" s="531"/>
      <c r="G421" s="530"/>
      <c r="H421" s="530"/>
    </row>
    <row r="422">
      <c r="A422" s="527"/>
      <c r="B422" s="527"/>
      <c r="C422" s="527"/>
      <c r="D422" s="528"/>
      <c r="E422" s="528"/>
      <c r="F422" s="528"/>
      <c r="G422" s="527"/>
      <c r="H422" s="527"/>
    </row>
    <row r="423">
      <c r="A423" s="530"/>
      <c r="B423" s="530"/>
      <c r="C423" s="530"/>
      <c r="D423" s="531"/>
      <c r="E423" s="531"/>
      <c r="F423" s="531"/>
      <c r="G423" s="530"/>
      <c r="H423" s="530"/>
    </row>
    <row r="424">
      <c r="A424" s="527"/>
      <c r="B424" s="527"/>
      <c r="C424" s="527"/>
      <c r="D424" s="528"/>
      <c r="E424" s="528"/>
      <c r="F424" s="528"/>
      <c r="G424" s="527"/>
      <c r="H424" s="527"/>
    </row>
    <row r="425">
      <c r="A425" s="530"/>
      <c r="B425" s="530"/>
      <c r="C425" s="530"/>
      <c r="D425" s="531"/>
      <c r="E425" s="531"/>
      <c r="F425" s="531"/>
      <c r="G425" s="530"/>
      <c r="H425" s="530"/>
    </row>
    <row r="426">
      <c r="A426" s="527"/>
      <c r="B426" s="527"/>
      <c r="C426" s="527"/>
      <c r="D426" s="528"/>
      <c r="E426" s="528"/>
      <c r="F426" s="528"/>
      <c r="G426" s="527"/>
      <c r="H426" s="527"/>
    </row>
    <row r="427">
      <c r="A427" s="530"/>
      <c r="B427" s="530"/>
      <c r="C427" s="530"/>
      <c r="D427" s="531"/>
      <c r="E427" s="531"/>
      <c r="F427" s="531"/>
      <c r="G427" s="530"/>
      <c r="H427" s="530"/>
    </row>
    <row r="428">
      <c r="A428" s="527"/>
      <c r="B428" s="527"/>
      <c r="C428" s="527"/>
      <c r="D428" s="528"/>
      <c r="E428" s="528"/>
      <c r="F428" s="528"/>
      <c r="G428" s="527"/>
      <c r="H428" s="527"/>
    </row>
    <row r="429">
      <c r="A429" s="530"/>
      <c r="B429" s="530"/>
      <c r="C429" s="530"/>
      <c r="D429" s="531"/>
      <c r="E429" s="531"/>
      <c r="F429" s="531"/>
      <c r="G429" s="530"/>
      <c r="H429" s="530"/>
    </row>
    <row r="430">
      <c r="A430" s="527"/>
      <c r="B430" s="527"/>
      <c r="C430" s="527"/>
      <c r="D430" s="528"/>
      <c r="E430" s="528"/>
      <c r="F430" s="528"/>
      <c r="G430" s="527"/>
      <c r="H430" s="527"/>
    </row>
    <row r="431">
      <c r="A431" s="530"/>
      <c r="B431" s="530"/>
      <c r="C431" s="530"/>
      <c r="D431" s="531"/>
      <c r="E431" s="531"/>
      <c r="F431" s="531"/>
      <c r="G431" s="530"/>
      <c r="H431" s="530"/>
    </row>
    <row r="432">
      <c r="A432" s="527"/>
      <c r="B432" s="527"/>
      <c r="C432" s="527"/>
      <c r="D432" s="528"/>
      <c r="E432" s="528"/>
      <c r="F432" s="528"/>
      <c r="G432" s="527"/>
      <c r="H432" s="527"/>
    </row>
    <row r="433">
      <c r="A433" s="530"/>
      <c r="B433" s="530"/>
      <c r="C433" s="530"/>
      <c r="D433" s="531"/>
      <c r="E433" s="531"/>
      <c r="F433" s="531"/>
      <c r="G433" s="530"/>
      <c r="H433" s="530"/>
    </row>
    <row r="434">
      <c r="A434" s="527"/>
      <c r="B434" s="527"/>
      <c r="C434" s="527"/>
      <c r="D434" s="528"/>
      <c r="E434" s="528"/>
      <c r="F434" s="528"/>
      <c r="G434" s="527"/>
      <c r="H434" s="527"/>
    </row>
    <row r="435">
      <c r="A435" s="530"/>
      <c r="B435" s="530"/>
      <c r="C435" s="530"/>
      <c r="D435" s="531"/>
      <c r="E435" s="531"/>
      <c r="F435" s="531"/>
      <c r="G435" s="530"/>
      <c r="H435" s="530"/>
    </row>
    <row r="436">
      <c r="A436" s="527"/>
      <c r="B436" s="527"/>
      <c r="C436" s="527"/>
      <c r="D436" s="528"/>
      <c r="E436" s="528"/>
      <c r="F436" s="528"/>
      <c r="G436" s="527"/>
      <c r="H436" s="527"/>
    </row>
    <row r="437">
      <c r="A437" s="530"/>
      <c r="B437" s="530"/>
      <c r="C437" s="530"/>
      <c r="D437" s="531"/>
      <c r="E437" s="531"/>
      <c r="F437" s="531"/>
      <c r="G437" s="530"/>
      <c r="H437" s="530"/>
    </row>
    <row r="438">
      <c r="A438" s="527"/>
      <c r="B438" s="527"/>
      <c r="C438" s="527"/>
      <c r="D438" s="528"/>
      <c r="E438" s="528"/>
      <c r="F438" s="528"/>
      <c r="G438" s="527"/>
      <c r="H438" s="527"/>
    </row>
    <row r="439">
      <c r="A439" s="530"/>
      <c r="B439" s="530"/>
      <c r="C439" s="530"/>
      <c r="D439" s="531"/>
      <c r="E439" s="531"/>
      <c r="F439" s="531"/>
      <c r="G439" s="530"/>
      <c r="H439" s="530"/>
    </row>
    <row r="440">
      <c r="A440" s="527"/>
      <c r="B440" s="527"/>
      <c r="C440" s="527"/>
      <c r="D440" s="528"/>
      <c r="E440" s="528"/>
      <c r="F440" s="528"/>
      <c r="G440" s="527"/>
      <c r="H440" s="527"/>
    </row>
    <row r="441">
      <c r="A441" s="530"/>
      <c r="B441" s="530"/>
      <c r="C441" s="530"/>
      <c r="D441" s="531"/>
      <c r="E441" s="531"/>
      <c r="F441" s="531"/>
      <c r="G441" s="530"/>
      <c r="H441" s="530"/>
    </row>
    <row r="442">
      <c r="A442" s="527"/>
      <c r="B442" s="527"/>
      <c r="C442" s="527"/>
      <c r="D442" s="528"/>
      <c r="E442" s="528"/>
      <c r="F442" s="528"/>
      <c r="G442" s="527"/>
      <c r="H442" s="527"/>
    </row>
    <row r="443">
      <c r="A443" s="530"/>
      <c r="B443" s="530"/>
      <c r="C443" s="530"/>
      <c r="D443" s="531"/>
      <c r="E443" s="531"/>
      <c r="F443" s="531"/>
      <c r="G443" s="530"/>
      <c r="H443" s="530"/>
    </row>
    <row r="444">
      <c r="A444" s="527"/>
      <c r="B444" s="527"/>
      <c r="C444" s="527"/>
      <c r="D444" s="528"/>
      <c r="E444" s="528"/>
      <c r="F444" s="528"/>
      <c r="G444" s="527"/>
      <c r="H444" s="527"/>
    </row>
    <row r="445">
      <c r="A445" s="530"/>
      <c r="B445" s="530"/>
      <c r="C445" s="530"/>
      <c r="D445" s="531"/>
      <c r="E445" s="531"/>
      <c r="F445" s="531"/>
      <c r="G445" s="530"/>
      <c r="H445" s="530"/>
    </row>
    <row r="446">
      <c r="A446" s="527"/>
      <c r="B446" s="527"/>
      <c r="C446" s="527"/>
      <c r="D446" s="528"/>
      <c r="E446" s="528"/>
      <c r="F446" s="528"/>
      <c r="G446" s="527"/>
      <c r="H446" s="527"/>
    </row>
    <row r="447">
      <c r="A447" s="530"/>
      <c r="B447" s="530"/>
      <c r="C447" s="530"/>
      <c r="D447" s="531"/>
      <c r="E447" s="531"/>
      <c r="F447" s="531"/>
      <c r="G447" s="530"/>
      <c r="H447" s="530"/>
    </row>
    <row r="448">
      <c r="A448" s="527"/>
      <c r="B448" s="527"/>
      <c r="C448" s="527"/>
      <c r="D448" s="528"/>
      <c r="E448" s="528"/>
      <c r="F448" s="528"/>
      <c r="G448" s="527"/>
      <c r="H448" s="527"/>
    </row>
    <row r="449">
      <c r="A449" s="530"/>
      <c r="B449" s="530"/>
      <c r="C449" s="530"/>
      <c r="D449" s="531"/>
      <c r="E449" s="531"/>
      <c r="F449" s="531"/>
      <c r="G449" s="530"/>
      <c r="H449" s="530"/>
    </row>
    <row r="450">
      <c r="A450" s="527"/>
      <c r="B450" s="527"/>
      <c r="C450" s="527"/>
      <c r="D450" s="528"/>
      <c r="E450" s="528"/>
      <c r="F450" s="528"/>
      <c r="G450" s="527"/>
      <c r="H450" s="527"/>
    </row>
    <row r="451">
      <c r="A451" s="530"/>
      <c r="B451" s="530"/>
      <c r="C451" s="530"/>
      <c r="D451" s="531"/>
      <c r="E451" s="531"/>
      <c r="F451" s="531"/>
      <c r="G451" s="530"/>
      <c r="H451" s="530"/>
    </row>
    <row r="452">
      <c r="A452" s="527"/>
      <c r="B452" s="527"/>
      <c r="C452" s="527"/>
      <c r="D452" s="528"/>
      <c r="E452" s="528"/>
      <c r="F452" s="528"/>
      <c r="G452" s="527"/>
      <c r="H452" s="527"/>
    </row>
    <row r="453">
      <c r="A453" s="530"/>
      <c r="B453" s="530"/>
      <c r="C453" s="530"/>
      <c r="D453" s="531"/>
      <c r="E453" s="531"/>
      <c r="F453" s="531"/>
      <c r="G453" s="530"/>
      <c r="H453" s="530"/>
    </row>
    <row r="454">
      <c r="A454" s="527"/>
      <c r="B454" s="527"/>
      <c r="C454" s="527"/>
      <c r="D454" s="528"/>
      <c r="E454" s="528"/>
      <c r="F454" s="528"/>
      <c r="G454" s="527"/>
      <c r="H454" s="527"/>
    </row>
    <row r="455">
      <c r="A455" s="530"/>
      <c r="B455" s="530"/>
      <c r="C455" s="530"/>
      <c r="D455" s="531"/>
      <c r="E455" s="531"/>
      <c r="F455" s="531"/>
      <c r="G455" s="530"/>
      <c r="H455" s="530"/>
    </row>
    <row r="456">
      <c r="A456" s="527"/>
      <c r="B456" s="527"/>
      <c r="C456" s="527"/>
      <c r="D456" s="528"/>
      <c r="E456" s="528"/>
      <c r="F456" s="528"/>
      <c r="G456" s="527"/>
      <c r="H456" s="527"/>
    </row>
    <row r="457">
      <c r="A457" s="530"/>
      <c r="B457" s="530"/>
      <c r="C457" s="530"/>
      <c r="D457" s="531"/>
      <c r="E457" s="531"/>
      <c r="F457" s="531"/>
      <c r="G457" s="530"/>
      <c r="H457" s="530"/>
    </row>
    <row r="458">
      <c r="A458" s="527"/>
      <c r="B458" s="527"/>
      <c r="C458" s="527"/>
      <c r="D458" s="528"/>
      <c r="E458" s="528"/>
      <c r="F458" s="528"/>
      <c r="G458" s="527"/>
      <c r="H458" s="527"/>
    </row>
    <row r="459">
      <c r="A459" s="530"/>
      <c r="B459" s="530"/>
      <c r="C459" s="530"/>
      <c r="D459" s="531"/>
      <c r="E459" s="531"/>
      <c r="F459" s="531"/>
      <c r="G459" s="530"/>
      <c r="H459" s="530"/>
    </row>
    <row r="460">
      <c r="A460" s="527"/>
      <c r="B460" s="527"/>
      <c r="C460" s="527"/>
      <c r="D460" s="528"/>
      <c r="E460" s="528"/>
      <c r="F460" s="528"/>
      <c r="G460" s="527"/>
      <c r="H460" s="527"/>
    </row>
    <row r="461">
      <c r="A461" s="530"/>
      <c r="B461" s="530"/>
      <c r="C461" s="530"/>
      <c r="D461" s="531"/>
      <c r="E461" s="531"/>
      <c r="F461" s="531"/>
      <c r="G461" s="530"/>
      <c r="H461" s="530"/>
    </row>
    <row r="462">
      <c r="A462" s="527"/>
      <c r="B462" s="527"/>
      <c r="C462" s="527"/>
      <c r="D462" s="528"/>
      <c r="E462" s="528"/>
      <c r="F462" s="528"/>
      <c r="G462" s="527"/>
      <c r="H462" s="527"/>
    </row>
    <row r="463">
      <c r="A463" s="530"/>
      <c r="B463" s="530"/>
      <c r="C463" s="530"/>
      <c r="D463" s="531"/>
      <c r="E463" s="531"/>
      <c r="F463" s="531"/>
      <c r="G463" s="530"/>
      <c r="H463" s="530"/>
    </row>
    <row r="464">
      <c r="A464" s="527"/>
      <c r="B464" s="527"/>
      <c r="C464" s="527"/>
      <c r="D464" s="528"/>
      <c r="E464" s="528"/>
      <c r="F464" s="528"/>
      <c r="G464" s="527"/>
      <c r="H464" s="527"/>
    </row>
    <row r="465">
      <c r="A465" s="530"/>
      <c r="B465" s="530"/>
      <c r="C465" s="530"/>
      <c r="D465" s="531"/>
      <c r="E465" s="531"/>
      <c r="F465" s="531"/>
      <c r="G465" s="530"/>
      <c r="H465" s="530"/>
    </row>
    <row r="466">
      <c r="A466" s="527"/>
      <c r="B466" s="527"/>
      <c r="C466" s="527"/>
      <c r="D466" s="528"/>
      <c r="E466" s="528"/>
      <c r="F466" s="528"/>
      <c r="G466" s="527"/>
      <c r="H466" s="527"/>
    </row>
    <row r="467">
      <c r="A467" s="530"/>
      <c r="B467" s="530"/>
      <c r="C467" s="530"/>
      <c r="D467" s="531"/>
      <c r="E467" s="531"/>
      <c r="F467" s="531"/>
      <c r="G467" s="530"/>
      <c r="H467" s="530"/>
    </row>
    <row r="468">
      <c r="A468" s="527"/>
      <c r="B468" s="527"/>
      <c r="C468" s="527"/>
      <c r="D468" s="528"/>
      <c r="E468" s="528"/>
      <c r="F468" s="528"/>
      <c r="G468" s="527"/>
      <c r="H468" s="527"/>
    </row>
    <row r="469">
      <c r="A469" s="530"/>
      <c r="B469" s="530"/>
      <c r="C469" s="530"/>
      <c r="D469" s="531"/>
      <c r="E469" s="531"/>
      <c r="F469" s="531"/>
      <c r="G469" s="530"/>
      <c r="H469" s="530"/>
    </row>
    <row r="470">
      <c r="A470" s="527"/>
      <c r="B470" s="527"/>
      <c r="C470" s="527"/>
      <c r="D470" s="528"/>
      <c r="E470" s="528"/>
      <c r="F470" s="528"/>
      <c r="G470" s="527"/>
      <c r="H470" s="527"/>
    </row>
    <row r="471">
      <c r="A471" s="530"/>
      <c r="B471" s="530"/>
      <c r="C471" s="530"/>
      <c r="D471" s="531"/>
      <c r="E471" s="531"/>
      <c r="F471" s="531"/>
      <c r="G471" s="530"/>
      <c r="H471" s="530"/>
    </row>
    <row r="472">
      <c r="A472" s="527"/>
      <c r="B472" s="527"/>
      <c r="C472" s="527"/>
      <c r="D472" s="528"/>
      <c r="E472" s="528"/>
      <c r="F472" s="528"/>
      <c r="G472" s="527"/>
      <c r="H472" s="527"/>
    </row>
    <row r="473">
      <c r="A473" s="530"/>
      <c r="B473" s="530"/>
      <c r="C473" s="530"/>
      <c r="D473" s="531"/>
      <c r="E473" s="531"/>
      <c r="F473" s="531"/>
      <c r="G473" s="530"/>
      <c r="H473" s="530"/>
    </row>
    <row r="474">
      <c r="A474" s="527"/>
      <c r="B474" s="527"/>
      <c r="C474" s="527"/>
      <c r="D474" s="528"/>
      <c r="E474" s="528"/>
      <c r="F474" s="528"/>
      <c r="G474" s="527"/>
      <c r="H474" s="527"/>
    </row>
    <row r="475">
      <c r="A475" s="530"/>
      <c r="B475" s="530"/>
      <c r="C475" s="530"/>
      <c r="D475" s="531"/>
      <c r="E475" s="531"/>
      <c r="F475" s="531"/>
      <c r="G475" s="530"/>
      <c r="H475" s="530"/>
    </row>
    <row r="476">
      <c r="A476" s="527"/>
      <c r="B476" s="527"/>
      <c r="C476" s="527"/>
      <c r="D476" s="528"/>
      <c r="E476" s="528"/>
      <c r="F476" s="528"/>
      <c r="G476" s="527"/>
      <c r="H476" s="527"/>
    </row>
    <row r="477">
      <c r="A477" s="530"/>
      <c r="B477" s="530"/>
      <c r="C477" s="530"/>
      <c r="D477" s="531"/>
      <c r="E477" s="531"/>
      <c r="F477" s="531"/>
      <c r="G477" s="530"/>
      <c r="H477" s="530"/>
    </row>
    <row r="478">
      <c r="A478" s="527"/>
      <c r="B478" s="527"/>
      <c r="C478" s="527"/>
      <c r="D478" s="528"/>
      <c r="E478" s="528"/>
      <c r="F478" s="528"/>
      <c r="G478" s="527"/>
      <c r="H478" s="527"/>
    </row>
    <row r="479">
      <c r="A479" s="530"/>
      <c r="B479" s="530"/>
      <c r="C479" s="530"/>
      <c r="D479" s="531"/>
      <c r="E479" s="531"/>
      <c r="F479" s="531"/>
      <c r="G479" s="530"/>
      <c r="H479" s="530"/>
    </row>
    <row r="480">
      <c r="A480" s="527"/>
      <c r="B480" s="527"/>
      <c r="C480" s="527"/>
      <c r="D480" s="528"/>
      <c r="E480" s="528"/>
      <c r="F480" s="528"/>
      <c r="G480" s="527"/>
      <c r="H480" s="527"/>
    </row>
    <row r="481">
      <c r="A481" s="530"/>
      <c r="B481" s="530"/>
      <c r="C481" s="530"/>
      <c r="D481" s="531"/>
      <c r="E481" s="531"/>
      <c r="F481" s="531"/>
      <c r="G481" s="530"/>
      <c r="H481" s="530"/>
    </row>
    <row r="482">
      <c r="A482" s="527"/>
      <c r="B482" s="527"/>
      <c r="C482" s="527"/>
      <c r="D482" s="528"/>
      <c r="E482" s="528"/>
      <c r="F482" s="528"/>
      <c r="G482" s="527"/>
      <c r="H482" s="527"/>
    </row>
    <row r="483">
      <c r="A483" s="530"/>
      <c r="B483" s="530"/>
      <c r="C483" s="530"/>
      <c r="D483" s="531"/>
      <c r="E483" s="531"/>
      <c r="F483" s="531"/>
      <c r="G483" s="530"/>
      <c r="H483" s="530"/>
    </row>
    <row r="484">
      <c r="A484" s="527"/>
      <c r="B484" s="527"/>
      <c r="C484" s="527"/>
      <c r="D484" s="528"/>
      <c r="E484" s="528"/>
      <c r="F484" s="528"/>
      <c r="G484" s="527"/>
      <c r="H484" s="527"/>
    </row>
    <row r="485">
      <c r="A485" s="530"/>
      <c r="B485" s="530"/>
      <c r="C485" s="530"/>
      <c r="D485" s="531"/>
      <c r="E485" s="531"/>
      <c r="F485" s="531"/>
      <c r="G485" s="530"/>
      <c r="H485" s="530"/>
    </row>
    <row r="486">
      <c r="A486" s="527"/>
      <c r="B486" s="527"/>
      <c r="C486" s="527"/>
      <c r="D486" s="528"/>
      <c r="E486" s="528"/>
      <c r="F486" s="528"/>
      <c r="G486" s="527"/>
      <c r="H486" s="527"/>
    </row>
    <row r="487">
      <c r="A487" s="530"/>
      <c r="B487" s="530"/>
      <c r="C487" s="530"/>
      <c r="D487" s="531"/>
      <c r="E487" s="531"/>
      <c r="F487" s="531"/>
      <c r="G487" s="530"/>
      <c r="H487" s="530"/>
    </row>
    <row r="488">
      <c r="A488" s="527"/>
      <c r="B488" s="527"/>
      <c r="C488" s="527"/>
      <c r="D488" s="528"/>
      <c r="E488" s="528"/>
      <c r="F488" s="528"/>
      <c r="G488" s="527"/>
      <c r="H488" s="527"/>
    </row>
    <row r="489">
      <c r="A489" s="530"/>
      <c r="B489" s="530"/>
      <c r="C489" s="530"/>
      <c r="D489" s="531"/>
      <c r="E489" s="531"/>
      <c r="F489" s="531"/>
      <c r="G489" s="530"/>
      <c r="H489" s="530"/>
    </row>
    <row r="490">
      <c r="A490" s="527"/>
      <c r="B490" s="527"/>
      <c r="C490" s="527"/>
      <c r="D490" s="528"/>
      <c r="E490" s="528"/>
      <c r="F490" s="528"/>
      <c r="G490" s="527"/>
      <c r="H490" s="527"/>
    </row>
    <row r="491">
      <c r="A491" s="530"/>
      <c r="B491" s="530"/>
      <c r="C491" s="530"/>
      <c r="D491" s="531"/>
      <c r="E491" s="531"/>
      <c r="F491" s="531"/>
      <c r="G491" s="530"/>
      <c r="H491" s="530"/>
    </row>
    <row r="492">
      <c r="A492" s="527"/>
      <c r="B492" s="527"/>
      <c r="C492" s="527"/>
      <c r="D492" s="528"/>
      <c r="E492" s="528"/>
      <c r="F492" s="528"/>
      <c r="G492" s="527"/>
      <c r="H492" s="527"/>
    </row>
    <row r="493">
      <c r="A493" s="530"/>
      <c r="B493" s="530"/>
      <c r="C493" s="530"/>
      <c r="D493" s="531"/>
      <c r="E493" s="531"/>
      <c r="F493" s="531"/>
      <c r="G493" s="530"/>
      <c r="H493" s="530"/>
    </row>
    <row r="494">
      <c r="A494" s="527"/>
      <c r="B494" s="527"/>
      <c r="C494" s="527"/>
      <c r="D494" s="528"/>
      <c r="E494" s="528"/>
      <c r="F494" s="528"/>
      <c r="G494" s="527"/>
      <c r="H494" s="527"/>
    </row>
    <row r="495">
      <c r="A495" s="530"/>
      <c r="B495" s="530"/>
      <c r="C495" s="530"/>
      <c r="D495" s="531"/>
      <c r="E495" s="531"/>
      <c r="F495" s="531"/>
      <c r="G495" s="530"/>
      <c r="H495" s="530"/>
    </row>
    <row r="496">
      <c r="A496" s="527"/>
      <c r="B496" s="527"/>
      <c r="C496" s="527"/>
      <c r="D496" s="528"/>
      <c r="E496" s="528"/>
      <c r="F496" s="528"/>
      <c r="G496" s="527"/>
      <c r="H496" s="527"/>
    </row>
    <row r="497">
      <c r="A497" s="530"/>
      <c r="B497" s="530"/>
      <c r="C497" s="530"/>
      <c r="D497" s="531"/>
      <c r="E497" s="531"/>
      <c r="F497" s="531"/>
      <c r="G497" s="530"/>
      <c r="H497" s="530"/>
    </row>
    <row r="498">
      <c r="A498" s="527"/>
      <c r="B498" s="527"/>
      <c r="C498" s="527"/>
      <c r="D498" s="528"/>
      <c r="E498" s="528"/>
      <c r="F498" s="528"/>
      <c r="G498" s="527"/>
      <c r="H498" s="527"/>
    </row>
    <row r="499">
      <c r="A499" s="530"/>
      <c r="B499" s="530"/>
      <c r="C499" s="530"/>
      <c r="D499" s="531"/>
      <c r="E499" s="531"/>
      <c r="F499" s="531"/>
      <c r="G499" s="530"/>
      <c r="H499" s="530"/>
    </row>
    <row r="500">
      <c r="A500" s="527"/>
      <c r="B500" s="527"/>
      <c r="C500" s="527"/>
      <c r="D500" s="528"/>
      <c r="E500" s="528"/>
      <c r="F500" s="528"/>
      <c r="G500" s="527"/>
      <c r="H500" s="527"/>
    </row>
    <row r="501">
      <c r="A501" s="530"/>
      <c r="B501" s="530"/>
      <c r="C501" s="530"/>
      <c r="D501" s="531"/>
      <c r="E501" s="531"/>
      <c r="F501" s="531"/>
      <c r="G501" s="530"/>
      <c r="H501" s="530"/>
    </row>
    <row r="502">
      <c r="A502" s="527"/>
      <c r="B502" s="527"/>
      <c r="C502" s="527"/>
      <c r="D502" s="528"/>
      <c r="E502" s="528"/>
      <c r="F502" s="528"/>
      <c r="G502" s="527"/>
      <c r="H502" s="527"/>
    </row>
    <row r="503">
      <c r="A503" s="530"/>
      <c r="B503" s="530"/>
      <c r="C503" s="530"/>
      <c r="D503" s="531"/>
      <c r="E503" s="531"/>
      <c r="F503" s="531"/>
      <c r="G503" s="530"/>
      <c r="H503" s="530"/>
    </row>
    <row r="504">
      <c r="A504" s="527"/>
      <c r="B504" s="527"/>
      <c r="C504" s="527"/>
      <c r="D504" s="528"/>
      <c r="E504" s="528"/>
      <c r="F504" s="528"/>
      <c r="G504" s="527"/>
      <c r="H504" s="527"/>
    </row>
    <row r="505">
      <c r="A505" s="530"/>
      <c r="B505" s="530"/>
      <c r="C505" s="530"/>
      <c r="D505" s="531"/>
      <c r="E505" s="531"/>
      <c r="F505" s="531"/>
      <c r="G505" s="530"/>
      <c r="H505" s="530"/>
    </row>
    <row r="506">
      <c r="A506" s="527"/>
      <c r="B506" s="527"/>
      <c r="C506" s="527"/>
      <c r="D506" s="528"/>
      <c r="E506" s="528"/>
      <c r="F506" s="528"/>
      <c r="G506" s="527"/>
      <c r="H506" s="527"/>
    </row>
    <row r="507">
      <c r="A507" s="530"/>
      <c r="B507" s="530"/>
      <c r="C507" s="530"/>
      <c r="D507" s="531"/>
      <c r="E507" s="531"/>
      <c r="F507" s="531"/>
      <c r="G507" s="530"/>
      <c r="H507" s="530"/>
    </row>
    <row r="508">
      <c r="A508" s="527"/>
      <c r="B508" s="527"/>
      <c r="C508" s="527"/>
      <c r="D508" s="528"/>
      <c r="E508" s="528"/>
      <c r="F508" s="528"/>
      <c r="G508" s="527"/>
      <c r="H508" s="527"/>
    </row>
    <row r="509">
      <c r="A509" s="530"/>
      <c r="B509" s="530"/>
      <c r="C509" s="530"/>
      <c r="D509" s="531"/>
      <c r="E509" s="531"/>
      <c r="F509" s="531"/>
      <c r="G509" s="530"/>
      <c r="H509" s="530"/>
    </row>
    <row r="510">
      <c r="A510" s="527"/>
      <c r="B510" s="527"/>
      <c r="C510" s="527"/>
      <c r="D510" s="528"/>
      <c r="E510" s="528"/>
      <c r="F510" s="528"/>
      <c r="G510" s="527"/>
      <c r="H510" s="527"/>
    </row>
    <row r="511">
      <c r="A511" s="530"/>
      <c r="B511" s="530"/>
      <c r="C511" s="530"/>
      <c r="D511" s="531"/>
      <c r="E511" s="531"/>
      <c r="F511" s="531"/>
      <c r="G511" s="530"/>
      <c r="H511" s="530"/>
    </row>
    <row r="512">
      <c r="A512" s="527"/>
      <c r="B512" s="527"/>
      <c r="C512" s="527"/>
      <c r="D512" s="528"/>
      <c r="E512" s="528"/>
      <c r="F512" s="528"/>
      <c r="G512" s="527"/>
      <c r="H512" s="527"/>
    </row>
    <row r="513">
      <c r="A513" s="530"/>
      <c r="B513" s="530"/>
      <c r="C513" s="530"/>
      <c r="D513" s="531"/>
      <c r="E513" s="531"/>
      <c r="F513" s="531"/>
      <c r="G513" s="530"/>
      <c r="H513" s="530"/>
    </row>
    <row r="514">
      <c r="A514" s="527"/>
      <c r="B514" s="527"/>
      <c r="C514" s="527"/>
      <c r="D514" s="528"/>
      <c r="E514" s="528"/>
      <c r="F514" s="528"/>
      <c r="G514" s="527"/>
      <c r="H514" s="527"/>
    </row>
    <row r="515">
      <c r="A515" s="530"/>
      <c r="B515" s="530"/>
      <c r="C515" s="530"/>
      <c r="D515" s="531"/>
      <c r="E515" s="531"/>
      <c r="F515" s="531"/>
      <c r="G515" s="530"/>
      <c r="H515" s="530"/>
    </row>
    <row r="516">
      <c r="A516" s="527"/>
      <c r="B516" s="527"/>
      <c r="C516" s="527"/>
      <c r="D516" s="528"/>
      <c r="E516" s="528"/>
      <c r="F516" s="528"/>
      <c r="G516" s="527"/>
      <c r="H516" s="527"/>
    </row>
    <row r="517">
      <c r="A517" s="530"/>
      <c r="B517" s="530"/>
      <c r="C517" s="530"/>
      <c r="D517" s="531"/>
      <c r="E517" s="531"/>
      <c r="F517" s="531"/>
      <c r="G517" s="530"/>
      <c r="H517" s="530"/>
    </row>
    <row r="518">
      <c r="A518" s="527"/>
      <c r="B518" s="527"/>
      <c r="C518" s="527"/>
      <c r="D518" s="528"/>
      <c r="E518" s="528"/>
      <c r="F518" s="528"/>
      <c r="G518" s="527"/>
      <c r="H518" s="527"/>
    </row>
    <row r="519">
      <c r="A519" s="530"/>
      <c r="B519" s="530"/>
      <c r="C519" s="530"/>
      <c r="D519" s="531"/>
      <c r="E519" s="531"/>
      <c r="F519" s="531"/>
      <c r="G519" s="530"/>
      <c r="H519" s="530"/>
    </row>
    <row r="520">
      <c r="A520" s="527"/>
      <c r="B520" s="527"/>
      <c r="C520" s="527"/>
      <c r="D520" s="528"/>
      <c r="E520" s="528"/>
      <c r="F520" s="528"/>
      <c r="G520" s="527"/>
      <c r="H520" s="527"/>
    </row>
    <row r="521">
      <c r="A521" s="530"/>
      <c r="B521" s="530"/>
      <c r="C521" s="530"/>
      <c r="D521" s="531"/>
      <c r="E521" s="531"/>
      <c r="F521" s="531"/>
      <c r="G521" s="530"/>
      <c r="H521" s="530"/>
    </row>
    <row r="522">
      <c r="A522" s="527"/>
      <c r="B522" s="527"/>
      <c r="C522" s="527"/>
      <c r="D522" s="528"/>
      <c r="E522" s="528"/>
      <c r="F522" s="528"/>
      <c r="G522" s="527"/>
      <c r="H522" s="527"/>
    </row>
    <row r="523">
      <c r="A523" s="530"/>
      <c r="B523" s="530"/>
      <c r="C523" s="530"/>
      <c r="D523" s="531"/>
      <c r="E523" s="531"/>
      <c r="F523" s="531"/>
      <c r="G523" s="530"/>
      <c r="H523" s="530"/>
    </row>
    <row r="524">
      <c r="A524" s="527"/>
      <c r="B524" s="527"/>
      <c r="C524" s="527"/>
      <c r="D524" s="528"/>
      <c r="E524" s="528"/>
      <c r="F524" s="528"/>
      <c r="G524" s="527"/>
      <c r="H524" s="527"/>
    </row>
    <row r="525">
      <c r="A525" s="530"/>
      <c r="B525" s="530"/>
      <c r="C525" s="530"/>
      <c r="D525" s="531"/>
      <c r="E525" s="531"/>
      <c r="F525" s="531"/>
      <c r="G525" s="530"/>
      <c r="H525" s="530"/>
    </row>
    <row r="526">
      <c r="A526" s="527"/>
      <c r="B526" s="527"/>
      <c r="C526" s="527"/>
      <c r="D526" s="528"/>
      <c r="E526" s="528"/>
      <c r="F526" s="528"/>
      <c r="G526" s="527"/>
      <c r="H526" s="527"/>
    </row>
    <row r="527">
      <c r="A527" s="530"/>
      <c r="B527" s="530"/>
      <c r="C527" s="530"/>
      <c r="D527" s="531"/>
      <c r="E527" s="531"/>
      <c r="F527" s="531"/>
      <c r="G527" s="530"/>
      <c r="H527" s="530"/>
    </row>
    <row r="528">
      <c r="A528" s="527"/>
      <c r="B528" s="527"/>
      <c r="C528" s="527"/>
      <c r="D528" s="528"/>
      <c r="E528" s="528"/>
      <c r="F528" s="528"/>
      <c r="G528" s="527"/>
      <c r="H528" s="527"/>
    </row>
    <row r="529">
      <c r="A529" s="530"/>
      <c r="B529" s="530"/>
      <c r="C529" s="530"/>
      <c r="D529" s="531"/>
      <c r="E529" s="531"/>
      <c r="F529" s="531"/>
      <c r="G529" s="530"/>
      <c r="H529" s="530"/>
    </row>
    <row r="530">
      <c r="A530" s="527"/>
      <c r="B530" s="527"/>
      <c r="C530" s="527"/>
      <c r="D530" s="528"/>
      <c r="E530" s="528"/>
      <c r="F530" s="528"/>
      <c r="G530" s="527"/>
      <c r="H530" s="527"/>
    </row>
    <row r="531">
      <c r="A531" s="530"/>
      <c r="B531" s="530"/>
      <c r="C531" s="530"/>
      <c r="D531" s="531"/>
      <c r="E531" s="531"/>
      <c r="F531" s="531"/>
      <c r="G531" s="530"/>
      <c r="H531" s="530"/>
    </row>
    <row r="532">
      <c r="A532" s="527"/>
      <c r="B532" s="527"/>
      <c r="C532" s="527"/>
      <c r="D532" s="528"/>
      <c r="E532" s="528"/>
      <c r="F532" s="528"/>
      <c r="G532" s="527"/>
      <c r="H532" s="527"/>
    </row>
    <row r="533">
      <c r="A533" s="530"/>
      <c r="B533" s="530"/>
      <c r="C533" s="530"/>
      <c r="D533" s="531"/>
      <c r="E533" s="531"/>
      <c r="F533" s="531"/>
      <c r="G533" s="530"/>
      <c r="H533" s="530"/>
    </row>
    <row r="534">
      <c r="A534" s="527"/>
      <c r="B534" s="527"/>
      <c r="C534" s="527"/>
      <c r="D534" s="528"/>
      <c r="E534" s="528"/>
      <c r="F534" s="528"/>
      <c r="G534" s="527"/>
      <c r="H534" s="527"/>
    </row>
    <row r="535">
      <c r="A535" s="530"/>
      <c r="B535" s="530"/>
      <c r="C535" s="530"/>
      <c r="D535" s="531"/>
      <c r="E535" s="531"/>
      <c r="F535" s="531"/>
      <c r="G535" s="530"/>
      <c r="H535" s="530"/>
    </row>
    <row r="536">
      <c r="A536" s="527"/>
      <c r="B536" s="527"/>
      <c r="C536" s="527"/>
      <c r="D536" s="528"/>
      <c r="E536" s="528"/>
      <c r="F536" s="528"/>
      <c r="G536" s="527"/>
      <c r="H536" s="527"/>
    </row>
    <row r="537">
      <c r="A537" s="530"/>
      <c r="B537" s="530"/>
      <c r="C537" s="530"/>
      <c r="D537" s="531"/>
      <c r="E537" s="531"/>
      <c r="F537" s="531"/>
      <c r="G537" s="530"/>
      <c r="H537" s="530"/>
    </row>
    <row r="538">
      <c r="A538" s="527"/>
      <c r="B538" s="527"/>
      <c r="C538" s="527"/>
      <c r="D538" s="528"/>
      <c r="E538" s="528"/>
      <c r="F538" s="528"/>
      <c r="G538" s="527"/>
      <c r="H538" s="527"/>
    </row>
    <row r="539">
      <c r="A539" s="530"/>
      <c r="B539" s="530"/>
      <c r="C539" s="530"/>
      <c r="D539" s="531"/>
      <c r="E539" s="531"/>
      <c r="F539" s="531"/>
      <c r="G539" s="530"/>
      <c r="H539" s="530"/>
    </row>
    <row r="540">
      <c r="A540" s="527"/>
      <c r="B540" s="527"/>
      <c r="C540" s="527"/>
      <c r="D540" s="528"/>
      <c r="E540" s="528"/>
      <c r="F540" s="528"/>
      <c r="G540" s="527"/>
      <c r="H540" s="527"/>
    </row>
    <row r="541">
      <c r="A541" s="530"/>
      <c r="B541" s="530"/>
      <c r="C541" s="530"/>
      <c r="D541" s="531"/>
      <c r="E541" s="531"/>
      <c r="F541" s="531"/>
      <c r="G541" s="530"/>
      <c r="H541" s="530"/>
    </row>
    <row r="542">
      <c r="A542" s="527"/>
      <c r="B542" s="527"/>
      <c r="C542" s="527"/>
      <c r="D542" s="528"/>
      <c r="E542" s="528"/>
      <c r="F542" s="528"/>
      <c r="G542" s="527"/>
      <c r="H542" s="527"/>
    </row>
    <row r="543">
      <c r="A543" s="530"/>
      <c r="B543" s="530"/>
      <c r="C543" s="530"/>
      <c r="D543" s="531"/>
      <c r="E543" s="531"/>
      <c r="F543" s="531"/>
      <c r="G543" s="530"/>
      <c r="H543" s="530"/>
    </row>
    <row r="544">
      <c r="A544" s="527"/>
      <c r="B544" s="527"/>
      <c r="C544" s="527"/>
      <c r="D544" s="528"/>
      <c r="E544" s="528"/>
      <c r="F544" s="528"/>
      <c r="G544" s="527"/>
      <c r="H544" s="527"/>
    </row>
    <row r="545">
      <c r="A545" s="530"/>
      <c r="B545" s="530"/>
      <c r="C545" s="530"/>
      <c r="D545" s="531"/>
      <c r="E545" s="531"/>
      <c r="F545" s="531"/>
      <c r="G545" s="530"/>
      <c r="H545" s="530"/>
    </row>
    <row r="546">
      <c r="A546" s="527"/>
      <c r="B546" s="527"/>
      <c r="C546" s="527"/>
      <c r="D546" s="528"/>
      <c r="E546" s="528"/>
      <c r="F546" s="528"/>
      <c r="G546" s="527"/>
      <c r="H546" s="527"/>
    </row>
    <row r="547">
      <c r="A547" s="530"/>
      <c r="B547" s="530"/>
      <c r="C547" s="530"/>
      <c r="D547" s="531"/>
      <c r="E547" s="531"/>
      <c r="F547" s="531"/>
      <c r="G547" s="530"/>
      <c r="H547" s="530"/>
    </row>
    <row r="548">
      <c r="A548" s="527"/>
      <c r="B548" s="527"/>
      <c r="C548" s="527"/>
      <c r="D548" s="528"/>
      <c r="E548" s="528"/>
      <c r="F548" s="528"/>
      <c r="G548" s="527"/>
      <c r="H548" s="527"/>
    </row>
    <row r="549">
      <c r="A549" s="530"/>
      <c r="B549" s="530"/>
      <c r="C549" s="530"/>
      <c r="D549" s="531"/>
      <c r="E549" s="531"/>
      <c r="F549" s="531"/>
      <c r="G549" s="530"/>
      <c r="H549" s="530"/>
    </row>
    <row r="550">
      <c r="A550" s="527"/>
      <c r="B550" s="527"/>
      <c r="C550" s="527"/>
      <c r="D550" s="528"/>
      <c r="E550" s="528"/>
      <c r="F550" s="528"/>
      <c r="G550" s="527"/>
      <c r="H550" s="527"/>
    </row>
    <row r="551">
      <c r="A551" s="530"/>
      <c r="B551" s="530"/>
      <c r="C551" s="530"/>
      <c r="D551" s="531"/>
      <c r="E551" s="531"/>
      <c r="F551" s="531"/>
      <c r="G551" s="530"/>
      <c r="H551" s="530"/>
    </row>
    <row r="552">
      <c r="A552" s="527"/>
      <c r="B552" s="527"/>
      <c r="C552" s="527"/>
      <c r="D552" s="528"/>
      <c r="E552" s="528"/>
      <c r="F552" s="528"/>
      <c r="G552" s="527"/>
      <c r="H552" s="527"/>
    </row>
    <row r="553">
      <c r="A553" s="530"/>
      <c r="B553" s="530"/>
      <c r="C553" s="530"/>
      <c r="D553" s="531"/>
      <c r="E553" s="531"/>
      <c r="F553" s="531"/>
      <c r="G553" s="530"/>
      <c r="H553" s="530"/>
    </row>
    <row r="554">
      <c r="A554" s="527"/>
      <c r="B554" s="527"/>
      <c r="C554" s="527"/>
      <c r="D554" s="528"/>
      <c r="E554" s="528"/>
      <c r="F554" s="528"/>
      <c r="G554" s="527"/>
      <c r="H554" s="527"/>
    </row>
    <row r="555">
      <c r="A555" s="530"/>
      <c r="B555" s="530"/>
      <c r="C555" s="530"/>
      <c r="D555" s="531"/>
      <c r="E555" s="531"/>
      <c r="F555" s="531"/>
      <c r="G555" s="530"/>
      <c r="H555" s="530"/>
    </row>
    <row r="556">
      <c r="A556" s="527"/>
      <c r="B556" s="527"/>
      <c r="C556" s="527"/>
      <c r="D556" s="528"/>
      <c r="E556" s="528"/>
      <c r="F556" s="528"/>
      <c r="G556" s="527"/>
      <c r="H556" s="527"/>
    </row>
    <row r="557">
      <c r="A557" s="530"/>
      <c r="B557" s="530"/>
      <c r="C557" s="530"/>
      <c r="D557" s="531"/>
      <c r="E557" s="531"/>
      <c r="F557" s="531"/>
      <c r="G557" s="530"/>
      <c r="H557" s="530"/>
    </row>
    <row r="558">
      <c r="A558" s="527"/>
      <c r="B558" s="527"/>
      <c r="C558" s="527"/>
      <c r="D558" s="528"/>
      <c r="E558" s="528"/>
      <c r="F558" s="528"/>
      <c r="G558" s="527"/>
      <c r="H558" s="527"/>
    </row>
    <row r="559">
      <c r="A559" s="530"/>
      <c r="B559" s="530"/>
      <c r="C559" s="530"/>
      <c r="D559" s="531"/>
      <c r="E559" s="531"/>
      <c r="F559" s="531"/>
      <c r="G559" s="530"/>
      <c r="H559" s="530"/>
    </row>
    <row r="560">
      <c r="A560" s="527"/>
      <c r="B560" s="527"/>
      <c r="C560" s="527"/>
      <c r="D560" s="528"/>
      <c r="E560" s="528"/>
      <c r="F560" s="528"/>
      <c r="G560" s="527"/>
      <c r="H560" s="527"/>
    </row>
    <row r="561">
      <c r="A561" s="530"/>
      <c r="B561" s="530"/>
      <c r="C561" s="530"/>
      <c r="D561" s="531"/>
      <c r="E561" s="531"/>
      <c r="F561" s="531"/>
      <c r="G561" s="530"/>
      <c r="H561" s="530"/>
    </row>
    <row r="562">
      <c r="A562" s="527"/>
      <c r="B562" s="527"/>
      <c r="C562" s="527"/>
      <c r="D562" s="528"/>
      <c r="E562" s="528"/>
      <c r="F562" s="528"/>
      <c r="G562" s="527"/>
      <c r="H562" s="527"/>
    </row>
    <row r="563">
      <c r="A563" s="530"/>
      <c r="B563" s="530"/>
      <c r="C563" s="530"/>
      <c r="D563" s="531"/>
      <c r="E563" s="531"/>
      <c r="F563" s="531"/>
      <c r="G563" s="530"/>
      <c r="H563" s="530"/>
    </row>
    <row r="564">
      <c r="A564" s="527"/>
      <c r="B564" s="527"/>
      <c r="C564" s="527"/>
      <c r="D564" s="528"/>
      <c r="E564" s="528"/>
      <c r="F564" s="528"/>
      <c r="G564" s="527"/>
      <c r="H564" s="527"/>
    </row>
    <row r="565">
      <c r="A565" s="530"/>
      <c r="B565" s="530"/>
      <c r="C565" s="530"/>
      <c r="D565" s="531"/>
      <c r="E565" s="531"/>
      <c r="F565" s="531"/>
      <c r="G565" s="530"/>
      <c r="H565" s="530"/>
    </row>
    <row r="566">
      <c r="A566" s="527"/>
      <c r="B566" s="527"/>
      <c r="C566" s="527"/>
      <c r="D566" s="528"/>
      <c r="E566" s="528"/>
      <c r="F566" s="528"/>
      <c r="G566" s="527"/>
      <c r="H566" s="527"/>
    </row>
    <row r="567">
      <c r="A567" s="530"/>
      <c r="B567" s="530"/>
      <c r="C567" s="530"/>
      <c r="D567" s="531"/>
      <c r="E567" s="531"/>
      <c r="F567" s="531"/>
      <c r="G567" s="530"/>
      <c r="H567" s="530"/>
    </row>
    <row r="568">
      <c r="A568" s="527"/>
      <c r="B568" s="527"/>
      <c r="C568" s="527"/>
      <c r="D568" s="528"/>
      <c r="E568" s="528"/>
      <c r="F568" s="528"/>
      <c r="G568" s="527"/>
      <c r="H568" s="527"/>
    </row>
    <row r="569">
      <c r="A569" s="530"/>
      <c r="B569" s="530"/>
      <c r="C569" s="530"/>
      <c r="D569" s="531"/>
      <c r="E569" s="531"/>
      <c r="F569" s="531"/>
      <c r="G569" s="530"/>
      <c r="H569" s="530"/>
    </row>
    <row r="570">
      <c r="A570" s="527"/>
      <c r="B570" s="527"/>
      <c r="C570" s="527"/>
      <c r="D570" s="528"/>
      <c r="E570" s="528"/>
      <c r="F570" s="528"/>
      <c r="G570" s="527"/>
      <c r="H570" s="527"/>
    </row>
    <row r="571">
      <c r="A571" s="530"/>
      <c r="B571" s="530"/>
      <c r="C571" s="530"/>
      <c r="D571" s="531"/>
      <c r="E571" s="531"/>
      <c r="F571" s="531"/>
      <c r="G571" s="530"/>
      <c r="H571" s="530"/>
    </row>
    <row r="572">
      <c r="A572" s="527"/>
      <c r="B572" s="527"/>
      <c r="C572" s="527"/>
      <c r="D572" s="528"/>
      <c r="E572" s="528"/>
      <c r="F572" s="528"/>
      <c r="G572" s="527"/>
      <c r="H572" s="527"/>
    </row>
    <row r="573">
      <c r="A573" s="530"/>
      <c r="B573" s="530"/>
      <c r="C573" s="530"/>
      <c r="D573" s="531"/>
      <c r="E573" s="531"/>
      <c r="F573" s="531"/>
      <c r="G573" s="530"/>
      <c r="H573" s="530"/>
    </row>
    <row r="574">
      <c r="A574" s="527"/>
      <c r="B574" s="527"/>
      <c r="C574" s="527"/>
      <c r="D574" s="528"/>
      <c r="E574" s="528"/>
      <c r="F574" s="528"/>
      <c r="G574" s="527"/>
      <c r="H574" s="527"/>
    </row>
    <row r="575">
      <c r="A575" s="530"/>
      <c r="B575" s="530"/>
      <c r="C575" s="530"/>
      <c r="D575" s="531"/>
      <c r="E575" s="531"/>
      <c r="F575" s="531"/>
      <c r="G575" s="530"/>
      <c r="H575" s="530"/>
    </row>
    <row r="576">
      <c r="A576" s="527"/>
      <c r="B576" s="527"/>
      <c r="C576" s="527"/>
      <c r="D576" s="528"/>
      <c r="E576" s="528"/>
      <c r="F576" s="528"/>
      <c r="G576" s="527"/>
      <c r="H576" s="527"/>
    </row>
    <row r="577">
      <c r="A577" s="530"/>
      <c r="B577" s="530"/>
      <c r="C577" s="530"/>
      <c r="D577" s="531"/>
      <c r="E577" s="531"/>
      <c r="F577" s="531"/>
      <c r="G577" s="530"/>
      <c r="H577" s="530"/>
    </row>
    <row r="578">
      <c r="A578" s="527"/>
      <c r="B578" s="527"/>
      <c r="C578" s="527"/>
      <c r="D578" s="528"/>
      <c r="E578" s="528"/>
      <c r="F578" s="528"/>
      <c r="G578" s="527"/>
      <c r="H578" s="527"/>
    </row>
    <row r="579">
      <c r="A579" s="530"/>
      <c r="B579" s="530"/>
      <c r="C579" s="530"/>
      <c r="D579" s="531"/>
      <c r="E579" s="531"/>
      <c r="F579" s="531"/>
      <c r="G579" s="530"/>
      <c r="H579" s="530"/>
    </row>
    <row r="580">
      <c r="A580" s="527"/>
      <c r="B580" s="527"/>
      <c r="C580" s="527"/>
      <c r="D580" s="528"/>
      <c r="E580" s="528"/>
      <c r="F580" s="528"/>
      <c r="G580" s="527"/>
      <c r="H580" s="527"/>
    </row>
    <row r="581">
      <c r="A581" s="530"/>
      <c r="B581" s="530"/>
      <c r="C581" s="530"/>
      <c r="D581" s="531"/>
      <c r="E581" s="531"/>
      <c r="F581" s="531"/>
      <c r="G581" s="530"/>
      <c r="H581" s="530"/>
    </row>
    <row r="582">
      <c r="A582" s="527"/>
      <c r="B582" s="527"/>
      <c r="C582" s="527"/>
      <c r="D582" s="528"/>
      <c r="E582" s="528"/>
      <c r="F582" s="528"/>
      <c r="G582" s="527"/>
      <c r="H582" s="527"/>
    </row>
    <row r="583">
      <c r="A583" s="530"/>
      <c r="B583" s="530"/>
      <c r="C583" s="530"/>
      <c r="D583" s="531"/>
      <c r="E583" s="531"/>
      <c r="F583" s="531"/>
      <c r="G583" s="530"/>
      <c r="H583" s="530"/>
    </row>
    <row r="584">
      <c r="A584" s="527"/>
      <c r="B584" s="527"/>
      <c r="C584" s="527"/>
      <c r="D584" s="528"/>
      <c r="E584" s="528"/>
      <c r="F584" s="528"/>
      <c r="G584" s="527"/>
      <c r="H584" s="527"/>
    </row>
    <row r="585">
      <c r="A585" s="530"/>
      <c r="B585" s="530"/>
      <c r="C585" s="530"/>
      <c r="D585" s="531"/>
      <c r="E585" s="531"/>
      <c r="F585" s="531"/>
      <c r="G585" s="530"/>
      <c r="H585" s="530"/>
    </row>
    <row r="586">
      <c r="A586" s="527"/>
      <c r="B586" s="527"/>
      <c r="C586" s="527"/>
      <c r="D586" s="528"/>
      <c r="E586" s="528"/>
      <c r="F586" s="528"/>
      <c r="G586" s="527"/>
      <c r="H586" s="527"/>
    </row>
    <row r="587">
      <c r="A587" s="530"/>
      <c r="B587" s="530"/>
      <c r="C587" s="530"/>
      <c r="D587" s="531"/>
      <c r="E587" s="531"/>
      <c r="F587" s="531"/>
      <c r="G587" s="530"/>
      <c r="H587" s="530"/>
    </row>
    <row r="588">
      <c r="A588" s="527"/>
      <c r="B588" s="527"/>
      <c r="C588" s="527"/>
      <c r="D588" s="528"/>
      <c r="E588" s="528"/>
      <c r="F588" s="528"/>
      <c r="G588" s="527"/>
      <c r="H588" s="527"/>
    </row>
    <row r="589">
      <c r="A589" s="530"/>
      <c r="B589" s="530"/>
      <c r="C589" s="530"/>
      <c r="D589" s="531"/>
      <c r="E589" s="531"/>
      <c r="F589" s="531"/>
      <c r="G589" s="530"/>
      <c r="H589" s="530"/>
    </row>
    <row r="590">
      <c r="A590" s="527"/>
      <c r="B590" s="527"/>
      <c r="C590" s="527"/>
      <c r="D590" s="528"/>
      <c r="E590" s="528"/>
      <c r="F590" s="528"/>
      <c r="G590" s="527"/>
      <c r="H590" s="527"/>
    </row>
    <row r="591">
      <c r="A591" s="530"/>
      <c r="B591" s="530"/>
      <c r="C591" s="530"/>
      <c r="D591" s="531"/>
      <c r="E591" s="531"/>
      <c r="F591" s="531"/>
      <c r="G591" s="530"/>
      <c r="H591" s="530"/>
    </row>
    <row r="592">
      <c r="A592" s="527"/>
      <c r="B592" s="527"/>
      <c r="C592" s="527"/>
      <c r="D592" s="528"/>
      <c r="E592" s="528"/>
      <c r="F592" s="528"/>
      <c r="G592" s="527"/>
      <c r="H592" s="527"/>
    </row>
    <row r="593">
      <c r="A593" s="530"/>
      <c r="B593" s="530"/>
      <c r="C593" s="530"/>
      <c r="D593" s="531"/>
      <c r="E593" s="531"/>
      <c r="F593" s="531"/>
      <c r="G593" s="530"/>
      <c r="H593" s="530"/>
    </row>
    <row r="594">
      <c r="A594" s="527"/>
      <c r="B594" s="527"/>
      <c r="C594" s="527"/>
      <c r="D594" s="528"/>
      <c r="E594" s="528"/>
      <c r="F594" s="528"/>
      <c r="G594" s="527"/>
      <c r="H594" s="527"/>
    </row>
    <row r="595">
      <c r="A595" s="530"/>
      <c r="B595" s="530"/>
      <c r="C595" s="530"/>
      <c r="D595" s="531"/>
      <c r="E595" s="531"/>
      <c r="F595" s="531"/>
      <c r="G595" s="530"/>
      <c r="H595" s="530"/>
    </row>
    <row r="596">
      <c r="A596" s="527"/>
      <c r="B596" s="527"/>
      <c r="C596" s="527"/>
      <c r="D596" s="528"/>
      <c r="E596" s="528"/>
      <c r="F596" s="528"/>
      <c r="G596" s="527"/>
      <c r="H596" s="527"/>
    </row>
    <row r="597">
      <c r="A597" s="530"/>
      <c r="B597" s="530"/>
      <c r="C597" s="530"/>
      <c r="D597" s="531"/>
      <c r="E597" s="531"/>
      <c r="F597" s="531"/>
      <c r="G597" s="530"/>
      <c r="H597" s="530"/>
    </row>
    <row r="598">
      <c r="A598" s="527"/>
      <c r="B598" s="527"/>
      <c r="C598" s="527"/>
      <c r="D598" s="528"/>
      <c r="E598" s="528"/>
      <c r="F598" s="528"/>
      <c r="G598" s="527"/>
      <c r="H598" s="527"/>
    </row>
    <row r="599">
      <c r="A599" s="530"/>
      <c r="B599" s="530"/>
      <c r="C599" s="530"/>
      <c r="D599" s="531"/>
      <c r="E599" s="531"/>
      <c r="F599" s="531"/>
      <c r="G599" s="530"/>
      <c r="H599" s="530"/>
    </row>
    <row r="600">
      <c r="A600" s="527"/>
      <c r="B600" s="527"/>
      <c r="C600" s="527"/>
      <c r="D600" s="528"/>
      <c r="E600" s="528"/>
      <c r="F600" s="528"/>
      <c r="G600" s="527"/>
      <c r="H600" s="527"/>
    </row>
    <row r="601">
      <c r="A601" s="530"/>
      <c r="B601" s="530"/>
      <c r="C601" s="530"/>
      <c r="D601" s="531"/>
      <c r="E601" s="531"/>
      <c r="F601" s="531"/>
      <c r="G601" s="530"/>
      <c r="H601" s="530"/>
    </row>
    <row r="602">
      <c r="A602" s="527"/>
      <c r="B602" s="527"/>
      <c r="C602" s="527"/>
      <c r="D602" s="528"/>
      <c r="E602" s="528"/>
      <c r="F602" s="528"/>
      <c r="G602" s="527"/>
      <c r="H602" s="527"/>
    </row>
    <row r="603">
      <c r="A603" s="530"/>
      <c r="B603" s="530"/>
      <c r="C603" s="530"/>
      <c r="D603" s="531"/>
      <c r="E603" s="531"/>
      <c r="F603" s="531"/>
      <c r="G603" s="530"/>
      <c r="H603" s="530"/>
    </row>
    <row r="604">
      <c r="A604" s="527"/>
      <c r="B604" s="527"/>
      <c r="C604" s="527"/>
      <c r="D604" s="528"/>
      <c r="E604" s="528"/>
      <c r="F604" s="528"/>
      <c r="G604" s="527"/>
      <c r="H604" s="527"/>
    </row>
    <row r="605">
      <c r="A605" s="530"/>
      <c r="B605" s="530"/>
      <c r="C605" s="530"/>
      <c r="D605" s="531"/>
      <c r="E605" s="531"/>
      <c r="F605" s="531"/>
      <c r="G605" s="530"/>
      <c r="H605" s="530"/>
    </row>
    <row r="606">
      <c r="A606" s="527"/>
      <c r="B606" s="527"/>
      <c r="C606" s="527"/>
      <c r="D606" s="528"/>
      <c r="E606" s="528"/>
      <c r="F606" s="528"/>
      <c r="G606" s="527"/>
      <c r="H606" s="527"/>
    </row>
    <row r="607">
      <c r="A607" s="530"/>
      <c r="B607" s="530"/>
      <c r="C607" s="530"/>
      <c r="D607" s="531"/>
      <c r="E607" s="531"/>
      <c r="F607" s="531"/>
      <c r="G607" s="530"/>
      <c r="H607" s="530"/>
    </row>
    <row r="608">
      <c r="A608" s="527"/>
      <c r="B608" s="527"/>
      <c r="C608" s="527"/>
      <c r="D608" s="528"/>
      <c r="E608" s="528"/>
      <c r="F608" s="528"/>
      <c r="G608" s="527"/>
      <c r="H608" s="527"/>
    </row>
    <row r="609">
      <c r="A609" s="530"/>
      <c r="B609" s="530"/>
      <c r="C609" s="530"/>
      <c r="D609" s="531"/>
      <c r="E609" s="531"/>
      <c r="F609" s="531"/>
      <c r="G609" s="530"/>
      <c r="H609" s="530"/>
    </row>
    <row r="610">
      <c r="A610" s="527"/>
      <c r="B610" s="527"/>
      <c r="C610" s="527"/>
      <c r="D610" s="528"/>
      <c r="E610" s="528"/>
      <c r="F610" s="528"/>
      <c r="G610" s="527"/>
      <c r="H610" s="527"/>
    </row>
    <row r="611">
      <c r="A611" s="530"/>
      <c r="B611" s="530"/>
      <c r="C611" s="530"/>
      <c r="D611" s="531"/>
      <c r="E611" s="531"/>
      <c r="F611" s="531"/>
      <c r="G611" s="530"/>
      <c r="H611" s="530"/>
    </row>
    <row r="612">
      <c r="A612" s="527"/>
      <c r="B612" s="527"/>
      <c r="C612" s="527"/>
      <c r="D612" s="528"/>
      <c r="E612" s="528"/>
      <c r="F612" s="528"/>
      <c r="G612" s="527"/>
      <c r="H612" s="527"/>
    </row>
    <row r="613">
      <c r="A613" s="530"/>
      <c r="B613" s="530"/>
      <c r="C613" s="530"/>
      <c r="D613" s="531"/>
      <c r="E613" s="531"/>
      <c r="F613" s="531"/>
      <c r="G613" s="530"/>
      <c r="H613" s="530"/>
    </row>
    <row r="614">
      <c r="A614" s="527"/>
      <c r="B614" s="527"/>
      <c r="C614" s="527"/>
      <c r="D614" s="528"/>
      <c r="E614" s="528"/>
      <c r="F614" s="528"/>
      <c r="G614" s="527"/>
      <c r="H614" s="527"/>
    </row>
    <row r="615">
      <c r="A615" s="530"/>
      <c r="B615" s="530"/>
      <c r="C615" s="530"/>
      <c r="D615" s="531"/>
      <c r="E615" s="531"/>
      <c r="F615" s="531"/>
      <c r="G615" s="530"/>
      <c r="H615" s="530"/>
    </row>
    <row r="616">
      <c r="A616" s="527"/>
      <c r="B616" s="527"/>
      <c r="C616" s="527"/>
      <c r="D616" s="528"/>
      <c r="E616" s="528"/>
      <c r="F616" s="528"/>
      <c r="G616" s="527"/>
      <c r="H616" s="527"/>
    </row>
    <row r="617">
      <c r="A617" s="530"/>
      <c r="B617" s="530"/>
      <c r="C617" s="530"/>
      <c r="D617" s="531"/>
      <c r="E617" s="531"/>
      <c r="F617" s="531"/>
      <c r="G617" s="530"/>
      <c r="H617" s="530"/>
    </row>
    <row r="618">
      <c r="A618" s="527"/>
      <c r="B618" s="527"/>
      <c r="C618" s="527"/>
      <c r="D618" s="528"/>
      <c r="E618" s="528"/>
      <c r="F618" s="528"/>
      <c r="G618" s="527"/>
      <c r="H618" s="527"/>
    </row>
    <row r="619">
      <c r="A619" s="530"/>
      <c r="B619" s="530"/>
      <c r="C619" s="530"/>
      <c r="D619" s="531"/>
      <c r="E619" s="531"/>
      <c r="F619" s="531"/>
      <c r="G619" s="530"/>
      <c r="H619" s="530"/>
    </row>
    <row r="620">
      <c r="A620" s="527"/>
      <c r="B620" s="527"/>
      <c r="C620" s="527"/>
      <c r="D620" s="528"/>
      <c r="E620" s="528"/>
      <c r="F620" s="528"/>
      <c r="G620" s="527"/>
      <c r="H620" s="527"/>
    </row>
    <row r="621">
      <c r="A621" s="530"/>
      <c r="B621" s="530"/>
      <c r="C621" s="530"/>
      <c r="D621" s="531"/>
      <c r="E621" s="531"/>
      <c r="F621" s="531"/>
      <c r="G621" s="530"/>
      <c r="H621" s="530"/>
    </row>
    <row r="622">
      <c r="A622" s="527"/>
      <c r="B622" s="527"/>
      <c r="C622" s="527"/>
      <c r="D622" s="528"/>
      <c r="E622" s="528"/>
      <c r="F622" s="528"/>
      <c r="G622" s="527"/>
      <c r="H622" s="527"/>
    </row>
    <row r="623">
      <c r="A623" s="530"/>
      <c r="B623" s="530"/>
      <c r="C623" s="530"/>
      <c r="D623" s="531"/>
      <c r="E623" s="531"/>
      <c r="F623" s="531"/>
      <c r="G623" s="530"/>
      <c r="H623" s="530"/>
    </row>
    <row r="624">
      <c r="A624" s="527"/>
      <c r="B624" s="527"/>
      <c r="C624" s="527"/>
      <c r="D624" s="528"/>
      <c r="E624" s="528"/>
      <c r="F624" s="528"/>
      <c r="G624" s="527"/>
      <c r="H624" s="527"/>
    </row>
    <row r="625">
      <c r="A625" s="530"/>
      <c r="B625" s="530"/>
      <c r="C625" s="530"/>
      <c r="D625" s="531"/>
      <c r="E625" s="531"/>
      <c r="F625" s="531"/>
      <c r="G625" s="530"/>
      <c r="H625" s="530"/>
    </row>
    <row r="626">
      <c r="A626" s="527"/>
      <c r="B626" s="527"/>
      <c r="C626" s="527"/>
      <c r="D626" s="528"/>
      <c r="E626" s="528"/>
      <c r="F626" s="528"/>
      <c r="G626" s="527"/>
      <c r="H626" s="527"/>
    </row>
    <row r="627">
      <c r="A627" s="530"/>
      <c r="B627" s="530"/>
      <c r="C627" s="530"/>
      <c r="D627" s="531"/>
      <c r="E627" s="531"/>
      <c r="F627" s="531"/>
      <c r="G627" s="530"/>
      <c r="H627" s="530"/>
    </row>
    <row r="628">
      <c r="A628" s="527"/>
      <c r="B628" s="527"/>
      <c r="C628" s="527"/>
      <c r="D628" s="528"/>
      <c r="E628" s="528"/>
      <c r="F628" s="528"/>
      <c r="G628" s="527"/>
      <c r="H628" s="527"/>
    </row>
    <row r="629">
      <c r="A629" s="530"/>
      <c r="B629" s="530"/>
      <c r="C629" s="530"/>
      <c r="D629" s="531"/>
      <c r="E629" s="531"/>
      <c r="F629" s="531"/>
      <c r="G629" s="530"/>
      <c r="H629" s="530"/>
    </row>
    <row r="630">
      <c r="A630" s="527"/>
      <c r="B630" s="527"/>
      <c r="C630" s="527"/>
      <c r="D630" s="528"/>
      <c r="E630" s="528"/>
      <c r="F630" s="528"/>
      <c r="G630" s="527"/>
      <c r="H630" s="527"/>
    </row>
    <row r="631">
      <c r="A631" s="530"/>
      <c r="B631" s="530"/>
      <c r="C631" s="530"/>
      <c r="D631" s="531"/>
      <c r="E631" s="531"/>
      <c r="F631" s="531"/>
      <c r="G631" s="530"/>
      <c r="H631" s="530"/>
    </row>
    <row r="632">
      <c r="A632" s="527"/>
      <c r="B632" s="527"/>
      <c r="C632" s="527"/>
      <c r="D632" s="528"/>
      <c r="E632" s="528"/>
      <c r="F632" s="528"/>
      <c r="G632" s="527"/>
      <c r="H632" s="527"/>
    </row>
    <row r="633">
      <c r="A633" s="530"/>
      <c r="B633" s="530"/>
      <c r="C633" s="530"/>
      <c r="D633" s="531"/>
      <c r="E633" s="531"/>
      <c r="F633" s="531"/>
      <c r="G633" s="530"/>
      <c r="H633" s="530"/>
    </row>
    <row r="634">
      <c r="A634" s="527"/>
      <c r="B634" s="527"/>
      <c r="C634" s="527"/>
      <c r="D634" s="528"/>
      <c r="E634" s="528"/>
      <c r="F634" s="528"/>
      <c r="G634" s="527"/>
      <c r="H634" s="527"/>
    </row>
    <row r="635">
      <c r="A635" s="530"/>
      <c r="B635" s="530"/>
      <c r="C635" s="530"/>
      <c r="D635" s="531"/>
      <c r="E635" s="531"/>
      <c r="F635" s="531"/>
      <c r="G635" s="530"/>
      <c r="H635" s="530"/>
    </row>
    <row r="636">
      <c r="A636" s="527"/>
      <c r="B636" s="527"/>
      <c r="C636" s="527"/>
      <c r="D636" s="528"/>
      <c r="E636" s="528"/>
      <c r="F636" s="528"/>
      <c r="G636" s="527"/>
      <c r="H636" s="527"/>
    </row>
    <row r="637">
      <c r="A637" s="530"/>
      <c r="B637" s="530"/>
      <c r="C637" s="530"/>
      <c r="D637" s="531"/>
      <c r="E637" s="531"/>
      <c r="F637" s="531"/>
      <c r="G637" s="530"/>
      <c r="H637" s="530"/>
    </row>
    <row r="638">
      <c r="A638" s="527"/>
      <c r="B638" s="527"/>
      <c r="C638" s="527"/>
      <c r="D638" s="528"/>
      <c r="E638" s="528"/>
      <c r="F638" s="528"/>
      <c r="G638" s="527"/>
      <c r="H638" s="527"/>
    </row>
    <row r="639">
      <c r="A639" s="530"/>
      <c r="B639" s="530"/>
      <c r="C639" s="530"/>
      <c r="D639" s="531"/>
      <c r="E639" s="531"/>
      <c r="F639" s="531"/>
      <c r="G639" s="530"/>
      <c r="H639" s="530"/>
    </row>
    <row r="640">
      <c r="A640" s="527"/>
      <c r="B640" s="527"/>
      <c r="C640" s="527"/>
      <c r="D640" s="528"/>
      <c r="E640" s="528"/>
      <c r="F640" s="528"/>
      <c r="G640" s="527"/>
      <c r="H640" s="527"/>
    </row>
    <row r="641">
      <c r="A641" s="530"/>
      <c r="B641" s="530"/>
      <c r="C641" s="530"/>
      <c r="D641" s="531"/>
      <c r="E641" s="531"/>
      <c r="F641" s="531"/>
      <c r="G641" s="530"/>
      <c r="H641" s="530"/>
    </row>
    <row r="642">
      <c r="A642" s="527"/>
      <c r="B642" s="527"/>
      <c r="C642" s="527"/>
      <c r="D642" s="528"/>
      <c r="E642" s="528"/>
      <c r="F642" s="528"/>
      <c r="G642" s="527"/>
      <c r="H642" s="527"/>
    </row>
    <row r="643">
      <c r="A643" s="530"/>
      <c r="B643" s="530"/>
      <c r="C643" s="530"/>
      <c r="D643" s="531"/>
      <c r="E643" s="531"/>
      <c r="F643" s="531"/>
      <c r="G643" s="530"/>
      <c r="H643" s="530"/>
    </row>
    <row r="644">
      <c r="A644" s="527"/>
      <c r="B644" s="527"/>
      <c r="C644" s="527"/>
      <c r="D644" s="528"/>
      <c r="E644" s="528"/>
      <c r="F644" s="528"/>
      <c r="G644" s="527"/>
      <c r="H644" s="527"/>
    </row>
    <row r="645">
      <c r="A645" s="530"/>
      <c r="B645" s="530"/>
      <c r="C645" s="530"/>
      <c r="D645" s="531"/>
      <c r="E645" s="531"/>
      <c r="F645" s="531"/>
      <c r="G645" s="530"/>
      <c r="H645" s="530"/>
    </row>
    <row r="646">
      <c r="A646" s="527"/>
      <c r="B646" s="527"/>
      <c r="C646" s="527"/>
      <c r="D646" s="528"/>
      <c r="E646" s="528"/>
      <c r="F646" s="528"/>
      <c r="G646" s="527"/>
      <c r="H646" s="527"/>
    </row>
    <row r="647">
      <c r="A647" s="530"/>
      <c r="B647" s="530"/>
      <c r="C647" s="530"/>
      <c r="D647" s="531"/>
      <c r="E647" s="531"/>
      <c r="F647" s="531"/>
      <c r="G647" s="530"/>
      <c r="H647" s="530"/>
    </row>
    <row r="648">
      <c r="A648" s="527"/>
      <c r="B648" s="527"/>
      <c r="C648" s="527"/>
      <c r="D648" s="528"/>
      <c r="E648" s="528"/>
      <c r="F648" s="528"/>
      <c r="G648" s="527"/>
      <c r="H648" s="527"/>
    </row>
    <row r="649">
      <c r="A649" s="530"/>
      <c r="B649" s="530"/>
      <c r="C649" s="530"/>
      <c r="D649" s="531"/>
      <c r="E649" s="531"/>
      <c r="F649" s="531"/>
      <c r="G649" s="530"/>
      <c r="H649" s="530"/>
    </row>
    <row r="650">
      <c r="A650" s="527"/>
      <c r="B650" s="527"/>
      <c r="C650" s="527"/>
      <c r="D650" s="528"/>
      <c r="E650" s="528"/>
      <c r="F650" s="528"/>
      <c r="G650" s="527"/>
      <c r="H650" s="527"/>
    </row>
    <row r="651">
      <c r="A651" s="530"/>
      <c r="B651" s="530"/>
      <c r="C651" s="530"/>
      <c r="D651" s="531"/>
      <c r="E651" s="531"/>
      <c r="F651" s="531"/>
      <c r="G651" s="530"/>
      <c r="H651" s="530"/>
    </row>
    <row r="652">
      <c r="A652" s="527"/>
      <c r="B652" s="527"/>
      <c r="C652" s="527"/>
      <c r="D652" s="528"/>
      <c r="E652" s="528"/>
      <c r="F652" s="528"/>
      <c r="G652" s="527"/>
      <c r="H652" s="527"/>
    </row>
    <row r="653">
      <c r="A653" s="530"/>
      <c r="B653" s="530"/>
      <c r="C653" s="530"/>
      <c r="D653" s="531"/>
      <c r="E653" s="531"/>
      <c r="F653" s="531"/>
      <c r="G653" s="530"/>
      <c r="H653" s="530"/>
    </row>
    <row r="654">
      <c r="A654" s="527"/>
      <c r="B654" s="527"/>
      <c r="C654" s="527"/>
      <c r="D654" s="528"/>
      <c r="E654" s="528"/>
      <c r="F654" s="528"/>
      <c r="G654" s="527"/>
      <c r="H654" s="527"/>
    </row>
    <row r="655">
      <c r="A655" s="530"/>
      <c r="B655" s="530"/>
      <c r="C655" s="530"/>
      <c r="D655" s="531"/>
      <c r="E655" s="531"/>
      <c r="F655" s="531"/>
      <c r="G655" s="530"/>
      <c r="H655" s="530"/>
    </row>
    <row r="656">
      <c r="A656" s="527"/>
      <c r="B656" s="527"/>
      <c r="C656" s="527"/>
      <c r="D656" s="528"/>
      <c r="E656" s="528"/>
      <c r="F656" s="528"/>
      <c r="G656" s="527"/>
      <c r="H656" s="527"/>
    </row>
    <row r="657">
      <c r="A657" s="530"/>
      <c r="B657" s="530"/>
      <c r="C657" s="530"/>
      <c r="D657" s="531"/>
      <c r="E657" s="531"/>
      <c r="F657" s="531"/>
      <c r="G657" s="530"/>
      <c r="H657" s="530"/>
    </row>
    <row r="658">
      <c r="A658" s="527"/>
      <c r="B658" s="527"/>
      <c r="C658" s="527"/>
      <c r="D658" s="528"/>
      <c r="E658" s="528"/>
      <c r="F658" s="528"/>
      <c r="G658" s="527"/>
      <c r="H658" s="527"/>
    </row>
    <row r="659">
      <c r="A659" s="530"/>
      <c r="B659" s="530"/>
      <c r="C659" s="530"/>
      <c r="D659" s="531"/>
      <c r="E659" s="531"/>
      <c r="F659" s="531"/>
      <c r="G659" s="530"/>
      <c r="H659" s="530"/>
    </row>
    <row r="660">
      <c r="A660" s="527"/>
      <c r="B660" s="527"/>
      <c r="C660" s="527"/>
      <c r="D660" s="528"/>
      <c r="E660" s="528"/>
      <c r="F660" s="528"/>
      <c r="G660" s="527"/>
      <c r="H660" s="527"/>
    </row>
    <row r="661">
      <c r="A661" s="530"/>
      <c r="B661" s="530"/>
      <c r="C661" s="530"/>
      <c r="D661" s="531"/>
      <c r="E661" s="531"/>
      <c r="F661" s="531"/>
      <c r="G661" s="530"/>
      <c r="H661" s="530"/>
    </row>
    <row r="662">
      <c r="A662" s="527"/>
      <c r="B662" s="527"/>
      <c r="C662" s="527"/>
      <c r="D662" s="528"/>
      <c r="E662" s="528"/>
      <c r="F662" s="528"/>
      <c r="G662" s="527"/>
      <c r="H662" s="527"/>
    </row>
    <row r="663">
      <c r="A663" s="530"/>
      <c r="B663" s="530"/>
      <c r="C663" s="530"/>
      <c r="D663" s="531"/>
      <c r="E663" s="531"/>
      <c r="F663" s="531"/>
      <c r="G663" s="530"/>
      <c r="H663" s="530"/>
    </row>
    <row r="664">
      <c r="A664" s="527"/>
      <c r="B664" s="527"/>
      <c r="C664" s="527"/>
      <c r="D664" s="528"/>
      <c r="E664" s="528"/>
      <c r="F664" s="528"/>
      <c r="G664" s="527"/>
      <c r="H664" s="527"/>
    </row>
    <row r="665">
      <c r="A665" s="530"/>
      <c r="B665" s="530"/>
      <c r="C665" s="530"/>
      <c r="D665" s="531"/>
      <c r="E665" s="531"/>
      <c r="F665" s="531"/>
      <c r="G665" s="530"/>
      <c r="H665" s="530"/>
    </row>
    <row r="666">
      <c r="A666" s="527"/>
      <c r="B666" s="527"/>
      <c r="C666" s="527"/>
      <c r="D666" s="528"/>
      <c r="E666" s="528"/>
      <c r="F666" s="528"/>
      <c r="G666" s="527"/>
      <c r="H666" s="527"/>
    </row>
    <row r="667">
      <c r="A667" s="530"/>
      <c r="B667" s="530"/>
      <c r="C667" s="530"/>
      <c r="D667" s="531"/>
      <c r="E667" s="531"/>
      <c r="F667" s="531"/>
      <c r="G667" s="530"/>
      <c r="H667" s="530"/>
    </row>
    <row r="668">
      <c r="A668" s="527"/>
      <c r="B668" s="527"/>
      <c r="C668" s="527"/>
      <c r="D668" s="528"/>
      <c r="E668" s="528"/>
      <c r="F668" s="528"/>
      <c r="G668" s="527"/>
      <c r="H668" s="527"/>
    </row>
    <row r="669">
      <c r="A669" s="530"/>
      <c r="B669" s="530"/>
      <c r="C669" s="530"/>
      <c r="D669" s="531"/>
      <c r="E669" s="531"/>
      <c r="F669" s="531"/>
      <c r="G669" s="530"/>
      <c r="H669" s="530"/>
    </row>
    <row r="670">
      <c r="A670" s="527"/>
      <c r="B670" s="527"/>
      <c r="C670" s="527"/>
      <c r="D670" s="528"/>
      <c r="E670" s="528"/>
      <c r="F670" s="528"/>
      <c r="G670" s="527"/>
      <c r="H670" s="527"/>
    </row>
    <row r="671">
      <c r="A671" s="530"/>
      <c r="B671" s="530"/>
      <c r="C671" s="530"/>
      <c r="D671" s="531"/>
      <c r="E671" s="531"/>
      <c r="F671" s="531"/>
      <c r="G671" s="530"/>
      <c r="H671" s="530"/>
    </row>
    <row r="672">
      <c r="A672" s="527"/>
      <c r="B672" s="527"/>
      <c r="C672" s="527"/>
      <c r="D672" s="528"/>
      <c r="E672" s="528"/>
      <c r="F672" s="528"/>
      <c r="G672" s="527"/>
      <c r="H672" s="527"/>
    </row>
    <row r="673">
      <c r="A673" s="530"/>
      <c r="B673" s="530"/>
      <c r="C673" s="530"/>
      <c r="D673" s="531"/>
      <c r="E673" s="531"/>
      <c r="F673" s="531"/>
      <c r="G673" s="530"/>
      <c r="H673" s="530"/>
    </row>
    <row r="674">
      <c r="A674" s="527"/>
      <c r="B674" s="527"/>
      <c r="C674" s="527"/>
      <c r="D674" s="528"/>
      <c r="E674" s="528"/>
      <c r="F674" s="528"/>
      <c r="G674" s="527"/>
      <c r="H674" s="527"/>
    </row>
    <row r="675">
      <c r="A675" s="530"/>
      <c r="B675" s="530"/>
      <c r="C675" s="530"/>
      <c r="D675" s="531"/>
      <c r="E675" s="531"/>
      <c r="F675" s="531"/>
      <c r="G675" s="530"/>
      <c r="H675" s="530"/>
    </row>
    <row r="676">
      <c r="A676" s="527"/>
      <c r="B676" s="527"/>
      <c r="C676" s="527"/>
      <c r="D676" s="528"/>
      <c r="E676" s="528"/>
      <c r="F676" s="528"/>
      <c r="G676" s="527"/>
      <c r="H676" s="527"/>
    </row>
    <row r="677">
      <c r="A677" s="530"/>
      <c r="B677" s="530"/>
      <c r="C677" s="530"/>
      <c r="D677" s="531"/>
      <c r="E677" s="531"/>
      <c r="F677" s="531"/>
      <c r="G677" s="530"/>
      <c r="H677" s="530"/>
    </row>
    <row r="678">
      <c r="A678" s="527"/>
      <c r="B678" s="527"/>
      <c r="C678" s="527"/>
      <c r="D678" s="528"/>
      <c r="E678" s="528"/>
      <c r="F678" s="528"/>
      <c r="G678" s="527"/>
      <c r="H678" s="527"/>
    </row>
    <row r="679">
      <c r="A679" s="530"/>
      <c r="B679" s="530"/>
      <c r="C679" s="530"/>
      <c r="D679" s="531"/>
      <c r="E679" s="531"/>
      <c r="F679" s="531"/>
      <c r="G679" s="530"/>
      <c r="H679" s="530"/>
    </row>
    <row r="680">
      <c r="A680" s="527"/>
      <c r="B680" s="527"/>
      <c r="C680" s="527"/>
      <c r="D680" s="528"/>
      <c r="E680" s="528"/>
      <c r="F680" s="528"/>
      <c r="G680" s="527"/>
      <c r="H680" s="527"/>
    </row>
    <row r="681">
      <c r="A681" s="530"/>
      <c r="B681" s="530"/>
      <c r="C681" s="530"/>
      <c r="D681" s="531"/>
      <c r="E681" s="531"/>
      <c r="F681" s="531"/>
      <c r="G681" s="530"/>
      <c r="H681" s="530"/>
    </row>
    <row r="682">
      <c r="A682" s="527"/>
      <c r="B682" s="527"/>
      <c r="C682" s="527"/>
      <c r="D682" s="528"/>
      <c r="E682" s="528"/>
      <c r="F682" s="528"/>
      <c r="G682" s="527"/>
      <c r="H682" s="527"/>
    </row>
    <row r="683">
      <c r="A683" s="530"/>
      <c r="B683" s="530"/>
      <c r="C683" s="530"/>
      <c r="D683" s="531"/>
      <c r="E683" s="531"/>
      <c r="F683" s="531"/>
      <c r="G683" s="530"/>
      <c r="H683" s="530"/>
    </row>
    <row r="684">
      <c r="A684" s="527"/>
      <c r="B684" s="527"/>
      <c r="C684" s="527"/>
      <c r="D684" s="528"/>
      <c r="E684" s="528"/>
      <c r="F684" s="528"/>
      <c r="G684" s="527"/>
      <c r="H684" s="527"/>
    </row>
    <row r="685">
      <c r="A685" s="530"/>
      <c r="B685" s="530"/>
      <c r="C685" s="530"/>
      <c r="D685" s="531"/>
      <c r="E685" s="531"/>
      <c r="F685" s="531"/>
      <c r="G685" s="530"/>
      <c r="H685" s="530"/>
    </row>
    <row r="686">
      <c r="A686" s="527"/>
      <c r="B686" s="527"/>
      <c r="C686" s="527"/>
      <c r="D686" s="528"/>
      <c r="E686" s="528"/>
      <c r="F686" s="528"/>
      <c r="G686" s="527"/>
      <c r="H686" s="527"/>
    </row>
    <row r="687">
      <c r="A687" s="530"/>
      <c r="B687" s="530"/>
      <c r="C687" s="530"/>
      <c r="D687" s="531"/>
      <c r="E687" s="531"/>
      <c r="F687" s="531"/>
      <c r="G687" s="530"/>
      <c r="H687" s="530"/>
    </row>
    <row r="688">
      <c r="A688" s="527"/>
      <c r="B688" s="527"/>
      <c r="C688" s="527"/>
      <c r="D688" s="528"/>
      <c r="E688" s="528"/>
      <c r="F688" s="528"/>
      <c r="G688" s="527"/>
      <c r="H688" s="527"/>
    </row>
    <row r="689">
      <c r="A689" s="530"/>
      <c r="B689" s="530"/>
      <c r="C689" s="530"/>
      <c r="D689" s="531"/>
      <c r="E689" s="531"/>
      <c r="F689" s="531"/>
      <c r="G689" s="530"/>
      <c r="H689" s="530"/>
    </row>
    <row r="690">
      <c r="A690" s="527"/>
      <c r="B690" s="527"/>
      <c r="C690" s="527"/>
      <c r="D690" s="528"/>
      <c r="E690" s="528"/>
      <c r="F690" s="528"/>
      <c r="G690" s="527"/>
      <c r="H690" s="527"/>
    </row>
    <row r="691">
      <c r="A691" s="530"/>
      <c r="B691" s="530"/>
      <c r="C691" s="530"/>
      <c r="D691" s="531"/>
      <c r="E691" s="531"/>
      <c r="F691" s="531"/>
      <c r="G691" s="530"/>
      <c r="H691" s="530"/>
    </row>
    <row r="692">
      <c r="A692" s="527"/>
      <c r="B692" s="527"/>
      <c r="C692" s="527"/>
      <c r="D692" s="528"/>
      <c r="E692" s="528"/>
      <c r="F692" s="528"/>
      <c r="G692" s="527"/>
      <c r="H692" s="527"/>
    </row>
    <row r="693">
      <c r="A693" s="530"/>
      <c r="B693" s="530"/>
      <c r="C693" s="530"/>
      <c r="D693" s="531"/>
      <c r="E693" s="531"/>
      <c r="F693" s="531"/>
      <c r="G693" s="530"/>
      <c r="H693" s="530"/>
    </row>
    <row r="694">
      <c r="A694" s="527"/>
      <c r="B694" s="527"/>
      <c r="C694" s="527"/>
      <c r="D694" s="528"/>
      <c r="E694" s="528"/>
      <c r="F694" s="528"/>
      <c r="G694" s="527"/>
      <c r="H694" s="527"/>
    </row>
    <row r="695">
      <c r="A695" s="530"/>
      <c r="B695" s="530"/>
      <c r="C695" s="530"/>
      <c r="D695" s="531"/>
      <c r="E695" s="531"/>
      <c r="F695" s="531"/>
      <c r="G695" s="530"/>
      <c r="H695" s="530"/>
    </row>
    <row r="696">
      <c r="A696" s="527"/>
      <c r="B696" s="527"/>
      <c r="C696" s="527"/>
      <c r="D696" s="528"/>
      <c r="E696" s="528"/>
      <c r="F696" s="528"/>
      <c r="G696" s="527"/>
      <c r="H696" s="527"/>
    </row>
    <row r="697">
      <c r="A697" s="530"/>
      <c r="B697" s="530"/>
      <c r="C697" s="530"/>
      <c r="D697" s="531"/>
      <c r="E697" s="531"/>
      <c r="F697" s="531"/>
      <c r="G697" s="530"/>
      <c r="H697" s="530"/>
    </row>
    <row r="698">
      <c r="A698" s="527"/>
      <c r="B698" s="527"/>
      <c r="C698" s="527"/>
      <c r="D698" s="528"/>
      <c r="E698" s="528"/>
      <c r="F698" s="528"/>
      <c r="G698" s="527"/>
      <c r="H698" s="527"/>
    </row>
    <row r="699">
      <c r="A699" s="530"/>
      <c r="B699" s="530"/>
      <c r="C699" s="530"/>
      <c r="D699" s="531"/>
      <c r="E699" s="531"/>
      <c r="F699" s="531"/>
      <c r="G699" s="530"/>
      <c r="H699" s="530"/>
    </row>
    <row r="700">
      <c r="A700" s="527"/>
      <c r="B700" s="527"/>
      <c r="C700" s="527"/>
      <c r="D700" s="528"/>
      <c r="E700" s="528"/>
      <c r="F700" s="528"/>
      <c r="G700" s="527"/>
      <c r="H700" s="527"/>
    </row>
    <row r="701">
      <c r="A701" s="530"/>
      <c r="B701" s="530"/>
      <c r="C701" s="530"/>
      <c r="D701" s="531"/>
      <c r="E701" s="531"/>
      <c r="F701" s="531"/>
      <c r="G701" s="530"/>
      <c r="H701" s="530"/>
    </row>
    <row r="702">
      <c r="A702" s="527"/>
      <c r="B702" s="527"/>
      <c r="C702" s="527"/>
      <c r="D702" s="528"/>
      <c r="E702" s="528"/>
      <c r="F702" s="528"/>
      <c r="G702" s="527"/>
      <c r="H702" s="527"/>
    </row>
    <row r="703">
      <c r="A703" s="530"/>
      <c r="B703" s="530"/>
      <c r="C703" s="530"/>
      <c r="D703" s="531"/>
      <c r="E703" s="531"/>
      <c r="F703" s="531"/>
      <c r="G703" s="530"/>
      <c r="H703" s="530"/>
    </row>
    <row r="704">
      <c r="A704" s="527"/>
      <c r="B704" s="527"/>
      <c r="C704" s="527"/>
      <c r="D704" s="528"/>
      <c r="E704" s="528"/>
      <c r="F704" s="528"/>
      <c r="G704" s="527"/>
      <c r="H704" s="527"/>
    </row>
    <row r="705">
      <c r="A705" s="530"/>
      <c r="B705" s="530"/>
      <c r="C705" s="530"/>
      <c r="D705" s="531"/>
      <c r="E705" s="531"/>
      <c r="F705" s="531"/>
      <c r="G705" s="530"/>
      <c r="H705" s="530"/>
    </row>
    <row r="706">
      <c r="A706" s="527"/>
      <c r="B706" s="527"/>
      <c r="C706" s="527"/>
      <c r="D706" s="528"/>
      <c r="E706" s="528"/>
      <c r="F706" s="528"/>
      <c r="G706" s="527"/>
      <c r="H706" s="527"/>
    </row>
    <row r="707">
      <c r="A707" s="530"/>
      <c r="B707" s="530"/>
      <c r="C707" s="530"/>
      <c r="D707" s="531"/>
      <c r="E707" s="531"/>
      <c r="F707" s="531"/>
      <c r="G707" s="530"/>
      <c r="H707" s="530"/>
    </row>
    <row r="708">
      <c r="A708" s="527"/>
      <c r="B708" s="527"/>
      <c r="C708" s="527"/>
      <c r="D708" s="528"/>
      <c r="E708" s="528"/>
      <c r="F708" s="528"/>
      <c r="G708" s="527"/>
      <c r="H708" s="527"/>
    </row>
    <row r="709">
      <c r="A709" s="530"/>
      <c r="B709" s="530"/>
      <c r="C709" s="530"/>
      <c r="D709" s="531"/>
      <c r="E709" s="531"/>
      <c r="F709" s="531"/>
      <c r="G709" s="530"/>
      <c r="H709" s="530"/>
    </row>
    <row r="710">
      <c r="A710" s="527"/>
      <c r="B710" s="527"/>
      <c r="C710" s="527"/>
      <c r="D710" s="528"/>
      <c r="E710" s="528"/>
      <c r="F710" s="528"/>
      <c r="G710" s="527"/>
      <c r="H710" s="527"/>
    </row>
    <row r="711">
      <c r="A711" s="530"/>
      <c r="B711" s="530"/>
      <c r="C711" s="530"/>
      <c r="D711" s="531"/>
      <c r="E711" s="531"/>
      <c r="F711" s="531"/>
      <c r="G711" s="530"/>
      <c r="H711" s="530"/>
    </row>
    <row r="712">
      <c r="A712" s="527"/>
      <c r="B712" s="527"/>
      <c r="C712" s="527"/>
      <c r="D712" s="528"/>
      <c r="E712" s="528"/>
      <c r="F712" s="528"/>
      <c r="G712" s="527"/>
      <c r="H712" s="527"/>
    </row>
    <row r="713">
      <c r="A713" s="530"/>
      <c r="B713" s="530"/>
      <c r="C713" s="530"/>
      <c r="D713" s="531"/>
      <c r="E713" s="531"/>
      <c r="F713" s="531"/>
      <c r="G713" s="530"/>
      <c r="H713" s="530"/>
    </row>
    <row r="714">
      <c r="A714" s="527"/>
      <c r="B714" s="527"/>
      <c r="C714" s="527"/>
      <c r="D714" s="528"/>
      <c r="E714" s="528"/>
      <c r="F714" s="528"/>
      <c r="G714" s="527"/>
      <c r="H714" s="527"/>
    </row>
    <row r="715">
      <c r="A715" s="530"/>
      <c r="B715" s="530"/>
      <c r="C715" s="530"/>
      <c r="D715" s="531"/>
      <c r="E715" s="531"/>
      <c r="F715" s="531"/>
      <c r="G715" s="530"/>
      <c r="H715" s="530"/>
    </row>
    <row r="716">
      <c r="A716" s="527"/>
      <c r="B716" s="527"/>
      <c r="C716" s="527"/>
      <c r="D716" s="528"/>
      <c r="E716" s="528"/>
      <c r="F716" s="528"/>
      <c r="G716" s="527"/>
      <c r="H716" s="527"/>
    </row>
    <row r="717">
      <c r="A717" s="530"/>
      <c r="B717" s="530"/>
      <c r="C717" s="530"/>
      <c r="D717" s="531"/>
      <c r="E717" s="531"/>
      <c r="F717" s="531"/>
      <c r="G717" s="530"/>
      <c r="H717" s="530"/>
    </row>
    <row r="718">
      <c r="A718" s="527"/>
      <c r="B718" s="527"/>
      <c r="C718" s="527"/>
      <c r="D718" s="528"/>
      <c r="E718" s="528"/>
      <c r="F718" s="528"/>
      <c r="G718" s="527"/>
      <c r="H718" s="527"/>
    </row>
    <row r="719">
      <c r="A719" s="530"/>
      <c r="B719" s="530"/>
      <c r="C719" s="530"/>
      <c r="D719" s="531"/>
      <c r="E719" s="531"/>
      <c r="F719" s="531"/>
      <c r="G719" s="530"/>
      <c r="H719" s="530"/>
    </row>
    <row r="720">
      <c r="A720" s="527"/>
      <c r="B720" s="527"/>
      <c r="C720" s="527"/>
      <c r="D720" s="528"/>
      <c r="E720" s="528"/>
      <c r="F720" s="528"/>
      <c r="G720" s="527"/>
      <c r="H720" s="527"/>
    </row>
    <row r="721">
      <c r="A721" s="530"/>
      <c r="B721" s="530"/>
      <c r="C721" s="530"/>
      <c r="D721" s="531"/>
      <c r="E721" s="531"/>
      <c r="F721" s="531"/>
      <c r="G721" s="530"/>
      <c r="H721" s="530"/>
    </row>
    <row r="722">
      <c r="A722" s="527"/>
      <c r="B722" s="527"/>
      <c r="C722" s="527"/>
      <c r="D722" s="528"/>
      <c r="E722" s="528"/>
      <c r="F722" s="528"/>
      <c r="G722" s="527"/>
      <c r="H722" s="527"/>
    </row>
    <row r="723">
      <c r="A723" s="530"/>
      <c r="B723" s="530"/>
      <c r="C723" s="530"/>
      <c r="D723" s="531"/>
      <c r="E723" s="531"/>
      <c r="F723" s="531"/>
      <c r="G723" s="530"/>
      <c r="H723" s="530"/>
    </row>
    <row r="724">
      <c r="A724" s="527"/>
      <c r="B724" s="527"/>
      <c r="C724" s="527"/>
      <c r="D724" s="528"/>
      <c r="E724" s="528"/>
      <c r="F724" s="528"/>
      <c r="G724" s="527"/>
      <c r="H724" s="527"/>
    </row>
    <row r="725">
      <c r="A725" s="530"/>
      <c r="B725" s="530"/>
      <c r="C725" s="530"/>
      <c r="D725" s="531"/>
      <c r="E725" s="531"/>
      <c r="F725" s="531"/>
      <c r="G725" s="530"/>
      <c r="H725" s="530"/>
    </row>
    <row r="726">
      <c r="A726" s="527"/>
      <c r="B726" s="527"/>
      <c r="C726" s="527"/>
      <c r="D726" s="528"/>
      <c r="E726" s="528"/>
      <c r="F726" s="528"/>
      <c r="G726" s="527"/>
      <c r="H726" s="527"/>
    </row>
    <row r="727">
      <c r="A727" s="530"/>
      <c r="B727" s="530"/>
      <c r="C727" s="530"/>
      <c r="D727" s="531"/>
      <c r="E727" s="531"/>
      <c r="F727" s="531"/>
      <c r="G727" s="530"/>
      <c r="H727" s="530"/>
    </row>
    <row r="728">
      <c r="A728" s="527"/>
      <c r="B728" s="527"/>
      <c r="C728" s="527"/>
      <c r="D728" s="528"/>
      <c r="E728" s="528"/>
      <c r="F728" s="528"/>
      <c r="G728" s="527"/>
      <c r="H728" s="527"/>
    </row>
    <row r="729">
      <c r="A729" s="530"/>
      <c r="B729" s="530"/>
      <c r="C729" s="530"/>
      <c r="D729" s="531"/>
      <c r="E729" s="531"/>
      <c r="F729" s="531"/>
      <c r="G729" s="530"/>
      <c r="H729" s="530"/>
    </row>
    <row r="730">
      <c r="A730" s="527"/>
      <c r="B730" s="527"/>
      <c r="C730" s="527"/>
      <c r="D730" s="528"/>
      <c r="E730" s="528"/>
      <c r="F730" s="528"/>
      <c r="G730" s="527"/>
      <c r="H730" s="527"/>
    </row>
    <row r="731">
      <c r="A731" s="530"/>
      <c r="B731" s="530"/>
      <c r="C731" s="530"/>
      <c r="D731" s="531"/>
      <c r="E731" s="531"/>
      <c r="F731" s="531"/>
      <c r="G731" s="530"/>
      <c r="H731" s="530"/>
    </row>
    <row r="732">
      <c r="A732" s="527"/>
      <c r="B732" s="527"/>
      <c r="C732" s="527"/>
      <c r="D732" s="528"/>
      <c r="E732" s="528"/>
      <c r="F732" s="528"/>
      <c r="G732" s="527"/>
      <c r="H732" s="527"/>
    </row>
    <row r="733">
      <c r="A733" s="530"/>
      <c r="B733" s="530"/>
      <c r="C733" s="530"/>
      <c r="D733" s="531"/>
      <c r="E733" s="531"/>
      <c r="F733" s="531"/>
      <c r="G733" s="530"/>
      <c r="H733" s="530"/>
    </row>
    <row r="734">
      <c r="A734" s="527"/>
      <c r="B734" s="527"/>
      <c r="C734" s="527"/>
      <c r="D734" s="528"/>
      <c r="E734" s="528"/>
      <c r="F734" s="528"/>
      <c r="G734" s="527"/>
      <c r="H734" s="527"/>
    </row>
    <row r="735">
      <c r="A735" s="530"/>
      <c r="B735" s="530"/>
      <c r="C735" s="530"/>
      <c r="D735" s="531"/>
      <c r="E735" s="531"/>
      <c r="F735" s="531"/>
      <c r="G735" s="530"/>
      <c r="H735" s="530"/>
    </row>
    <row r="736">
      <c r="A736" s="527"/>
      <c r="B736" s="527"/>
      <c r="C736" s="527"/>
      <c r="D736" s="528"/>
      <c r="E736" s="528"/>
      <c r="F736" s="528"/>
      <c r="G736" s="527"/>
      <c r="H736" s="527"/>
    </row>
    <row r="737">
      <c r="A737" s="530"/>
      <c r="B737" s="530"/>
      <c r="C737" s="530"/>
      <c r="D737" s="531"/>
      <c r="E737" s="531"/>
      <c r="F737" s="531"/>
      <c r="G737" s="530"/>
      <c r="H737" s="530"/>
    </row>
    <row r="738">
      <c r="A738" s="527"/>
      <c r="B738" s="527"/>
      <c r="C738" s="527"/>
      <c r="D738" s="528"/>
      <c r="E738" s="528"/>
      <c r="F738" s="528"/>
      <c r="G738" s="527"/>
      <c r="H738" s="527"/>
    </row>
    <row r="739">
      <c r="A739" s="530"/>
      <c r="B739" s="530"/>
      <c r="C739" s="530"/>
      <c r="D739" s="531"/>
      <c r="E739" s="531"/>
      <c r="F739" s="531"/>
      <c r="G739" s="530"/>
      <c r="H739" s="530"/>
    </row>
    <row r="740">
      <c r="A740" s="527"/>
      <c r="B740" s="527"/>
      <c r="C740" s="527"/>
      <c r="D740" s="528"/>
      <c r="E740" s="528"/>
      <c r="F740" s="528"/>
      <c r="G740" s="527"/>
      <c r="H740" s="527"/>
    </row>
    <row r="741">
      <c r="A741" s="530"/>
      <c r="B741" s="530"/>
      <c r="C741" s="530"/>
      <c r="D741" s="531"/>
      <c r="E741" s="531"/>
      <c r="F741" s="531"/>
      <c r="G741" s="530"/>
      <c r="H741" s="530"/>
    </row>
    <row r="742">
      <c r="A742" s="527"/>
      <c r="B742" s="527"/>
      <c r="C742" s="527"/>
      <c r="D742" s="528"/>
      <c r="E742" s="528"/>
      <c r="F742" s="528"/>
      <c r="G742" s="527"/>
      <c r="H742" s="527"/>
    </row>
    <row r="743">
      <c r="A743" s="530"/>
      <c r="B743" s="530"/>
      <c r="C743" s="530"/>
      <c r="D743" s="531"/>
      <c r="E743" s="531"/>
      <c r="F743" s="531"/>
      <c r="G743" s="530"/>
      <c r="H743" s="530"/>
    </row>
    <row r="744">
      <c r="A744" s="527"/>
      <c r="B744" s="527"/>
      <c r="C744" s="527"/>
      <c r="D744" s="528"/>
      <c r="E744" s="528"/>
      <c r="F744" s="528"/>
      <c r="G744" s="527"/>
      <c r="H744" s="527"/>
    </row>
    <row r="745">
      <c r="A745" s="530"/>
      <c r="B745" s="530"/>
      <c r="C745" s="530"/>
      <c r="D745" s="531"/>
      <c r="E745" s="531"/>
      <c r="F745" s="531"/>
      <c r="G745" s="530"/>
      <c r="H745" s="530"/>
    </row>
    <row r="746">
      <c r="A746" s="527"/>
      <c r="B746" s="527"/>
      <c r="C746" s="527"/>
      <c r="D746" s="528"/>
      <c r="E746" s="528"/>
      <c r="F746" s="528"/>
      <c r="G746" s="527"/>
      <c r="H746" s="527"/>
    </row>
    <row r="747">
      <c r="A747" s="530"/>
      <c r="B747" s="530"/>
      <c r="C747" s="530"/>
      <c r="D747" s="531"/>
      <c r="E747" s="531"/>
      <c r="F747" s="531"/>
      <c r="G747" s="530"/>
      <c r="H747" s="530"/>
    </row>
    <row r="748">
      <c r="A748" s="527"/>
      <c r="B748" s="527"/>
      <c r="C748" s="527"/>
      <c r="D748" s="528"/>
      <c r="E748" s="528"/>
      <c r="F748" s="528"/>
      <c r="G748" s="527"/>
      <c r="H748" s="527"/>
    </row>
    <row r="749">
      <c r="A749" s="530"/>
      <c r="B749" s="530"/>
      <c r="C749" s="530"/>
      <c r="D749" s="531"/>
      <c r="E749" s="531"/>
      <c r="F749" s="531"/>
      <c r="G749" s="530"/>
      <c r="H749" s="530"/>
    </row>
    <row r="750">
      <c r="A750" s="527"/>
      <c r="B750" s="527"/>
      <c r="C750" s="527"/>
      <c r="D750" s="528"/>
      <c r="E750" s="528"/>
      <c r="F750" s="528"/>
      <c r="G750" s="527"/>
      <c r="H750" s="527"/>
    </row>
    <row r="751">
      <c r="A751" s="530"/>
      <c r="B751" s="530"/>
      <c r="C751" s="530"/>
      <c r="D751" s="531"/>
      <c r="E751" s="531"/>
      <c r="F751" s="531"/>
      <c r="G751" s="530"/>
      <c r="H751" s="530"/>
    </row>
    <row r="752">
      <c r="A752" s="527"/>
      <c r="B752" s="527"/>
      <c r="C752" s="527"/>
      <c r="D752" s="528"/>
      <c r="E752" s="528"/>
      <c r="F752" s="528"/>
      <c r="G752" s="527"/>
      <c r="H752" s="527"/>
    </row>
    <row r="753">
      <c r="A753" s="530"/>
      <c r="B753" s="530"/>
      <c r="C753" s="530"/>
      <c r="D753" s="531"/>
      <c r="E753" s="531"/>
      <c r="F753" s="531"/>
      <c r="G753" s="530"/>
      <c r="H753" s="530"/>
    </row>
    <row r="754">
      <c r="A754" s="527"/>
      <c r="B754" s="527"/>
      <c r="C754" s="527"/>
      <c r="D754" s="528"/>
      <c r="E754" s="528"/>
      <c r="F754" s="528"/>
      <c r="G754" s="527"/>
      <c r="H754" s="527"/>
    </row>
    <row r="755">
      <c r="A755" s="530"/>
      <c r="B755" s="530"/>
      <c r="C755" s="530"/>
      <c r="D755" s="531"/>
      <c r="E755" s="531"/>
      <c r="F755" s="531"/>
      <c r="G755" s="530"/>
      <c r="H755" s="530"/>
    </row>
    <row r="756">
      <c r="A756" s="527"/>
      <c r="B756" s="527"/>
      <c r="C756" s="527"/>
      <c r="D756" s="528"/>
      <c r="E756" s="528"/>
      <c r="F756" s="528"/>
      <c r="G756" s="527"/>
      <c r="H756" s="527"/>
    </row>
    <row r="757">
      <c r="A757" s="530"/>
      <c r="B757" s="530"/>
      <c r="C757" s="530"/>
      <c r="D757" s="531"/>
      <c r="E757" s="531"/>
      <c r="F757" s="531"/>
      <c r="G757" s="530"/>
      <c r="H757" s="530"/>
    </row>
    <row r="758">
      <c r="A758" s="527"/>
      <c r="B758" s="527"/>
      <c r="C758" s="527"/>
      <c r="D758" s="528"/>
      <c r="E758" s="528"/>
      <c r="F758" s="528"/>
      <c r="G758" s="527"/>
      <c r="H758" s="527"/>
    </row>
    <row r="759">
      <c r="A759" s="530"/>
      <c r="B759" s="530"/>
      <c r="C759" s="530"/>
      <c r="D759" s="531"/>
      <c r="E759" s="531"/>
      <c r="F759" s="531"/>
      <c r="G759" s="530"/>
      <c r="H759" s="530"/>
    </row>
    <row r="760">
      <c r="A760" s="527"/>
      <c r="B760" s="527"/>
      <c r="C760" s="527"/>
      <c r="D760" s="528"/>
      <c r="E760" s="528"/>
      <c r="F760" s="528"/>
      <c r="G760" s="527"/>
      <c r="H760" s="527"/>
    </row>
    <row r="761">
      <c r="A761" s="530"/>
      <c r="B761" s="530"/>
      <c r="C761" s="530"/>
      <c r="D761" s="531"/>
      <c r="E761" s="531"/>
      <c r="F761" s="531"/>
      <c r="G761" s="530"/>
      <c r="H761" s="530"/>
    </row>
    <row r="762">
      <c r="A762" s="527"/>
      <c r="B762" s="527"/>
      <c r="C762" s="527"/>
      <c r="D762" s="528"/>
      <c r="E762" s="528"/>
      <c r="F762" s="528"/>
      <c r="G762" s="527"/>
      <c r="H762" s="527"/>
    </row>
    <row r="763">
      <c r="A763" s="530"/>
      <c r="B763" s="530"/>
      <c r="C763" s="530"/>
      <c r="D763" s="531"/>
      <c r="E763" s="531"/>
      <c r="F763" s="531"/>
      <c r="G763" s="530"/>
      <c r="H763" s="530"/>
    </row>
    <row r="764">
      <c r="A764" s="527"/>
      <c r="B764" s="527"/>
      <c r="C764" s="527"/>
      <c r="D764" s="528"/>
      <c r="E764" s="528"/>
      <c r="F764" s="528"/>
      <c r="G764" s="527"/>
      <c r="H764" s="527"/>
    </row>
    <row r="765">
      <c r="A765" s="530"/>
      <c r="B765" s="530"/>
      <c r="C765" s="530"/>
      <c r="D765" s="531"/>
      <c r="E765" s="531"/>
      <c r="F765" s="531"/>
      <c r="G765" s="530"/>
      <c r="H765" s="530"/>
    </row>
    <row r="766">
      <c r="A766" s="527"/>
      <c r="B766" s="527"/>
      <c r="C766" s="527"/>
      <c r="D766" s="528"/>
      <c r="E766" s="528"/>
      <c r="F766" s="528"/>
      <c r="G766" s="527"/>
      <c r="H766" s="527"/>
    </row>
    <row r="767">
      <c r="A767" s="530"/>
      <c r="B767" s="530"/>
      <c r="C767" s="530"/>
      <c r="D767" s="531"/>
      <c r="E767" s="531"/>
      <c r="F767" s="531"/>
      <c r="G767" s="530"/>
      <c r="H767" s="530"/>
    </row>
    <row r="768">
      <c r="A768" s="527"/>
      <c r="B768" s="527"/>
      <c r="C768" s="527"/>
      <c r="D768" s="528"/>
      <c r="E768" s="528"/>
      <c r="F768" s="528"/>
      <c r="G768" s="527"/>
      <c r="H768" s="527"/>
    </row>
    <row r="769">
      <c r="A769" s="530"/>
      <c r="B769" s="530"/>
      <c r="C769" s="530"/>
      <c r="D769" s="531"/>
      <c r="E769" s="531"/>
      <c r="F769" s="531"/>
      <c r="G769" s="530"/>
      <c r="H769" s="530"/>
    </row>
    <row r="770">
      <c r="A770" s="527"/>
      <c r="B770" s="527"/>
      <c r="C770" s="527"/>
      <c r="D770" s="528"/>
      <c r="E770" s="528"/>
      <c r="F770" s="528"/>
      <c r="G770" s="527"/>
      <c r="H770" s="527"/>
    </row>
    <row r="771">
      <c r="A771" s="530"/>
      <c r="B771" s="530"/>
      <c r="C771" s="530"/>
      <c r="D771" s="531"/>
      <c r="E771" s="531"/>
      <c r="F771" s="531"/>
      <c r="G771" s="530"/>
      <c r="H771" s="530"/>
    </row>
    <row r="772">
      <c r="A772" s="527"/>
      <c r="B772" s="527"/>
      <c r="C772" s="527"/>
      <c r="D772" s="528"/>
      <c r="E772" s="528"/>
      <c r="F772" s="528"/>
      <c r="G772" s="527"/>
      <c r="H772" s="527"/>
    </row>
    <row r="773">
      <c r="A773" s="530"/>
      <c r="B773" s="530"/>
      <c r="C773" s="530"/>
      <c r="D773" s="531"/>
      <c r="E773" s="531"/>
      <c r="F773" s="531"/>
      <c r="G773" s="530"/>
      <c r="H773" s="530"/>
    </row>
    <row r="774">
      <c r="A774" s="527"/>
      <c r="B774" s="527"/>
      <c r="C774" s="527"/>
      <c r="D774" s="528"/>
      <c r="E774" s="528"/>
      <c r="F774" s="528"/>
      <c r="G774" s="527"/>
      <c r="H774" s="527"/>
    </row>
    <row r="775">
      <c r="A775" s="530"/>
      <c r="B775" s="530"/>
      <c r="C775" s="530"/>
      <c r="D775" s="531"/>
      <c r="E775" s="531"/>
      <c r="F775" s="531"/>
      <c r="G775" s="530"/>
      <c r="H775" s="530"/>
    </row>
    <row r="776">
      <c r="A776" s="527"/>
      <c r="B776" s="527"/>
      <c r="C776" s="527"/>
      <c r="D776" s="528"/>
      <c r="E776" s="528"/>
      <c r="F776" s="528"/>
      <c r="G776" s="527"/>
      <c r="H776" s="527"/>
    </row>
    <row r="777">
      <c r="A777" s="530"/>
      <c r="B777" s="530"/>
      <c r="C777" s="530"/>
      <c r="D777" s="531"/>
      <c r="E777" s="531"/>
      <c r="F777" s="531"/>
      <c r="G777" s="530"/>
      <c r="H777" s="530"/>
    </row>
    <row r="778">
      <c r="A778" s="527"/>
      <c r="B778" s="527"/>
      <c r="C778" s="527"/>
      <c r="D778" s="528"/>
      <c r="E778" s="528"/>
      <c r="F778" s="528"/>
      <c r="G778" s="527"/>
      <c r="H778" s="527"/>
    </row>
    <row r="779">
      <c r="A779" s="530"/>
      <c r="B779" s="530"/>
      <c r="C779" s="530"/>
      <c r="D779" s="531"/>
      <c r="E779" s="531"/>
      <c r="F779" s="531"/>
      <c r="G779" s="530"/>
      <c r="H779" s="530"/>
    </row>
    <row r="780">
      <c r="A780" s="527"/>
      <c r="B780" s="527"/>
      <c r="C780" s="527"/>
      <c r="D780" s="528"/>
      <c r="E780" s="528"/>
      <c r="F780" s="528"/>
      <c r="G780" s="527"/>
      <c r="H780" s="527"/>
    </row>
    <row r="781">
      <c r="A781" s="530"/>
      <c r="B781" s="530"/>
      <c r="C781" s="530"/>
      <c r="D781" s="531"/>
      <c r="E781" s="531"/>
      <c r="F781" s="531"/>
      <c r="G781" s="530"/>
      <c r="H781" s="530"/>
    </row>
    <row r="782">
      <c r="A782" s="527"/>
      <c r="B782" s="527"/>
      <c r="C782" s="527"/>
      <c r="D782" s="528"/>
      <c r="E782" s="528"/>
      <c r="F782" s="528"/>
      <c r="G782" s="527"/>
      <c r="H782" s="527"/>
    </row>
    <row r="783">
      <c r="A783" s="530"/>
      <c r="B783" s="530"/>
      <c r="C783" s="530"/>
      <c r="D783" s="531"/>
      <c r="E783" s="531"/>
      <c r="F783" s="531"/>
      <c r="G783" s="530"/>
      <c r="H783" s="530"/>
    </row>
    <row r="784">
      <c r="A784" s="527"/>
      <c r="B784" s="527"/>
      <c r="C784" s="527"/>
      <c r="D784" s="528"/>
      <c r="E784" s="528"/>
      <c r="F784" s="528"/>
      <c r="G784" s="527"/>
      <c r="H784" s="527"/>
    </row>
    <row r="785">
      <c r="A785" s="530"/>
      <c r="B785" s="530"/>
      <c r="C785" s="530"/>
      <c r="D785" s="531"/>
      <c r="E785" s="531"/>
      <c r="F785" s="531"/>
      <c r="G785" s="530"/>
      <c r="H785" s="530"/>
    </row>
    <row r="786">
      <c r="A786" s="527"/>
      <c r="B786" s="527"/>
      <c r="C786" s="527"/>
      <c r="D786" s="528"/>
      <c r="E786" s="528"/>
      <c r="F786" s="528"/>
      <c r="G786" s="527"/>
      <c r="H786" s="527"/>
    </row>
    <row r="787">
      <c r="A787" s="530"/>
      <c r="B787" s="530"/>
      <c r="C787" s="530"/>
      <c r="D787" s="531"/>
      <c r="E787" s="531"/>
      <c r="F787" s="531"/>
      <c r="G787" s="530"/>
      <c r="H787" s="530"/>
    </row>
    <row r="788">
      <c r="A788" s="527"/>
      <c r="B788" s="527"/>
      <c r="C788" s="527"/>
      <c r="D788" s="528"/>
      <c r="E788" s="528"/>
      <c r="F788" s="528"/>
      <c r="G788" s="527"/>
      <c r="H788" s="527"/>
    </row>
    <row r="789">
      <c r="A789" s="530"/>
      <c r="B789" s="530"/>
      <c r="C789" s="530"/>
      <c r="D789" s="531"/>
      <c r="E789" s="531"/>
      <c r="F789" s="531"/>
      <c r="G789" s="530"/>
      <c r="H789" s="530"/>
    </row>
    <row r="790">
      <c r="A790" s="527"/>
      <c r="B790" s="527"/>
      <c r="C790" s="527"/>
      <c r="D790" s="528"/>
      <c r="E790" s="528"/>
      <c r="F790" s="528"/>
      <c r="G790" s="527"/>
      <c r="H790" s="527"/>
    </row>
    <row r="791">
      <c r="A791" s="530"/>
      <c r="B791" s="530"/>
      <c r="C791" s="530"/>
      <c r="D791" s="531"/>
      <c r="E791" s="531"/>
      <c r="F791" s="531"/>
      <c r="G791" s="530"/>
      <c r="H791" s="530"/>
    </row>
    <row r="792">
      <c r="A792" s="527"/>
      <c r="B792" s="527"/>
      <c r="C792" s="527"/>
      <c r="D792" s="528"/>
      <c r="E792" s="528"/>
      <c r="F792" s="528"/>
      <c r="G792" s="527"/>
      <c r="H792" s="527"/>
    </row>
    <row r="793">
      <c r="A793" s="530"/>
      <c r="B793" s="530"/>
      <c r="C793" s="530"/>
      <c r="D793" s="531"/>
      <c r="E793" s="531"/>
      <c r="F793" s="531"/>
      <c r="G793" s="530"/>
      <c r="H793" s="530"/>
    </row>
    <row r="794">
      <c r="A794" s="527"/>
      <c r="B794" s="527"/>
      <c r="C794" s="527"/>
      <c r="D794" s="528"/>
      <c r="E794" s="528"/>
      <c r="F794" s="528"/>
      <c r="G794" s="527"/>
      <c r="H794" s="527"/>
    </row>
    <row r="795">
      <c r="A795" s="530"/>
      <c r="B795" s="530"/>
      <c r="C795" s="530"/>
      <c r="D795" s="531"/>
      <c r="E795" s="531"/>
      <c r="F795" s="531"/>
      <c r="G795" s="530"/>
      <c r="H795" s="530"/>
    </row>
    <row r="796">
      <c r="A796" s="527"/>
      <c r="B796" s="527"/>
      <c r="C796" s="527"/>
      <c r="D796" s="528"/>
      <c r="E796" s="528"/>
      <c r="F796" s="528"/>
      <c r="G796" s="527"/>
      <c r="H796" s="527"/>
    </row>
    <row r="797">
      <c r="A797" s="530"/>
      <c r="B797" s="530"/>
      <c r="C797" s="530"/>
      <c r="D797" s="531"/>
      <c r="E797" s="531"/>
      <c r="F797" s="531"/>
      <c r="G797" s="530"/>
      <c r="H797" s="530"/>
    </row>
    <row r="798">
      <c r="A798" s="527"/>
      <c r="B798" s="527"/>
      <c r="C798" s="527"/>
      <c r="D798" s="528"/>
      <c r="E798" s="528"/>
      <c r="F798" s="528"/>
      <c r="G798" s="527"/>
      <c r="H798" s="527"/>
    </row>
    <row r="799">
      <c r="A799" s="530"/>
      <c r="B799" s="530"/>
      <c r="C799" s="530"/>
      <c r="D799" s="531"/>
      <c r="E799" s="531"/>
      <c r="F799" s="531"/>
      <c r="G799" s="530"/>
      <c r="H799" s="530"/>
    </row>
    <row r="800">
      <c r="A800" s="527"/>
      <c r="B800" s="527"/>
      <c r="C800" s="527"/>
      <c r="D800" s="528"/>
      <c r="E800" s="528"/>
      <c r="F800" s="528"/>
      <c r="G800" s="527"/>
      <c r="H800" s="527"/>
    </row>
    <row r="801">
      <c r="A801" s="530"/>
      <c r="B801" s="530"/>
      <c r="C801" s="530"/>
      <c r="D801" s="531"/>
      <c r="E801" s="531"/>
      <c r="F801" s="531"/>
      <c r="G801" s="530"/>
      <c r="H801" s="530"/>
    </row>
    <row r="802">
      <c r="A802" s="527"/>
      <c r="B802" s="527"/>
      <c r="C802" s="527"/>
      <c r="D802" s="528"/>
      <c r="E802" s="528"/>
      <c r="F802" s="528"/>
      <c r="G802" s="527"/>
      <c r="H802" s="527"/>
    </row>
    <row r="803">
      <c r="A803" s="530"/>
      <c r="B803" s="530"/>
      <c r="C803" s="530"/>
      <c r="D803" s="531"/>
      <c r="E803" s="531"/>
      <c r="F803" s="531"/>
      <c r="G803" s="530"/>
      <c r="H803" s="530"/>
    </row>
    <row r="804">
      <c r="A804" s="527"/>
      <c r="B804" s="527"/>
      <c r="C804" s="527"/>
      <c r="D804" s="528"/>
      <c r="E804" s="528"/>
      <c r="F804" s="528"/>
      <c r="G804" s="527"/>
      <c r="H804" s="527"/>
    </row>
    <row r="805">
      <c r="A805" s="530"/>
      <c r="B805" s="530"/>
      <c r="C805" s="530"/>
      <c r="D805" s="531"/>
      <c r="E805" s="531"/>
      <c r="F805" s="531"/>
      <c r="G805" s="530"/>
      <c r="H805" s="530"/>
    </row>
    <row r="806">
      <c r="A806" s="527"/>
      <c r="B806" s="527"/>
      <c r="C806" s="527"/>
      <c r="D806" s="528"/>
      <c r="E806" s="528"/>
      <c r="F806" s="528"/>
      <c r="G806" s="527"/>
      <c r="H806" s="527"/>
    </row>
    <row r="807">
      <c r="A807" s="530"/>
      <c r="B807" s="530"/>
      <c r="C807" s="530"/>
      <c r="D807" s="531"/>
      <c r="E807" s="531"/>
      <c r="F807" s="531"/>
      <c r="G807" s="530"/>
      <c r="H807" s="530"/>
    </row>
    <row r="808">
      <c r="A808" s="527"/>
      <c r="B808" s="527"/>
      <c r="C808" s="527"/>
      <c r="D808" s="528"/>
      <c r="E808" s="528"/>
      <c r="F808" s="528"/>
      <c r="G808" s="527"/>
      <c r="H808" s="527"/>
    </row>
    <row r="809">
      <c r="A809" s="530"/>
      <c r="B809" s="530"/>
      <c r="C809" s="530"/>
      <c r="D809" s="531"/>
      <c r="E809" s="531"/>
      <c r="F809" s="531"/>
      <c r="G809" s="530"/>
      <c r="H809" s="530"/>
    </row>
    <row r="810">
      <c r="A810" s="527"/>
      <c r="B810" s="527"/>
      <c r="C810" s="527"/>
      <c r="D810" s="528"/>
      <c r="E810" s="528"/>
      <c r="F810" s="528"/>
      <c r="G810" s="527"/>
      <c r="H810" s="527"/>
    </row>
    <row r="811">
      <c r="A811" s="530"/>
      <c r="B811" s="530"/>
      <c r="C811" s="530"/>
      <c r="D811" s="531"/>
      <c r="E811" s="531"/>
      <c r="F811" s="531"/>
      <c r="G811" s="530"/>
      <c r="H811" s="530"/>
    </row>
    <row r="812">
      <c r="A812" s="527"/>
      <c r="B812" s="527"/>
      <c r="C812" s="527"/>
      <c r="D812" s="528"/>
      <c r="E812" s="528"/>
      <c r="F812" s="528"/>
      <c r="G812" s="527"/>
      <c r="H812" s="527"/>
    </row>
    <row r="813">
      <c r="A813" s="530"/>
      <c r="B813" s="530"/>
      <c r="C813" s="530"/>
      <c r="D813" s="531"/>
      <c r="E813" s="531"/>
      <c r="F813" s="531"/>
      <c r="G813" s="530"/>
      <c r="H813" s="530"/>
    </row>
    <row r="814">
      <c r="A814" s="527"/>
      <c r="B814" s="527"/>
      <c r="C814" s="527"/>
      <c r="D814" s="528"/>
      <c r="E814" s="528"/>
      <c r="F814" s="528"/>
      <c r="G814" s="527"/>
      <c r="H814" s="527"/>
    </row>
    <row r="815">
      <c r="A815" s="530"/>
      <c r="B815" s="530"/>
      <c r="C815" s="530"/>
      <c r="D815" s="531"/>
      <c r="E815" s="531"/>
      <c r="F815" s="531"/>
      <c r="G815" s="530"/>
      <c r="H815" s="530"/>
    </row>
    <row r="816">
      <c r="A816" s="527"/>
      <c r="B816" s="527"/>
      <c r="C816" s="527"/>
      <c r="D816" s="528"/>
      <c r="E816" s="528"/>
      <c r="F816" s="528"/>
      <c r="G816" s="527"/>
      <c r="H816" s="527"/>
    </row>
    <row r="817">
      <c r="A817" s="530"/>
      <c r="B817" s="530"/>
      <c r="C817" s="530"/>
      <c r="D817" s="531"/>
      <c r="E817" s="531"/>
      <c r="F817" s="531"/>
      <c r="G817" s="530"/>
      <c r="H817" s="530"/>
    </row>
    <row r="818">
      <c r="A818" s="527"/>
      <c r="B818" s="527"/>
      <c r="C818" s="527"/>
      <c r="D818" s="528"/>
      <c r="E818" s="528"/>
      <c r="F818" s="528"/>
      <c r="G818" s="527"/>
      <c r="H818" s="527"/>
    </row>
    <row r="819">
      <c r="A819" s="530"/>
      <c r="B819" s="530"/>
      <c r="C819" s="530"/>
      <c r="D819" s="531"/>
      <c r="E819" s="531"/>
      <c r="F819" s="531"/>
      <c r="G819" s="530"/>
      <c r="H819" s="530"/>
    </row>
    <row r="820">
      <c r="A820" s="527"/>
      <c r="B820" s="527"/>
      <c r="C820" s="527"/>
      <c r="D820" s="528"/>
      <c r="E820" s="528"/>
      <c r="F820" s="528"/>
      <c r="G820" s="527"/>
      <c r="H820" s="527"/>
    </row>
    <row r="821">
      <c r="A821" s="530"/>
      <c r="B821" s="530"/>
      <c r="C821" s="530"/>
      <c r="D821" s="531"/>
      <c r="E821" s="531"/>
      <c r="F821" s="531"/>
      <c r="G821" s="530"/>
      <c r="H821" s="530"/>
    </row>
    <row r="822">
      <c r="A822" s="527"/>
      <c r="B822" s="527"/>
      <c r="C822" s="527"/>
      <c r="D822" s="528"/>
      <c r="E822" s="528"/>
      <c r="F822" s="528"/>
      <c r="G822" s="527"/>
      <c r="H822" s="527"/>
    </row>
    <row r="823">
      <c r="A823" s="530"/>
      <c r="B823" s="530"/>
      <c r="C823" s="530"/>
      <c r="D823" s="531"/>
      <c r="E823" s="531"/>
      <c r="F823" s="531"/>
      <c r="G823" s="530"/>
      <c r="H823" s="530"/>
    </row>
    <row r="824">
      <c r="A824" s="527"/>
      <c r="B824" s="527"/>
      <c r="C824" s="527"/>
      <c r="D824" s="528"/>
      <c r="E824" s="528"/>
      <c r="F824" s="528"/>
      <c r="G824" s="527"/>
      <c r="H824" s="527"/>
    </row>
    <row r="825">
      <c r="A825" s="530"/>
      <c r="B825" s="530"/>
      <c r="C825" s="530"/>
      <c r="D825" s="531"/>
      <c r="E825" s="531"/>
      <c r="F825" s="531"/>
      <c r="G825" s="530"/>
      <c r="H825" s="530"/>
    </row>
    <row r="826">
      <c r="A826" s="527"/>
      <c r="B826" s="527"/>
      <c r="C826" s="527"/>
      <c r="D826" s="528"/>
      <c r="E826" s="528"/>
      <c r="F826" s="528"/>
      <c r="G826" s="527"/>
      <c r="H826" s="527"/>
    </row>
    <row r="827">
      <c r="A827" s="530"/>
      <c r="B827" s="530"/>
      <c r="C827" s="530"/>
      <c r="D827" s="531"/>
      <c r="E827" s="531"/>
      <c r="F827" s="531"/>
      <c r="G827" s="530"/>
      <c r="H827" s="530"/>
    </row>
    <row r="828">
      <c r="A828" s="527"/>
      <c r="B828" s="527"/>
      <c r="C828" s="527"/>
      <c r="D828" s="528"/>
      <c r="E828" s="528"/>
      <c r="F828" s="528"/>
      <c r="G828" s="527"/>
      <c r="H828" s="527"/>
    </row>
    <row r="829">
      <c r="A829" s="530"/>
      <c r="B829" s="530"/>
      <c r="C829" s="530"/>
      <c r="D829" s="531"/>
      <c r="E829" s="531"/>
      <c r="F829" s="531"/>
      <c r="G829" s="530"/>
      <c r="H829" s="530"/>
    </row>
    <row r="830">
      <c r="A830" s="527"/>
      <c r="B830" s="527"/>
      <c r="C830" s="527"/>
      <c r="D830" s="528"/>
      <c r="E830" s="528"/>
      <c r="F830" s="528"/>
      <c r="G830" s="527"/>
      <c r="H830" s="527"/>
    </row>
    <row r="831">
      <c r="A831" s="530"/>
      <c r="B831" s="530"/>
      <c r="C831" s="530"/>
      <c r="D831" s="531"/>
      <c r="E831" s="531"/>
      <c r="F831" s="531"/>
      <c r="G831" s="530"/>
      <c r="H831" s="530"/>
    </row>
    <row r="832">
      <c r="A832" s="527"/>
      <c r="B832" s="527"/>
      <c r="C832" s="527"/>
      <c r="D832" s="528"/>
      <c r="E832" s="528"/>
      <c r="F832" s="528"/>
      <c r="G832" s="527"/>
      <c r="H832" s="527"/>
    </row>
    <row r="833">
      <c r="A833" s="530"/>
      <c r="B833" s="530"/>
      <c r="C833" s="530"/>
      <c r="D833" s="531"/>
      <c r="E833" s="531"/>
      <c r="F833" s="531"/>
      <c r="G833" s="530"/>
      <c r="H833" s="530"/>
    </row>
    <row r="834">
      <c r="A834" s="527"/>
      <c r="B834" s="527"/>
      <c r="C834" s="527"/>
      <c r="D834" s="528"/>
      <c r="E834" s="528"/>
      <c r="F834" s="528"/>
      <c r="G834" s="527"/>
      <c r="H834" s="527"/>
    </row>
    <row r="835">
      <c r="A835" s="530"/>
      <c r="B835" s="530"/>
      <c r="C835" s="530"/>
      <c r="D835" s="531"/>
      <c r="E835" s="531"/>
      <c r="F835" s="531"/>
      <c r="G835" s="530"/>
      <c r="H835" s="530"/>
    </row>
    <row r="836">
      <c r="A836" s="527"/>
      <c r="B836" s="527"/>
      <c r="C836" s="527"/>
      <c r="D836" s="528"/>
      <c r="E836" s="528"/>
      <c r="F836" s="528"/>
      <c r="G836" s="527"/>
      <c r="H836" s="527"/>
    </row>
    <row r="837">
      <c r="A837" s="530"/>
      <c r="B837" s="530"/>
      <c r="C837" s="530"/>
      <c r="D837" s="531"/>
      <c r="E837" s="531"/>
      <c r="F837" s="531"/>
      <c r="G837" s="530"/>
      <c r="H837" s="530"/>
    </row>
    <row r="838">
      <c r="A838" s="527"/>
      <c r="B838" s="527"/>
      <c r="C838" s="527"/>
      <c r="D838" s="528"/>
      <c r="E838" s="528"/>
      <c r="F838" s="528"/>
      <c r="G838" s="527"/>
      <c r="H838" s="527"/>
    </row>
    <row r="839">
      <c r="A839" s="530"/>
      <c r="B839" s="530"/>
      <c r="C839" s="530"/>
      <c r="D839" s="531"/>
      <c r="E839" s="531"/>
      <c r="F839" s="531"/>
      <c r="G839" s="530"/>
      <c r="H839" s="530"/>
    </row>
    <row r="840">
      <c r="A840" s="527"/>
      <c r="B840" s="527"/>
      <c r="C840" s="527"/>
      <c r="D840" s="528"/>
      <c r="E840" s="528"/>
      <c r="F840" s="528"/>
      <c r="G840" s="527"/>
      <c r="H840" s="527"/>
    </row>
    <row r="841">
      <c r="A841" s="530"/>
      <c r="B841" s="530"/>
      <c r="C841" s="530"/>
      <c r="D841" s="531"/>
      <c r="E841" s="531"/>
      <c r="F841" s="531"/>
      <c r="G841" s="530"/>
      <c r="H841" s="530"/>
    </row>
    <row r="842">
      <c r="A842" s="527"/>
      <c r="B842" s="527"/>
      <c r="C842" s="527"/>
      <c r="D842" s="528"/>
      <c r="E842" s="528"/>
      <c r="F842" s="528"/>
      <c r="G842" s="527"/>
      <c r="H842" s="527"/>
    </row>
    <row r="843">
      <c r="A843" s="530"/>
      <c r="B843" s="530"/>
      <c r="C843" s="530"/>
      <c r="D843" s="531"/>
      <c r="E843" s="531"/>
      <c r="F843" s="531"/>
      <c r="G843" s="530"/>
      <c r="H843" s="530"/>
    </row>
    <row r="844">
      <c r="A844" s="527"/>
      <c r="B844" s="527"/>
      <c r="C844" s="527"/>
      <c r="D844" s="528"/>
      <c r="E844" s="528"/>
      <c r="F844" s="528"/>
      <c r="G844" s="527"/>
      <c r="H844" s="527"/>
    </row>
    <row r="845">
      <c r="A845" s="530"/>
      <c r="B845" s="530"/>
      <c r="C845" s="530"/>
      <c r="D845" s="531"/>
      <c r="E845" s="531"/>
      <c r="F845" s="531"/>
      <c r="G845" s="530"/>
      <c r="H845" s="530"/>
    </row>
    <row r="846">
      <c r="A846" s="527"/>
      <c r="B846" s="527"/>
      <c r="C846" s="527"/>
      <c r="D846" s="528"/>
      <c r="E846" s="528"/>
      <c r="F846" s="528"/>
      <c r="G846" s="527"/>
      <c r="H846" s="527"/>
    </row>
    <row r="847">
      <c r="A847" s="530"/>
      <c r="B847" s="530"/>
      <c r="C847" s="530"/>
      <c r="D847" s="531"/>
      <c r="E847" s="531"/>
      <c r="F847" s="531"/>
      <c r="G847" s="530"/>
      <c r="H847" s="530"/>
    </row>
    <row r="848">
      <c r="A848" s="527"/>
      <c r="B848" s="527"/>
      <c r="C848" s="527"/>
      <c r="D848" s="528"/>
      <c r="E848" s="528"/>
      <c r="F848" s="528"/>
      <c r="G848" s="527"/>
      <c r="H848" s="527"/>
    </row>
    <row r="849">
      <c r="A849" s="530"/>
      <c r="B849" s="530"/>
      <c r="C849" s="530"/>
      <c r="D849" s="531"/>
      <c r="E849" s="531"/>
      <c r="F849" s="531"/>
      <c r="G849" s="530"/>
      <c r="H849" s="530"/>
    </row>
    <row r="850">
      <c r="A850" s="527"/>
      <c r="B850" s="527"/>
      <c r="C850" s="527"/>
      <c r="D850" s="528"/>
      <c r="E850" s="528"/>
      <c r="F850" s="528"/>
      <c r="G850" s="527"/>
      <c r="H850" s="527"/>
    </row>
    <row r="851">
      <c r="A851" s="530"/>
      <c r="B851" s="530"/>
      <c r="C851" s="530"/>
      <c r="D851" s="531"/>
      <c r="E851" s="531"/>
      <c r="F851" s="531"/>
      <c r="G851" s="530"/>
      <c r="H851" s="530"/>
    </row>
    <row r="852">
      <c r="A852" s="527"/>
      <c r="B852" s="527"/>
      <c r="C852" s="527"/>
      <c r="D852" s="528"/>
      <c r="E852" s="528"/>
      <c r="F852" s="528"/>
      <c r="G852" s="527"/>
      <c r="H852" s="527"/>
    </row>
    <row r="853">
      <c r="A853" s="530"/>
      <c r="B853" s="530"/>
      <c r="C853" s="530"/>
      <c r="D853" s="531"/>
      <c r="E853" s="531"/>
      <c r="F853" s="531"/>
      <c r="G853" s="530"/>
      <c r="H853" s="530"/>
    </row>
    <row r="854">
      <c r="A854" s="527"/>
      <c r="B854" s="527"/>
      <c r="C854" s="527"/>
      <c r="D854" s="528"/>
      <c r="E854" s="528"/>
      <c r="F854" s="528"/>
      <c r="G854" s="527"/>
      <c r="H854" s="527"/>
    </row>
    <row r="855">
      <c r="A855" s="530"/>
      <c r="B855" s="530"/>
      <c r="C855" s="530"/>
      <c r="D855" s="531"/>
      <c r="E855" s="531"/>
      <c r="F855" s="531"/>
      <c r="G855" s="530"/>
      <c r="H855" s="530"/>
    </row>
    <row r="856">
      <c r="A856" s="527"/>
      <c r="B856" s="527"/>
      <c r="C856" s="527"/>
      <c r="D856" s="528"/>
      <c r="E856" s="528"/>
      <c r="F856" s="528"/>
      <c r="G856" s="527"/>
      <c r="H856" s="527"/>
    </row>
    <row r="857">
      <c r="A857" s="530"/>
      <c r="B857" s="530"/>
      <c r="C857" s="530"/>
      <c r="D857" s="531"/>
      <c r="E857" s="531"/>
      <c r="F857" s="531"/>
      <c r="G857" s="530"/>
      <c r="H857" s="530"/>
    </row>
    <row r="858">
      <c r="A858" s="527"/>
      <c r="B858" s="527"/>
      <c r="C858" s="527"/>
      <c r="D858" s="528"/>
      <c r="E858" s="528"/>
      <c r="F858" s="528"/>
      <c r="G858" s="527"/>
      <c r="H858" s="527"/>
    </row>
    <row r="859">
      <c r="A859" s="530"/>
      <c r="B859" s="530"/>
      <c r="C859" s="530"/>
      <c r="D859" s="531"/>
      <c r="E859" s="531"/>
      <c r="F859" s="531"/>
      <c r="G859" s="530"/>
      <c r="H859" s="530"/>
    </row>
    <row r="860">
      <c r="A860" s="527"/>
      <c r="B860" s="527"/>
      <c r="C860" s="527"/>
      <c r="D860" s="528"/>
      <c r="E860" s="528"/>
      <c r="F860" s="528"/>
      <c r="G860" s="527"/>
      <c r="H860" s="527"/>
    </row>
    <row r="861">
      <c r="A861" s="530"/>
      <c r="B861" s="530"/>
      <c r="C861" s="530"/>
      <c r="D861" s="531"/>
      <c r="E861" s="531"/>
      <c r="F861" s="531"/>
      <c r="G861" s="530"/>
      <c r="H861" s="530"/>
    </row>
    <row r="862">
      <c r="A862" s="527"/>
      <c r="B862" s="527"/>
      <c r="C862" s="527"/>
      <c r="D862" s="528"/>
      <c r="E862" s="528"/>
      <c r="F862" s="528"/>
      <c r="G862" s="527"/>
      <c r="H862" s="527"/>
    </row>
    <row r="863">
      <c r="A863" s="530"/>
      <c r="B863" s="530"/>
      <c r="C863" s="530"/>
      <c r="D863" s="531"/>
      <c r="E863" s="531"/>
      <c r="F863" s="531"/>
      <c r="G863" s="530"/>
      <c r="H863" s="530"/>
    </row>
    <row r="864">
      <c r="A864" s="527"/>
      <c r="B864" s="527"/>
      <c r="C864" s="527"/>
      <c r="D864" s="528"/>
      <c r="E864" s="528"/>
      <c r="F864" s="528"/>
      <c r="G864" s="527"/>
      <c r="H864" s="527"/>
    </row>
    <row r="865">
      <c r="A865" s="530"/>
      <c r="B865" s="530"/>
      <c r="C865" s="530"/>
      <c r="D865" s="531"/>
      <c r="E865" s="531"/>
      <c r="F865" s="531"/>
      <c r="G865" s="530"/>
      <c r="H865" s="530"/>
    </row>
    <row r="866">
      <c r="A866" s="527"/>
      <c r="B866" s="527"/>
      <c r="C866" s="527"/>
      <c r="D866" s="528"/>
      <c r="E866" s="528"/>
      <c r="F866" s="528"/>
      <c r="G866" s="527"/>
      <c r="H866" s="527"/>
    </row>
    <row r="867">
      <c r="A867" s="530"/>
      <c r="B867" s="530"/>
      <c r="C867" s="530"/>
      <c r="D867" s="531"/>
      <c r="E867" s="531"/>
      <c r="F867" s="531"/>
      <c r="G867" s="530"/>
      <c r="H867" s="530"/>
    </row>
    <row r="868">
      <c r="A868" s="527"/>
      <c r="B868" s="527"/>
      <c r="C868" s="527"/>
      <c r="D868" s="528"/>
      <c r="E868" s="528"/>
      <c r="F868" s="528"/>
      <c r="G868" s="527"/>
      <c r="H868" s="527"/>
    </row>
    <row r="869">
      <c r="A869" s="530"/>
      <c r="B869" s="530"/>
      <c r="C869" s="530"/>
      <c r="D869" s="531"/>
      <c r="E869" s="531"/>
      <c r="F869" s="531"/>
      <c r="G869" s="530"/>
      <c r="H869" s="530"/>
    </row>
    <row r="870">
      <c r="A870" s="527"/>
      <c r="B870" s="527"/>
      <c r="C870" s="527"/>
      <c r="D870" s="528"/>
      <c r="E870" s="528"/>
      <c r="F870" s="528"/>
      <c r="G870" s="527"/>
      <c r="H870" s="527"/>
    </row>
    <row r="871">
      <c r="A871" s="530"/>
      <c r="B871" s="530"/>
      <c r="C871" s="530"/>
      <c r="D871" s="531"/>
      <c r="E871" s="531"/>
      <c r="F871" s="531"/>
      <c r="G871" s="530"/>
      <c r="H871" s="530"/>
    </row>
    <row r="872">
      <c r="A872" s="527"/>
      <c r="B872" s="527"/>
      <c r="C872" s="527"/>
      <c r="D872" s="528"/>
      <c r="E872" s="528"/>
      <c r="F872" s="528"/>
      <c r="G872" s="527"/>
      <c r="H872" s="527"/>
    </row>
    <row r="873">
      <c r="A873" s="530"/>
      <c r="B873" s="530"/>
      <c r="C873" s="530"/>
      <c r="D873" s="531"/>
      <c r="E873" s="531"/>
      <c r="F873" s="531"/>
      <c r="G873" s="530"/>
      <c r="H873" s="530"/>
    </row>
    <row r="874">
      <c r="A874" s="527"/>
      <c r="B874" s="527"/>
      <c r="C874" s="527"/>
      <c r="D874" s="528"/>
      <c r="E874" s="528"/>
      <c r="F874" s="528"/>
      <c r="G874" s="527"/>
      <c r="H874" s="527"/>
    </row>
    <row r="875">
      <c r="A875" s="530"/>
      <c r="B875" s="530"/>
      <c r="C875" s="530"/>
      <c r="D875" s="531"/>
      <c r="E875" s="531"/>
      <c r="F875" s="531"/>
      <c r="G875" s="530"/>
      <c r="H875" s="530"/>
    </row>
    <row r="876">
      <c r="A876" s="527"/>
      <c r="B876" s="527"/>
      <c r="C876" s="527"/>
      <c r="D876" s="528"/>
      <c r="E876" s="528"/>
      <c r="F876" s="528"/>
      <c r="G876" s="527"/>
      <c r="H876" s="527"/>
    </row>
    <row r="877">
      <c r="A877" s="530"/>
      <c r="B877" s="530"/>
      <c r="C877" s="530"/>
      <c r="D877" s="531"/>
      <c r="E877" s="531"/>
      <c r="F877" s="531"/>
      <c r="G877" s="530"/>
      <c r="H877" s="530"/>
    </row>
    <row r="878">
      <c r="A878" s="527"/>
      <c r="B878" s="527"/>
      <c r="C878" s="527"/>
      <c r="D878" s="528"/>
      <c r="E878" s="528"/>
      <c r="F878" s="528"/>
      <c r="G878" s="527"/>
      <c r="H878" s="527"/>
    </row>
    <row r="879">
      <c r="A879" s="530"/>
      <c r="B879" s="530"/>
      <c r="C879" s="530"/>
      <c r="D879" s="531"/>
      <c r="E879" s="531"/>
      <c r="F879" s="531"/>
      <c r="G879" s="530"/>
      <c r="H879" s="530"/>
    </row>
    <row r="880">
      <c r="A880" s="527"/>
      <c r="B880" s="527"/>
      <c r="C880" s="527"/>
      <c r="D880" s="528"/>
      <c r="E880" s="528"/>
      <c r="F880" s="528"/>
      <c r="G880" s="527"/>
      <c r="H880" s="527"/>
    </row>
    <row r="881">
      <c r="A881" s="530"/>
      <c r="B881" s="530"/>
      <c r="C881" s="530"/>
      <c r="D881" s="531"/>
      <c r="E881" s="531"/>
      <c r="F881" s="531"/>
      <c r="G881" s="530"/>
      <c r="H881" s="530"/>
    </row>
    <row r="882">
      <c r="A882" s="527"/>
      <c r="B882" s="527"/>
      <c r="C882" s="527"/>
      <c r="D882" s="528"/>
      <c r="E882" s="528"/>
      <c r="F882" s="528"/>
      <c r="G882" s="527"/>
      <c r="H882" s="527"/>
    </row>
    <row r="883">
      <c r="A883" s="530"/>
      <c r="B883" s="530"/>
      <c r="C883" s="530"/>
      <c r="D883" s="531"/>
      <c r="E883" s="531"/>
      <c r="F883" s="531"/>
      <c r="G883" s="530"/>
      <c r="H883" s="530"/>
    </row>
    <row r="884">
      <c r="A884" s="527"/>
      <c r="B884" s="527"/>
      <c r="C884" s="527"/>
      <c r="D884" s="528"/>
      <c r="E884" s="528"/>
      <c r="F884" s="528"/>
      <c r="G884" s="527"/>
      <c r="H884" s="527"/>
    </row>
    <row r="885">
      <c r="A885" s="530"/>
      <c r="B885" s="530"/>
      <c r="C885" s="530"/>
      <c r="D885" s="531"/>
      <c r="E885" s="531"/>
      <c r="F885" s="531"/>
      <c r="G885" s="530"/>
      <c r="H885" s="530"/>
    </row>
    <row r="886">
      <c r="A886" s="527"/>
      <c r="B886" s="527"/>
      <c r="C886" s="527"/>
      <c r="D886" s="528"/>
      <c r="E886" s="528"/>
      <c r="F886" s="528"/>
      <c r="G886" s="527"/>
      <c r="H886" s="527"/>
    </row>
    <row r="887">
      <c r="A887" s="530"/>
      <c r="B887" s="530"/>
      <c r="C887" s="530"/>
      <c r="D887" s="531"/>
      <c r="E887" s="531"/>
      <c r="F887" s="531"/>
      <c r="G887" s="530"/>
      <c r="H887" s="530"/>
    </row>
    <row r="888">
      <c r="A888" s="527"/>
      <c r="B888" s="527"/>
      <c r="C888" s="527"/>
      <c r="D888" s="528"/>
      <c r="E888" s="528"/>
      <c r="F888" s="528"/>
      <c r="G888" s="527"/>
      <c r="H888" s="527"/>
    </row>
    <row r="889">
      <c r="A889" s="530"/>
      <c r="B889" s="530"/>
      <c r="C889" s="530"/>
      <c r="D889" s="531"/>
      <c r="E889" s="531"/>
      <c r="F889" s="531"/>
      <c r="G889" s="530"/>
      <c r="H889" s="530"/>
    </row>
    <row r="890">
      <c r="A890" s="527"/>
      <c r="B890" s="527"/>
      <c r="C890" s="527"/>
      <c r="D890" s="528"/>
      <c r="E890" s="528"/>
      <c r="F890" s="528"/>
      <c r="G890" s="527"/>
      <c r="H890" s="527"/>
    </row>
    <row r="891">
      <c r="A891" s="530"/>
      <c r="B891" s="530"/>
      <c r="C891" s="530"/>
      <c r="D891" s="531"/>
      <c r="E891" s="531"/>
      <c r="F891" s="531"/>
      <c r="G891" s="530"/>
      <c r="H891" s="530"/>
    </row>
    <row r="892">
      <c r="A892" s="527"/>
      <c r="B892" s="527"/>
      <c r="C892" s="527"/>
      <c r="D892" s="528"/>
      <c r="E892" s="528"/>
      <c r="F892" s="528"/>
      <c r="G892" s="527"/>
      <c r="H892" s="527"/>
    </row>
    <row r="893">
      <c r="A893" s="530"/>
      <c r="B893" s="530"/>
      <c r="C893" s="530"/>
      <c r="D893" s="531"/>
      <c r="E893" s="531"/>
      <c r="F893" s="531"/>
      <c r="G893" s="530"/>
      <c r="H893" s="530"/>
    </row>
    <row r="894">
      <c r="A894" s="527"/>
      <c r="B894" s="527"/>
      <c r="C894" s="527"/>
      <c r="D894" s="528"/>
      <c r="E894" s="528"/>
      <c r="F894" s="528"/>
      <c r="G894" s="527"/>
      <c r="H894" s="527"/>
    </row>
    <row r="895">
      <c r="A895" s="530"/>
      <c r="B895" s="530"/>
      <c r="C895" s="530"/>
      <c r="D895" s="531"/>
      <c r="E895" s="531"/>
      <c r="F895" s="531"/>
      <c r="G895" s="530"/>
      <c r="H895" s="530"/>
    </row>
    <row r="896">
      <c r="A896" s="527"/>
      <c r="B896" s="527"/>
      <c r="C896" s="527"/>
      <c r="D896" s="528"/>
      <c r="E896" s="528"/>
      <c r="F896" s="528"/>
      <c r="G896" s="527"/>
      <c r="H896" s="527"/>
    </row>
    <row r="897">
      <c r="A897" s="530"/>
      <c r="B897" s="530"/>
      <c r="C897" s="530"/>
      <c r="D897" s="531"/>
      <c r="E897" s="531"/>
      <c r="F897" s="531"/>
      <c r="G897" s="530"/>
      <c r="H897" s="530"/>
    </row>
    <row r="898">
      <c r="A898" s="527"/>
      <c r="B898" s="527"/>
      <c r="C898" s="527"/>
      <c r="D898" s="528"/>
      <c r="E898" s="528"/>
      <c r="F898" s="528"/>
      <c r="G898" s="527"/>
      <c r="H898" s="527"/>
    </row>
    <row r="899">
      <c r="A899" s="530"/>
      <c r="B899" s="530"/>
      <c r="C899" s="530"/>
      <c r="D899" s="531"/>
      <c r="E899" s="531"/>
      <c r="F899" s="531"/>
      <c r="G899" s="530"/>
      <c r="H899" s="530"/>
    </row>
    <row r="900">
      <c r="A900" s="527"/>
      <c r="B900" s="527"/>
      <c r="C900" s="527"/>
      <c r="D900" s="528"/>
      <c r="E900" s="528"/>
      <c r="F900" s="528"/>
      <c r="G900" s="527"/>
      <c r="H900" s="527"/>
    </row>
    <row r="901">
      <c r="A901" s="530"/>
      <c r="B901" s="530"/>
      <c r="C901" s="530"/>
      <c r="D901" s="531"/>
      <c r="E901" s="531"/>
      <c r="F901" s="531"/>
      <c r="G901" s="530"/>
      <c r="H901" s="530"/>
    </row>
    <row r="902">
      <c r="A902" s="527"/>
      <c r="B902" s="527"/>
      <c r="C902" s="527"/>
      <c r="D902" s="528"/>
      <c r="E902" s="528"/>
      <c r="F902" s="528"/>
      <c r="G902" s="527"/>
      <c r="H902" s="527"/>
    </row>
    <row r="903">
      <c r="A903" s="530"/>
      <c r="B903" s="530"/>
      <c r="C903" s="530"/>
      <c r="D903" s="531"/>
      <c r="E903" s="531"/>
      <c r="F903" s="531"/>
      <c r="G903" s="530"/>
      <c r="H903" s="530"/>
    </row>
    <row r="904">
      <c r="A904" s="527"/>
      <c r="B904" s="527"/>
      <c r="C904" s="527"/>
      <c r="D904" s="528"/>
      <c r="E904" s="528"/>
      <c r="F904" s="528"/>
      <c r="G904" s="527"/>
      <c r="H904" s="527"/>
    </row>
    <row r="905">
      <c r="A905" s="530"/>
      <c r="B905" s="530"/>
      <c r="C905" s="530"/>
      <c r="D905" s="531"/>
      <c r="E905" s="531"/>
      <c r="F905" s="531"/>
      <c r="G905" s="530"/>
      <c r="H905" s="530"/>
    </row>
    <row r="906">
      <c r="A906" s="527"/>
      <c r="B906" s="527"/>
      <c r="C906" s="527"/>
      <c r="D906" s="528"/>
      <c r="E906" s="528"/>
      <c r="F906" s="528"/>
      <c r="G906" s="527"/>
      <c r="H906" s="527"/>
    </row>
    <row r="907">
      <c r="A907" s="530"/>
      <c r="B907" s="530"/>
      <c r="C907" s="530"/>
      <c r="D907" s="531"/>
      <c r="E907" s="531"/>
      <c r="F907" s="531"/>
      <c r="G907" s="530"/>
      <c r="H907" s="530"/>
    </row>
    <row r="908">
      <c r="A908" s="527"/>
      <c r="B908" s="527"/>
      <c r="C908" s="527"/>
      <c r="D908" s="528"/>
      <c r="E908" s="528"/>
      <c r="F908" s="528"/>
      <c r="G908" s="527"/>
      <c r="H908" s="527"/>
    </row>
    <row r="909">
      <c r="A909" s="530"/>
      <c r="B909" s="530"/>
      <c r="C909" s="530"/>
      <c r="D909" s="531"/>
      <c r="E909" s="531"/>
      <c r="F909" s="531"/>
      <c r="G909" s="530"/>
      <c r="H909" s="530"/>
    </row>
    <row r="910">
      <c r="A910" s="527"/>
      <c r="B910" s="527"/>
      <c r="C910" s="527"/>
      <c r="D910" s="528"/>
      <c r="E910" s="528"/>
      <c r="F910" s="528"/>
      <c r="G910" s="527"/>
      <c r="H910" s="527"/>
    </row>
    <row r="911">
      <c r="A911" s="530"/>
      <c r="B911" s="530"/>
      <c r="C911" s="530"/>
      <c r="D911" s="531"/>
      <c r="E911" s="531"/>
      <c r="F911" s="531"/>
      <c r="G911" s="530"/>
      <c r="H911" s="530"/>
    </row>
    <row r="912">
      <c r="A912" s="527"/>
      <c r="B912" s="527"/>
      <c r="C912" s="527"/>
      <c r="D912" s="528"/>
      <c r="E912" s="528"/>
      <c r="F912" s="528"/>
      <c r="G912" s="527"/>
      <c r="H912" s="527"/>
    </row>
    <row r="913">
      <c r="A913" s="530"/>
      <c r="B913" s="530"/>
      <c r="C913" s="530"/>
      <c r="D913" s="531"/>
      <c r="E913" s="531"/>
      <c r="F913" s="531"/>
      <c r="G913" s="530"/>
      <c r="H913" s="530"/>
    </row>
    <row r="914">
      <c r="A914" s="527"/>
      <c r="B914" s="527"/>
      <c r="C914" s="527"/>
      <c r="D914" s="528"/>
      <c r="E914" s="528"/>
      <c r="F914" s="528"/>
      <c r="G914" s="527"/>
      <c r="H914" s="527"/>
    </row>
    <row r="915">
      <c r="A915" s="530"/>
      <c r="B915" s="530"/>
      <c r="C915" s="530"/>
      <c r="D915" s="531"/>
      <c r="E915" s="531"/>
      <c r="F915" s="531"/>
      <c r="G915" s="530"/>
      <c r="H915" s="530"/>
    </row>
    <row r="916">
      <c r="A916" s="527"/>
      <c r="B916" s="527"/>
      <c r="C916" s="527"/>
      <c r="D916" s="528"/>
      <c r="E916" s="528"/>
      <c r="F916" s="528"/>
      <c r="G916" s="527"/>
      <c r="H916" s="527"/>
    </row>
    <row r="917">
      <c r="A917" s="530"/>
      <c r="B917" s="530"/>
      <c r="C917" s="530"/>
      <c r="D917" s="531"/>
      <c r="E917" s="531"/>
      <c r="F917" s="531"/>
      <c r="G917" s="530"/>
      <c r="H917" s="530"/>
    </row>
    <row r="918">
      <c r="A918" s="527"/>
      <c r="B918" s="527"/>
      <c r="C918" s="527"/>
      <c r="D918" s="528"/>
      <c r="E918" s="528"/>
      <c r="F918" s="528"/>
      <c r="G918" s="527"/>
      <c r="H918" s="527"/>
    </row>
    <row r="919">
      <c r="A919" s="530"/>
      <c r="B919" s="530"/>
      <c r="C919" s="530"/>
      <c r="D919" s="531"/>
      <c r="E919" s="531"/>
      <c r="F919" s="531"/>
      <c r="G919" s="530"/>
      <c r="H919" s="530"/>
    </row>
    <row r="920">
      <c r="A920" s="527"/>
      <c r="B920" s="527"/>
      <c r="C920" s="527"/>
      <c r="D920" s="528"/>
      <c r="E920" s="528"/>
      <c r="F920" s="528"/>
      <c r="G920" s="527"/>
      <c r="H920" s="527"/>
    </row>
    <row r="921">
      <c r="A921" s="530"/>
      <c r="B921" s="530"/>
      <c r="C921" s="530"/>
      <c r="D921" s="531"/>
      <c r="E921" s="531"/>
      <c r="F921" s="531"/>
      <c r="G921" s="530"/>
      <c r="H921" s="530"/>
    </row>
    <row r="922">
      <c r="A922" s="527"/>
      <c r="B922" s="527"/>
      <c r="C922" s="527"/>
      <c r="D922" s="528"/>
      <c r="E922" s="528"/>
      <c r="F922" s="528"/>
      <c r="G922" s="527"/>
      <c r="H922" s="527"/>
    </row>
    <row r="923">
      <c r="A923" s="530"/>
      <c r="B923" s="530"/>
      <c r="C923" s="530"/>
      <c r="D923" s="531"/>
      <c r="E923" s="531"/>
      <c r="F923" s="531"/>
      <c r="G923" s="530"/>
      <c r="H923" s="530"/>
    </row>
    <row r="924">
      <c r="A924" s="527"/>
      <c r="B924" s="527"/>
      <c r="C924" s="527"/>
      <c r="D924" s="528"/>
      <c r="E924" s="528"/>
      <c r="F924" s="528"/>
      <c r="G924" s="527"/>
      <c r="H924" s="527"/>
    </row>
    <row r="925">
      <c r="A925" s="530"/>
      <c r="B925" s="530"/>
      <c r="C925" s="530"/>
      <c r="D925" s="531"/>
      <c r="E925" s="531"/>
      <c r="F925" s="531"/>
      <c r="G925" s="530"/>
      <c r="H925" s="530"/>
    </row>
    <row r="926">
      <c r="A926" s="527"/>
      <c r="B926" s="527"/>
      <c r="C926" s="527"/>
      <c r="D926" s="528"/>
      <c r="E926" s="528"/>
      <c r="F926" s="528"/>
      <c r="G926" s="527"/>
      <c r="H926" s="527"/>
    </row>
    <row r="927">
      <c r="A927" s="530"/>
      <c r="B927" s="530"/>
      <c r="C927" s="530"/>
      <c r="D927" s="531"/>
      <c r="E927" s="531"/>
      <c r="F927" s="531"/>
      <c r="G927" s="530"/>
      <c r="H927" s="530"/>
    </row>
    <row r="928">
      <c r="A928" s="527"/>
      <c r="B928" s="527"/>
      <c r="C928" s="527"/>
      <c r="D928" s="528"/>
      <c r="E928" s="528"/>
      <c r="F928" s="528"/>
      <c r="G928" s="527"/>
      <c r="H928" s="527"/>
    </row>
    <row r="929">
      <c r="A929" s="530"/>
      <c r="B929" s="530"/>
      <c r="C929" s="530"/>
      <c r="D929" s="531"/>
      <c r="E929" s="531"/>
      <c r="F929" s="531"/>
      <c r="G929" s="530"/>
      <c r="H929" s="530"/>
    </row>
    <row r="930">
      <c r="A930" s="527"/>
      <c r="B930" s="527"/>
      <c r="C930" s="527"/>
      <c r="D930" s="528"/>
      <c r="E930" s="528"/>
      <c r="F930" s="528"/>
      <c r="G930" s="527"/>
      <c r="H930" s="527"/>
    </row>
    <row r="931">
      <c r="A931" s="530"/>
      <c r="B931" s="530"/>
      <c r="C931" s="530"/>
      <c r="D931" s="531"/>
      <c r="E931" s="531"/>
      <c r="F931" s="531"/>
      <c r="G931" s="530"/>
      <c r="H931" s="530"/>
    </row>
    <row r="932">
      <c r="A932" s="527"/>
      <c r="B932" s="527"/>
      <c r="C932" s="527"/>
      <c r="D932" s="528"/>
      <c r="E932" s="528"/>
      <c r="F932" s="528"/>
      <c r="G932" s="527"/>
      <c r="H932" s="527"/>
    </row>
    <row r="933">
      <c r="A933" s="530"/>
      <c r="B933" s="530"/>
      <c r="C933" s="530"/>
      <c r="D933" s="531"/>
      <c r="E933" s="531"/>
      <c r="F933" s="531"/>
      <c r="G933" s="530"/>
      <c r="H933" s="530"/>
    </row>
    <row r="934">
      <c r="A934" s="527"/>
      <c r="B934" s="527"/>
      <c r="C934" s="527"/>
      <c r="D934" s="528"/>
      <c r="E934" s="528"/>
      <c r="F934" s="528"/>
      <c r="G934" s="527"/>
      <c r="H934" s="527"/>
    </row>
    <row r="935">
      <c r="A935" s="530"/>
      <c r="B935" s="530"/>
      <c r="C935" s="530"/>
      <c r="D935" s="531"/>
      <c r="E935" s="531"/>
      <c r="F935" s="531"/>
      <c r="G935" s="530"/>
      <c r="H935" s="530"/>
    </row>
    <row r="936">
      <c r="A936" s="527"/>
      <c r="B936" s="527"/>
      <c r="C936" s="527"/>
      <c r="D936" s="528"/>
      <c r="E936" s="528"/>
      <c r="F936" s="528"/>
      <c r="G936" s="527"/>
      <c r="H936" s="527"/>
    </row>
    <row r="937">
      <c r="A937" s="530"/>
      <c r="B937" s="530"/>
      <c r="C937" s="530"/>
      <c r="D937" s="531"/>
      <c r="E937" s="531"/>
      <c r="F937" s="531"/>
      <c r="G937" s="530"/>
      <c r="H937" s="530"/>
    </row>
    <row r="938">
      <c r="A938" s="527"/>
      <c r="B938" s="527"/>
      <c r="C938" s="527"/>
      <c r="D938" s="528"/>
      <c r="E938" s="528"/>
      <c r="F938" s="528"/>
      <c r="G938" s="527"/>
      <c r="H938" s="527"/>
    </row>
    <row r="939">
      <c r="A939" s="530"/>
      <c r="B939" s="530"/>
      <c r="C939" s="530"/>
      <c r="D939" s="531"/>
      <c r="E939" s="531"/>
      <c r="F939" s="531"/>
      <c r="G939" s="530"/>
      <c r="H939" s="530"/>
    </row>
    <row r="940">
      <c r="A940" s="527"/>
      <c r="B940" s="527"/>
      <c r="C940" s="527"/>
      <c r="D940" s="528"/>
      <c r="E940" s="528"/>
      <c r="F940" s="528"/>
      <c r="G940" s="527"/>
      <c r="H940" s="527"/>
    </row>
    <row r="941">
      <c r="A941" s="530"/>
      <c r="B941" s="530"/>
      <c r="C941" s="530"/>
      <c r="D941" s="531"/>
      <c r="E941" s="531"/>
      <c r="F941" s="531"/>
      <c r="G941" s="530"/>
      <c r="H941" s="530"/>
    </row>
    <row r="942">
      <c r="A942" s="527"/>
      <c r="B942" s="527"/>
      <c r="C942" s="527"/>
      <c r="D942" s="528"/>
      <c r="E942" s="528"/>
      <c r="F942" s="528"/>
      <c r="G942" s="527"/>
      <c r="H942" s="527"/>
    </row>
    <row r="943">
      <c r="A943" s="530"/>
      <c r="B943" s="530"/>
      <c r="C943" s="530"/>
      <c r="D943" s="531"/>
      <c r="E943" s="531"/>
      <c r="F943" s="531"/>
      <c r="G943" s="530"/>
      <c r="H943" s="530"/>
    </row>
    <row r="944">
      <c r="A944" s="527"/>
      <c r="B944" s="527"/>
      <c r="C944" s="527"/>
      <c r="D944" s="528"/>
      <c r="E944" s="528"/>
      <c r="F944" s="528"/>
      <c r="G944" s="527"/>
      <c r="H944" s="527"/>
    </row>
    <row r="945">
      <c r="A945" s="530"/>
      <c r="B945" s="530"/>
      <c r="C945" s="530"/>
      <c r="D945" s="531"/>
      <c r="E945" s="531"/>
      <c r="F945" s="531"/>
      <c r="G945" s="530"/>
      <c r="H945" s="530"/>
    </row>
    <row r="946">
      <c r="A946" s="527"/>
      <c r="B946" s="527"/>
      <c r="C946" s="527"/>
      <c r="D946" s="528"/>
      <c r="E946" s="528"/>
      <c r="F946" s="528"/>
      <c r="G946" s="527"/>
      <c r="H946" s="527"/>
    </row>
    <row r="947">
      <c r="A947" s="530"/>
      <c r="B947" s="530"/>
      <c r="C947" s="530"/>
      <c r="D947" s="531"/>
      <c r="E947" s="531"/>
      <c r="F947" s="531"/>
      <c r="G947" s="530"/>
      <c r="H947" s="530"/>
    </row>
    <row r="948">
      <c r="A948" s="527"/>
      <c r="B948" s="527"/>
      <c r="C948" s="527"/>
      <c r="D948" s="528"/>
      <c r="E948" s="528"/>
      <c r="F948" s="528"/>
      <c r="G948" s="527"/>
      <c r="H948" s="527"/>
    </row>
    <row r="949">
      <c r="A949" s="530"/>
      <c r="B949" s="530"/>
      <c r="C949" s="530"/>
      <c r="D949" s="531"/>
      <c r="E949" s="531"/>
      <c r="F949" s="531"/>
      <c r="G949" s="530"/>
      <c r="H949" s="530"/>
    </row>
    <row r="950">
      <c r="A950" s="527"/>
      <c r="B950" s="527"/>
      <c r="C950" s="527"/>
      <c r="D950" s="528"/>
      <c r="E950" s="528"/>
      <c r="F950" s="528"/>
      <c r="G950" s="527"/>
      <c r="H950" s="527"/>
    </row>
    <row r="951">
      <c r="A951" s="530"/>
      <c r="B951" s="530"/>
      <c r="C951" s="530"/>
      <c r="D951" s="531"/>
      <c r="E951" s="531"/>
      <c r="F951" s="531"/>
      <c r="G951" s="530"/>
      <c r="H951" s="530"/>
    </row>
    <row r="952">
      <c r="A952" s="527"/>
      <c r="B952" s="527"/>
      <c r="C952" s="527"/>
      <c r="D952" s="528"/>
      <c r="E952" s="528"/>
      <c r="F952" s="528"/>
      <c r="G952" s="527"/>
      <c r="H952" s="527"/>
    </row>
    <row r="953">
      <c r="A953" s="530"/>
      <c r="B953" s="530"/>
      <c r="C953" s="530"/>
      <c r="D953" s="531"/>
      <c r="E953" s="531"/>
      <c r="F953" s="531"/>
      <c r="G953" s="530"/>
      <c r="H953" s="530"/>
    </row>
    <row r="954">
      <c r="A954" s="527"/>
      <c r="B954" s="527"/>
      <c r="C954" s="527"/>
      <c r="D954" s="528"/>
      <c r="E954" s="528"/>
      <c r="F954" s="528"/>
      <c r="G954" s="527"/>
      <c r="H954" s="527"/>
    </row>
    <row r="955">
      <c r="A955" s="530"/>
      <c r="B955" s="530"/>
      <c r="C955" s="530"/>
      <c r="D955" s="531"/>
      <c r="E955" s="531"/>
      <c r="F955" s="531"/>
      <c r="G955" s="530"/>
      <c r="H955" s="530"/>
    </row>
    <row r="956">
      <c r="A956" s="527"/>
      <c r="B956" s="527"/>
      <c r="C956" s="527"/>
      <c r="D956" s="528"/>
      <c r="E956" s="528"/>
      <c r="F956" s="528"/>
      <c r="G956" s="527"/>
      <c r="H956" s="527"/>
    </row>
    <row r="957">
      <c r="A957" s="530"/>
      <c r="B957" s="530"/>
      <c r="C957" s="530"/>
      <c r="D957" s="531"/>
      <c r="E957" s="531"/>
      <c r="F957" s="531"/>
      <c r="G957" s="530"/>
      <c r="H957" s="530"/>
    </row>
    <row r="958">
      <c r="A958" s="527"/>
      <c r="B958" s="527"/>
      <c r="C958" s="527"/>
      <c r="D958" s="528"/>
      <c r="E958" s="528"/>
      <c r="F958" s="528"/>
      <c r="G958" s="527"/>
      <c r="H958" s="527"/>
    </row>
    <row r="959">
      <c r="A959" s="530"/>
      <c r="B959" s="530"/>
      <c r="C959" s="530"/>
      <c r="D959" s="531"/>
      <c r="E959" s="531"/>
      <c r="F959" s="531"/>
      <c r="G959" s="530"/>
      <c r="H959" s="530"/>
    </row>
    <row r="960">
      <c r="A960" s="527"/>
      <c r="B960" s="527"/>
      <c r="C960" s="527"/>
      <c r="D960" s="528"/>
      <c r="E960" s="528"/>
      <c r="F960" s="528"/>
      <c r="G960" s="527"/>
      <c r="H960" s="527"/>
    </row>
    <row r="961">
      <c r="A961" s="530"/>
      <c r="B961" s="530"/>
      <c r="C961" s="530"/>
      <c r="D961" s="531"/>
      <c r="E961" s="531"/>
      <c r="F961" s="531"/>
      <c r="G961" s="530"/>
      <c r="H961" s="530"/>
    </row>
    <row r="962">
      <c r="A962" s="527"/>
      <c r="B962" s="527"/>
      <c r="C962" s="527"/>
      <c r="D962" s="528"/>
      <c r="E962" s="528"/>
      <c r="F962" s="528"/>
      <c r="G962" s="527"/>
      <c r="H962" s="527"/>
    </row>
    <row r="963">
      <c r="A963" s="530"/>
      <c r="B963" s="530"/>
      <c r="C963" s="530"/>
      <c r="D963" s="531"/>
      <c r="E963" s="531"/>
      <c r="F963" s="531"/>
      <c r="G963" s="530"/>
      <c r="H963" s="530"/>
    </row>
    <row r="964">
      <c r="A964" s="527"/>
      <c r="B964" s="527"/>
      <c r="C964" s="527"/>
      <c r="D964" s="528"/>
      <c r="E964" s="528"/>
      <c r="F964" s="528"/>
      <c r="G964" s="527"/>
      <c r="H964" s="527"/>
    </row>
    <row r="965">
      <c r="A965" s="530"/>
      <c r="B965" s="530"/>
      <c r="C965" s="530"/>
      <c r="D965" s="531"/>
      <c r="E965" s="531"/>
      <c r="F965" s="531"/>
      <c r="G965" s="530"/>
      <c r="H965" s="530"/>
    </row>
    <row r="966">
      <c r="A966" s="527"/>
      <c r="B966" s="527"/>
      <c r="C966" s="527"/>
      <c r="D966" s="528"/>
      <c r="E966" s="528"/>
      <c r="F966" s="528"/>
      <c r="G966" s="527"/>
      <c r="H966" s="527"/>
    </row>
    <row r="967">
      <c r="A967" s="530"/>
      <c r="B967" s="530"/>
      <c r="C967" s="530"/>
      <c r="D967" s="531"/>
      <c r="E967" s="531"/>
      <c r="F967" s="531"/>
      <c r="G967" s="530"/>
      <c r="H967" s="530"/>
    </row>
    <row r="968">
      <c r="A968" s="527"/>
      <c r="B968" s="527"/>
      <c r="C968" s="527"/>
      <c r="D968" s="528"/>
      <c r="E968" s="528"/>
      <c r="F968" s="528"/>
      <c r="G968" s="527"/>
      <c r="H968" s="527"/>
    </row>
    <row r="969">
      <c r="A969" s="530"/>
      <c r="B969" s="530"/>
      <c r="C969" s="530"/>
      <c r="D969" s="531"/>
      <c r="E969" s="531"/>
      <c r="F969" s="531"/>
      <c r="G969" s="530"/>
      <c r="H969" s="530"/>
    </row>
    <row r="970">
      <c r="A970" s="527"/>
      <c r="B970" s="527"/>
      <c r="C970" s="527"/>
      <c r="D970" s="528"/>
      <c r="E970" s="528"/>
      <c r="F970" s="528"/>
      <c r="G970" s="527"/>
      <c r="H970" s="527"/>
    </row>
    <row r="971">
      <c r="A971" s="530"/>
      <c r="B971" s="530"/>
      <c r="C971" s="530"/>
      <c r="D971" s="531"/>
      <c r="E971" s="531"/>
      <c r="F971" s="531"/>
      <c r="G971" s="530"/>
      <c r="H971" s="530"/>
    </row>
    <row r="972">
      <c r="A972" s="527"/>
      <c r="B972" s="527"/>
      <c r="C972" s="527"/>
      <c r="D972" s="528"/>
      <c r="E972" s="528"/>
      <c r="F972" s="528"/>
      <c r="G972" s="527"/>
      <c r="H972" s="527"/>
    </row>
    <row r="973">
      <c r="A973" s="530"/>
      <c r="B973" s="530"/>
      <c r="C973" s="530"/>
      <c r="D973" s="531"/>
      <c r="E973" s="531"/>
      <c r="F973" s="531"/>
      <c r="G973" s="530"/>
      <c r="H973" s="530"/>
    </row>
    <row r="974">
      <c r="A974" s="527"/>
      <c r="B974" s="527"/>
      <c r="C974" s="527"/>
      <c r="D974" s="528"/>
      <c r="E974" s="528"/>
      <c r="F974" s="528"/>
      <c r="G974" s="527"/>
      <c r="H974" s="527"/>
    </row>
    <row r="975">
      <c r="A975" s="530"/>
      <c r="B975" s="530"/>
      <c r="C975" s="530"/>
      <c r="D975" s="531"/>
      <c r="E975" s="531"/>
      <c r="F975" s="531"/>
      <c r="G975" s="530"/>
      <c r="H975" s="530"/>
    </row>
    <row r="976">
      <c r="A976" s="527"/>
      <c r="B976" s="527"/>
      <c r="C976" s="527"/>
      <c r="D976" s="528"/>
      <c r="E976" s="528"/>
      <c r="F976" s="528"/>
      <c r="G976" s="527"/>
      <c r="H976" s="527"/>
    </row>
    <row r="977">
      <c r="A977" s="530"/>
      <c r="B977" s="530"/>
      <c r="C977" s="530"/>
      <c r="D977" s="531"/>
      <c r="E977" s="531"/>
      <c r="F977" s="531"/>
      <c r="G977" s="530"/>
      <c r="H977" s="530"/>
    </row>
    <row r="978">
      <c r="A978" s="527"/>
      <c r="B978" s="527"/>
      <c r="C978" s="527"/>
      <c r="D978" s="528"/>
      <c r="E978" s="528"/>
      <c r="F978" s="528"/>
      <c r="G978" s="527"/>
      <c r="H978" s="527"/>
    </row>
    <row r="979">
      <c r="A979" s="530"/>
      <c r="B979" s="530"/>
      <c r="C979" s="530"/>
      <c r="D979" s="531"/>
      <c r="E979" s="531"/>
      <c r="F979" s="531"/>
      <c r="G979" s="530"/>
      <c r="H979" s="530"/>
    </row>
    <row r="980">
      <c r="A980" s="527"/>
      <c r="B980" s="527"/>
      <c r="C980" s="527"/>
      <c r="D980" s="528"/>
      <c r="E980" s="528"/>
      <c r="F980" s="528"/>
      <c r="G980" s="527"/>
      <c r="H980" s="527"/>
    </row>
    <row r="981">
      <c r="A981" s="530"/>
      <c r="B981" s="530"/>
      <c r="C981" s="530"/>
      <c r="D981" s="531"/>
      <c r="E981" s="531"/>
      <c r="F981" s="531"/>
      <c r="G981" s="530"/>
      <c r="H981" s="530"/>
    </row>
    <row r="982">
      <c r="A982" s="527"/>
      <c r="B982" s="527"/>
      <c r="C982" s="527"/>
      <c r="D982" s="528"/>
      <c r="E982" s="528"/>
      <c r="F982" s="528"/>
      <c r="G982" s="527"/>
      <c r="H982" s="527"/>
    </row>
    <row r="983">
      <c r="A983" s="530"/>
      <c r="B983" s="530"/>
      <c r="C983" s="530"/>
      <c r="D983" s="531"/>
      <c r="E983" s="531"/>
      <c r="F983" s="531"/>
      <c r="G983" s="530"/>
      <c r="H983" s="530"/>
    </row>
    <row r="984">
      <c r="A984" s="527"/>
      <c r="B984" s="527"/>
      <c r="C984" s="527"/>
      <c r="D984" s="528"/>
      <c r="E984" s="528"/>
      <c r="F984" s="528"/>
      <c r="G984" s="527"/>
      <c r="H984" s="527"/>
    </row>
    <row r="985">
      <c r="A985" s="530"/>
      <c r="B985" s="530"/>
      <c r="C985" s="530"/>
      <c r="D985" s="531"/>
      <c r="E985" s="531"/>
      <c r="F985" s="531"/>
      <c r="G985" s="530"/>
      <c r="H985" s="530"/>
    </row>
    <row r="986">
      <c r="A986" s="527"/>
      <c r="B986" s="527"/>
      <c r="C986" s="527"/>
      <c r="D986" s="528"/>
      <c r="E986" s="528"/>
      <c r="F986" s="528"/>
      <c r="G986" s="527"/>
      <c r="H986" s="527"/>
    </row>
    <row r="987">
      <c r="A987" s="530"/>
      <c r="B987" s="530"/>
      <c r="C987" s="530"/>
      <c r="D987" s="531"/>
      <c r="E987" s="531"/>
      <c r="F987" s="531"/>
      <c r="G987" s="530"/>
      <c r="H987" s="530"/>
    </row>
    <row r="988">
      <c r="A988" s="527"/>
      <c r="B988" s="527"/>
      <c r="C988" s="527"/>
      <c r="D988" s="528"/>
      <c r="E988" s="528"/>
      <c r="F988" s="528"/>
      <c r="G988" s="527"/>
      <c r="H988" s="527"/>
    </row>
    <row r="989">
      <c r="A989" s="530"/>
      <c r="B989" s="530"/>
      <c r="C989" s="530"/>
      <c r="D989" s="531"/>
      <c r="E989" s="531"/>
      <c r="F989" s="531"/>
      <c r="G989" s="530"/>
      <c r="H989" s="530"/>
    </row>
    <row r="990">
      <c r="A990" s="527"/>
      <c r="B990" s="527"/>
      <c r="C990" s="527"/>
      <c r="D990" s="528"/>
      <c r="E990" s="528"/>
      <c r="F990" s="528"/>
      <c r="G990" s="527"/>
      <c r="H990" s="527"/>
    </row>
    <row r="991">
      <c r="A991" s="530"/>
      <c r="B991" s="530"/>
      <c r="C991" s="530"/>
      <c r="D991" s="531"/>
      <c r="E991" s="531"/>
      <c r="F991" s="531"/>
      <c r="G991" s="530"/>
      <c r="H991" s="530"/>
    </row>
    <row r="992">
      <c r="A992" s="527"/>
      <c r="B992" s="527"/>
      <c r="C992" s="527"/>
      <c r="D992" s="528"/>
      <c r="E992" s="528"/>
      <c r="F992" s="528"/>
      <c r="G992" s="527"/>
      <c r="H992" s="527"/>
    </row>
    <row r="993">
      <c r="A993" s="530"/>
      <c r="B993" s="530"/>
      <c r="C993" s="530"/>
      <c r="D993" s="531"/>
      <c r="E993" s="531"/>
      <c r="F993" s="531"/>
      <c r="G993" s="530"/>
      <c r="H993" s="530"/>
    </row>
    <row r="994">
      <c r="A994" s="527"/>
      <c r="B994" s="527"/>
      <c r="C994" s="527"/>
      <c r="D994" s="528"/>
      <c r="E994" s="528"/>
      <c r="F994" s="528"/>
      <c r="G994" s="527"/>
      <c r="H994" s="527"/>
    </row>
    <row r="995">
      <c r="A995" s="530"/>
      <c r="B995" s="530"/>
      <c r="C995" s="530"/>
      <c r="D995" s="531"/>
      <c r="E995" s="531"/>
      <c r="F995" s="531"/>
      <c r="G995" s="530"/>
      <c r="H995" s="530"/>
    </row>
    <row r="996">
      <c r="A996" s="527"/>
      <c r="B996" s="527"/>
      <c r="C996" s="527"/>
      <c r="D996" s="528"/>
      <c r="E996" s="528"/>
      <c r="F996" s="528"/>
      <c r="G996" s="527"/>
      <c r="H996" s="527"/>
    </row>
    <row r="997">
      <c r="A997" s="530"/>
      <c r="B997" s="530"/>
      <c r="C997" s="530"/>
      <c r="D997" s="531"/>
      <c r="E997" s="531"/>
      <c r="F997" s="531"/>
      <c r="G997" s="530"/>
      <c r="H997" s="530"/>
    </row>
    <row r="998">
      <c r="A998" s="527"/>
      <c r="B998" s="527"/>
      <c r="C998" s="527"/>
      <c r="D998" s="528"/>
      <c r="E998" s="528"/>
      <c r="F998" s="528"/>
      <c r="G998" s="527"/>
      <c r="H998" s="527"/>
    </row>
    <row r="999">
      <c r="A999" s="530"/>
      <c r="B999" s="530"/>
      <c r="C999" s="530"/>
      <c r="D999" s="531"/>
      <c r="E999" s="531"/>
      <c r="F999" s="531"/>
      <c r="G999" s="530"/>
      <c r="H999" s="530"/>
    </row>
    <row r="1000">
      <c r="A1000" s="527"/>
      <c r="B1000" s="527"/>
      <c r="C1000" s="527"/>
      <c r="D1000" s="528"/>
      <c r="E1000" s="528"/>
      <c r="F1000" s="528"/>
      <c r="G1000" s="527"/>
      <c r="H1000" s="527"/>
    </row>
  </sheetData>
  <autoFilter ref="$A$1:$G$32">
    <sortState ref="A1:G32">
      <sortCondition descending="1" ref="C1:C32"/>
    </sortState>
  </autoFilter>
  <conditionalFormatting sqref="A47 A69">
    <cfRule type="containsText" dxfId="3" priority="1" operator="containsText" text="Недоступно">
      <formula>NOT(ISERROR(SEARCH(("Недоступно"),(A47))))</formula>
    </cfRule>
  </conditionalFormatting>
  <hyperlinks>
    <hyperlink display="Серебро" location="'Энциклопедия материалов'!A168" ref="F6"/>
    <hyperlink display="Адамантин" location="'Энциклопедия материалов'!A169" ref="F7"/>
    <hyperlink display="Эльфийская сталь" location="'Энциклопедия материалов'!A170" ref="F8"/>
    <hyperlink display="Кристалы забытых титанов" location="'Энциклопедия материалов'!A171" ref="F9"/>
    <hyperlink display="Кости мантикоры" location="'Энциклопедия материалов'!A172" ref="F10"/>
    <hyperlink display="Осколки метеоритных звёзд" location="'Энциклопедия материалов'!A173" ref="F11"/>
    <hyperlink display="Искажающая сталь" location="'Энциклопедия материалов'!A174" ref="F12"/>
    <hyperlink display="Дьявольское железо" location="'Энциклопедия материалов'!A175" ref="F13"/>
    <hyperlink display="Ночная сталь" location="'Энциклопедия материалов'!A176" ref="F14"/>
    <hyperlink display="Радужный металл" location="'Энциклопедия материалов'!A177" ref="F15"/>
    <hyperlink display="Коричневая сталь" location="'Энциклопедия материалов'!A178" ref="F16"/>
    <hyperlink display="Адамантин" location="'Энциклопедия материалов'!A169" ref="F20"/>
    <hyperlink display="Мифрил" location="'Энциклопедия материалов'!A180" ref="F21"/>
    <hyperlink display="Лунный металл" location="'Энциклопедия материалов'!A180" ref="F22"/>
    <hyperlink display="Шерсть гриффона" location="'Энциклопедия материалов'!A181" ref="F23"/>
    <hyperlink display="Корень драконьего дерева" location="'Энциклопедия материалов'!A182" ref="F24"/>
    <hyperlink display="Освящённый адамантий" location="'Энциклопедия материалов'!A183" ref="F25"/>
    <hyperlink display="Прах модронов" location="'Энциклопедия материалов'!A184" ref="F26"/>
    <hyperlink display="Порошок Дрохубы" location="'Энциклопедия материалов'!A185" ref="F27"/>
    <hyperlink display="Шёпот тьмы" location="'Энциклопедия материалов'!A186" ref="F28"/>
    <hyperlink display="Кости тролля" location="'Энциклопедия материалов'!A187" ref="F33"/>
    <hyperlink display="Осколок кости чудовища" location="'Энциклопедия материалов'!A5" ref="F38"/>
    <hyperlink display="Перо чудовища" location="'Энциклопедия материалов'!A7" ref="F39"/>
    <hyperlink display="Хребет чудовища" location="'Энциклопедия материалов'!A11" ref="F40"/>
    <hyperlink display="Чернила чудовища" location="'Энциклопедия материалов'!A12" ref="F41"/>
    <hyperlink display="Осколок тени" location="'Энциклопедия материалов'!A15" ref="F42"/>
    <hyperlink display="Осколок черепа чудовища" location="'Энциклопедия материалов'!A17" ref="F43"/>
    <hyperlink display="Коготь чудовища" location="'Энциклопедия материалов'!A18" ref="F44"/>
    <hyperlink display="Шкура чудовища" location="'Энциклопедия материалов'!A19" ref="F45"/>
    <hyperlink display="Жало чудовища" location="'Энциклопедия материалов'!A21" ref="F46"/>
    <hyperlink display="Желчь чудовища" location="'Энциклопедия материалов'!A23" ref="F47"/>
    <hyperlink display="Хитин чудовища" location="'Энциклопедия материалов'!A24" ref="F48"/>
    <hyperlink display="Фрагмент панциря чудовища" location="'Энциклопедия материалов'!A27" ref="F49"/>
    <hyperlink display="Сухожилие чудовища" location="'Энциклопедия материалов'!A28" ref="F50"/>
    <hyperlink display="Эссенция воздуха" location="'Энциклопедия материалов'!A29" ref="F51"/>
    <hyperlink display="Рог чудовища" location="'Энциклопедия материалов'!A30" ref="F52"/>
    <hyperlink display="Чешуя монстра" location="'Энциклопедия материалов'!A31" ref="F53"/>
    <hyperlink display="Щупальце чудовище" location="'Энциклопедия материалов'!A33" ref="F54"/>
    <hyperlink display="Малый осколок души" location="'Энциклопедия материалов'!A37" ref="F55"/>
    <hyperlink display="Закалённая чешуя" location="'Энциклопедия материалов'!A37" ref="F56"/>
    <hyperlink display="Ледяной клык" location="'Энциклопедия материалов'!A39" ref="F57"/>
    <hyperlink display="Эктоплазма" location="'Энциклопедия материалов'!A40" ref="F58"/>
    <hyperlink display="Эсенция тени" location="'Энциклопедия материалов'!A41" ref="F59"/>
    <hyperlink display="Осколок маны" location="'Энциклопедия материалов'!A43" ref="F60"/>
    <hyperlink display="Осколок маны" location="'Энциклопедия материалов'!A43" ref="F61"/>
    <hyperlink display="Осколок маны" location="'Энциклопедия материалов'!A43" ref="F62"/>
    <hyperlink display="Панцирь чудовища" location="'Энциклопедия материалов'!A44" ref="F63"/>
    <hyperlink display="Гиганский коготь" location="'Энциклопедия материалов'!A48" ref="F64"/>
    <hyperlink display="Эссенция духа" location="'Энциклопедия материалов'!A50" ref="F65"/>
    <hyperlink display="Живой корень" location="'Энциклопедия материалов'!A52" ref="F66"/>
    <hyperlink display="Живой корень" location="'Энциклопедия материалов'!A52" ref="F67"/>
    <hyperlink display="Бивень чудовища" location="'Энциклопедия материалов'!A53" ref="F68"/>
    <hyperlink display="Демонический рог" location="'Энциклопедия материалов'!A55" ref="F69"/>
    <hyperlink display="Эссенция света" location="'Энциклопедия материалов'!A56" ref="F70"/>
    <hyperlink display="Грозовой камень" location="'Энциклопедия материалов'!A57" ref="F71"/>
    <hyperlink display="Живая вода" location="'Энциклопедия материалов'!A58" ref="F72"/>
    <hyperlink display="Магический конденсатор" location="'Энциклопедия материалов'!A59" ref="F73"/>
    <hyperlink display="Крупный кристал маны" location="'Энциклопедия материалов'!A60" ref="F74"/>
    <hyperlink display="Крупный кристал маны" location="'Энциклопедия материалов'!A60" ref="F75"/>
    <hyperlink display="Пылающее ядро" location="'Энциклопедия материалов'!A64" ref="F76"/>
    <hyperlink display="Обсидиановый осколок" location="'Энциклопедия материалов'!A67" ref="F77"/>
    <hyperlink display="Заинделевелое ядро" location="'Энциклопедия материалов'!A65" ref="F78"/>
    <hyperlink display="Великий осколок души" location="'Энциклопедия материалов'!A68" ref="F79"/>
    <hyperlink display="Великий осколок души" location="'Энциклопедия материалов'!A68" ref="F80"/>
    <hyperlink display="Эссенция кошмара" location="'Энциклопедия материалов'!A69" ref="F81"/>
    <hyperlink display="Сердцевина древня" location="'Энциклопедия материалов'!A70" ref="F82"/>
    <hyperlink display="Эссенция небес" location="'Энциклопедия материалов'!A74" ref="F83"/>
    <hyperlink display="Астральный котёл" location="'Энциклопедия материалов'!A78" ref="F84"/>
    <hyperlink display="Хребет бесконечной плоти" location="'Энциклопедия материалов'!A81" ref="F85"/>
    <hyperlink display="Абсолютная пустота" location="'Энциклопедия материалов'!A84" ref="F86"/>
    <hyperlink display="Паутина гиганского паука" location="'Энциклопедия материалов'!A188" ref="F88"/>
    <hyperlink display="Фейское дерево" location="'Энциклопедия материалов'!A189" ref="F89"/>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13"/>
    <col customWidth="1" min="2" max="2" width="8.88"/>
    <col customWidth="1" min="3" max="3" width="20.75"/>
    <col customWidth="1" min="4" max="4" width="21.13"/>
    <col customWidth="1" min="5" max="5" width="9.0"/>
    <col customWidth="1" min="6" max="6" width="9.38"/>
    <col customWidth="1" min="7" max="7" width="46.25"/>
    <col customWidth="1" min="8" max="8" width="24.25"/>
    <col customWidth="1" min="9" max="9" width="28.13"/>
    <col customWidth="1" min="10" max="10" width="47.13"/>
    <col customWidth="1" min="11" max="11" width="23.38"/>
    <col customWidth="1" min="12" max="12" width="22.25"/>
    <col customWidth="1" min="13" max="13" width="17.0"/>
  </cols>
  <sheetData>
    <row r="1">
      <c r="A1" s="551" t="s">
        <v>167</v>
      </c>
      <c r="B1" s="551" t="s">
        <v>1739</v>
      </c>
      <c r="C1" s="551" t="s">
        <v>2047</v>
      </c>
      <c r="D1" s="551" t="s">
        <v>541</v>
      </c>
      <c r="E1" s="551" t="s">
        <v>618</v>
      </c>
      <c r="F1" s="551" t="s">
        <v>171</v>
      </c>
      <c r="G1" s="551" t="s">
        <v>738</v>
      </c>
      <c r="H1" s="552" t="s">
        <v>2048</v>
      </c>
      <c r="I1" s="200"/>
      <c r="J1" s="200"/>
      <c r="K1" s="200"/>
      <c r="L1" s="201"/>
      <c r="M1" s="551" t="s">
        <v>2049</v>
      </c>
    </row>
    <row r="2">
      <c r="A2" s="553"/>
      <c r="B2" s="553"/>
      <c r="C2" s="553"/>
      <c r="D2" s="553"/>
      <c r="E2" s="553"/>
      <c r="F2" s="553"/>
      <c r="G2" s="553"/>
      <c r="H2" s="554" t="s">
        <v>21</v>
      </c>
      <c r="I2" s="554" t="s">
        <v>1476</v>
      </c>
      <c r="J2" s="554" t="s">
        <v>2050</v>
      </c>
      <c r="K2" s="554" t="s">
        <v>2051</v>
      </c>
      <c r="L2" s="554" t="s">
        <v>2052</v>
      </c>
      <c r="M2" s="553"/>
    </row>
    <row r="3">
      <c r="A3" s="336" t="s">
        <v>2053</v>
      </c>
      <c r="B3" s="336" t="s">
        <v>2054</v>
      </c>
      <c r="C3" s="336" t="s">
        <v>2055</v>
      </c>
      <c r="D3" s="336">
        <v>1.0</v>
      </c>
      <c r="E3" s="336">
        <v>5.0</v>
      </c>
      <c r="F3" s="336">
        <v>0.0</v>
      </c>
      <c r="G3" s="336" t="s">
        <v>2056</v>
      </c>
      <c r="H3" s="336" t="s">
        <v>2057</v>
      </c>
      <c r="I3" s="336" t="s">
        <v>2057</v>
      </c>
      <c r="J3" s="336" t="s">
        <v>2058</v>
      </c>
      <c r="K3" s="336" t="s">
        <v>2057</v>
      </c>
      <c r="L3" s="336" t="s">
        <v>2057</v>
      </c>
      <c r="M3" s="336" t="s">
        <v>26</v>
      </c>
    </row>
    <row r="4">
      <c r="A4" s="334" t="s">
        <v>2059</v>
      </c>
      <c r="B4" s="334" t="s">
        <v>2054</v>
      </c>
      <c r="C4" s="334" t="s">
        <v>2055</v>
      </c>
      <c r="D4" s="334">
        <v>10.0</v>
      </c>
      <c r="E4" s="334">
        <v>2.0</v>
      </c>
      <c r="F4" s="334">
        <v>1.0</v>
      </c>
      <c r="G4" s="334" t="s">
        <v>2060</v>
      </c>
      <c r="H4" s="334" t="s">
        <v>2057</v>
      </c>
      <c r="I4" s="334" t="s">
        <v>2057</v>
      </c>
      <c r="J4" s="334" t="s">
        <v>2057</v>
      </c>
      <c r="K4" s="334" t="s">
        <v>2061</v>
      </c>
      <c r="L4" s="334" t="s">
        <v>2062</v>
      </c>
      <c r="M4" s="334" t="s">
        <v>26</v>
      </c>
    </row>
    <row r="5">
      <c r="A5" s="336" t="s">
        <v>1975</v>
      </c>
      <c r="B5" s="336" t="s">
        <v>2054</v>
      </c>
      <c r="C5" s="336" t="s">
        <v>2055</v>
      </c>
      <c r="D5" s="336">
        <v>25.0</v>
      </c>
      <c r="E5" s="336">
        <v>5.0</v>
      </c>
      <c r="F5" s="336">
        <v>1.0</v>
      </c>
      <c r="G5" s="336" t="s">
        <v>2063</v>
      </c>
      <c r="H5" s="555" t="s">
        <v>1975</v>
      </c>
      <c r="I5" s="336" t="s">
        <v>2057</v>
      </c>
      <c r="J5" s="336" t="s">
        <v>2064</v>
      </c>
      <c r="K5" s="336" t="s">
        <v>2057</v>
      </c>
      <c r="L5" s="336" t="s">
        <v>2057</v>
      </c>
      <c r="M5" s="336" t="s">
        <v>26</v>
      </c>
    </row>
    <row r="6">
      <c r="A6" s="334" t="s">
        <v>2065</v>
      </c>
      <c r="B6" s="334" t="s">
        <v>2054</v>
      </c>
      <c r="C6" s="334" t="s">
        <v>2055</v>
      </c>
      <c r="D6" s="334">
        <v>5.0</v>
      </c>
      <c r="E6" s="334">
        <v>1.0</v>
      </c>
      <c r="F6" s="334">
        <v>1.0</v>
      </c>
      <c r="G6" s="334" t="s">
        <v>2066</v>
      </c>
      <c r="H6" s="334" t="s">
        <v>2057</v>
      </c>
      <c r="I6" s="334" t="s">
        <v>2057</v>
      </c>
      <c r="J6" s="334" t="s">
        <v>2067</v>
      </c>
      <c r="K6" s="334" t="s">
        <v>2057</v>
      </c>
      <c r="L6" s="334" t="s">
        <v>2057</v>
      </c>
      <c r="M6" s="334" t="s">
        <v>26</v>
      </c>
    </row>
    <row r="7">
      <c r="A7" s="336" t="s">
        <v>1980</v>
      </c>
      <c r="B7" s="336" t="s">
        <v>2054</v>
      </c>
      <c r="C7" s="336" t="s">
        <v>2055</v>
      </c>
      <c r="D7" s="336">
        <v>25.0</v>
      </c>
      <c r="E7" s="336">
        <v>4.0</v>
      </c>
      <c r="F7" s="336">
        <v>1.0</v>
      </c>
      <c r="G7" s="336" t="s">
        <v>2068</v>
      </c>
      <c r="H7" s="555" t="s">
        <v>1977</v>
      </c>
      <c r="I7" s="336" t="s">
        <v>2057</v>
      </c>
      <c r="J7" s="336" t="s">
        <v>2057</v>
      </c>
      <c r="K7" s="336" t="s">
        <v>2069</v>
      </c>
      <c r="L7" s="336" t="s">
        <v>2057</v>
      </c>
      <c r="M7" s="336" t="s">
        <v>26</v>
      </c>
    </row>
    <row r="8">
      <c r="A8" s="334" t="s">
        <v>2070</v>
      </c>
      <c r="B8" s="334" t="s">
        <v>2054</v>
      </c>
      <c r="C8" s="334" t="s">
        <v>2055</v>
      </c>
      <c r="D8" s="334">
        <v>25.0</v>
      </c>
      <c r="E8" s="334">
        <v>7.0</v>
      </c>
      <c r="F8" s="334">
        <v>1.0</v>
      </c>
      <c r="G8" s="334" t="s">
        <v>2071</v>
      </c>
      <c r="H8" s="334" t="s">
        <v>2057</v>
      </c>
      <c r="I8" s="334" t="s">
        <v>2057</v>
      </c>
      <c r="J8" s="334" t="s">
        <v>2057</v>
      </c>
      <c r="K8" s="334" t="s">
        <v>2072</v>
      </c>
      <c r="L8" s="334" t="s">
        <v>2057</v>
      </c>
      <c r="M8" s="556"/>
    </row>
    <row r="9">
      <c r="A9" s="336" t="s">
        <v>2073</v>
      </c>
      <c r="B9" s="336" t="s">
        <v>2054</v>
      </c>
      <c r="C9" s="336" t="s">
        <v>2055</v>
      </c>
      <c r="D9" s="336">
        <v>25.0</v>
      </c>
      <c r="E9" s="336">
        <v>6.0</v>
      </c>
      <c r="F9" s="336">
        <v>1.0</v>
      </c>
      <c r="G9" s="336" t="s">
        <v>2074</v>
      </c>
      <c r="H9" s="336" t="s">
        <v>2057</v>
      </c>
      <c r="I9" s="336" t="s">
        <v>2057</v>
      </c>
      <c r="J9" s="336" t="s">
        <v>2057</v>
      </c>
      <c r="K9" s="336" t="s">
        <v>2075</v>
      </c>
      <c r="L9" s="336" t="s">
        <v>2057</v>
      </c>
      <c r="M9" s="557"/>
    </row>
    <row r="10">
      <c r="A10" s="334" t="s">
        <v>2076</v>
      </c>
      <c r="B10" s="334" t="s">
        <v>2054</v>
      </c>
      <c r="C10" s="334" t="s">
        <v>2055</v>
      </c>
      <c r="D10" s="334">
        <v>25.0</v>
      </c>
      <c r="E10" s="334">
        <v>5.0</v>
      </c>
      <c r="F10" s="334">
        <v>1.0</v>
      </c>
      <c r="G10" s="334" t="s">
        <v>2077</v>
      </c>
      <c r="H10" s="334" t="s">
        <v>2057</v>
      </c>
      <c r="I10" s="334" t="s">
        <v>2057</v>
      </c>
      <c r="J10" s="334" t="s">
        <v>2078</v>
      </c>
      <c r="K10" s="334" t="s">
        <v>2079</v>
      </c>
      <c r="L10" s="334" t="s">
        <v>2057</v>
      </c>
      <c r="M10" s="556"/>
    </row>
    <row r="11">
      <c r="A11" s="336" t="s">
        <v>1630</v>
      </c>
      <c r="B11" s="336" t="s">
        <v>2054</v>
      </c>
      <c r="C11" s="336" t="s">
        <v>2055</v>
      </c>
      <c r="D11" s="336">
        <v>25.0</v>
      </c>
      <c r="E11" s="336">
        <v>4.0</v>
      </c>
      <c r="F11" s="336">
        <v>1.0</v>
      </c>
      <c r="G11" s="336" t="s">
        <v>2080</v>
      </c>
      <c r="H11" s="555" t="s">
        <v>1630</v>
      </c>
      <c r="I11" s="336" t="s">
        <v>2057</v>
      </c>
      <c r="J11" s="336" t="s">
        <v>2057</v>
      </c>
      <c r="K11" s="336" t="s">
        <v>2057</v>
      </c>
      <c r="L11" s="336" t="s">
        <v>2057</v>
      </c>
      <c r="M11" s="557"/>
    </row>
    <row r="12">
      <c r="A12" s="334" t="s">
        <v>1634</v>
      </c>
      <c r="B12" s="334" t="s">
        <v>2054</v>
      </c>
      <c r="C12" s="334" t="s">
        <v>2055</v>
      </c>
      <c r="D12" s="334">
        <v>25.0</v>
      </c>
      <c r="E12" s="334">
        <v>2.0</v>
      </c>
      <c r="F12" s="334">
        <v>1.0</v>
      </c>
      <c r="G12" s="334" t="s">
        <v>2081</v>
      </c>
      <c r="H12" s="558" t="s">
        <v>1632</v>
      </c>
      <c r="I12" s="334" t="s">
        <v>2057</v>
      </c>
      <c r="J12" s="334" t="s">
        <v>2082</v>
      </c>
      <c r="K12" s="334" t="s">
        <v>2057</v>
      </c>
      <c r="L12" s="334" t="s">
        <v>2057</v>
      </c>
      <c r="M12" s="556"/>
    </row>
    <row r="13">
      <c r="A13" s="336" t="s">
        <v>2083</v>
      </c>
      <c r="B13" s="336" t="s">
        <v>2054</v>
      </c>
      <c r="C13" s="336" t="s">
        <v>2055</v>
      </c>
      <c r="D13" s="336">
        <v>25.0</v>
      </c>
      <c r="E13" s="336">
        <v>5.0</v>
      </c>
      <c r="F13" s="336">
        <v>1.0</v>
      </c>
      <c r="G13" s="336" t="s">
        <v>2084</v>
      </c>
      <c r="H13" s="336" t="s">
        <v>2057</v>
      </c>
      <c r="I13" s="336" t="s">
        <v>2057</v>
      </c>
      <c r="J13" s="336" t="s">
        <v>2085</v>
      </c>
      <c r="K13" s="336" t="s">
        <v>2057</v>
      </c>
      <c r="L13" s="336" t="s">
        <v>2057</v>
      </c>
      <c r="M13" s="557"/>
    </row>
    <row r="14">
      <c r="A14" s="334" t="s">
        <v>2086</v>
      </c>
      <c r="B14" s="334" t="s">
        <v>2054</v>
      </c>
      <c r="C14" s="334" t="s">
        <v>2055</v>
      </c>
      <c r="D14" s="334">
        <v>25.0</v>
      </c>
      <c r="E14" s="334">
        <v>4.0</v>
      </c>
      <c r="F14" s="334">
        <v>1.0</v>
      </c>
      <c r="G14" s="334" t="s">
        <v>2087</v>
      </c>
      <c r="H14" s="334" t="s">
        <v>2057</v>
      </c>
      <c r="I14" s="334" t="s">
        <v>2057</v>
      </c>
      <c r="J14" s="334" t="s">
        <v>2057</v>
      </c>
      <c r="K14" s="334" t="s">
        <v>2088</v>
      </c>
      <c r="L14" s="334" t="s">
        <v>2057</v>
      </c>
      <c r="M14" s="556"/>
    </row>
    <row r="15">
      <c r="A15" s="336" t="s">
        <v>1635</v>
      </c>
      <c r="B15" s="336" t="s">
        <v>2054</v>
      </c>
      <c r="C15" s="336" t="s">
        <v>2055</v>
      </c>
      <c r="D15" s="336">
        <v>125.0</v>
      </c>
      <c r="E15" s="336">
        <v>1.0</v>
      </c>
      <c r="F15" s="336">
        <v>1.0</v>
      </c>
      <c r="G15" s="336" t="s">
        <v>2089</v>
      </c>
      <c r="H15" s="555" t="s">
        <v>1635</v>
      </c>
      <c r="I15" s="336" t="s">
        <v>2057</v>
      </c>
      <c r="J15" s="336" t="s">
        <v>2090</v>
      </c>
      <c r="K15" s="336" t="s">
        <v>2057</v>
      </c>
      <c r="L15" s="336" t="s">
        <v>2057</v>
      </c>
      <c r="M15" s="557"/>
    </row>
    <row r="16">
      <c r="A16" s="334" t="s">
        <v>1523</v>
      </c>
      <c r="B16" s="334" t="s">
        <v>2054</v>
      </c>
      <c r="C16" s="334" t="s">
        <v>2055</v>
      </c>
      <c r="D16" s="334">
        <v>25.0</v>
      </c>
      <c r="E16" s="334">
        <v>3.0</v>
      </c>
      <c r="F16" s="334">
        <v>1.0</v>
      </c>
      <c r="G16" s="334" t="s">
        <v>2091</v>
      </c>
      <c r="H16" s="334" t="s">
        <v>2057</v>
      </c>
      <c r="I16" s="558" t="s">
        <v>1523</v>
      </c>
      <c r="J16" s="334" t="s">
        <v>2057</v>
      </c>
      <c r="K16" s="334" t="s">
        <v>2092</v>
      </c>
      <c r="L16" s="334" t="s">
        <v>2057</v>
      </c>
      <c r="M16" s="556"/>
    </row>
    <row r="17">
      <c r="A17" s="336" t="s">
        <v>1637</v>
      </c>
      <c r="B17" s="336" t="s">
        <v>2054</v>
      </c>
      <c r="C17" s="336" t="s">
        <v>2055</v>
      </c>
      <c r="D17" s="336">
        <v>50.0</v>
      </c>
      <c r="E17" s="336">
        <v>10.0</v>
      </c>
      <c r="F17" s="336">
        <v>2.0</v>
      </c>
      <c r="G17" s="336" t="s">
        <v>2093</v>
      </c>
      <c r="H17" s="555" t="s">
        <v>1637</v>
      </c>
      <c r="I17" s="336" t="s">
        <v>2057</v>
      </c>
      <c r="J17" s="336" t="s">
        <v>2057</v>
      </c>
      <c r="K17" s="336" t="s">
        <v>2057</v>
      </c>
      <c r="L17" s="336" t="s">
        <v>2094</v>
      </c>
      <c r="M17" s="557"/>
    </row>
    <row r="18">
      <c r="A18" s="334" t="s">
        <v>1526</v>
      </c>
      <c r="B18" s="334" t="s">
        <v>2054</v>
      </c>
      <c r="C18" s="334" t="s">
        <v>2055</v>
      </c>
      <c r="D18" s="334">
        <v>50.0</v>
      </c>
      <c r="E18" s="334">
        <v>1.0</v>
      </c>
      <c r="F18" s="334">
        <v>2.0</v>
      </c>
      <c r="G18" s="334" t="s">
        <v>2095</v>
      </c>
      <c r="H18" s="558" t="s">
        <v>1526</v>
      </c>
      <c r="I18" s="558" t="s">
        <v>1526</v>
      </c>
      <c r="J18" s="334" t="s">
        <v>2057</v>
      </c>
      <c r="K18" s="334" t="s">
        <v>2057</v>
      </c>
      <c r="L18" s="334" t="s">
        <v>2057</v>
      </c>
      <c r="M18" s="556"/>
    </row>
    <row r="19">
      <c r="A19" s="336" t="s">
        <v>1640</v>
      </c>
      <c r="B19" s="336" t="s">
        <v>2054</v>
      </c>
      <c r="C19" s="336" t="s">
        <v>2055</v>
      </c>
      <c r="D19" s="336">
        <v>75.0</v>
      </c>
      <c r="E19" s="336">
        <v>35.0</v>
      </c>
      <c r="F19" s="336">
        <v>2.0</v>
      </c>
      <c r="G19" s="336" t="s">
        <v>2096</v>
      </c>
      <c r="H19" s="555" t="s">
        <v>1640</v>
      </c>
      <c r="I19" s="336" t="s">
        <v>2057</v>
      </c>
      <c r="J19" s="336" t="s">
        <v>2097</v>
      </c>
      <c r="K19" s="336" t="s">
        <v>2057</v>
      </c>
      <c r="L19" s="336" t="s">
        <v>2057</v>
      </c>
      <c r="M19" s="557"/>
    </row>
    <row r="20">
      <c r="A20" s="334" t="s">
        <v>1528</v>
      </c>
      <c r="B20" s="334" t="s">
        <v>2054</v>
      </c>
      <c r="C20" s="334" t="s">
        <v>2055</v>
      </c>
      <c r="D20" s="334">
        <v>75.0</v>
      </c>
      <c r="E20" s="334">
        <v>1.0</v>
      </c>
      <c r="F20" s="334">
        <v>2.0</v>
      </c>
      <c r="G20" s="334" t="s">
        <v>2098</v>
      </c>
      <c r="H20" s="334" t="s">
        <v>2057</v>
      </c>
      <c r="I20" s="558" t="s">
        <v>1528</v>
      </c>
      <c r="J20" s="334" t="s">
        <v>2057</v>
      </c>
      <c r="K20" s="334" t="s">
        <v>2099</v>
      </c>
      <c r="L20" s="334" t="s">
        <v>2057</v>
      </c>
      <c r="M20" s="556"/>
    </row>
    <row r="21">
      <c r="A21" s="336" t="s">
        <v>1642</v>
      </c>
      <c r="B21" s="336" t="s">
        <v>2054</v>
      </c>
      <c r="C21" s="336" t="s">
        <v>2055</v>
      </c>
      <c r="D21" s="336">
        <v>50.0</v>
      </c>
      <c r="E21" s="336">
        <v>7.0</v>
      </c>
      <c r="F21" s="336">
        <v>2.0</v>
      </c>
      <c r="G21" s="336" t="s">
        <v>2100</v>
      </c>
      <c r="H21" s="555" t="s">
        <v>2101</v>
      </c>
      <c r="I21" s="336" t="s">
        <v>2057</v>
      </c>
      <c r="J21" s="336" t="s">
        <v>2102</v>
      </c>
      <c r="K21" s="336" t="s">
        <v>2057</v>
      </c>
      <c r="L21" s="336" t="s">
        <v>2057</v>
      </c>
      <c r="M21" s="557"/>
    </row>
    <row r="22">
      <c r="A22" s="334" t="s">
        <v>1530</v>
      </c>
      <c r="B22" s="334" t="s">
        <v>2054</v>
      </c>
      <c r="C22" s="334" t="s">
        <v>2055</v>
      </c>
      <c r="D22" s="334">
        <v>100.0</v>
      </c>
      <c r="E22" s="334">
        <v>1.0</v>
      </c>
      <c r="F22" s="334">
        <v>2.0</v>
      </c>
      <c r="G22" s="334" t="s">
        <v>2103</v>
      </c>
      <c r="H22" s="334" t="s">
        <v>2057</v>
      </c>
      <c r="I22" s="558" t="s">
        <v>1530</v>
      </c>
      <c r="J22" s="334" t="s">
        <v>2057</v>
      </c>
      <c r="K22" s="334" t="s">
        <v>2104</v>
      </c>
      <c r="L22" s="334" t="s">
        <v>2057</v>
      </c>
      <c r="M22" s="556"/>
    </row>
    <row r="23">
      <c r="A23" s="336" t="s">
        <v>1646</v>
      </c>
      <c r="B23" s="336" t="s">
        <v>2054</v>
      </c>
      <c r="C23" s="336" t="s">
        <v>2055</v>
      </c>
      <c r="D23" s="336">
        <v>100.0</v>
      </c>
      <c r="E23" s="336">
        <v>3.0</v>
      </c>
      <c r="F23" s="336">
        <v>2.0</v>
      </c>
      <c r="G23" s="336" t="s">
        <v>2105</v>
      </c>
      <c r="H23" s="555" t="s">
        <v>1644</v>
      </c>
      <c r="I23" s="336" t="s">
        <v>2057</v>
      </c>
      <c r="J23" s="336" t="s">
        <v>2057</v>
      </c>
      <c r="K23" s="336" t="s">
        <v>2106</v>
      </c>
      <c r="L23" s="336" t="s">
        <v>2057</v>
      </c>
      <c r="M23" s="557"/>
    </row>
    <row r="24">
      <c r="A24" s="334" t="s">
        <v>1649</v>
      </c>
      <c r="B24" s="334" t="s">
        <v>2054</v>
      </c>
      <c r="C24" s="334" t="s">
        <v>2055</v>
      </c>
      <c r="D24" s="334">
        <v>125.0</v>
      </c>
      <c r="E24" s="334">
        <v>2.0</v>
      </c>
      <c r="F24" s="334">
        <v>2.0</v>
      </c>
      <c r="G24" s="334" t="s">
        <v>2107</v>
      </c>
      <c r="H24" s="558" t="s">
        <v>1647</v>
      </c>
      <c r="I24" s="334" t="s">
        <v>2057</v>
      </c>
      <c r="J24" s="334" t="s">
        <v>2108</v>
      </c>
      <c r="K24" s="334" t="s">
        <v>2057</v>
      </c>
      <c r="L24" s="334" t="s">
        <v>2057</v>
      </c>
      <c r="M24" s="556"/>
    </row>
    <row r="25">
      <c r="A25" s="336" t="s">
        <v>2109</v>
      </c>
      <c r="B25" s="336" t="s">
        <v>2054</v>
      </c>
      <c r="C25" s="336" t="s">
        <v>2055</v>
      </c>
      <c r="D25" s="336">
        <v>125.0</v>
      </c>
      <c r="E25" s="336">
        <v>3.0</v>
      </c>
      <c r="F25" s="336">
        <v>2.0</v>
      </c>
      <c r="G25" s="336" t="s">
        <v>2110</v>
      </c>
      <c r="H25" s="336" t="s">
        <v>2057</v>
      </c>
      <c r="I25" s="336" t="s">
        <v>2057</v>
      </c>
      <c r="J25" s="336" t="s">
        <v>2111</v>
      </c>
      <c r="K25" s="336" t="s">
        <v>2112</v>
      </c>
      <c r="L25" s="336" t="s">
        <v>2057</v>
      </c>
      <c r="M25" s="557"/>
    </row>
    <row r="26">
      <c r="A26" s="334" t="s">
        <v>2113</v>
      </c>
      <c r="B26" s="334" t="s">
        <v>2054</v>
      </c>
      <c r="C26" s="334" t="s">
        <v>2055</v>
      </c>
      <c r="D26" s="334">
        <v>100.0</v>
      </c>
      <c r="E26" s="334">
        <v>1.0</v>
      </c>
      <c r="F26" s="334">
        <v>2.0</v>
      </c>
      <c r="G26" s="334" t="s">
        <v>2114</v>
      </c>
      <c r="H26" s="334" t="s">
        <v>2057</v>
      </c>
      <c r="I26" s="334" t="s">
        <v>2057</v>
      </c>
      <c r="J26" s="334" t="s">
        <v>2057</v>
      </c>
      <c r="K26" s="334" t="s">
        <v>2115</v>
      </c>
      <c r="L26" s="334" t="s">
        <v>2116</v>
      </c>
      <c r="M26" s="556"/>
    </row>
    <row r="27">
      <c r="A27" s="336" t="s">
        <v>1650</v>
      </c>
      <c r="B27" s="336" t="s">
        <v>2054</v>
      </c>
      <c r="C27" s="336" t="s">
        <v>2055</v>
      </c>
      <c r="D27" s="336">
        <v>75.0</v>
      </c>
      <c r="E27" s="336">
        <v>12.0</v>
      </c>
      <c r="F27" s="336">
        <v>2.0</v>
      </c>
      <c r="G27" s="336" t="s">
        <v>2117</v>
      </c>
      <c r="H27" s="555" t="s">
        <v>1650</v>
      </c>
      <c r="I27" s="336" t="s">
        <v>2057</v>
      </c>
      <c r="J27" s="336" t="s">
        <v>2118</v>
      </c>
      <c r="K27" s="336" t="s">
        <v>2057</v>
      </c>
      <c r="L27" s="336" t="s">
        <v>2057</v>
      </c>
      <c r="M27" s="557"/>
    </row>
    <row r="28">
      <c r="A28" s="334" t="s">
        <v>1652</v>
      </c>
      <c r="B28" s="334" t="s">
        <v>2054</v>
      </c>
      <c r="C28" s="334" t="s">
        <v>2055</v>
      </c>
      <c r="D28" s="334">
        <v>125.0</v>
      </c>
      <c r="E28" s="334">
        <v>5.0</v>
      </c>
      <c r="F28" s="334">
        <v>2.0</v>
      </c>
      <c r="G28" s="334" t="s">
        <v>2119</v>
      </c>
      <c r="H28" s="558" t="s">
        <v>1652</v>
      </c>
      <c r="I28" s="334" t="s">
        <v>2057</v>
      </c>
      <c r="J28" s="334" t="s">
        <v>2120</v>
      </c>
      <c r="K28" s="334" t="s">
        <v>2057</v>
      </c>
      <c r="L28" s="334" t="s">
        <v>2057</v>
      </c>
      <c r="M28" s="556"/>
    </row>
    <row r="29">
      <c r="A29" s="336" t="s">
        <v>1656</v>
      </c>
      <c r="B29" s="336" t="s">
        <v>2054</v>
      </c>
      <c r="C29" s="336" t="s">
        <v>2055</v>
      </c>
      <c r="D29" s="336">
        <v>125.0</v>
      </c>
      <c r="E29" s="336">
        <v>1.0</v>
      </c>
      <c r="F29" s="336">
        <v>2.0</v>
      </c>
      <c r="G29" s="336" t="s">
        <v>2121</v>
      </c>
      <c r="H29" s="555" t="s">
        <v>1654</v>
      </c>
      <c r="I29" s="336" t="s">
        <v>2057</v>
      </c>
      <c r="J29" s="336" t="s">
        <v>2057</v>
      </c>
      <c r="K29" s="336" t="s">
        <v>2122</v>
      </c>
      <c r="L29" s="336" t="s">
        <v>2057</v>
      </c>
      <c r="M29" s="557"/>
    </row>
    <row r="30">
      <c r="A30" s="334" t="s">
        <v>1657</v>
      </c>
      <c r="B30" s="334" t="s">
        <v>2054</v>
      </c>
      <c r="C30" s="334" t="s">
        <v>2055</v>
      </c>
      <c r="D30" s="334">
        <v>250.0</v>
      </c>
      <c r="E30" s="334">
        <v>7.0</v>
      </c>
      <c r="F30" s="334">
        <v>3.0</v>
      </c>
      <c r="G30" s="334" t="s">
        <v>2123</v>
      </c>
      <c r="H30" s="334" t="s">
        <v>1657</v>
      </c>
      <c r="I30" s="334" t="s">
        <v>2057</v>
      </c>
      <c r="J30" s="334" t="s">
        <v>2111</v>
      </c>
      <c r="K30" s="334" t="s">
        <v>2124</v>
      </c>
      <c r="L30" s="334" t="s">
        <v>2057</v>
      </c>
      <c r="M30" s="556"/>
    </row>
    <row r="31">
      <c r="A31" s="336" t="s">
        <v>1659</v>
      </c>
      <c r="B31" s="336" t="s">
        <v>2054</v>
      </c>
      <c r="C31" s="336" t="s">
        <v>2055</v>
      </c>
      <c r="D31" s="336">
        <v>500.0</v>
      </c>
      <c r="E31" s="336">
        <v>15.0</v>
      </c>
      <c r="F31" s="336">
        <v>3.0</v>
      </c>
      <c r="G31" s="336" t="s">
        <v>2125</v>
      </c>
      <c r="H31" s="555" t="s">
        <v>1659</v>
      </c>
      <c r="I31" s="336" t="s">
        <v>2057</v>
      </c>
      <c r="J31" s="336" t="s">
        <v>2126</v>
      </c>
      <c r="K31" s="336" t="s">
        <v>2127</v>
      </c>
      <c r="L31" s="336" t="s">
        <v>2057</v>
      </c>
      <c r="M31" s="557"/>
    </row>
    <row r="32">
      <c r="A32" s="334" t="s">
        <v>1861</v>
      </c>
      <c r="B32" s="334" t="s">
        <v>2054</v>
      </c>
      <c r="C32" s="334" t="s">
        <v>2055</v>
      </c>
      <c r="D32" s="334">
        <v>350.0</v>
      </c>
      <c r="E32" s="334">
        <v>9.0</v>
      </c>
      <c r="F32" s="334">
        <v>3.0</v>
      </c>
      <c r="G32" s="334" t="s">
        <v>2128</v>
      </c>
      <c r="H32" s="334" t="s">
        <v>2057</v>
      </c>
      <c r="I32" s="558" t="s">
        <v>1861</v>
      </c>
      <c r="J32" s="334" t="s">
        <v>2057</v>
      </c>
      <c r="K32" s="334" t="s">
        <v>2129</v>
      </c>
      <c r="L32" s="334" t="s">
        <v>2057</v>
      </c>
      <c r="M32" s="556"/>
    </row>
    <row r="33">
      <c r="A33" s="336" t="s">
        <v>1532</v>
      </c>
      <c r="B33" s="336" t="s">
        <v>2054</v>
      </c>
      <c r="C33" s="336" t="s">
        <v>2055</v>
      </c>
      <c r="D33" s="336">
        <v>300.0</v>
      </c>
      <c r="E33" s="336">
        <v>4.0</v>
      </c>
      <c r="F33" s="336">
        <v>3.0</v>
      </c>
      <c r="G33" s="336" t="s">
        <v>2130</v>
      </c>
      <c r="H33" s="555" t="s">
        <v>1532</v>
      </c>
      <c r="I33" s="555" t="s">
        <v>1532</v>
      </c>
      <c r="J33" s="336" t="s">
        <v>2057</v>
      </c>
      <c r="K33" s="336" t="s">
        <v>2057</v>
      </c>
      <c r="L33" s="336" t="s">
        <v>2057</v>
      </c>
      <c r="M33" s="557"/>
    </row>
    <row r="34">
      <c r="A34" s="334" t="s">
        <v>2131</v>
      </c>
      <c r="B34" s="334" t="s">
        <v>2054</v>
      </c>
      <c r="C34" s="334" t="s">
        <v>2055</v>
      </c>
      <c r="D34" s="334">
        <v>400.0</v>
      </c>
      <c r="E34" s="334">
        <v>8.0</v>
      </c>
      <c r="F34" s="334">
        <v>3.0</v>
      </c>
      <c r="G34" s="334" t="s">
        <v>2132</v>
      </c>
      <c r="H34" s="334" t="s">
        <v>2057</v>
      </c>
      <c r="I34" s="334" t="s">
        <v>2057</v>
      </c>
      <c r="J34" s="334" t="s">
        <v>2057</v>
      </c>
      <c r="K34" s="334" t="s">
        <v>2133</v>
      </c>
      <c r="L34" s="334" t="s">
        <v>2057</v>
      </c>
      <c r="M34" s="556"/>
    </row>
    <row r="35">
      <c r="A35" s="336" t="s">
        <v>2134</v>
      </c>
      <c r="B35" s="336" t="s">
        <v>2054</v>
      </c>
      <c r="C35" s="336" t="s">
        <v>2055</v>
      </c>
      <c r="D35" s="336">
        <v>500.0</v>
      </c>
      <c r="E35" s="336">
        <v>1.0</v>
      </c>
      <c r="F35" s="336">
        <v>3.0</v>
      </c>
      <c r="G35" s="336" t="s">
        <v>2135</v>
      </c>
      <c r="H35" s="336" t="s">
        <v>2057</v>
      </c>
      <c r="I35" s="336" t="s">
        <v>2057</v>
      </c>
      <c r="J35" s="336" t="s">
        <v>2057</v>
      </c>
      <c r="K35" s="336" t="s">
        <v>2133</v>
      </c>
      <c r="L35" s="336" t="s">
        <v>2057</v>
      </c>
      <c r="M35" s="557"/>
    </row>
    <row r="36">
      <c r="A36" s="334" t="s">
        <v>2136</v>
      </c>
      <c r="B36" s="334" t="s">
        <v>2054</v>
      </c>
      <c r="C36" s="334" t="s">
        <v>2055</v>
      </c>
      <c r="D36" s="334">
        <v>250.0</v>
      </c>
      <c r="E36" s="334">
        <v>6.0</v>
      </c>
      <c r="F36" s="334">
        <v>3.0</v>
      </c>
      <c r="G36" s="334" t="s">
        <v>2137</v>
      </c>
      <c r="H36" s="334" t="s">
        <v>2057</v>
      </c>
      <c r="I36" s="334" t="s">
        <v>2057</v>
      </c>
      <c r="J36" s="334" t="s">
        <v>2057</v>
      </c>
      <c r="K36" s="334" t="s">
        <v>2138</v>
      </c>
      <c r="L36" s="334" t="s">
        <v>2057</v>
      </c>
      <c r="M36" s="556"/>
    </row>
    <row r="37">
      <c r="A37" s="336" t="s">
        <v>1665</v>
      </c>
      <c r="B37" s="336" t="s">
        <v>2054</v>
      </c>
      <c r="C37" s="336" t="s">
        <v>2055</v>
      </c>
      <c r="D37" s="336">
        <v>300.0</v>
      </c>
      <c r="E37" s="336">
        <v>1.0</v>
      </c>
      <c r="F37" s="336">
        <v>3.0</v>
      </c>
      <c r="G37" s="336" t="s">
        <v>2139</v>
      </c>
      <c r="H37" s="555" t="s">
        <v>1663</v>
      </c>
      <c r="I37" s="336" t="s">
        <v>2057</v>
      </c>
      <c r="J37" s="336" t="s">
        <v>2057</v>
      </c>
      <c r="K37" s="336" t="s">
        <v>2057</v>
      </c>
      <c r="L37" s="336" t="s">
        <v>2140</v>
      </c>
      <c r="M37" s="557"/>
    </row>
    <row r="38">
      <c r="A38" s="334" t="s">
        <v>1666</v>
      </c>
      <c r="B38" s="334" t="s">
        <v>2054</v>
      </c>
      <c r="C38" s="334" t="s">
        <v>2055</v>
      </c>
      <c r="D38" s="334">
        <v>400.0</v>
      </c>
      <c r="E38" s="334">
        <v>12.0</v>
      </c>
      <c r="F38" s="334">
        <v>3.0</v>
      </c>
      <c r="G38" s="334" t="s">
        <v>2141</v>
      </c>
      <c r="H38" s="558" t="s">
        <v>1666</v>
      </c>
      <c r="I38" s="334" t="s">
        <v>2057</v>
      </c>
      <c r="J38" s="334" t="s">
        <v>2057</v>
      </c>
      <c r="K38" s="334" t="s">
        <v>2057</v>
      </c>
      <c r="L38" s="334" t="s">
        <v>2057</v>
      </c>
      <c r="M38" s="556"/>
    </row>
    <row r="39">
      <c r="A39" s="336" t="s">
        <v>1534</v>
      </c>
      <c r="B39" s="336" t="s">
        <v>2054</v>
      </c>
      <c r="C39" s="336" t="s">
        <v>2055</v>
      </c>
      <c r="D39" s="336">
        <v>500.0</v>
      </c>
      <c r="E39" s="336">
        <v>4.0</v>
      </c>
      <c r="F39" s="336">
        <v>3.0</v>
      </c>
      <c r="G39" s="336" t="s">
        <v>2142</v>
      </c>
      <c r="H39" s="555" t="s">
        <v>1534</v>
      </c>
      <c r="I39" s="555" t="s">
        <v>1534</v>
      </c>
      <c r="J39" s="336" t="s">
        <v>2057</v>
      </c>
      <c r="K39" s="336" t="s">
        <v>2143</v>
      </c>
      <c r="L39" s="336" t="s">
        <v>2057</v>
      </c>
      <c r="M39" s="557"/>
    </row>
    <row r="40">
      <c r="A40" s="334" t="s">
        <v>1536</v>
      </c>
      <c r="B40" s="334" t="s">
        <v>2054</v>
      </c>
      <c r="C40" s="334" t="s">
        <v>2055</v>
      </c>
      <c r="D40" s="334">
        <v>250.0</v>
      </c>
      <c r="E40" s="334">
        <v>1.0</v>
      </c>
      <c r="F40" s="334">
        <v>3.0</v>
      </c>
      <c r="G40" s="334" t="s">
        <v>2144</v>
      </c>
      <c r="H40" s="558" t="s">
        <v>1536</v>
      </c>
      <c r="I40" s="558" t="s">
        <v>1536</v>
      </c>
      <c r="J40" s="334" t="s">
        <v>2145</v>
      </c>
      <c r="K40" s="334" t="s">
        <v>2146</v>
      </c>
      <c r="L40" s="334" t="s">
        <v>2057</v>
      </c>
      <c r="M40" s="556"/>
    </row>
    <row r="41">
      <c r="A41" s="336" t="s">
        <v>1670</v>
      </c>
      <c r="B41" s="336" t="s">
        <v>2054</v>
      </c>
      <c r="C41" s="336" t="s">
        <v>2055</v>
      </c>
      <c r="D41" s="336">
        <v>500.0</v>
      </c>
      <c r="E41" s="336">
        <v>2.0</v>
      </c>
      <c r="F41" s="336">
        <v>3.0</v>
      </c>
      <c r="G41" s="336" t="s">
        <v>2147</v>
      </c>
      <c r="H41" s="555" t="s">
        <v>1672</v>
      </c>
      <c r="I41" s="336" t="s">
        <v>2057</v>
      </c>
      <c r="J41" s="336" t="s">
        <v>2148</v>
      </c>
      <c r="K41" s="336" t="s">
        <v>2149</v>
      </c>
      <c r="L41" s="336" t="s">
        <v>2057</v>
      </c>
      <c r="M41" s="557"/>
    </row>
    <row r="42">
      <c r="A42" s="334" t="s">
        <v>1538</v>
      </c>
      <c r="B42" s="334" t="s">
        <v>2054</v>
      </c>
      <c r="C42" s="334" t="s">
        <v>2055</v>
      </c>
      <c r="D42" s="334">
        <v>500.0</v>
      </c>
      <c r="E42" s="334">
        <v>5.0</v>
      </c>
      <c r="F42" s="334">
        <v>3.0</v>
      </c>
      <c r="G42" s="334" t="s">
        <v>2150</v>
      </c>
      <c r="H42" s="334" t="s">
        <v>2057</v>
      </c>
      <c r="I42" s="334" t="s">
        <v>1538</v>
      </c>
      <c r="J42" s="334" t="s">
        <v>2057</v>
      </c>
      <c r="K42" s="334" t="s">
        <v>2151</v>
      </c>
      <c r="L42" s="334" t="s">
        <v>2057</v>
      </c>
      <c r="M42" s="556"/>
    </row>
    <row r="43">
      <c r="A43" s="336" t="s">
        <v>1500</v>
      </c>
      <c r="B43" s="336" t="s">
        <v>2054</v>
      </c>
      <c r="C43" s="336" t="s">
        <v>2055</v>
      </c>
      <c r="D43" s="336">
        <v>250.0</v>
      </c>
      <c r="E43" s="336">
        <v>1.0</v>
      </c>
      <c r="F43" s="336">
        <v>3.0</v>
      </c>
      <c r="G43" s="336" t="s">
        <v>2152</v>
      </c>
      <c r="H43" s="555" t="s">
        <v>2153</v>
      </c>
      <c r="I43" s="555" t="s">
        <v>1498</v>
      </c>
      <c r="J43" s="336" t="s">
        <v>2154</v>
      </c>
      <c r="K43" s="336" t="s">
        <v>2057</v>
      </c>
      <c r="L43" s="336" t="s">
        <v>2155</v>
      </c>
      <c r="M43" s="557"/>
    </row>
    <row r="44">
      <c r="A44" s="334" t="s">
        <v>1679</v>
      </c>
      <c r="B44" s="334" t="s">
        <v>2054</v>
      </c>
      <c r="C44" s="334" t="s">
        <v>2055</v>
      </c>
      <c r="D44" s="334">
        <v>1000.0</v>
      </c>
      <c r="E44" s="334">
        <v>32.0</v>
      </c>
      <c r="F44" s="334">
        <v>4.0</v>
      </c>
      <c r="G44" s="334" t="s">
        <v>2156</v>
      </c>
      <c r="H44" s="558" t="s">
        <v>1679</v>
      </c>
      <c r="I44" s="334" t="s">
        <v>2057</v>
      </c>
      <c r="J44" s="334" t="s">
        <v>2157</v>
      </c>
      <c r="K44" s="334" t="s">
        <v>2158</v>
      </c>
      <c r="L44" s="334" t="s">
        <v>2057</v>
      </c>
      <c r="M44" s="556"/>
    </row>
    <row r="45">
      <c r="A45" s="336" t="s">
        <v>2159</v>
      </c>
      <c r="B45" s="336" t="s">
        <v>2054</v>
      </c>
      <c r="C45" s="336" t="s">
        <v>2055</v>
      </c>
      <c r="D45" s="336">
        <v>800.0</v>
      </c>
      <c r="E45" s="336">
        <v>6.0</v>
      </c>
      <c r="F45" s="336">
        <v>4.0</v>
      </c>
      <c r="G45" s="336" t="s">
        <v>2160</v>
      </c>
      <c r="H45" s="336" t="s">
        <v>2057</v>
      </c>
      <c r="I45" s="336" t="s">
        <v>2057</v>
      </c>
      <c r="J45" s="336" t="s">
        <v>2161</v>
      </c>
      <c r="K45" s="336" t="s">
        <v>2162</v>
      </c>
      <c r="L45" s="336" t="s">
        <v>2057</v>
      </c>
      <c r="M45" s="557"/>
    </row>
    <row r="46">
      <c r="A46" s="334" t="s">
        <v>2163</v>
      </c>
      <c r="B46" s="334" t="s">
        <v>2054</v>
      </c>
      <c r="C46" s="334" t="s">
        <v>2055</v>
      </c>
      <c r="D46" s="334">
        <v>750.0</v>
      </c>
      <c r="E46" s="334">
        <v>9.0</v>
      </c>
      <c r="F46" s="334">
        <v>4.0</v>
      </c>
      <c r="G46" s="334" t="s">
        <v>2164</v>
      </c>
      <c r="H46" s="334" t="s">
        <v>2057</v>
      </c>
      <c r="I46" s="558" t="s">
        <v>1571</v>
      </c>
      <c r="J46" s="334" t="s">
        <v>2057</v>
      </c>
      <c r="K46" s="334" t="s">
        <v>2165</v>
      </c>
      <c r="L46" s="334" t="s">
        <v>2057</v>
      </c>
      <c r="M46" s="556"/>
    </row>
    <row r="47">
      <c r="A47" s="336" t="s">
        <v>2166</v>
      </c>
      <c r="B47" s="336" t="s">
        <v>2054</v>
      </c>
      <c r="C47" s="336" t="s">
        <v>2055</v>
      </c>
      <c r="D47" s="336">
        <v>1200.0</v>
      </c>
      <c r="E47" s="336">
        <v>25.0</v>
      </c>
      <c r="F47" s="336">
        <v>4.0</v>
      </c>
      <c r="G47" s="336" t="s">
        <v>2167</v>
      </c>
      <c r="H47" s="336" t="s">
        <v>2057</v>
      </c>
      <c r="I47" s="336" t="s">
        <v>2057</v>
      </c>
      <c r="J47" s="336" t="s">
        <v>2168</v>
      </c>
      <c r="K47" s="336" t="s">
        <v>2057</v>
      </c>
      <c r="L47" s="336" t="s">
        <v>2057</v>
      </c>
      <c r="M47" s="557"/>
    </row>
    <row r="48">
      <c r="A48" s="334" t="s">
        <v>1681</v>
      </c>
      <c r="B48" s="334" t="s">
        <v>2054</v>
      </c>
      <c r="C48" s="334" t="s">
        <v>2055</v>
      </c>
      <c r="D48" s="334">
        <v>1200.0</v>
      </c>
      <c r="E48" s="334">
        <v>9.0</v>
      </c>
      <c r="F48" s="334">
        <v>4.0</v>
      </c>
      <c r="G48" s="334" t="s">
        <v>2169</v>
      </c>
      <c r="H48" s="558" t="s">
        <v>1684</v>
      </c>
      <c r="I48" s="334" t="s">
        <v>2057</v>
      </c>
      <c r="J48" s="334" t="s">
        <v>2170</v>
      </c>
      <c r="K48" s="334" t="s">
        <v>2057</v>
      </c>
      <c r="L48" s="334" t="s">
        <v>2057</v>
      </c>
      <c r="M48" s="556"/>
    </row>
    <row r="49">
      <c r="A49" s="336" t="s">
        <v>1573</v>
      </c>
      <c r="B49" s="336" t="s">
        <v>2054</v>
      </c>
      <c r="C49" s="336" t="s">
        <v>2055</v>
      </c>
      <c r="D49" s="336">
        <v>1500.0</v>
      </c>
      <c r="E49" s="336">
        <v>14.0</v>
      </c>
      <c r="F49" s="336">
        <v>4.0</v>
      </c>
      <c r="G49" s="336" t="s">
        <v>2171</v>
      </c>
      <c r="H49" s="336" t="s">
        <v>2057</v>
      </c>
      <c r="I49" s="555" t="s">
        <v>1573</v>
      </c>
      <c r="J49" s="336" t="s">
        <v>2057</v>
      </c>
      <c r="K49" s="336" t="s">
        <v>2172</v>
      </c>
      <c r="L49" s="336" t="s">
        <v>2057</v>
      </c>
      <c r="M49" s="557"/>
    </row>
    <row r="50">
      <c r="A50" s="334" t="s">
        <v>1687</v>
      </c>
      <c r="B50" s="334" t="s">
        <v>2054</v>
      </c>
      <c r="C50" s="334" t="s">
        <v>2055</v>
      </c>
      <c r="D50" s="334">
        <v>800.0</v>
      </c>
      <c r="E50" s="334">
        <v>6.0</v>
      </c>
      <c r="F50" s="334">
        <v>4.0</v>
      </c>
      <c r="G50" s="334" t="s">
        <v>2173</v>
      </c>
      <c r="H50" s="558" t="s">
        <v>1685</v>
      </c>
      <c r="I50" s="334" t="s">
        <v>2057</v>
      </c>
      <c r="J50" s="334" t="s">
        <v>2057</v>
      </c>
      <c r="K50" s="334" t="s">
        <v>2174</v>
      </c>
      <c r="L50" s="334" t="s">
        <v>2175</v>
      </c>
      <c r="M50" s="556"/>
    </row>
    <row r="51">
      <c r="A51" s="336" t="s">
        <v>2176</v>
      </c>
      <c r="B51" s="336" t="s">
        <v>2054</v>
      </c>
      <c r="C51" s="336" t="s">
        <v>2055</v>
      </c>
      <c r="D51" s="336">
        <v>1000.0</v>
      </c>
      <c r="E51" s="336">
        <v>12.0</v>
      </c>
      <c r="F51" s="336">
        <v>4.0</v>
      </c>
      <c r="G51" s="336" t="s">
        <v>2177</v>
      </c>
      <c r="H51" s="336" t="s">
        <v>2057</v>
      </c>
      <c r="I51" s="336" t="s">
        <v>2057</v>
      </c>
      <c r="J51" s="336" t="s">
        <v>2178</v>
      </c>
      <c r="K51" s="336" t="s">
        <v>2179</v>
      </c>
      <c r="L51" s="336" t="s">
        <v>2057</v>
      </c>
      <c r="M51" s="557"/>
    </row>
    <row r="52">
      <c r="A52" s="334" t="s">
        <v>1688</v>
      </c>
      <c r="B52" s="334" t="s">
        <v>2054</v>
      </c>
      <c r="C52" s="334" t="s">
        <v>2055</v>
      </c>
      <c r="D52" s="334">
        <v>1500.0</v>
      </c>
      <c r="E52" s="334">
        <v>6.0</v>
      </c>
      <c r="F52" s="334">
        <v>4.0</v>
      </c>
      <c r="G52" s="334" t="s">
        <v>2180</v>
      </c>
      <c r="H52" s="558" t="s">
        <v>1688</v>
      </c>
      <c r="I52" s="334" t="s">
        <v>2057</v>
      </c>
      <c r="J52" s="334" t="s">
        <v>2057</v>
      </c>
      <c r="K52" s="334" t="s">
        <v>2057</v>
      </c>
      <c r="L52" s="334" t="s">
        <v>2181</v>
      </c>
      <c r="M52" s="556"/>
    </row>
    <row r="53">
      <c r="A53" s="336" t="s">
        <v>1690</v>
      </c>
      <c r="B53" s="336" t="s">
        <v>2054</v>
      </c>
      <c r="C53" s="336" t="s">
        <v>2055</v>
      </c>
      <c r="D53" s="336">
        <v>1800.0</v>
      </c>
      <c r="E53" s="336">
        <v>20.0</v>
      </c>
      <c r="F53" s="336">
        <v>5.0</v>
      </c>
      <c r="G53" s="336" t="s">
        <v>2182</v>
      </c>
      <c r="H53" s="555" t="s">
        <v>1690</v>
      </c>
      <c r="I53" s="336" t="s">
        <v>2057</v>
      </c>
      <c r="J53" s="336" t="s">
        <v>2057</v>
      </c>
      <c r="K53" s="336" t="s">
        <v>2183</v>
      </c>
      <c r="L53" s="336" t="s">
        <v>2057</v>
      </c>
      <c r="M53" s="557"/>
    </row>
    <row r="54">
      <c r="A54" s="334" t="s">
        <v>2184</v>
      </c>
      <c r="B54" s="334" t="s">
        <v>2054</v>
      </c>
      <c r="C54" s="334" t="s">
        <v>2055</v>
      </c>
      <c r="D54" s="334">
        <v>2500.0</v>
      </c>
      <c r="E54" s="334">
        <v>4.0</v>
      </c>
      <c r="F54" s="334">
        <v>5.0</v>
      </c>
      <c r="G54" s="334" t="s">
        <v>2185</v>
      </c>
      <c r="H54" s="334" t="s">
        <v>2057</v>
      </c>
      <c r="I54" s="334" t="s">
        <v>2057</v>
      </c>
      <c r="J54" s="334" t="s">
        <v>2186</v>
      </c>
      <c r="K54" s="334" t="s">
        <v>2187</v>
      </c>
      <c r="L54" s="334" t="s">
        <v>2057</v>
      </c>
      <c r="M54" s="556"/>
    </row>
    <row r="55">
      <c r="A55" s="336" t="s">
        <v>2016</v>
      </c>
      <c r="B55" s="336" t="s">
        <v>2054</v>
      </c>
      <c r="C55" s="336" t="s">
        <v>2055</v>
      </c>
      <c r="D55" s="336">
        <v>2500.0</v>
      </c>
      <c r="E55" s="336">
        <v>25.0</v>
      </c>
      <c r="F55" s="336">
        <v>5.0</v>
      </c>
      <c r="G55" s="336" t="s">
        <v>2188</v>
      </c>
      <c r="H55" s="555" t="s">
        <v>2014</v>
      </c>
      <c r="I55" s="336" t="s">
        <v>2057</v>
      </c>
      <c r="J55" s="336" t="s">
        <v>2057</v>
      </c>
      <c r="K55" s="336" t="s">
        <v>2057</v>
      </c>
      <c r="L55" s="336" t="s">
        <v>2181</v>
      </c>
      <c r="M55" s="557"/>
    </row>
    <row r="56">
      <c r="A56" s="334" t="s">
        <v>1540</v>
      </c>
      <c r="B56" s="334" t="s">
        <v>2054</v>
      </c>
      <c r="C56" s="334" t="s">
        <v>2055</v>
      </c>
      <c r="D56" s="334">
        <v>2000.0</v>
      </c>
      <c r="E56" s="334">
        <v>5.0</v>
      </c>
      <c r="F56" s="334">
        <v>5.0</v>
      </c>
      <c r="G56" s="334" t="s">
        <v>2189</v>
      </c>
      <c r="H56" s="558" t="s">
        <v>1540</v>
      </c>
      <c r="I56" s="558" t="s">
        <v>1540</v>
      </c>
      <c r="J56" s="334" t="s">
        <v>2057</v>
      </c>
      <c r="K56" s="334" t="s">
        <v>2190</v>
      </c>
      <c r="L56" s="334" t="s">
        <v>2057</v>
      </c>
      <c r="M56" s="556"/>
    </row>
    <row r="57">
      <c r="A57" s="336" t="s">
        <v>1693</v>
      </c>
      <c r="B57" s="336" t="s">
        <v>2054</v>
      </c>
      <c r="C57" s="336" t="s">
        <v>2055</v>
      </c>
      <c r="D57" s="336">
        <v>2500.0</v>
      </c>
      <c r="E57" s="336">
        <v>5.0</v>
      </c>
      <c r="F57" s="336">
        <v>5.0</v>
      </c>
      <c r="G57" s="336" t="s">
        <v>2191</v>
      </c>
      <c r="H57" s="555" t="s">
        <v>1693</v>
      </c>
      <c r="I57" s="336" t="s">
        <v>2057</v>
      </c>
      <c r="J57" s="336" t="s">
        <v>2057</v>
      </c>
      <c r="K57" s="336" t="s">
        <v>2192</v>
      </c>
      <c r="L57" s="336" t="s">
        <v>2057</v>
      </c>
      <c r="M57" s="557"/>
    </row>
    <row r="58">
      <c r="A58" s="334" t="s">
        <v>1575</v>
      </c>
      <c r="B58" s="334" t="s">
        <v>2054</v>
      </c>
      <c r="C58" s="334" t="s">
        <v>2055</v>
      </c>
      <c r="D58" s="334">
        <v>1800.0</v>
      </c>
      <c r="E58" s="334">
        <v>8.0</v>
      </c>
      <c r="F58" s="334">
        <v>5.0</v>
      </c>
      <c r="G58" s="334" t="s">
        <v>2193</v>
      </c>
      <c r="H58" s="558" t="s">
        <v>1575</v>
      </c>
      <c r="I58" s="558" t="s">
        <v>1575</v>
      </c>
      <c r="J58" s="334" t="s">
        <v>2057</v>
      </c>
      <c r="K58" s="334" t="s">
        <v>2194</v>
      </c>
      <c r="L58" s="334" t="s">
        <v>2057</v>
      </c>
      <c r="M58" s="556"/>
    </row>
    <row r="59">
      <c r="A59" s="336" t="s">
        <v>1699</v>
      </c>
      <c r="B59" s="336" t="s">
        <v>2054</v>
      </c>
      <c r="C59" s="336" t="s">
        <v>2055</v>
      </c>
      <c r="D59" s="336">
        <v>2000.0</v>
      </c>
      <c r="E59" s="336">
        <v>12.0</v>
      </c>
      <c r="F59" s="336">
        <v>5.0</v>
      </c>
      <c r="G59" s="336" t="s">
        <v>2195</v>
      </c>
      <c r="H59" s="555" t="s">
        <v>1697</v>
      </c>
      <c r="I59" s="555" t="s">
        <v>1498</v>
      </c>
      <c r="J59" s="336" t="s">
        <v>2057</v>
      </c>
      <c r="K59" s="336" t="s">
        <v>2057</v>
      </c>
      <c r="L59" s="336" t="s">
        <v>2057</v>
      </c>
      <c r="M59" s="557"/>
    </row>
    <row r="60">
      <c r="A60" s="334" t="s">
        <v>2196</v>
      </c>
      <c r="B60" s="334" t="s">
        <v>2054</v>
      </c>
      <c r="C60" s="334" t="s">
        <v>2055</v>
      </c>
      <c r="D60" s="334">
        <v>2000.0</v>
      </c>
      <c r="E60" s="334">
        <v>8.0</v>
      </c>
      <c r="F60" s="334">
        <v>5.0</v>
      </c>
      <c r="G60" s="334" t="s">
        <v>2197</v>
      </c>
      <c r="H60" s="558" t="s">
        <v>2198</v>
      </c>
      <c r="I60" s="558" t="s">
        <v>1498</v>
      </c>
      <c r="J60" s="334" t="s">
        <v>2057</v>
      </c>
      <c r="K60" s="334" t="s">
        <v>2057</v>
      </c>
      <c r="L60" s="334" t="s">
        <v>2057</v>
      </c>
      <c r="M60" s="556"/>
    </row>
    <row r="61">
      <c r="A61" s="336" t="s">
        <v>2199</v>
      </c>
      <c r="B61" s="336" t="s">
        <v>2054</v>
      </c>
      <c r="C61" s="336" t="s">
        <v>2055</v>
      </c>
      <c r="D61" s="336">
        <v>1750.0</v>
      </c>
      <c r="E61" s="336">
        <v>10.0</v>
      </c>
      <c r="F61" s="336">
        <v>5.0</v>
      </c>
      <c r="G61" s="336" t="s">
        <v>2200</v>
      </c>
      <c r="H61" s="336" t="s">
        <v>2057</v>
      </c>
      <c r="I61" s="336" t="s">
        <v>2057</v>
      </c>
      <c r="J61" s="336" t="s">
        <v>2201</v>
      </c>
      <c r="K61" s="336" t="s">
        <v>2202</v>
      </c>
      <c r="L61" s="336" t="s">
        <v>2175</v>
      </c>
      <c r="M61" s="557"/>
    </row>
    <row r="62">
      <c r="A62" s="334" t="s">
        <v>2203</v>
      </c>
      <c r="B62" s="334" t="s">
        <v>2054</v>
      </c>
      <c r="C62" s="334" t="s">
        <v>2055</v>
      </c>
      <c r="D62" s="334">
        <v>4000.0</v>
      </c>
      <c r="E62" s="334">
        <v>12.0</v>
      </c>
      <c r="F62" s="334">
        <v>6.0</v>
      </c>
      <c r="G62" s="334" t="s">
        <v>2204</v>
      </c>
      <c r="H62" s="334" t="s">
        <v>2057</v>
      </c>
      <c r="I62" s="334" t="s">
        <v>2057</v>
      </c>
      <c r="J62" s="334" t="s">
        <v>2205</v>
      </c>
      <c r="K62" s="334" t="s">
        <v>2206</v>
      </c>
      <c r="L62" s="334" t="s">
        <v>2057</v>
      </c>
      <c r="M62" s="556"/>
    </row>
    <row r="63">
      <c r="A63" s="336" t="s">
        <v>2207</v>
      </c>
      <c r="B63" s="336" t="s">
        <v>2054</v>
      </c>
      <c r="C63" s="336" t="s">
        <v>2055</v>
      </c>
      <c r="D63" s="336">
        <v>3000.0</v>
      </c>
      <c r="E63" s="336">
        <v>8.0</v>
      </c>
      <c r="F63" s="336">
        <v>6.0</v>
      </c>
      <c r="G63" s="336" t="s">
        <v>2208</v>
      </c>
      <c r="H63" s="336" t="s">
        <v>2057</v>
      </c>
      <c r="I63" s="336" t="s">
        <v>2057</v>
      </c>
      <c r="J63" s="336" t="s">
        <v>2057</v>
      </c>
      <c r="K63" s="336" t="s">
        <v>2209</v>
      </c>
      <c r="L63" s="336" t="s">
        <v>2210</v>
      </c>
      <c r="M63" s="557"/>
    </row>
    <row r="64">
      <c r="A64" s="334" t="s">
        <v>1707</v>
      </c>
      <c r="B64" s="334" t="s">
        <v>2054</v>
      </c>
      <c r="C64" s="334" t="s">
        <v>2055</v>
      </c>
      <c r="D64" s="334">
        <v>5000.0</v>
      </c>
      <c r="E64" s="334">
        <v>10.0</v>
      </c>
      <c r="F64" s="334">
        <v>6.0</v>
      </c>
      <c r="G64" s="334" t="s">
        <v>2211</v>
      </c>
      <c r="H64" s="558" t="s">
        <v>1705</v>
      </c>
      <c r="I64" s="334" t="s">
        <v>2057</v>
      </c>
      <c r="J64" s="334" t="s">
        <v>2212</v>
      </c>
      <c r="K64" s="334" t="s">
        <v>2057</v>
      </c>
      <c r="L64" s="334" t="s">
        <v>2213</v>
      </c>
      <c r="M64" s="556"/>
    </row>
    <row r="65">
      <c r="A65" s="336" t="s">
        <v>1711</v>
      </c>
      <c r="B65" s="336" t="s">
        <v>2054</v>
      </c>
      <c r="C65" s="336" t="s">
        <v>2055</v>
      </c>
      <c r="D65" s="336">
        <v>5000.0</v>
      </c>
      <c r="E65" s="336">
        <v>14.0</v>
      </c>
      <c r="F65" s="336">
        <v>6.0</v>
      </c>
      <c r="G65" s="336" t="s">
        <v>2214</v>
      </c>
      <c r="H65" s="555" t="s">
        <v>1708</v>
      </c>
      <c r="I65" s="336" t="s">
        <v>2057</v>
      </c>
      <c r="J65" s="336" t="s">
        <v>2215</v>
      </c>
      <c r="K65" s="336" t="s">
        <v>2057</v>
      </c>
      <c r="L65" s="336" t="s">
        <v>2213</v>
      </c>
      <c r="M65" s="557"/>
    </row>
    <row r="66">
      <c r="A66" s="334" t="s">
        <v>2216</v>
      </c>
      <c r="B66" s="334" t="s">
        <v>2054</v>
      </c>
      <c r="C66" s="334" t="s">
        <v>2055</v>
      </c>
      <c r="D66" s="334">
        <v>4000.0</v>
      </c>
      <c r="E66" s="334">
        <v>5.0</v>
      </c>
      <c r="F66" s="334">
        <v>6.0</v>
      </c>
      <c r="G66" s="334" t="s">
        <v>2217</v>
      </c>
      <c r="H66" s="334" t="s">
        <v>2057</v>
      </c>
      <c r="I66" s="334" t="s">
        <v>2057</v>
      </c>
      <c r="J66" s="334" t="s">
        <v>2057</v>
      </c>
      <c r="K66" s="334" t="s">
        <v>2218</v>
      </c>
      <c r="L66" s="334" t="s">
        <v>2175</v>
      </c>
      <c r="M66" s="556"/>
    </row>
    <row r="67">
      <c r="A67" s="336" t="s">
        <v>2026</v>
      </c>
      <c r="B67" s="336" t="s">
        <v>2054</v>
      </c>
      <c r="C67" s="336" t="s">
        <v>2055</v>
      </c>
      <c r="D67" s="336">
        <v>3000.0</v>
      </c>
      <c r="E67" s="336">
        <v>35.0</v>
      </c>
      <c r="F67" s="336">
        <v>6.0</v>
      </c>
      <c r="G67" s="336" t="s">
        <v>2219</v>
      </c>
      <c r="H67" s="555" t="s">
        <v>2024</v>
      </c>
      <c r="I67" s="336" t="s">
        <v>2057</v>
      </c>
      <c r="J67" s="336" t="s">
        <v>2057</v>
      </c>
      <c r="K67" s="336" t="s">
        <v>2057</v>
      </c>
      <c r="L67" s="336" t="s">
        <v>2155</v>
      </c>
      <c r="M67" s="557"/>
    </row>
    <row r="68">
      <c r="A68" s="334" t="s">
        <v>1715</v>
      </c>
      <c r="B68" s="334" t="s">
        <v>2054</v>
      </c>
      <c r="C68" s="334" t="s">
        <v>2055</v>
      </c>
      <c r="D68" s="334">
        <v>12000.0</v>
      </c>
      <c r="E68" s="334">
        <v>40.0</v>
      </c>
      <c r="F68" s="334">
        <v>7.0</v>
      </c>
      <c r="G68" s="334" t="s">
        <v>2220</v>
      </c>
      <c r="H68" s="558" t="s">
        <v>2221</v>
      </c>
      <c r="I68" s="334" t="s">
        <v>2057</v>
      </c>
      <c r="J68" s="334" t="s">
        <v>2057</v>
      </c>
      <c r="K68" s="334" t="s">
        <v>2222</v>
      </c>
      <c r="L68" s="334" t="s">
        <v>2057</v>
      </c>
      <c r="M68" s="556"/>
    </row>
    <row r="69">
      <c r="A69" s="336" t="s">
        <v>2223</v>
      </c>
      <c r="B69" s="336" t="s">
        <v>2054</v>
      </c>
      <c r="C69" s="336" t="s">
        <v>2055</v>
      </c>
      <c r="D69" s="336">
        <v>8000.0</v>
      </c>
      <c r="E69" s="336">
        <v>45.0</v>
      </c>
      <c r="F69" s="336">
        <v>7.0</v>
      </c>
      <c r="G69" s="336" t="s">
        <v>2224</v>
      </c>
      <c r="H69" s="555" t="s">
        <v>1718</v>
      </c>
      <c r="I69" s="336" t="s">
        <v>2057</v>
      </c>
      <c r="J69" s="336" t="s">
        <v>2057</v>
      </c>
      <c r="K69" s="336" t="s">
        <v>2190</v>
      </c>
      <c r="L69" s="336" t="s">
        <v>2210</v>
      </c>
      <c r="M69" s="557"/>
    </row>
    <row r="70">
      <c r="A70" s="334" t="s">
        <v>1720</v>
      </c>
      <c r="B70" s="334" t="s">
        <v>2054</v>
      </c>
      <c r="C70" s="334" t="s">
        <v>2055</v>
      </c>
      <c r="D70" s="334">
        <v>6500.0</v>
      </c>
      <c r="E70" s="334">
        <v>65.0</v>
      </c>
      <c r="F70" s="334">
        <v>7.0</v>
      </c>
      <c r="G70" s="334" t="s">
        <v>2225</v>
      </c>
      <c r="H70" s="558" t="s">
        <v>1720</v>
      </c>
      <c r="I70" s="334" t="s">
        <v>2057</v>
      </c>
      <c r="J70" s="334" t="s">
        <v>2226</v>
      </c>
      <c r="K70" s="334" t="s">
        <v>2057</v>
      </c>
      <c r="L70" s="334" t="s">
        <v>2057</v>
      </c>
      <c r="M70" s="556"/>
    </row>
    <row r="71">
      <c r="A71" s="336" t="s">
        <v>1897</v>
      </c>
      <c r="B71" s="336" t="s">
        <v>2054</v>
      </c>
      <c r="C71" s="336" t="s">
        <v>2055</v>
      </c>
      <c r="D71" s="336">
        <v>15000.0</v>
      </c>
      <c r="E71" s="336">
        <v>60.0</v>
      </c>
      <c r="F71" s="336">
        <v>7.0</v>
      </c>
      <c r="G71" s="336" t="s">
        <v>2227</v>
      </c>
      <c r="H71" s="336" t="s">
        <v>2057</v>
      </c>
      <c r="I71" s="336" t="s">
        <v>1897</v>
      </c>
      <c r="J71" s="336" t="s">
        <v>2057</v>
      </c>
      <c r="K71" s="336" t="s">
        <v>2228</v>
      </c>
      <c r="L71" s="336" t="s">
        <v>2057</v>
      </c>
      <c r="M71" s="557"/>
    </row>
    <row r="72">
      <c r="A72" s="334" t="s">
        <v>2229</v>
      </c>
      <c r="B72" s="334" t="s">
        <v>2054</v>
      </c>
      <c r="C72" s="334" t="s">
        <v>2055</v>
      </c>
      <c r="D72" s="334">
        <v>10000.0</v>
      </c>
      <c r="E72" s="334">
        <v>40.0</v>
      </c>
      <c r="F72" s="334">
        <v>7.0</v>
      </c>
      <c r="G72" s="334" t="s">
        <v>2230</v>
      </c>
      <c r="H72" s="334" t="s">
        <v>2057</v>
      </c>
      <c r="I72" s="334" t="s">
        <v>2057</v>
      </c>
      <c r="J72" s="334" t="s">
        <v>2231</v>
      </c>
      <c r="K72" s="334" t="s">
        <v>2057</v>
      </c>
      <c r="L72" s="334" t="s">
        <v>2232</v>
      </c>
      <c r="M72" s="556"/>
    </row>
    <row r="73">
      <c r="A73" s="336" t="s">
        <v>2233</v>
      </c>
      <c r="B73" s="336" t="s">
        <v>2054</v>
      </c>
      <c r="C73" s="336" t="s">
        <v>2055</v>
      </c>
      <c r="D73" s="336">
        <v>13000.0</v>
      </c>
      <c r="E73" s="336">
        <v>40.0</v>
      </c>
      <c r="F73" s="336">
        <v>7.0</v>
      </c>
      <c r="G73" s="336" t="s">
        <v>2234</v>
      </c>
      <c r="H73" s="336" t="s">
        <v>2057</v>
      </c>
      <c r="I73" s="336" t="s">
        <v>2057</v>
      </c>
      <c r="J73" s="336" t="s">
        <v>2235</v>
      </c>
      <c r="K73" s="336" t="s">
        <v>2236</v>
      </c>
      <c r="L73" s="336" t="s">
        <v>2057</v>
      </c>
      <c r="M73" s="557"/>
    </row>
    <row r="74">
      <c r="A74" s="334" t="s">
        <v>1725</v>
      </c>
      <c r="B74" s="334" t="s">
        <v>2054</v>
      </c>
      <c r="C74" s="334" t="s">
        <v>2055</v>
      </c>
      <c r="D74" s="334">
        <v>9000.0</v>
      </c>
      <c r="E74" s="334">
        <v>50.0</v>
      </c>
      <c r="F74" s="334">
        <v>7.0</v>
      </c>
      <c r="G74" s="334" t="s">
        <v>2237</v>
      </c>
      <c r="H74" s="558" t="s">
        <v>1722</v>
      </c>
      <c r="I74" s="334" t="s">
        <v>2057</v>
      </c>
      <c r="J74" s="334" t="s">
        <v>2238</v>
      </c>
      <c r="K74" s="334" t="s">
        <v>2057</v>
      </c>
      <c r="L74" s="334" t="s">
        <v>2057</v>
      </c>
      <c r="M74" s="556"/>
    </row>
    <row r="75">
      <c r="A75" s="336" t="s">
        <v>2239</v>
      </c>
      <c r="B75" s="336" t="s">
        <v>2054</v>
      </c>
      <c r="C75" s="336" t="s">
        <v>2055</v>
      </c>
      <c r="D75" s="336">
        <v>16000.0</v>
      </c>
      <c r="E75" s="336">
        <v>65.0</v>
      </c>
      <c r="F75" s="336">
        <v>8.0</v>
      </c>
      <c r="G75" s="336" t="s">
        <v>2240</v>
      </c>
      <c r="H75" s="336" t="s">
        <v>2057</v>
      </c>
      <c r="I75" s="336" t="s">
        <v>2057</v>
      </c>
      <c r="J75" s="336" t="s">
        <v>2241</v>
      </c>
      <c r="K75" s="336" t="s">
        <v>2057</v>
      </c>
      <c r="L75" s="336" t="s">
        <v>2242</v>
      </c>
      <c r="M75" s="557"/>
    </row>
    <row r="76">
      <c r="A76" s="334" t="s">
        <v>2243</v>
      </c>
      <c r="B76" s="334" t="s">
        <v>2054</v>
      </c>
      <c r="C76" s="334" t="s">
        <v>2055</v>
      </c>
      <c r="D76" s="334">
        <v>20000.0</v>
      </c>
      <c r="E76" s="334">
        <v>25.0</v>
      </c>
      <c r="F76" s="334">
        <v>8.0</v>
      </c>
      <c r="G76" s="334" t="s">
        <v>2244</v>
      </c>
      <c r="H76" s="334" t="s">
        <v>2057</v>
      </c>
      <c r="I76" s="334" t="s">
        <v>2057</v>
      </c>
      <c r="J76" s="334" t="s">
        <v>2057</v>
      </c>
      <c r="K76" s="334" t="s">
        <v>2245</v>
      </c>
      <c r="L76" s="334" t="s">
        <v>2057</v>
      </c>
      <c r="M76" s="556"/>
    </row>
    <row r="77">
      <c r="A77" s="336" t="s">
        <v>2246</v>
      </c>
      <c r="B77" s="336" t="s">
        <v>2054</v>
      </c>
      <c r="C77" s="336" t="s">
        <v>2055</v>
      </c>
      <c r="D77" s="336">
        <v>18000.0</v>
      </c>
      <c r="E77" s="336">
        <v>45.0</v>
      </c>
      <c r="F77" s="336">
        <v>8.0</v>
      </c>
      <c r="G77" s="336" t="s">
        <v>2247</v>
      </c>
      <c r="H77" s="336" t="s">
        <v>2057</v>
      </c>
      <c r="I77" s="336" t="s">
        <v>2057</v>
      </c>
      <c r="J77" s="336" t="s">
        <v>2248</v>
      </c>
      <c r="K77" s="336" t="s">
        <v>2057</v>
      </c>
      <c r="L77" s="336" t="s">
        <v>2249</v>
      </c>
      <c r="M77" s="557"/>
    </row>
    <row r="78">
      <c r="A78" s="334" t="s">
        <v>1728</v>
      </c>
      <c r="B78" s="334" t="s">
        <v>2054</v>
      </c>
      <c r="C78" s="334" t="s">
        <v>2055</v>
      </c>
      <c r="D78" s="334">
        <v>16000.0</v>
      </c>
      <c r="E78" s="334">
        <v>80.0</v>
      </c>
      <c r="F78" s="334">
        <v>8.0</v>
      </c>
      <c r="G78" s="334" t="s">
        <v>2250</v>
      </c>
      <c r="H78" s="558" t="s">
        <v>1726</v>
      </c>
      <c r="I78" s="334" t="s">
        <v>2057</v>
      </c>
      <c r="J78" s="334" t="s">
        <v>2057</v>
      </c>
      <c r="K78" s="334" t="s">
        <v>2251</v>
      </c>
      <c r="L78" s="334" t="s">
        <v>2057</v>
      </c>
      <c r="M78" s="556"/>
    </row>
    <row r="79">
      <c r="A79" s="336" t="s">
        <v>1900</v>
      </c>
      <c r="B79" s="336" t="s">
        <v>2054</v>
      </c>
      <c r="C79" s="336" t="s">
        <v>2055</v>
      </c>
      <c r="D79" s="336">
        <v>19000.0</v>
      </c>
      <c r="E79" s="336">
        <v>45.0</v>
      </c>
      <c r="F79" s="336">
        <v>8.0</v>
      </c>
      <c r="G79" s="336" t="s">
        <v>2252</v>
      </c>
      <c r="H79" s="336" t="s">
        <v>2057</v>
      </c>
      <c r="I79" s="555" t="s">
        <v>1900</v>
      </c>
      <c r="J79" s="336" t="s">
        <v>2057</v>
      </c>
      <c r="K79" s="336" t="s">
        <v>2253</v>
      </c>
      <c r="L79" s="336" t="s">
        <v>2057</v>
      </c>
      <c r="M79" s="557"/>
    </row>
    <row r="80">
      <c r="A80" s="334" t="s">
        <v>2254</v>
      </c>
      <c r="B80" s="334" t="s">
        <v>2054</v>
      </c>
      <c r="C80" s="334" t="s">
        <v>2055</v>
      </c>
      <c r="D80" s="334">
        <v>40000.0</v>
      </c>
      <c r="E80" s="334">
        <v>50.0</v>
      </c>
      <c r="F80" s="334">
        <v>9.0</v>
      </c>
      <c r="G80" s="334" t="s">
        <v>2255</v>
      </c>
      <c r="H80" s="334" t="s">
        <v>2057</v>
      </c>
      <c r="I80" s="334" t="s">
        <v>2057</v>
      </c>
      <c r="J80" s="366" t="s">
        <v>2256</v>
      </c>
      <c r="K80" s="334" t="s">
        <v>2057</v>
      </c>
      <c r="L80" s="334" t="s">
        <v>2057</v>
      </c>
      <c r="M80" s="559"/>
    </row>
    <row r="81">
      <c r="A81" s="336" t="s">
        <v>2035</v>
      </c>
      <c r="B81" s="336" t="s">
        <v>2054</v>
      </c>
      <c r="C81" s="336" t="s">
        <v>2055</v>
      </c>
      <c r="D81" s="336">
        <v>35000.0</v>
      </c>
      <c r="E81" s="336">
        <v>70.0</v>
      </c>
      <c r="F81" s="336">
        <v>9.0</v>
      </c>
      <c r="G81" s="336" t="s">
        <v>2257</v>
      </c>
      <c r="H81" s="560" t="s">
        <v>2035</v>
      </c>
      <c r="I81" s="336" t="s">
        <v>2057</v>
      </c>
      <c r="J81" s="361" t="s">
        <v>2258</v>
      </c>
      <c r="K81" s="336" t="s">
        <v>2057</v>
      </c>
      <c r="L81" s="336" t="s">
        <v>2057</v>
      </c>
      <c r="M81" s="561"/>
    </row>
    <row r="82">
      <c r="A82" s="334" t="s">
        <v>2259</v>
      </c>
      <c r="B82" s="334" t="s">
        <v>2054</v>
      </c>
      <c r="C82" s="334" t="s">
        <v>2055</v>
      </c>
      <c r="D82" s="334">
        <v>25000.0</v>
      </c>
      <c r="E82" s="334">
        <v>35.0</v>
      </c>
      <c r="F82" s="334">
        <v>9.0</v>
      </c>
      <c r="G82" s="334" t="s">
        <v>2260</v>
      </c>
      <c r="H82" s="334" t="s">
        <v>2057</v>
      </c>
      <c r="I82" s="334" t="s">
        <v>2057</v>
      </c>
      <c r="J82" s="334" t="s">
        <v>2057</v>
      </c>
      <c r="K82" s="334" t="s">
        <v>2261</v>
      </c>
      <c r="L82" s="334" t="s">
        <v>2057</v>
      </c>
      <c r="M82" s="559"/>
    </row>
    <row r="83">
      <c r="A83" s="336" t="s">
        <v>2262</v>
      </c>
      <c r="B83" s="336" t="s">
        <v>2054</v>
      </c>
      <c r="C83" s="336" t="s">
        <v>2055</v>
      </c>
      <c r="D83" s="336">
        <v>35000.0</v>
      </c>
      <c r="E83" s="336">
        <v>60.0</v>
      </c>
      <c r="F83" s="336">
        <v>9.0</v>
      </c>
      <c r="G83" s="336" t="s">
        <v>2263</v>
      </c>
      <c r="H83" s="336" t="s">
        <v>2057</v>
      </c>
      <c r="I83" s="336" t="s">
        <v>2057</v>
      </c>
      <c r="J83" s="336" t="s">
        <v>2057</v>
      </c>
      <c r="K83" s="336" t="s">
        <v>2264</v>
      </c>
      <c r="L83" s="336" t="s">
        <v>2057</v>
      </c>
      <c r="M83" s="561"/>
    </row>
    <row r="84">
      <c r="A84" s="334" t="s">
        <v>2037</v>
      </c>
      <c r="B84" s="334" t="s">
        <v>2054</v>
      </c>
      <c r="C84" s="334" t="s">
        <v>2055</v>
      </c>
      <c r="D84" s="334">
        <v>40000.0</v>
      </c>
      <c r="E84" s="334">
        <v>90.0</v>
      </c>
      <c r="F84" s="334">
        <v>9.0</v>
      </c>
      <c r="G84" s="334" t="s">
        <v>2265</v>
      </c>
      <c r="H84" s="562" t="s">
        <v>2037</v>
      </c>
      <c r="I84" s="334" t="s">
        <v>2057</v>
      </c>
      <c r="J84" s="366" t="s">
        <v>2266</v>
      </c>
      <c r="K84" s="334" t="s">
        <v>2057</v>
      </c>
      <c r="L84" s="334" t="s">
        <v>2057</v>
      </c>
      <c r="M84" s="559"/>
    </row>
    <row r="85">
      <c r="A85" s="336" t="s">
        <v>1903</v>
      </c>
      <c r="B85" s="336" t="s">
        <v>2054</v>
      </c>
      <c r="C85" s="336" t="s">
        <v>2055</v>
      </c>
      <c r="D85" s="336">
        <v>40000.0</v>
      </c>
      <c r="E85" s="336">
        <v>50.0</v>
      </c>
      <c r="F85" s="336">
        <v>9.0</v>
      </c>
      <c r="G85" s="336" t="s">
        <v>2267</v>
      </c>
      <c r="H85" s="336" t="s">
        <v>2057</v>
      </c>
      <c r="I85" s="563" t="s">
        <v>1903</v>
      </c>
      <c r="J85" s="336" t="s">
        <v>2057</v>
      </c>
      <c r="K85" s="361" t="s">
        <v>2268</v>
      </c>
      <c r="L85" s="336" t="s">
        <v>2057</v>
      </c>
      <c r="M85" s="561"/>
    </row>
    <row r="86">
      <c r="A86" s="334" t="s">
        <v>2269</v>
      </c>
      <c r="B86" s="334" t="s">
        <v>2054</v>
      </c>
      <c r="C86" s="334" t="s">
        <v>2055</v>
      </c>
      <c r="D86" s="334">
        <v>45000.0</v>
      </c>
      <c r="E86" s="334">
        <v>100.0</v>
      </c>
      <c r="F86" s="334">
        <v>9.0</v>
      </c>
      <c r="G86" s="334" t="s">
        <v>2270</v>
      </c>
      <c r="H86" s="334" t="s">
        <v>2057</v>
      </c>
      <c r="I86" s="334" t="s">
        <v>2057</v>
      </c>
      <c r="J86" s="334" t="s">
        <v>2271</v>
      </c>
      <c r="K86" s="334" t="s">
        <v>2057</v>
      </c>
      <c r="L86" s="334" t="s">
        <v>2272</v>
      </c>
      <c r="M86" s="559"/>
    </row>
    <row r="87">
      <c r="A87" s="336" t="s">
        <v>2273</v>
      </c>
      <c r="B87" s="336" t="s">
        <v>2054</v>
      </c>
      <c r="C87" s="336" t="s">
        <v>2055</v>
      </c>
      <c r="D87" s="336">
        <v>50000.0</v>
      </c>
      <c r="E87" s="336">
        <v>120.0</v>
      </c>
      <c r="F87" s="336">
        <v>9.0</v>
      </c>
      <c r="G87" s="336" t="s">
        <v>2274</v>
      </c>
      <c r="H87" s="336" t="s">
        <v>2057</v>
      </c>
      <c r="I87" s="336" t="s">
        <v>2057</v>
      </c>
      <c r="J87" s="336" t="s">
        <v>2057</v>
      </c>
      <c r="K87" s="336" t="s">
        <v>2275</v>
      </c>
      <c r="L87" s="336" t="s">
        <v>2057</v>
      </c>
      <c r="M87" s="564"/>
    </row>
    <row r="88">
      <c r="A88" s="334" t="s">
        <v>2276</v>
      </c>
      <c r="B88" s="334" t="s">
        <v>2054</v>
      </c>
      <c r="C88" s="334" t="s">
        <v>2055</v>
      </c>
      <c r="D88" s="334">
        <v>50.0</v>
      </c>
      <c r="E88" s="334">
        <v>2.0</v>
      </c>
      <c r="F88" s="334">
        <v>0.0</v>
      </c>
      <c r="G88" s="334" t="s">
        <v>2277</v>
      </c>
      <c r="H88" s="334" t="s">
        <v>2057</v>
      </c>
      <c r="I88" s="334" t="s">
        <v>2057</v>
      </c>
      <c r="J88" s="334" t="s">
        <v>2278</v>
      </c>
      <c r="K88" s="334" t="s">
        <v>2057</v>
      </c>
      <c r="L88" s="334" t="s">
        <v>2057</v>
      </c>
      <c r="M88" s="559"/>
    </row>
    <row r="89">
      <c r="A89" s="336" t="s">
        <v>2279</v>
      </c>
      <c r="B89" s="336" t="s">
        <v>2054</v>
      </c>
      <c r="C89" s="336" t="s">
        <v>2055</v>
      </c>
      <c r="D89" s="336">
        <v>100.0</v>
      </c>
      <c r="E89" s="336">
        <v>3.0</v>
      </c>
      <c r="F89" s="336">
        <v>1.0</v>
      </c>
      <c r="G89" s="336" t="s">
        <v>2280</v>
      </c>
      <c r="H89" s="336" t="s">
        <v>2057</v>
      </c>
      <c r="I89" s="336" t="s">
        <v>2057</v>
      </c>
      <c r="J89" s="336" t="s">
        <v>2281</v>
      </c>
      <c r="K89" s="336" t="s">
        <v>2057</v>
      </c>
      <c r="L89" s="336" t="s">
        <v>2057</v>
      </c>
      <c r="M89" s="561"/>
    </row>
    <row r="90">
      <c r="A90" s="334" t="s">
        <v>2282</v>
      </c>
      <c r="B90" s="334" t="s">
        <v>2054</v>
      </c>
      <c r="C90" s="334" t="s">
        <v>2055</v>
      </c>
      <c r="D90" s="334">
        <v>200.0</v>
      </c>
      <c r="E90" s="334">
        <v>5.0</v>
      </c>
      <c r="F90" s="334">
        <v>2.0</v>
      </c>
      <c r="G90" s="334" t="s">
        <v>2283</v>
      </c>
      <c r="H90" s="334" t="s">
        <v>2057</v>
      </c>
      <c r="I90" s="334" t="s">
        <v>2057</v>
      </c>
      <c r="J90" s="334" t="s">
        <v>2284</v>
      </c>
      <c r="K90" s="334" t="s">
        <v>2057</v>
      </c>
      <c r="L90" s="334" t="s">
        <v>2057</v>
      </c>
      <c r="M90" s="559"/>
    </row>
    <row r="91">
      <c r="A91" s="336" t="s">
        <v>2285</v>
      </c>
      <c r="B91" s="336" t="s">
        <v>2054</v>
      </c>
      <c r="C91" s="336" t="s">
        <v>2055</v>
      </c>
      <c r="D91" s="336">
        <v>700.0</v>
      </c>
      <c r="E91" s="336">
        <v>6.0</v>
      </c>
      <c r="F91" s="336">
        <v>3.0</v>
      </c>
      <c r="G91" s="336" t="s">
        <v>2286</v>
      </c>
      <c r="H91" s="336" t="s">
        <v>2057</v>
      </c>
      <c r="I91" s="336" t="s">
        <v>2057</v>
      </c>
      <c r="J91" s="336" t="s">
        <v>2287</v>
      </c>
      <c r="K91" s="336" t="s">
        <v>2057</v>
      </c>
      <c r="L91" s="336" t="s">
        <v>2057</v>
      </c>
      <c r="M91" s="561"/>
    </row>
    <row r="92">
      <c r="A92" s="334" t="s">
        <v>2288</v>
      </c>
      <c r="B92" s="334" t="s">
        <v>2054</v>
      </c>
      <c r="C92" s="334" t="s">
        <v>2055</v>
      </c>
      <c r="D92" s="334">
        <v>1200.0</v>
      </c>
      <c r="E92" s="334">
        <v>7.0</v>
      </c>
      <c r="F92" s="334">
        <v>4.0</v>
      </c>
      <c r="G92" s="334" t="s">
        <v>2289</v>
      </c>
      <c r="H92" s="334" t="s">
        <v>2057</v>
      </c>
      <c r="I92" s="334" t="s">
        <v>2057</v>
      </c>
      <c r="J92" s="334" t="s">
        <v>2290</v>
      </c>
      <c r="K92" s="334" t="s">
        <v>2057</v>
      </c>
      <c r="L92" s="334" t="s">
        <v>2057</v>
      </c>
      <c r="M92" s="559"/>
    </row>
    <row r="93">
      <c r="A93" s="336" t="s">
        <v>2291</v>
      </c>
      <c r="B93" s="336" t="s">
        <v>2054</v>
      </c>
      <c r="C93" s="336" t="s">
        <v>2055</v>
      </c>
      <c r="D93" s="336">
        <v>1300.0</v>
      </c>
      <c r="E93" s="336">
        <v>8.0</v>
      </c>
      <c r="F93" s="336">
        <v>5.0</v>
      </c>
      <c r="G93" s="336" t="s">
        <v>2292</v>
      </c>
      <c r="H93" s="336" t="s">
        <v>2057</v>
      </c>
      <c r="I93" s="336" t="s">
        <v>2057</v>
      </c>
      <c r="J93" s="336" t="s">
        <v>2293</v>
      </c>
      <c r="K93" s="336" t="s">
        <v>2057</v>
      </c>
      <c r="L93" s="336" t="s">
        <v>2057</v>
      </c>
      <c r="M93" s="561"/>
    </row>
    <row r="94">
      <c r="A94" s="334" t="s">
        <v>2294</v>
      </c>
      <c r="B94" s="334" t="s">
        <v>2054</v>
      </c>
      <c r="C94" s="334" t="s">
        <v>2055</v>
      </c>
      <c r="D94" s="334">
        <v>1500.0</v>
      </c>
      <c r="E94" s="334">
        <v>9.0</v>
      </c>
      <c r="F94" s="334">
        <v>6.0</v>
      </c>
      <c r="G94" s="334" t="s">
        <v>2295</v>
      </c>
      <c r="H94" s="334" t="s">
        <v>2057</v>
      </c>
      <c r="I94" s="334" t="s">
        <v>2057</v>
      </c>
      <c r="J94" s="334" t="s">
        <v>2296</v>
      </c>
      <c r="K94" s="334" t="s">
        <v>2057</v>
      </c>
      <c r="L94" s="334" t="s">
        <v>2057</v>
      </c>
      <c r="M94" s="556"/>
    </row>
    <row r="95">
      <c r="A95" s="336" t="s">
        <v>2297</v>
      </c>
      <c r="B95" s="336" t="s">
        <v>2054</v>
      </c>
      <c r="C95" s="336" t="s">
        <v>2055</v>
      </c>
      <c r="D95" s="336">
        <v>1700.0</v>
      </c>
      <c r="E95" s="336">
        <v>10.0</v>
      </c>
      <c r="F95" s="336">
        <v>7.0</v>
      </c>
      <c r="G95" s="336" t="s">
        <v>2298</v>
      </c>
      <c r="H95" s="336" t="s">
        <v>2057</v>
      </c>
      <c r="I95" s="336" t="s">
        <v>2057</v>
      </c>
      <c r="J95" s="336" t="s">
        <v>2299</v>
      </c>
      <c r="K95" s="336" t="s">
        <v>2057</v>
      </c>
      <c r="L95" s="336" t="s">
        <v>2057</v>
      </c>
      <c r="M95" s="557"/>
    </row>
    <row r="96">
      <c r="A96" s="334" t="s">
        <v>2300</v>
      </c>
      <c r="B96" s="334" t="s">
        <v>2054</v>
      </c>
      <c r="C96" s="334" t="s">
        <v>2055</v>
      </c>
      <c r="D96" s="334">
        <v>1800.0</v>
      </c>
      <c r="E96" s="334">
        <v>12.0</v>
      </c>
      <c r="F96" s="334">
        <v>8.0</v>
      </c>
      <c r="G96" s="334" t="s">
        <v>2301</v>
      </c>
      <c r="H96" s="334" t="s">
        <v>2057</v>
      </c>
      <c r="I96" s="334" t="s">
        <v>2057</v>
      </c>
      <c r="J96" s="334" t="s">
        <v>2302</v>
      </c>
      <c r="K96" s="334" t="s">
        <v>2057</v>
      </c>
      <c r="L96" s="334" t="s">
        <v>2057</v>
      </c>
      <c r="M96" s="556"/>
    </row>
    <row r="97">
      <c r="A97" s="336" t="s">
        <v>2303</v>
      </c>
      <c r="B97" s="336" t="s">
        <v>2054</v>
      </c>
      <c r="C97" s="336" t="s">
        <v>2055</v>
      </c>
      <c r="D97" s="336">
        <v>2000.0</v>
      </c>
      <c r="E97" s="336">
        <v>15.0</v>
      </c>
      <c r="F97" s="336">
        <v>9.0</v>
      </c>
      <c r="G97" s="336" t="s">
        <v>2304</v>
      </c>
      <c r="H97" s="336" t="s">
        <v>2057</v>
      </c>
      <c r="I97" s="336" t="s">
        <v>2057</v>
      </c>
      <c r="J97" s="336" t="s">
        <v>2305</v>
      </c>
      <c r="K97" s="336" t="s">
        <v>2057</v>
      </c>
      <c r="L97" s="336" t="s">
        <v>2057</v>
      </c>
      <c r="M97" s="557"/>
    </row>
    <row r="98">
      <c r="A98" s="334" t="s">
        <v>2306</v>
      </c>
      <c r="B98" s="334" t="s">
        <v>2054</v>
      </c>
      <c r="C98" s="334" t="s">
        <v>2055</v>
      </c>
      <c r="D98" s="334">
        <v>5000.0</v>
      </c>
      <c r="E98" s="334">
        <v>50.0</v>
      </c>
      <c r="F98" s="334">
        <v>10.0</v>
      </c>
      <c r="G98" s="334" t="s">
        <v>2307</v>
      </c>
      <c r="H98" s="334" t="s">
        <v>2057</v>
      </c>
      <c r="I98" s="334" t="s">
        <v>2057</v>
      </c>
      <c r="J98" s="334" t="s">
        <v>2308</v>
      </c>
      <c r="K98" s="334" t="s">
        <v>2057</v>
      </c>
      <c r="L98" s="334" t="s">
        <v>2057</v>
      </c>
      <c r="M98" s="556"/>
    </row>
    <row r="99">
      <c r="A99" s="336" t="s">
        <v>2309</v>
      </c>
      <c r="B99" s="336" t="s">
        <v>2054</v>
      </c>
      <c r="C99" s="336" t="s">
        <v>2055</v>
      </c>
      <c r="D99" s="557">
        <v>50.0</v>
      </c>
      <c r="E99" s="336">
        <v>2.0</v>
      </c>
      <c r="F99" s="336">
        <v>1.0</v>
      </c>
      <c r="G99" s="336" t="s">
        <v>2310</v>
      </c>
      <c r="H99" s="336" t="s">
        <v>2057</v>
      </c>
      <c r="I99" s="336" t="s">
        <v>2057</v>
      </c>
      <c r="J99" s="336" t="s">
        <v>2311</v>
      </c>
      <c r="K99" s="336" t="s">
        <v>2057</v>
      </c>
      <c r="L99" s="336" t="s">
        <v>2057</v>
      </c>
      <c r="M99" s="557"/>
    </row>
    <row r="100">
      <c r="A100" s="334" t="s">
        <v>2312</v>
      </c>
      <c r="B100" s="334" t="s">
        <v>2054</v>
      </c>
      <c r="C100" s="334" t="s">
        <v>2055</v>
      </c>
      <c r="D100" s="556">
        <v>100.0</v>
      </c>
      <c r="E100" s="334">
        <v>4.0</v>
      </c>
      <c r="F100" s="334">
        <v>2.0</v>
      </c>
      <c r="G100" s="334" t="s">
        <v>2313</v>
      </c>
      <c r="H100" s="334" t="s">
        <v>2057</v>
      </c>
      <c r="I100" s="334" t="s">
        <v>2057</v>
      </c>
      <c r="J100" s="334" t="s">
        <v>2311</v>
      </c>
      <c r="K100" s="334" t="s">
        <v>2057</v>
      </c>
      <c r="L100" s="334" t="s">
        <v>2057</v>
      </c>
      <c r="M100" s="556"/>
    </row>
    <row r="101">
      <c r="A101" s="336" t="s">
        <v>2314</v>
      </c>
      <c r="B101" s="336" t="s">
        <v>2054</v>
      </c>
      <c r="C101" s="336" t="s">
        <v>2055</v>
      </c>
      <c r="D101" s="557">
        <v>200.0</v>
      </c>
      <c r="E101" s="336">
        <v>6.0</v>
      </c>
      <c r="F101" s="336">
        <v>3.0</v>
      </c>
      <c r="G101" s="336" t="s">
        <v>2315</v>
      </c>
      <c r="H101" s="336" t="s">
        <v>2057</v>
      </c>
      <c r="I101" s="336" t="s">
        <v>2057</v>
      </c>
      <c r="J101" s="336" t="s">
        <v>2311</v>
      </c>
      <c r="K101" s="336" t="s">
        <v>2057</v>
      </c>
      <c r="L101" s="336" t="s">
        <v>2057</v>
      </c>
      <c r="M101" s="557"/>
    </row>
    <row r="102">
      <c r="A102" s="334" t="s">
        <v>2316</v>
      </c>
      <c r="B102" s="334" t="s">
        <v>2054</v>
      </c>
      <c r="C102" s="334" t="s">
        <v>2055</v>
      </c>
      <c r="D102" s="556">
        <v>500.0</v>
      </c>
      <c r="E102" s="334">
        <v>8.0</v>
      </c>
      <c r="F102" s="334">
        <v>4.0</v>
      </c>
      <c r="G102" s="334" t="s">
        <v>2317</v>
      </c>
      <c r="H102" s="334" t="s">
        <v>2057</v>
      </c>
      <c r="I102" s="334" t="s">
        <v>2057</v>
      </c>
      <c r="J102" s="334" t="s">
        <v>2311</v>
      </c>
      <c r="K102" s="334" t="s">
        <v>2057</v>
      </c>
      <c r="L102" s="334" t="s">
        <v>2057</v>
      </c>
      <c r="M102" s="556"/>
    </row>
    <row r="103">
      <c r="A103" s="336" t="s">
        <v>2318</v>
      </c>
      <c r="B103" s="336" t="s">
        <v>2054</v>
      </c>
      <c r="C103" s="336" t="s">
        <v>2055</v>
      </c>
      <c r="D103" s="557">
        <v>2500.0</v>
      </c>
      <c r="E103" s="336">
        <v>10.0</v>
      </c>
      <c r="F103" s="336">
        <v>5.0</v>
      </c>
      <c r="G103" s="336" t="s">
        <v>2319</v>
      </c>
      <c r="H103" s="336" t="s">
        <v>2057</v>
      </c>
      <c r="I103" s="336" t="s">
        <v>2057</v>
      </c>
      <c r="J103" s="336" t="s">
        <v>2311</v>
      </c>
      <c r="K103" s="336" t="s">
        <v>2057</v>
      </c>
      <c r="L103" s="336" t="s">
        <v>2057</v>
      </c>
      <c r="M103" s="557"/>
    </row>
    <row r="104">
      <c r="A104" s="334" t="s">
        <v>2320</v>
      </c>
      <c r="B104" s="334" t="s">
        <v>2054</v>
      </c>
      <c r="C104" s="334" t="s">
        <v>2055</v>
      </c>
      <c r="D104" s="556">
        <v>6000.0</v>
      </c>
      <c r="E104" s="334">
        <v>12.0</v>
      </c>
      <c r="F104" s="334">
        <v>6.0</v>
      </c>
      <c r="G104" s="334" t="s">
        <v>2321</v>
      </c>
      <c r="H104" s="334" t="s">
        <v>2057</v>
      </c>
      <c r="I104" s="334" t="s">
        <v>2057</v>
      </c>
      <c r="J104" s="334" t="s">
        <v>2311</v>
      </c>
      <c r="K104" s="334" t="s">
        <v>2057</v>
      </c>
      <c r="L104" s="334" t="s">
        <v>2057</v>
      </c>
      <c r="M104" s="556"/>
    </row>
    <row r="105">
      <c r="A105" s="336" t="s">
        <v>2322</v>
      </c>
      <c r="B105" s="336" t="s">
        <v>2054</v>
      </c>
      <c r="C105" s="336" t="s">
        <v>2055</v>
      </c>
      <c r="D105" s="557">
        <v>15000.0</v>
      </c>
      <c r="E105" s="336">
        <v>14.0</v>
      </c>
      <c r="F105" s="336">
        <v>7.0</v>
      </c>
      <c r="G105" s="336" t="s">
        <v>2323</v>
      </c>
      <c r="H105" s="336" t="s">
        <v>2057</v>
      </c>
      <c r="I105" s="336" t="s">
        <v>2057</v>
      </c>
      <c r="J105" s="336" t="s">
        <v>2311</v>
      </c>
      <c r="K105" s="336" t="s">
        <v>2057</v>
      </c>
      <c r="L105" s="336" t="s">
        <v>2057</v>
      </c>
      <c r="M105" s="557"/>
    </row>
    <row r="106">
      <c r="A106" s="334" t="s">
        <v>2324</v>
      </c>
      <c r="B106" s="334" t="s">
        <v>2054</v>
      </c>
      <c r="C106" s="334" t="s">
        <v>2055</v>
      </c>
      <c r="D106" s="556">
        <v>20000.0</v>
      </c>
      <c r="E106" s="334">
        <v>16.0</v>
      </c>
      <c r="F106" s="334">
        <v>8.0</v>
      </c>
      <c r="G106" s="334" t="s">
        <v>2325</v>
      </c>
      <c r="H106" s="334" t="s">
        <v>2057</v>
      </c>
      <c r="I106" s="334" t="s">
        <v>2057</v>
      </c>
      <c r="J106" s="334" t="s">
        <v>2311</v>
      </c>
      <c r="K106" s="334" t="s">
        <v>2057</v>
      </c>
      <c r="L106" s="334" t="s">
        <v>2057</v>
      </c>
      <c r="M106" s="556"/>
    </row>
    <row r="107">
      <c r="A107" s="336" t="s">
        <v>2326</v>
      </c>
      <c r="B107" s="336" t="s">
        <v>2054</v>
      </c>
      <c r="C107" s="336" t="s">
        <v>2055</v>
      </c>
      <c r="D107" s="557">
        <v>50000.0</v>
      </c>
      <c r="E107" s="336">
        <v>18.0</v>
      </c>
      <c r="F107" s="336">
        <v>9.0</v>
      </c>
      <c r="G107" s="336" t="s">
        <v>2327</v>
      </c>
      <c r="H107" s="336" t="s">
        <v>2057</v>
      </c>
      <c r="I107" s="336" t="s">
        <v>2057</v>
      </c>
      <c r="J107" s="336" t="s">
        <v>2311</v>
      </c>
      <c r="K107" s="336" t="s">
        <v>2057</v>
      </c>
      <c r="L107" s="336" t="s">
        <v>2057</v>
      </c>
      <c r="M107" s="557"/>
    </row>
    <row r="108">
      <c r="A108" s="334" t="s">
        <v>2328</v>
      </c>
      <c r="B108" s="334" t="s">
        <v>2054</v>
      </c>
      <c r="C108" s="334" t="s">
        <v>2055</v>
      </c>
      <c r="D108" s="556">
        <v>100000.0</v>
      </c>
      <c r="E108" s="334">
        <v>20.0</v>
      </c>
      <c r="F108" s="334">
        <v>10.0</v>
      </c>
      <c r="G108" s="334" t="s">
        <v>2329</v>
      </c>
      <c r="H108" s="334" t="s">
        <v>2057</v>
      </c>
      <c r="I108" s="334" t="s">
        <v>2057</v>
      </c>
      <c r="J108" s="334" t="s">
        <v>2311</v>
      </c>
      <c r="K108" s="334" t="s">
        <v>2057</v>
      </c>
      <c r="L108" s="334" t="s">
        <v>2057</v>
      </c>
      <c r="M108" s="556"/>
    </row>
    <row r="109">
      <c r="A109" s="336" t="s">
        <v>2330</v>
      </c>
      <c r="B109" s="336" t="s">
        <v>2054</v>
      </c>
      <c r="C109" s="336" t="s">
        <v>2055</v>
      </c>
      <c r="D109" s="336">
        <v>25.0</v>
      </c>
      <c r="E109" s="336">
        <v>1.0</v>
      </c>
      <c r="F109" s="336">
        <v>1.0</v>
      </c>
      <c r="G109" s="336" t="s">
        <v>2331</v>
      </c>
      <c r="H109" s="336" t="s">
        <v>2057</v>
      </c>
      <c r="I109" s="336" t="s">
        <v>2057</v>
      </c>
      <c r="J109" s="336" t="s">
        <v>2332</v>
      </c>
      <c r="K109" s="336" t="s">
        <v>2333</v>
      </c>
      <c r="L109" s="336" t="s">
        <v>2057</v>
      </c>
      <c r="M109" s="557"/>
    </row>
    <row r="110">
      <c r="A110" s="334" t="s">
        <v>2334</v>
      </c>
      <c r="B110" s="334" t="s">
        <v>2054</v>
      </c>
      <c r="C110" s="334" t="s">
        <v>2055</v>
      </c>
      <c r="D110" s="334">
        <v>50.0</v>
      </c>
      <c r="E110" s="334">
        <v>2.0</v>
      </c>
      <c r="F110" s="334">
        <v>2.0</v>
      </c>
      <c r="G110" s="334" t="s">
        <v>2331</v>
      </c>
      <c r="H110" s="334" t="s">
        <v>2057</v>
      </c>
      <c r="I110" s="334" t="s">
        <v>2057</v>
      </c>
      <c r="J110" s="334" t="s">
        <v>2332</v>
      </c>
      <c r="K110" s="334" t="s">
        <v>2333</v>
      </c>
      <c r="L110" s="334" t="s">
        <v>2057</v>
      </c>
      <c r="M110" s="556"/>
    </row>
    <row r="111">
      <c r="A111" s="336" t="s">
        <v>2335</v>
      </c>
      <c r="B111" s="336" t="s">
        <v>2054</v>
      </c>
      <c r="C111" s="336" t="s">
        <v>2055</v>
      </c>
      <c r="D111" s="336">
        <v>100.0</v>
      </c>
      <c r="E111" s="336">
        <v>3.0</v>
      </c>
      <c r="F111" s="336">
        <v>3.0</v>
      </c>
      <c r="G111" s="336" t="s">
        <v>2331</v>
      </c>
      <c r="H111" s="336" t="s">
        <v>2057</v>
      </c>
      <c r="I111" s="336" t="s">
        <v>2057</v>
      </c>
      <c r="J111" s="336" t="s">
        <v>2332</v>
      </c>
      <c r="K111" s="336" t="s">
        <v>2333</v>
      </c>
      <c r="L111" s="336" t="s">
        <v>2057</v>
      </c>
      <c r="M111" s="557"/>
    </row>
    <row r="112">
      <c r="A112" s="334" t="s">
        <v>2336</v>
      </c>
      <c r="B112" s="334" t="s">
        <v>2054</v>
      </c>
      <c r="C112" s="334" t="s">
        <v>2055</v>
      </c>
      <c r="D112" s="334">
        <v>250.0</v>
      </c>
      <c r="E112" s="334">
        <v>4.0</v>
      </c>
      <c r="F112" s="334">
        <v>4.0</v>
      </c>
      <c r="G112" s="334" t="s">
        <v>2331</v>
      </c>
      <c r="H112" s="334" t="s">
        <v>2057</v>
      </c>
      <c r="I112" s="334" t="s">
        <v>2057</v>
      </c>
      <c r="J112" s="334" t="s">
        <v>2332</v>
      </c>
      <c r="K112" s="334" t="s">
        <v>2333</v>
      </c>
      <c r="L112" s="334" t="s">
        <v>2057</v>
      </c>
      <c r="M112" s="556"/>
    </row>
    <row r="113">
      <c r="A113" s="336" t="s">
        <v>2337</v>
      </c>
      <c r="B113" s="336" t="s">
        <v>2054</v>
      </c>
      <c r="C113" s="336" t="s">
        <v>2055</v>
      </c>
      <c r="D113" s="336">
        <v>1250.0</v>
      </c>
      <c r="E113" s="336">
        <v>5.0</v>
      </c>
      <c r="F113" s="336">
        <v>5.0</v>
      </c>
      <c r="G113" s="336" t="s">
        <v>2331</v>
      </c>
      <c r="H113" s="336" t="s">
        <v>2057</v>
      </c>
      <c r="I113" s="336" t="s">
        <v>2057</v>
      </c>
      <c r="J113" s="336" t="s">
        <v>2332</v>
      </c>
      <c r="K113" s="336" t="s">
        <v>2333</v>
      </c>
      <c r="L113" s="336" t="s">
        <v>2057</v>
      </c>
      <c r="M113" s="557"/>
    </row>
    <row r="114">
      <c r="A114" s="334" t="s">
        <v>2338</v>
      </c>
      <c r="B114" s="334" t="s">
        <v>2054</v>
      </c>
      <c r="C114" s="334" t="s">
        <v>2055</v>
      </c>
      <c r="D114" s="334">
        <v>3000.0</v>
      </c>
      <c r="E114" s="334">
        <v>6.0</v>
      </c>
      <c r="F114" s="334">
        <v>6.0</v>
      </c>
      <c r="G114" s="334" t="s">
        <v>2331</v>
      </c>
      <c r="H114" s="334" t="s">
        <v>2057</v>
      </c>
      <c r="I114" s="334" t="s">
        <v>2057</v>
      </c>
      <c r="J114" s="334" t="s">
        <v>2332</v>
      </c>
      <c r="K114" s="334" t="s">
        <v>2333</v>
      </c>
      <c r="L114" s="334" t="s">
        <v>2057</v>
      </c>
      <c r="M114" s="556"/>
    </row>
    <row r="115">
      <c r="A115" s="336" t="s">
        <v>2339</v>
      </c>
      <c r="B115" s="336" t="s">
        <v>2054</v>
      </c>
      <c r="C115" s="336" t="s">
        <v>2055</v>
      </c>
      <c r="D115" s="336">
        <v>7500.0</v>
      </c>
      <c r="E115" s="336">
        <v>7.0</v>
      </c>
      <c r="F115" s="336">
        <v>7.0</v>
      </c>
      <c r="G115" s="336" t="s">
        <v>2331</v>
      </c>
      <c r="H115" s="336" t="s">
        <v>2057</v>
      </c>
      <c r="I115" s="336" t="s">
        <v>2057</v>
      </c>
      <c r="J115" s="336" t="s">
        <v>2332</v>
      </c>
      <c r="K115" s="336" t="s">
        <v>2333</v>
      </c>
      <c r="L115" s="336" t="s">
        <v>2057</v>
      </c>
      <c r="M115" s="557"/>
    </row>
    <row r="116">
      <c r="A116" s="334" t="s">
        <v>2340</v>
      </c>
      <c r="B116" s="334" t="s">
        <v>2054</v>
      </c>
      <c r="C116" s="334" t="s">
        <v>2055</v>
      </c>
      <c r="D116" s="334">
        <v>10000.0</v>
      </c>
      <c r="E116" s="334">
        <v>8.0</v>
      </c>
      <c r="F116" s="334">
        <v>8.0</v>
      </c>
      <c r="G116" s="334" t="s">
        <v>2331</v>
      </c>
      <c r="H116" s="334" t="s">
        <v>2057</v>
      </c>
      <c r="I116" s="334" t="s">
        <v>2057</v>
      </c>
      <c r="J116" s="334" t="s">
        <v>2332</v>
      </c>
      <c r="K116" s="334" t="s">
        <v>2333</v>
      </c>
      <c r="L116" s="334" t="s">
        <v>2057</v>
      </c>
      <c r="M116" s="556"/>
    </row>
    <row r="117">
      <c r="A117" s="336" t="s">
        <v>2341</v>
      </c>
      <c r="B117" s="336" t="s">
        <v>2054</v>
      </c>
      <c r="C117" s="336" t="s">
        <v>2055</v>
      </c>
      <c r="D117" s="336">
        <v>25000.0</v>
      </c>
      <c r="E117" s="336">
        <v>9.0</v>
      </c>
      <c r="F117" s="336">
        <v>9.0</v>
      </c>
      <c r="G117" s="336" t="s">
        <v>2331</v>
      </c>
      <c r="H117" s="336" t="s">
        <v>2057</v>
      </c>
      <c r="I117" s="336" t="s">
        <v>2057</v>
      </c>
      <c r="J117" s="336" t="s">
        <v>2332</v>
      </c>
      <c r="K117" s="336" t="s">
        <v>2333</v>
      </c>
      <c r="L117" s="336" t="s">
        <v>2057</v>
      </c>
      <c r="M117" s="557"/>
    </row>
    <row r="118">
      <c r="A118" s="334" t="s">
        <v>2342</v>
      </c>
      <c r="B118" s="334" t="s">
        <v>2054</v>
      </c>
      <c r="C118" s="334" t="s">
        <v>2055</v>
      </c>
      <c r="D118" s="334">
        <v>50000.0</v>
      </c>
      <c r="E118" s="334">
        <v>10.0</v>
      </c>
      <c r="F118" s="334">
        <v>10.0</v>
      </c>
      <c r="G118" s="334" t="s">
        <v>2331</v>
      </c>
      <c r="H118" s="334" t="s">
        <v>2057</v>
      </c>
      <c r="I118" s="334" t="s">
        <v>2057</v>
      </c>
      <c r="J118" s="334" t="s">
        <v>2332</v>
      </c>
      <c r="K118" s="334" t="s">
        <v>2333</v>
      </c>
      <c r="L118" s="334" t="s">
        <v>2057</v>
      </c>
      <c r="M118" s="556"/>
    </row>
    <row r="119">
      <c r="A119" s="336" t="s">
        <v>2343</v>
      </c>
      <c r="B119" s="336" t="s">
        <v>2054</v>
      </c>
      <c r="C119" s="336" t="s">
        <v>2344</v>
      </c>
      <c r="D119" s="336">
        <v>250.0</v>
      </c>
      <c r="E119" s="336">
        <v>6.0</v>
      </c>
      <c r="F119" s="336">
        <v>3.0</v>
      </c>
      <c r="G119" s="336" t="s">
        <v>2345</v>
      </c>
      <c r="H119" s="336" t="s">
        <v>2057</v>
      </c>
      <c r="I119" s="336" t="s">
        <v>2057</v>
      </c>
      <c r="J119" s="336" t="s">
        <v>2346</v>
      </c>
      <c r="K119" s="336" t="s">
        <v>2057</v>
      </c>
      <c r="L119" s="336" t="s">
        <v>2057</v>
      </c>
      <c r="M119" s="557"/>
    </row>
    <row r="120">
      <c r="A120" s="334" t="s">
        <v>2347</v>
      </c>
      <c r="B120" s="334" t="s">
        <v>2054</v>
      </c>
      <c r="C120" s="334" t="s">
        <v>2055</v>
      </c>
      <c r="D120" s="334">
        <v>250.0</v>
      </c>
      <c r="E120" s="334"/>
      <c r="F120" s="334">
        <v>3.0</v>
      </c>
      <c r="G120" s="334" t="s">
        <v>2347</v>
      </c>
      <c r="H120" s="334" t="s">
        <v>2057</v>
      </c>
      <c r="I120" s="334" t="s">
        <v>2057</v>
      </c>
      <c r="J120" s="556"/>
      <c r="K120" s="556"/>
      <c r="L120" s="556"/>
      <c r="M120" s="556"/>
    </row>
    <row r="121">
      <c r="A121" s="485" t="s">
        <v>1967</v>
      </c>
      <c r="B121" s="336" t="s">
        <v>2054</v>
      </c>
      <c r="C121" s="336" t="s">
        <v>1970</v>
      </c>
      <c r="D121" s="336">
        <v>40000.0</v>
      </c>
      <c r="E121" s="336">
        <v>450.0</v>
      </c>
      <c r="F121" s="336">
        <v>9.0</v>
      </c>
      <c r="G121" s="336" t="s">
        <v>2348</v>
      </c>
      <c r="H121" s="555" t="s">
        <v>1967</v>
      </c>
      <c r="I121" s="336" t="s">
        <v>2057</v>
      </c>
      <c r="J121" s="336" t="s">
        <v>2057</v>
      </c>
      <c r="K121" s="336" t="s">
        <v>2057</v>
      </c>
      <c r="L121" s="336" t="s">
        <v>2057</v>
      </c>
      <c r="M121" s="557"/>
    </row>
    <row r="122">
      <c r="A122" s="334" t="s">
        <v>2349</v>
      </c>
      <c r="B122" s="334" t="s">
        <v>2054</v>
      </c>
      <c r="C122" s="334" t="s">
        <v>2350</v>
      </c>
      <c r="D122" s="334">
        <v>20000.0</v>
      </c>
      <c r="E122" s="334">
        <v>80.0</v>
      </c>
      <c r="F122" s="334">
        <v>9.0</v>
      </c>
      <c r="G122" s="334" t="s">
        <v>2351</v>
      </c>
      <c r="H122" s="334" t="s">
        <v>2057</v>
      </c>
      <c r="I122" s="334" t="s">
        <v>2057</v>
      </c>
      <c r="J122" s="334" t="s">
        <v>2057</v>
      </c>
      <c r="K122" s="556"/>
      <c r="L122" s="556"/>
      <c r="M122" s="556"/>
    </row>
    <row r="123">
      <c r="A123" s="336" t="s">
        <v>1972</v>
      </c>
      <c r="B123" s="336" t="s">
        <v>2054</v>
      </c>
      <c r="C123" s="336" t="s">
        <v>1970</v>
      </c>
      <c r="D123" s="336">
        <v>10000.0</v>
      </c>
      <c r="E123" s="336">
        <v>630.0</v>
      </c>
      <c r="F123" s="336">
        <v>9.0</v>
      </c>
      <c r="G123" s="336" t="s">
        <v>2352</v>
      </c>
      <c r="H123" s="555" t="s">
        <v>1972</v>
      </c>
      <c r="I123" s="336" t="s">
        <v>2057</v>
      </c>
      <c r="J123" s="557"/>
      <c r="K123" s="336" t="s">
        <v>2057</v>
      </c>
      <c r="L123" s="336" t="s">
        <v>2057</v>
      </c>
      <c r="M123" s="557"/>
    </row>
    <row r="124">
      <c r="A124" s="334" t="s">
        <v>2353</v>
      </c>
      <c r="B124" s="334" t="s">
        <v>2054</v>
      </c>
      <c r="C124" s="334" t="s">
        <v>1970</v>
      </c>
      <c r="D124" s="334">
        <v>5000.0</v>
      </c>
      <c r="E124" s="334">
        <v>2.0</v>
      </c>
      <c r="F124" s="334">
        <v>7.0</v>
      </c>
      <c r="G124" s="334" t="s">
        <v>2354</v>
      </c>
      <c r="H124" s="132" t="s">
        <v>2057</v>
      </c>
      <c r="I124" s="334" t="s">
        <v>2057</v>
      </c>
      <c r="J124" s="334" t="s">
        <v>2355</v>
      </c>
      <c r="K124" s="334" t="s">
        <v>2057</v>
      </c>
      <c r="L124" s="556"/>
      <c r="M124" s="556"/>
    </row>
    <row r="125">
      <c r="A125" s="336" t="s">
        <v>2356</v>
      </c>
      <c r="B125" s="336" t="s">
        <v>2054</v>
      </c>
      <c r="C125" s="336" t="s">
        <v>2357</v>
      </c>
      <c r="D125" s="336">
        <v>4000.0</v>
      </c>
      <c r="E125" s="336">
        <v>2.0</v>
      </c>
      <c r="F125" s="336">
        <v>6.0</v>
      </c>
      <c r="G125" s="336" t="s">
        <v>2358</v>
      </c>
      <c r="H125" s="125" t="s">
        <v>2057</v>
      </c>
      <c r="I125" s="336" t="s">
        <v>2057</v>
      </c>
      <c r="J125" s="336" t="s">
        <v>2346</v>
      </c>
      <c r="K125" s="336" t="s">
        <v>2057</v>
      </c>
      <c r="L125" s="336" t="s">
        <v>2057</v>
      </c>
      <c r="M125" s="557"/>
    </row>
    <row r="126">
      <c r="A126" s="334" t="s">
        <v>1517</v>
      </c>
      <c r="B126" s="334" t="s">
        <v>2054</v>
      </c>
      <c r="C126" s="334" t="s">
        <v>1519</v>
      </c>
      <c r="D126" s="334">
        <v>10000.0</v>
      </c>
      <c r="E126" s="334">
        <v>6.0</v>
      </c>
      <c r="F126" s="334">
        <v>6.0</v>
      </c>
      <c r="G126" s="334" t="s">
        <v>2359</v>
      </c>
      <c r="H126" s="558" t="s">
        <v>1517</v>
      </c>
      <c r="I126" s="558" t="s">
        <v>1517</v>
      </c>
      <c r="J126" s="334" t="s">
        <v>2057</v>
      </c>
      <c r="K126" s="334" t="s">
        <v>2057</v>
      </c>
      <c r="L126" s="334" t="s">
        <v>2057</v>
      </c>
      <c r="M126" s="556"/>
    </row>
    <row r="127">
      <c r="A127" s="565" t="s">
        <v>2360</v>
      </c>
      <c r="B127" s="336" t="s">
        <v>2361</v>
      </c>
      <c r="C127" s="336" t="s">
        <v>2362</v>
      </c>
      <c r="D127" s="336">
        <v>10.0</v>
      </c>
      <c r="E127" s="336">
        <v>1.0</v>
      </c>
      <c r="F127" s="336">
        <v>1.0</v>
      </c>
      <c r="G127" s="336" t="s">
        <v>2363</v>
      </c>
      <c r="H127" s="566"/>
      <c r="I127" s="336" t="s">
        <v>2057</v>
      </c>
      <c r="J127" s="336" t="s">
        <v>2057</v>
      </c>
      <c r="K127" s="336" t="s">
        <v>2057</v>
      </c>
      <c r="L127" s="336" t="s">
        <v>2057</v>
      </c>
      <c r="M127" s="361" t="s">
        <v>2364</v>
      </c>
    </row>
    <row r="128">
      <c r="A128" s="567" t="s">
        <v>2365</v>
      </c>
      <c r="B128" s="334" t="s">
        <v>2361</v>
      </c>
      <c r="C128" s="334" t="s">
        <v>2366</v>
      </c>
      <c r="D128" s="334">
        <v>400.0</v>
      </c>
      <c r="E128" s="334">
        <v>1.0</v>
      </c>
      <c r="F128" s="334">
        <v>4.0</v>
      </c>
      <c r="G128" s="334" t="s">
        <v>2367</v>
      </c>
      <c r="H128" s="568"/>
      <c r="I128" s="334" t="s">
        <v>2057</v>
      </c>
      <c r="J128" s="334" t="s">
        <v>2057</v>
      </c>
      <c r="K128" s="334" t="s">
        <v>2057</v>
      </c>
      <c r="L128" s="334" t="s">
        <v>2057</v>
      </c>
      <c r="M128" s="366" t="s">
        <v>2368</v>
      </c>
    </row>
    <row r="129">
      <c r="A129" s="565" t="s">
        <v>2369</v>
      </c>
      <c r="B129" s="336" t="s">
        <v>2361</v>
      </c>
      <c r="C129" s="336" t="s">
        <v>2370</v>
      </c>
      <c r="D129" s="336">
        <v>50.0</v>
      </c>
      <c r="E129" s="336">
        <v>1.0</v>
      </c>
      <c r="F129" s="336">
        <v>2.0</v>
      </c>
      <c r="G129" s="336" t="s">
        <v>2371</v>
      </c>
      <c r="H129" s="566"/>
      <c r="I129" s="336" t="s">
        <v>2057</v>
      </c>
      <c r="J129" s="336" t="s">
        <v>2057</v>
      </c>
      <c r="K129" s="336" t="s">
        <v>2057</v>
      </c>
      <c r="L129" s="336" t="s">
        <v>2057</v>
      </c>
      <c r="M129" s="361" t="s">
        <v>2372</v>
      </c>
    </row>
    <row r="130">
      <c r="A130" s="567" t="s">
        <v>2373</v>
      </c>
      <c r="B130" s="334" t="s">
        <v>2361</v>
      </c>
      <c r="C130" s="334" t="s">
        <v>2374</v>
      </c>
      <c r="D130" s="334">
        <v>15.0</v>
      </c>
      <c r="E130" s="334">
        <v>1.0</v>
      </c>
      <c r="F130" s="334">
        <v>1.0</v>
      </c>
      <c r="G130" s="334" t="s">
        <v>2375</v>
      </c>
      <c r="H130" s="568"/>
      <c r="I130" s="334" t="s">
        <v>2057</v>
      </c>
      <c r="J130" s="334" t="s">
        <v>2057</v>
      </c>
      <c r="K130" s="334" t="s">
        <v>2057</v>
      </c>
      <c r="L130" s="334" t="s">
        <v>2057</v>
      </c>
      <c r="M130" s="366" t="s">
        <v>2376</v>
      </c>
    </row>
    <row r="131">
      <c r="A131" s="565" t="s">
        <v>2377</v>
      </c>
      <c r="B131" s="336" t="s">
        <v>2361</v>
      </c>
      <c r="C131" s="336" t="s">
        <v>2378</v>
      </c>
      <c r="D131" s="336">
        <v>50.0</v>
      </c>
      <c r="E131" s="336">
        <v>1.0</v>
      </c>
      <c r="F131" s="336">
        <v>2.0</v>
      </c>
      <c r="G131" s="336" t="s">
        <v>2379</v>
      </c>
      <c r="H131" s="566"/>
      <c r="I131" s="336" t="s">
        <v>2057</v>
      </c>
      <c r="J131" s="336" t="s">
        <v>2057</v>
      </c>
      <c r="K131" s="336" t="s">
        <v>2057</v>
      </c>
      <c r="L131" s="336" t="s">
        <v>2057</v>
      </c>
      <c r="M131" s="361" t="s">
        <v>2380</v>
      </c>
    </row>
    <row r="132">
      <c r="A132" s="567" t="s">
        <v>2381</v>
      </c>
      <c r="B132" s="334" t="s">
        <v>2361</v>
      </c>
      <c r="C132" s="334" t="s">
        <v>2382</v>
      </c>
      <c r="D132" s="334">
        <v>200.0</v>
      </c>
      <c r="E132" s="334">
        <v>1.0</v>
      </c>
      <c r="F132" s="334">
        <v>3.0</v>
      </c>
      <c r="G132" s="334" t="s">
        <v>2383</v>
      </c>
      <c r="H132" s="568"/>
      <c r="I132" s="334" t="s">
        <v>2057</v>
      </c>
      <c r="J132" s="334" t="s">
        <v>2057</v>
      </c>
      <c r="K132" s="334" t="s">
        <v>2057</v>
      </c>
      <c r="L132" s="334" t="s">
        <v>2057</v>
      </c>
      <c r="M132" s="366" t="s">
        <v>2384</v>
      </c>
    </row>
    <row r="133">
      <c r="A133" s="565" t="s">
        <v>2385</v>
      </c>
      <c r="B133" s="336" t="s">
        <v>2361</v>
      </c>
      <c r="C133" s="336" t="s">
        <v>2386</v>
      </c>
      <c r="D133" s="336">
        <v>15.0</v>
      </c>
      <c r="E133" s="336">
        <v>1.0</v>
      </c>
      <c r="F133" s="336">
        <v>1.0</v>
      </c>
      <c r="G133" s="336" t="s">
        <v>2387</v>
      </c>
      <c r="H133" s="566"/>
      <c r="I133" s="336" t="s">
        <v>2057</v>
      </c>
      <c r="J133" s="336" t="s">
        <v>2057</v>
      </c>
      <c r="K133" s="336" t="s">
        <v>2057</v>
      </c>
      <c r="L133" s="336" t="s">
        <v>2057</v>
      </c>
      <c r="M133" s="361" t="s">
        <v>2388</v>
      </c>
    </row>
    <row r="134">
      <c r="A134" s="567" t="s">
        <v>2389</v>
      </c>
      <c r="B134" s="334" t="s">
        <v>2361</v>
      </c>
      <c r="C134" s="334" t="s">
        <v>2390</v>
      </c>
      <c r="D134" s="334">
        <v>15.0</v>
      </c>
      <c r="E134" s="334">
        <v>1.0</v>
      </c>
      <c r="F134" s="334">
        <v>1.0</v>
      </c>
      <c r="G134" s="334" t="s">
        <v>2391</v>
      </c>
      <c r="H134" s="568"/>
      <c r="I134" s="334" t="s">
        <v>2057</v>
      </c>
      <c r="J134" s="334" t="s">
        <v>2057</v>
      </c>
      <c r="K134" s="334" t="s">
        <v>2057</v>
      </c>
      <c r="L134" s="334" t="s">
        <v>2057</v>
      </c>
      <c r="M134" s="366" t="s">
        <v>2392</v>
      </c>
    </row>
    <row r="135">
      <c r="A135" s="565" t="s">
        <v>2393</v>
      </c>
      <c r="B135" s="336" t="s">
        <v>2361</v>
      </c>
      <c r="C135" s="336" t="s">
        <v>2362</v>
      </c>
      <c r="D135" s="336">
        <v>50.0</v>
      </c>
      <c r="E135" s="336">
        <v>1.0</v>
      </c>
      <c r="F135" s="336">
        <v>2.0</v>
      </c>
      <c r="G135" s="336" t="s">
        <v>2394</v>
      </c>
      <c r="H135" s="566"/>
      <c r="I135" s="336" t="s">
        <v>2057</v>
      </c>
      <c r="J135" s="336" t="s">
        <v>2057</v>
      </c>
      <c r="K135" s="336" t="s">
        <v>2057</v>
      </c>
      <c r="L135" s="336" t="s">
        <v>2057</v>
      </c>
      <c r="M135" s="361" t="s">
        <v>2395</v>
      </c>
    </row>
    <row r="136">
      <c r="A136" s="567" t="s">
        <v>2396</v>
      </c>
      <c r="B136" s="334" t="s">
        <v>2361</v>
      </c>
      <c r="C136" s="334" t="s">
        <v>2362</v>
      </c>
      <c r="D136" s="334">
        <v>5.0</v>
      </c>
      <c r="E136" s="334">
        <v>1.0</v>
      </c>
      <c r="F136" s="334">
        <v>1.0</v>
      </c>
      <c r="G136" s="334" t="s">
        <v>2397</v>
      </c>
      <c r="H136" s="568"/>
      <c r="I136" s="334" t="s">
        <v>2057</v>
      </c>
      <c r="J136" s="334" t="s">
        <v>2057</v>
      </c>
      <c r="K136" s="334" t="s">
        <v>2057</v>
      </c>
      <c r="L136" s="334" t="s">
        <v>2057</v>
      </c>
      <c r="M136" s="366" t="s">
        <v>2398</v>
      </c>
    </row>
    <row r="137">
      <c r="A137" s="565" t="s">
        <v>2399</v>
      </c>
      <c r="B137" s="336" t="s">
        <v>2361</v>
      </c>
      <c r="C137" s="336" t="s">
        <v>2362</v>
      </c>
      <c r="D137" s="336">
        <v>5.0</v>
      </c>
      <c r="E137" s="336">
        <v>1.0</v>
      </c>
      <c r="F137" s="336">
        <v>1.0</v>
      </c>
      <c r="G137" s="336" t="s">
        <v>2400</v>
      </c>
      <c r="H137" s="566"/>
      <c r="I137" s="336" t="s">
        <v>2057</v>
      </c>
      <c r="J137" s="336" t="s">
        <v>2057</v>
      </c>
      <c r="K137" s="336" t="s">
        <v>2057</v>
      </c>
      <c r="L137" s="336" t="s">
        <v>2057</v>
      </c>
      <c r="M137" s="361" t="s">
        <v>2401</v>
      </c>
    </row>
    <row r="138">
      <c r="A138" s="567" t="s">
        <v>2402</v>
      </c>
      <c r="B138" s="334" t="s">
        <v>2361</v>
      </c>
      <c r="C138" s="334" t="s">
        <v>2403</v>
      </c>
      <c r="D138" s="334">
        <v>200.0</v>
      </c>
      <c r="E138" s="334">
        <v>1.0</v>
      </c>
      <c r="F138" s="334">
        <v>3.0</v>
      </c>
      <c r="G138" s="334" t="s">
        <v>2404</v>
      </c>
      <c r="H138" s="568"/>
      <c r="I138" s="334" t="s">
        <v>2057</v>
      </c>
      <c r="J138" s="334" t="s">
        <v>2057</v>
      </c>
      <c r="K138" s="334" t="s">
        <v>2057</v>
      </c>
      <c r="L138" s="334" t="s">
        <v>2057</v>
      </c>
      <c r="M138" s="366" t="s">
        <v>2405</v>
      </c>
    </row>
    <row r="139">
      <c r="A139" s="565" t="s">
        <v>2406</v>
      </c>
      <c r="B139" s="336" t="s">
        <v>2361</v>
      </c>
      <c r="C139" s="336" t="s">
        <v>2407</v>
      </c>
      <c r="D139" s="336">
        <v>15.0</v>
      </c>
      <c r="E139" s="336">
        <v>1.0</v>
      </c>
      <c r="F139" s="336">
        <v>1.0</v>
      </c>
      <c r="G139" s="336" t="s">
        <v>2408</v>
      </c>
      <c r="H139" s="566"/>
      <c r="I139" s="336" t="s">
        <v>2057</v>
      </c>
      <c r="J139" s="336" t="s">
        <v>2057</v>
      </c>
      <c r="K139" s="336" t="s">
        <v>2057</v>
      </c>
      <c r="L139" s="336" t="s">
        <v>2057</v>
      </c>
      <c r="M139" s="361" t="s">
        <v>2409</v>
      </c>
    </row>
    <row r="140">
      <c r="A140" s="567" t="s">
        <v>2410</v>
      </c>
      <c r="B140" s="334" t="s">
        <v>2361</v>
      </c>
      <c r="C140" s="334" t="s">
        <v>2411</v>
      </c>
      <c r="D140" s="334">
        <v>12000.0</v>
      </c>
      <c r="E140" s="334">
        <v>1.0</v>
      </c>
      <c r="F140" s="334">
        <v>7.0</v>
      </c>
      <c r="G140" s="334" t="s">
        <v>2412</v>
      </c>
      <c r="H140" s="568"/>
      <c r="I140" s="334" t="s">
        <v>2057</v>
      </c>
      <c r="J140" s="334" t="s">
        <v>2057</v>
      </c>
      <c r="K140" s="334" t="s">
        <v>2057</v>
      </c>
      <c r="L140" s="334" t="s">
        <v>2057</v>
      </c>
      <c r="M140" s="366" t="s">
        <v>2413</v>
      </c>
    </row>
    <row r="141">
      <c r="A141" s="565" t="s">
        <v>2414</v>
      </c>
      <c r="B141" s="336" t="s">
        <v>2361</v>
      </c>
      <c r="C141" s="336" t="s">
        <v>2415</v>
      </c>
      <c r="D141" s="336">
        <v>15.0</v>
      </c>
      <c r="E141" s="336">
        <v>1.0</v>
      </c>
      <c r="F141" s="336">
        <v>1.0</v>
      </c>
      <c r="G141" s="336" t="s">
        <v>2416</v>
      </c>
      <c r="H141" s="566"/>
      <c r="I141" s="336" t="s">
        <v>2057</v>
      </c>
      <c r="J141" s="336" t="s">
        <v>2057</v>
      </c>
      <c r="K141" s="336" t="s">
        <v>2057</v>
      </c>
      <c r="L141" s="336" t="s">
        <v>2057</v>
      </c>
      <c r="M141" s="361" t="s">
        <v>2417</v>
      </c>
    </row>
    <row r="142">
      <c r="A142" s="567" t="s">
        <v>2418</v>
      </c>
      <c r="B142" s="334" t="s">
        <v>2361</v>
      </c>
      <c r="C142" s="334" t="s">
        <v>2419</v>
      </c>
      <c r="D142" s="334">
        <v>15.0</v>
      </c>
      <c r="E142" s="334">
        <v>1.0</v>
      </c>
      <c r="F142" s="334">
        <v>1.0</v>
      </c>
      <c r="G142" s="334" t="s">
        <v>2420</v>
      </c>
      <c r="H142" s="568"/>
      <c r="I142" s="334" t="s">
        <v>2057</v>
      </c>
      <c r="J142" s="334" t="s">
        <v>2057</v>
      </c>
      <c r="K142" s="334" t="s">
        <v>2057</v>
      </c>
      <c r="L142" s="334" t="s">
        <v>2057</v>
      </c>
      <c r="M142" s="366" t="s">
        <v>2392</v>
      </c>
    </row>
    <row r="143">
      <c r="A143" s="565" t="s">
        <v>2421</v>
      </c>
      <c r="B143" s="336" t="s">
        <v>2361</v>
      </c>
      <c r="C143" s="336" t="s">
        <v>2422</v>
      </c>
      <c r="D143" s="336">
        <v>900.0</v>
      </c>
      <c r="E143" s="336">
        <v>1.0</v>
      </c>
      <c r="F143" s="336">
        <v>5.0</v>
      </c>
      <c r="G143" s="336" t="s">
        <v>2423</v>
      </c>
      <c r="H143" s="566"/>
      <c r="I143" s="336" t="s">
        <v>2057</v>
      </c>
      <c r="J143" s="336" t="s">
        <v>2057</v>
      </c>
      <c r="K143" s="336" t="s">
        <v>2057</v>
      </c>
      <c r="L143" s="336" t="s">
        <v>2057</v>
      </c>
      <c r="M143" s="361" t="s">
        <v>2424</v>
      </c>
    </row>
    <row r="144">
      <c r="A144" s="567" t="s">
        <v>2425</v>
      </c>
      <c r="B144" s="334" t="s">
        <v>2361</v>
      </c>
      <c r="C144" s="334" t="s">
        <v>2426</v>
      </c>
      <c r="D144" s="334">
        <v>5.0</v>
      </c>
      <c r="E144" s="334">
        <v>1.0</v>
      </c>
      <c r="F144" s="334">
        <v>1.0</v>
      </c>
      <c r="G144" s="334" t="s">
        <v>2427</v>
      </c>
      <c r="H144" s="568"/>
      <c r="I144" s="334" t="s">
        <v>2057</v>
      </c>
      <c r="J144" s="334" t="s">
        <v>2057</v>
      </c>
      <c r="K144" s="334" t="s">
        <v>2057</v>
      </c>
      <c r="L144" s="334" t="s">
        <v>2057</v>
      </c>
      <c r="M144" s="366" t="s">
        <v>2428</v>
      </c>
    </row>
    <row r="145">
      <c r="A145" s="565" t="s">
        <v>2429</v>
      </c>
      <c r="B145" s="336" t="s">
        <v>2361</v>
      </c>
      <c r="C145" s="336" t="s">
        <v>2362</v>
      </c>
      <c r="D145" s="336">
        <v>50.0</v>
      </c>
      <c r="E145" s="336">
        <v>1.0</v>
      </c>
      <c r="F145" s="336">
        <v>2.0</v>
      </c>
      <c r="G145" s="336" t="s">
        <v>2430</v>
      </c>
      <c r="H145" s="566"/>
      <c r="I145" s="336" t="s">
        <v>2057</v>
      </c>
      <c r="J145" s="336" t="s">
        <v>2057</v>
      </c>
      <c r="K145" s="336" t="s">
        <v>2057</v>
      </c>
      <c r="L145" s="336" t="s">
        <v>2057</v>
      </c>
      <c r="M145" s="361" t="s">
        <v>2431</v>
      </c>
    </row>
    <row r="146">
      <c r="A146" s="567" t="s">
        <v>2432</v>
      </c>
      <c r="B146" s="334" t="s">
        <v>2361</v>
      </c>
      <c r="C146" s="334" t="s">
        <v>2433</v>
      </c>
      <c r="D146" s="334">
        <v>400.0</v>
      </c>
      <c r="E146" s="334">
        <v>1.0</v>
      </c>
      <c r="F146" s="334">
        <v>4.0</v>
      </c>
      <c r="G146" s="334" t="s">
        <v>2434</v>
      </c>
      <c r="H146" s="568"/>
      <c r="I146" s="334" t="s">
        <v>2057</v>
      </c>
      <c r="J146" s="334" t="s">
        <v>2057</v>
      </c>
      <c r="K146" s="334" t="s">
        <v>2057</v>
      </c>
      <c r="L146" s="334" t="s">
        <v>2057</v>
      </c>
      <c r="M146" s="366" t="s">
        <v>2435</v>
      </c>
    </row>
    <row r="147">
      <c r="A147" s="565" t="s">
        <v>2436</v>
      </c>
      <c r="B147" s="336" t="s">
        <v>2361</v>
      </c>
      <c r="C147" s="336" t="s">
        <v>2437</v>
      </c>
      <c r="D147" s="336">
        <v>200.0</v>
      </c>
      <c r="E147" s="336">
        <v>1.0</v>
      </c>
      <c r="F147" s="336">
        <v>3.0</v>
      </c>
      <c r="G147" s="336" t="s">
        <v>2438</v>
      </c>
      <c r="H147" s="566"/>
      <c r="I147" s="336" t="s">
        <v>2057</v>
      </c>
      <c r="J147" s="336" t="s">
        <v>2057</v>
      </c>
      <c r="K147" s="336" t="s">
        <v>2057</v>
      </c>
      <c r="L147" s="336" t="s">
        <v>2057</v>
      </c>
      <c r="M147" s="361" t="s">
        <v>2439</v>
      </c>
    </row>
    <row r="148">
      <c r="A148" s="567" t="s">
        <v>2440</v>
      </c>
      <c r="B148" s="334" t="s">
        <v>2361</v>
      </c>
      <c r="C148" s="334" t="s">
        <v>2362</v>
      </c>
      <c r="D148" s="334">
        <v>5.0</v>
      </c>
      <c r="E148" s="334">
        <v>1.0</v>
      </c>
      <c r="F148" s="334">
        <v>1.0</v>
      </c>
      <c r="G148" s="334" t="s">
        <v>2441</v>
      </c>
      <c r="H148" s="568"/>
      <c r="I148" s="334" t="s">
        <v>2057</v>
      </c>
      <c r="J148" s="334" t="s">
        <v>2057</v>
      </c>
      <c r="K148" s="334" t="s">
        <v>2057</v>
      </c>
      <c r="L148" s="334" t="s">
        <v>2057</v>
      </c>
      <c r="M148" s="366" t="s">
        <v>2442</v>
      </c>
    </row>
    <row r="149">
      <c r="A149" s="565" t="s">
        <v>2443</v>
      </c>
      <c r="B149" s="336" t="s">
        <v>2361</v>
      </c>
      <c r="C149" s="336" t="s">
        <v>2444</v>
      </c>
      <c r="D149" s="336">
        <v>15.0</v>
      </c>
      <c r="E149" s="336">
        <v>1.0</v>
      </c>
      <c r="F149" s="336">
        <v>3.0</v>
      </c>
      <c r="G149" s="336" t="s">
        <v>2445</v>
      </c>
      <c r="H149" s="566"/>
      <c r="I149" s="336" t="s">
        <v>2057</v>
      </c>
      <c r="J149" s="336" t="s">
        <v>2057</v>
      </c>
      <c r="K149" s="336" t="s">
        <v>2057</v>
      </c>
      <c r="L149" s="336" t="s">
        <v>2057</v>
      </c>
      <c r="M149" s="361" t="s">
        <v>2446</v>
      </c>
    </row>
    <row r="150">
      <c r="A150" s="567" t="s">
        <v>2447</v>
      </c>
      <c r="B150" s="334" t="s">
        <v>2361</v>
      </c>
      <c r="C150" s="334" t="s">
        <v>2448</v>
      </c>
      <c r="D150" s="334">
        <v>800.0</v>
      </c>
      <c r="E150" s="334">
        <v>1.0</v>
      </c>
      <c r="F150" s="334">
        <v>5.0</v>
      </c>
      <c r="G150" s="334" t="s">
        <v>2449</v>
      </c>
      <c r="H150" s="568"/>
      <c r="I150" s="334" t="s">
        <v>2057</v>
      </c>
      <c r="J150" s="334" t="s">
        <v>2057</v>
      </c>
      <c r="K150" s="334" t="s">
        <v>2057</v>
      </c>
      <c r="L150" s="334" t="s">
        <v>2057</v>
      </c>
      <c r="M150" s="366" t="s">
        <v>2450</v>
      </c>
    </row>
    <row r="151">
      <c r="A151" s="565" t="s">
        <v>2451</v>
      </c>
      <c r="B151" s="336" t="s">
        <v>2361</v>
      </c>
      <c r="C151" s="336" t="s">
        <v>2452</v>
      </c>
      <c r="D151" s="336">
        <v>350.0</v>
      </c>
      <c r="E151" s="336">
        <v>1.0</v>
      </c>
      <c r="F151" s="336">
        <v>4.0</v>
      </c>
      <c r="G151" s="336" t="s">
        <v>2453</v>
      </c>
      <c r="H151" s="566"/>
      <c r="I151" s="336" t="s">
        <v>2057</v>
      </c>
      <c r="J151" s="336" t="s">
        <v>2057</v>
      </c>
      <c r="K151" s="336" t="s">
        <v>2057</v>
      </c>
      <c r="L151" s="336" t="s">
        <v>2057</v>
      </c>
      <c r="M151" s="361" t="s">
        <v>2454</v>
      </c>
    </row>
    <row r="152">
      <c r="A152" s="567" t="s">
        <v>2455</v>
      </c>
      <c r="B152" s="334" t="s">
        <v>2361</v>
      </c>
      <c r="C152" s="334" t="s">
        <v>2456</v>
      </c>
      <c r="D152" s="334">
        <v>5000.0</v>
      </c>
      <c r="E152" s="334">
        <v>1.0</v>
      </c>
      <c r="F152" s="334">
        <v>6.0</v>
      </c>
      <c r="G152" s="334" t="s">
        <v>2457</v>
      </c>
      <c r="H152" s="568"/>
      <c r="I152" s="334" t="s">
        <v>2057</v>
      </c>
      <c r="J152" s="334" t="s">
        <v>2057</v>
      </c>
      <c r="K152" s="334" t="s">
        <v>2057</v>
      </c>
      <c r="L152" s="334" t="s">
        <v>2057</v>
      </c>
      <c r="M152" s="366" t="s">
        <v>2458</v>
      </c>
    </row>
    <row r="153">
      <c r="A153" s="565" t="s">
        <v>2459</v>
      </c>
      <c r="B153" s="336" t="s">
        <v>2361</v>
      </c>
      <c r="C153" s="336" t="s">
        <v>2378</v>
      </c>
      <c r="D153" s="336">
        <v>350.0</v>
      </c>
      <c r="E153" s="336">
        <v>1.0</v>
      </c>
      <c r="F153" s="336">
        <v>4.0</v>
      </c>
      <c r="G153" s="336" t="s">
        <v>2460</v>
      </c>
      <c r="H153" s="566"/>
      <c r="I153" s="336" t="s">
        <v>2057</v>
      </c>
      <c r="J153" s="336" t="s">
        <v>2057</v>
      </c>
      <c r="K153" s="336" t="s">
        <v>2057</v>
      </c>
      <c r="L153" s="336" t="s">
        <v>2057</v>
      </c>
      <c r="M153" s="361" t="s">
        <v>2461</v>
      </c>
    </row>
    <row r="154">
      <c r="A154" s="567" t="s">
        <v>2462</v>
      </c>
      <c r="B154" s="334" t="s">
        <v>2361</v>
      </c>
      <c r="C154" s="334" t="s">
        <v>2407</v>
      </c>
      <c r="D154" s="334">
        <v>400.0</v>
      </c>
      <c r="E154" s="334">
        <v>1.0</v>
      </c>
      <c r="F154" s="334">
        <v>4.0</v>
      </c>
      <c r="G154" s="334" t="s">
        <v>2463</v>
      </c>
      <c r="H154" s="568"/>
      <c r="I154" s="334" t="s">
        <v>2057</v>
      </c>
      <c r="J154" s="334" t="s">
        <v>2057</v>
      </c>
      <c r="K154" s="334" t="s">
        <v>2057</v>
      </c>
      <c r="L154" s="334" t="s">
        <v>2057</v>
      </c>
      <c r="M154" s="366" t="s">
        <v>2464</v>
      </c>
    </row>
    <row r="155">
      <c r="A155" s="565" t="s">
        <v>2465</v>
      </c>
      <c r="B155" s="336" t="s">
        <v>2361</v>
      </c>
      <c r="C155" s="336" t="s">
        <v>2466</v>
      </c>
      <c r="D155" s="336">
        <v>50.0</v>
      </c>
      <c r="E155" s="336">
        <v>1.0</v>
      </c>
      <c r="F155" s="336">
        <v>2.0</v>
      </c>
      <c r="G155" s="336" t="s">
        <v>2467</v>
      </c>
      <c r="H155" s="566"/>
      <c r="I155" s="336" t="s">
        <v>2057</v>
      </c>
      <c r="J155" s="336" t="s">
        <v>2057</v>
      </c>
      <c r="K155" s="336" t="s">
        <v>2057</v>
      </c>
      <c r="L155" s="336" t="s">
        <v>2057</v>
      </c>
      <c r="M155" s="361" t="s">
        <v>2468</v>
      </c>
    </row>
    <row r="156">
      <c r="A156" s="567" t="s">
        <v>2469</v>
      </c>
      <c r="B156" s="334" t="s">
        <v>2361</v>
      </c>
      <c r="C156" s="334" t="s">
        <v>2470</v>
      </c>
      <c r="D156" s="334">
        <v>500.0</v>
      </c>
      <c r="E156" s="334">
        <v>1.0</v>
      </c>
      <c r="F156" s="334">
        <v>4.0</v>
      </c>
      <c r="G156" s="334" t="s">
        <v>2471</v>
      </c>
      <c r="H156" s="568"/>
      <c r="I156" s="334" t="s">
        <v>2057</v>
      </c>
      <c r="J156" s="334" t="s">
        <v>2057</v>
      </c>
      <c r="K156" s="334" t="s">
        <v>2057</v>
      </c>
      <c r="L156" s="334" t="s">
        <v>2057</v>
      </c>
      <c r="M156" s="366" t="s">
        <v>2472</v>
      </c>
    </row>
    <row r="157">
      <c r="A157" s="565" t="s">
        <v>2473</v>
      </c>
      <c r="B157" s="336" t="s">
        <v>2361</v>
      </c>
      <c r="C157" s="336" t="s">
        <v>2470</v>
      </c>
      <c r="D157" s="336">
        <v>15000.0</v>
      </c>
      <c r="E157" s="336">
        <v>1.0</v>
      </c>
      <c r="F157" s="336">
        <v>7.0</v>
      </c>
      <c r="G157" s="336" t="s">
        <v>2474</v>
      </c>
      <c r="H157" s="336" t="s">
        <v>2057</v>
      </c>
      <c r="I157" s="336"/>
      <c r="J157" s="336" t="s">
        <v>2057</v>
      </c>
      <c r="K157" s="336" t="s">
        <v>2057</v>
      </c>
      <c r="L157" s="336" t="s">
        <v>2057</v>
      </c>
      <c r="M157" s="361" t="s">
        <v>2475</v>
      </c>
    </row>
    <row r="158">
      <c r="A158" s="567" t="s">
        <v>2476</v>
      </c>
      <c r="B158" s="334" t="s">
        <v>2361</v>
      </c>
      <c r="C158" s="334" t="s">
        <v>2477</v>
      </c>
      <c r="D158" s="334">
        <v>50.0</v>
      </c>
      <c r="E158" s="334">
        <v>1.0</v>
      </c>
      <c r="F158" s="334">
        <v>2.0</v>
      </c>
      <c r="G158" s="334" t="s">
        <v>2478</v>
      </c>
      <c r="H158" s="568"/>
      <c r="I158" s="334" t="s">
        <v>2057</v>
      </c>
      <c r="J158" s="334" t="s">
        <v>2057</v>
      </c>
      <c r="K158" s="334" t="s">
        <v>2057</v>
      </c>
      <c r="L158" s="334" t="s">
        <v>2057</v>
      </c>
      <c r="M158" s="366" t="s">
        <v>2479</v>
      </c>
    </row>
    <row r="159">
      <c r="A159" s="565" t="s">
        <v>2480</v>
      </c>
      <c r="B159" s="336" t="s">
        <v>2361</v>
      </c>
      <c r="C159" s="336" t="s">
        <v>2481</v>
      </c>
      <c r="D159" s="336">
        <v>300.0</v>
      </c>
      <c r="E159" s="336">
        <v>1.0</v>
      </c>
      <c r="F159" s="336">
        <v>4.0</v>
      </c>
      <c r="G159" s="336" t="s">
        <v>2482</v>
      </c>
      <c r="H159" s="566"/>
      <c r="I159" s="336" t="s">
        <v>2057</v>
      </c>
      <c r="J159" s="336" t="s">
        <v>2057</v>
      </c>
      <c r="K159" s="336" t="s">
        <v>2057</v>
      </c>
      <c r="L159" s="336" t="s">
        <v>2057</v>
      </c>
      <c r="M159" s="361" t="s">
        <v>2483</v>
      </c>
    </row>
    <row r="160">
      <c r="A160" s="567" t="s">
        <v>2484</v>
      </c>
      <c r="B160" s="334" t="s">
        <v>2361</v>
      </c>
      <c r="C160" s="334" t="s">
        <v>2485</v>
      </c>
      <c r="D160" s="334">
        <v>600.0</v>
      </c>
      <c r="E160" s="334">
        <v>1.0</v>
      </c>
      <c r="F160" s="334">
        <v>5.0</v>
      </c>
      <c r="G160" s="334" t="s">
        <v>2486</v>
      </c>
      <c r="H160" s="334" t="s">
        <v>2057</v>
      </c>
      <c r="I160" s="334"/>
      <c r="J160" s="334" t="s">
        <v>2057</v>
      </c>
      <c r="K160" s="334" t="s">
        <v>2057</v>
      </c>
      <c r="L160" s="334" t="s">
        <v>2057</v>
      </c>
      <c r="M160" s="366" t="s">
        <v>2487</v>
      </c>
    </row>
    <row r="161">
      <c r="A161" s="565" t="s">
        <v>2488</v>
      </c>
      <c r="B161" s="336" t="s">
        <v>2361</v>
      </c>
      <c r="C161" s="336" t="s">
        <v>2415</v>
      </c>
      <c r="D161" s="336">
        <v>15.0</v>
      </c>
      <c r="E161" s="336">
        <v>1.0</v>
      </c>
      <c r="F161" s="336">
        <v>1.0</v>
      </c>
      <c r="G161" s="336" t="s">
        <v>2489</v>
      </c>
      <c r="H161" s="566"/>
      <c r="I161" s="336" t="s">
        <v>2057</v>
      </c>
      <c r="J161" s="336" t="s">
        <v>2057</v>
      </c>
      <c r="K161" s="336" t="s">
        <v>2057</v>
      </c>
      <c r="L161" s="336" t="s">
        <v>2057</v>
      </c>
      <c r="M161" s="361" t="s">
        <v>2490</v>
      </c>
    </row>
    <row r="162">
      <c r="A162" s="567" t="s">
        <v>2491</v>
      </c>
      <c r="B162" s="334" t="s">
        <v>2361</v>
      </c>
      <c r="C162" s="334" t="s">
        <v>2378</v>
      </c>
      <c r="D162" s="334">
        <v>15.0</v>
      </c>
      <c r="E162" s="334">
        <v>1.0</v>
      </c>
      <c r="F162" s="334">
        <v>1.0</v>
      </c>
      <c r="G162" s="334" t="s">
        <v>2492</v>
      </c>
      <c r="H162" s="568"/>
      <c r="I162" s="334" t="s">
        <v>2057</v>
      </c>
      <c r="J162" s="334" t="s">
        <v>2057</v>
      </c>
      <c r="K162" s="334" t="s">
        <v>2057</v>
      </c>
      <c r="L162" s="334" t="s">
        <v>2057</v>
      </c>
      <c r="M162" s="366" t="s">
        <v>2493</v>
      </c>
    </row>
    <row r="163">
      <c r="A163" s="565" t="s">
        <v>2494</v>
      </c>
      <c r="B163" s="336" t="s">
        <v>2361</v>
      </c>
      <c r="C163" s="336" t="s">
        <v>2495</v>
      </c>
      <c r="D163" s="336">
        <v>8000.0</v>
      </c>
      <c r="E163" s="336">
        <v>1.0</v>
      </c>
      <c r="F163" s="336">
        <v>7.0</v>
      </c>
      <c r="G163" s="336" t="s">
        <v>2496</v>
      </c>
      <c r="H163" s="566"/>
      <c r="I163" s="336" t="s">
        <v>2057</v>
      </c>
      <c r="J163" s="336" t="s">
        <v>2057</v>
      </c>
      <c r="K163" s="336" t="s">
        <v>2057</v>
      </c>
      <c r="L163" s="336" t="s">
        <v>2057</v>
      </c>
      <c r="M163" s="361" t="s">
        <v>2497</v>
      </c>
    </row>
    <row r="164">
      <c r="A164" s="567" t="s">
        <v>2498</v>
      </c>
      <c r="B164" s="334" t="s">
        <v>2361</v>
      </c>
      <c r="C164" s="334" t="s">
        <v>2499</v>
      </c>
      <c r="D164" s="334">
        <v>60.0</v>
      </c>
      <c r="E164" s="334">
        <v>1.0</v>
      </c>
      <c r="F164" s="334">
        <v>2.0</v>
      </c>
      <c r="G164" s="334" t="s">
        <v>2500</v>
      </c>
      <c r="H164" s="568"/>
      <c r="I164" s="334" t="s">
        <v>2057</v>
      </c>
      <c r="J164" s="334" t="s">
        <v>2057</v>
      </c>
      <c r="K164" s="334" t="s">
        <v>2057</v>
      </c>
      <c r="L164" s="334" t="s">
        <v>2057</v>
      </c>
      <c r="M164" s="366" t="s">
        <v>2501</v>
      </c>
    </row>
    <row r="165">
      <c r="A165" s="565" t="s">
        <v>2502</v>
      </c>
      <c r="B165" s="336" t="s">
        <v>2361</v>
      </c>
      <c r="C165" s="336" t="s">
        <v>2503</v>
      </c>
      <c r="D165" s="336">
        <v>150.0</v>
      </c>
      <c r="E165" s="336">
        <v>1.0</v>
      </c>
      <c r="F165" s="336">
        <v>3.0</v>
      </c>
      <c r="G165" s="336" t="s">
        <v>2504</v>
      </c>
      <c r="H165" s="566"/>
      <c r="I165" s="336" t="s">
        <v>2057</v>
      </c>
      <c r="J165" s="336" t="s">
        <v>2057</v>
      </c>
      <c r="K165" s="336" t="s">
        <v>2057</v>
      </c>
      <c r="L165" s="336" t="s">
        <v>2057</v>
      </c>
      <c r="M165" s="361" t="s">
        <v>2505</v>
      </c>
    </row>
    <row r="166">
      <c r="A166" s="567" t="s">
        <v>2506</v>
      </c>
      <c r="B166" s="334" t="s">
        <v>2361</v>
      </c>
      <c r="C166" s="334" t="s">
        <v>2507</v>
      </c>
      <c r="D166" s="334">
        <v>5000.0</v>
      </c>
      <c r="E166" s="334">
        <v>1.0</v>
      </c>
      <c r="F166" s="334">
        <v>6.0</v>
      </c>
      <c r="G166" s="334" t="s">
        <v>2508</v>
      </c>
      <c r="H166" s="568"/>
      <c r="I166" s="334" t="s">
        <v>2057</v>
      </c>
      <c r="J166" s="334" t="s">
        <v>2057</v>
      </c>
      <c r="K166" s="334" t="s">
        <v>2057</v>
      </c>
      <c r="L166" s="334" t="s">
        <v>2057</v>
      </c>
      <c r="M166" s="366" t="s">
        <v>2509</v>
      </c>
    </row>
    <row r="167">
      <c r="A167" s="565" t="s">
        <v>2510</v>
      </c>
      <c r="B167" s="336" t="s">
        <v>2361</v>
      </c>
      <c r="C167" s="336" t="s">
        <v>2407</v>
      </c>
      <c r="D167" s="336">
        <v>600.0</v>
      </c>
      <c r="E167" s="336">
        <v>1.0</v>
      </c>
      <c r="F167" s="336">
        <v>4.0</v>
      </c>
      <c r="G167" s="336" t="s">
        <v>2511</v>
      </c>
      <c r="H167" s="566"/>
      <c r="I167" s="336" t="s">
        <v>2057</v>
      </c>
      <c r="J167" s="336" t="s">
        <v>2057</v>
      </c>
      <c r="K167" s="336" t="s">
        <v>2057</v>
      </c>
      <c r="L167" s="336" t="s">
        <v>2057</v>
      </c>
      <c r="M167" s="361" t="s">
        <v>2512</v>
      </c>
    </row>
    <row r="168">
      <c r="A168" s="567" t="s">
        <v>1486</v>
      </c>
      <c r="B168" s="334" t="s">
        <v>2513</v>
      </c>
      <c r="C168" s="334" t="s">
        <v>2514</v>
      </c>
      <c r="D168" s="334" t="s">
        <v>327</v>
      </c>
      <c r="E168" s="334">
        <v>10.0</v>
      </c>
      <c r="F168" s="334">
        <v>4.0</v>
      </c>
      <c r="G168" s="334" t="s">
        <v>2515</v>
      </c>
      <c r="H168" s="558" t="s">
        <v>2516</v>
      </c>
      <c r="I168" s="559"/>
      <c r="J168" s="559"/>
      <c r="K168" s="559"/>
      <c r="L168" s="569"/>
      <c r="M168" s="559"/>
    </row>
    <row r="169">
      <c r="A169" s="565" t="s">
        <v>1598</v>
      </c>
      <c r="B169" s="336" t="s">
        <v>2513</v>
      </c>
      <c r="C169" s="336" t="s">
        <v>2514</v>
      </c>
      <c r="D169" s="336" t="s">
        <v>295</v>
      </c>
      <c r="E169" s="336">
        <v>4.0</v>
      </c>
      <c r="F169" s="336">
        <v>3.0</v>
      </c>
      <c r="G169" s="336" t="s">
        <v>2517</v>
      </c>
      <c r="H169" s="555" t="s">
        <v>1598</v>
      </c>
      <c r="I169" s="561"/>
      <c r="J169" s="561"/>
      <c r="K169" s="561"/>
      <c r="L169" s="570"/>
      <c r="M169" s="561"/>
    </row>
    <row r="170">
      <c r="A170" s="567" t="s">
        <v>1600</v>
      </c>
      <c r="B170" s="334" t="s">
        <v>2513</v>
      </c>
      <c r="C170" s="334" t="s">
        <v>2518</v>
      </c>
      <c r="D170" s="334" t="s">
        <v>327</v>
      </c>
      <c r="E170" s="334">
        <v>5.0</v>
      </c>
      <c r="F170" s="334">
        <v>5.0</v>
      </c>
      <c r="G170" s="334" t="s">
        <v>2519</v>
      </c>
      <c r="H170" s="558" t="s">
        <v>1600</v>
      </c>
      <c r="I170" s="559"/>
      <c r="J170" s="559"/>
      <c r="K170" s="559"/>
      <c r="L170" s="569"/>
      <c r="M170" s="559"/>
    </row>
    <row r="171">
      <c r="A171" s="565" t="s">
        <v>1603</v>
      </c>
      <c r="B171" s="336" t="s">
        <v>2054</v>
      </c>
      <c r="C171" s="336" t="s">
        <v>2520</v>
      </c>
      <c r="D171" s="336" t="s">
        <v>1604</v>
      </c>
      <c r="E171" s="336">
        <v>4.0</v>
      </c>
      <c r="F171" s="336">
        <v>3.0</v>
      </c>
      <c r="G171" s="336" t="s">
        <v>2521</v>
      </c>
      <c r="H171" s="555" t="s">
        <v>1603</v>
      </c>
      <c r="I171" s="561"/>
      <c r="J171" s="561"/>
      <c r="K171" s="561"/>
      <c r="L171" s="570"/>
      <c r="M171" s="561"/>
    </row>
    <row r="172">
      <c r="A172" s="567" t="s">
        <v>1606</v>
      </c>
      <c r="B172" s="334" t="s">
        <v>2513</v>
      </c>
      <c r="C172" s="334" t="s">
        <v>2518</v>
      </c>
      <c r="D172" s="334" t="s">
        <v>1607</v>
      </c>
      <c r="E172" s="334">
        <v>8.0</v>
      </c>
      <c r="F172" s="334">
        <v>5.0</v>
      </c>
      <c r="G172" s="334" t="s">
        <v>2522</v>
      </c>
      <c r="H172" s="558" t="s">
        <v>1606</v>
      </c>
      <c r="I172" s="559"/>
      <c r="J172" s="559"/>
      <c r="K172" s="559"/>
      <c r="L172" s="569"/>
      <c r="M172" s="559"/>
    </row>
    <row r="173">
      <c r="A173" s="565" t="s">
        <v>1609</v>
      </c>
      <c r="B173" s="336" t="s">
        <v>2513</v>
      </c>
      <c r="C173" s="336" t="s">
        <v>2514</v>
      </c>
      <c r="D173" s="336" t="s">
        <v>1524</v>
      </c>
      <c r="E173" s="336">
        <v>6.0</v>
      </c>
      <c r="F173" s="336">
        <v>3.0</v>
      </c>
      <c r="G173" s="336" t="s">
        <v>2523</v>
      </c>
      <c r="H173" s="555" t="s">
        <v>1609</v>
      </c>
      <c r="I173" s="561"/>
      <c r="J173" s="561"/>
      <c r="K173" s="561"/>
      <c r="L173" s="570"/>
      <c r="M173" s="561"/>
    </row>
    <row r="174">
      <c r="A174" s="567" t="s">
        <v>1611</v>
      </c>
      <c r="B174" s="334" t="s">
        <v>2513</v>
      </c>
      <c r="C174" s="334" t="s">
        <v>2514</v>
      </c>
      <c r="D174" s="334" t="s">
        <v>1524</v>
      </c>
      <c r="E174" s="334">
        <v>9.0</v>
      </c>
      <c r="F174" s="334">
        <v>5.0</v>
      </c>
      <c r="G174" s="334" t="s">
        <v>2524</v>
      </c>
      <c r="H174" s="558" t="s">
        <v>1611</v>
      </c>
      <c r="I174" s="559"/>
      <c r="J174" s="559"/>
      <c r="K174" s="559"/>
      <c r="L174" s="569"/>
      <c r="M174" s="559"/>
    </row>
    <row r="175">
      <c r="A175" s="565" t="s">
        <v>1613</v>
      </c>
      <c r="B175" s="336" t="s">
        <v>2513</v>
      </c>
      <c r="C175" s="336" t="s">
        <v>2514</v>
      </c>
      <c r="D175" s="336" t="s">
        <v>327</v>
      </c>
      <c r="E175" s="336">
        <v>4.0</v>
      </c>
      <c r="F175" s="336">
        <v>6.0</v>
      </c>
      <c r="G175" s="336" t="s">
        <v>2525</v>
      </c>
      <c r="H175" s="555" t="s">
        <v>1613</v>
      </c>
      <c r="I175" s="561"/>
      <c r="J175" s="561"/>
      <c r="K175" s="561"/>
      <c r="L175" s="570"/>
      <c r="M175" s="561"/>
    </row>
    <row r="176">
      <c r="A176" s="567" t="s">
        <v>1615</v>
      </c>
      <c r="B176" s="334" t="s">
        <v>2513</v>
      </c>
      <c r="C176" s="334" t="s">
        <v>2514</v>
      </c>
      <c r="D176" s="334" t="s">
        <v>1524</v>
      </c>
      <c r="E176" s="334">
        <v>6.9</v>
      </c>
      <c r="F176" s="334">
        <v>7.0</v>
      </c>
      <c r="G176" s="334" t="s">
        <v>2526</v>
      </c>
      <c r="H176" s="558" t="s">
        <v>1615</v>
      </c>
      <c r="I176" s="559"/>
      <c r="J176" s="559"/>
      <c r="K176" s="559"/>
      <c r="L176" s="569"/>
      <c r="M176" s="559"/>
    </row>
    <row r="177">
      <c r="A177" s="565" t="s">
        <v>1617</v>
      </c>
      <c r="B177" s="336" t="s">
        <v>2513</v>
      </c>
      <c r="C177" s="336" t="s">
        <v>2514</v>
      </c>
      <c r="D177" s="336" t="s">
        <v>1604</v>
      </c>
      <c r="E177" s="336">
        <v>5.0</v>
      </c>
      <c r="F177" s="336">
        <v>4.0</v>
      </c>
      <c r="G177" s="336" t="s">
        <v>2527</v>
      </c>
      <c r="H177" s="555" t="s">
        <v>1617</v>
      </c>
      <c r="I177" s="561"/>
      <c r="J177" s="561"/>
      <c r="K177" s="561"/>
      <c r="L177" s="570"/>
      <c r="M177" s="561"/>
    </row>
    <row r="178">
      <c r="A178" s="567" t="s">
        <v>1483</v>
      </c>
      <c r="B178" s="334" t="s">
        <v>2513</v>
      </c>
      <c r="C178" s="334" t="s">
        <v>2514</v>
      </c>
      <c r="D178" s="334" t="s">
        <v>327</v>
      </c>
      <c r="E178" s="334">
        <v>2.0</v>
      </c>
      <c r="F178" s="334">
        <v>3.0</v>
      </c>
      <c r="G178" s="334" t="s">
        <v>2528</v>
      </c>
      <c r="H178" s="558" t="s">
        <v>1483</v>
      </c>
      <c r="I178" s="559"/>
      <c r="J178" s="559"/>
      <c r="K178" s="559"/>
      <c r="L178" s="569"/>
      <c r="M178" s="559"/>
    </row>
    <row r="179">
      <c r="A179" s="565" t="s">
        <v>1623</v>
      </c>
      <c r="B179" s="336" t="s">
        <v>2513</v>
      </c>
      <c r="C179" s="336" t="s">
        <v>2514</v>
      </c>
      <c r="D179" s="336" t="s">
        <v>341</v>
      </c>
      <c r="E179" s="336">
        <v>4.0</v>
      </c>
      <c r="F179" s="336">
        <v>7.0</v>
      </c>
      <c r="G179" s="336" t="s">
        <v>2529</v>
      </c>
      <c r="H179" s="555" t="s">
        <v>1623</v>
      </c>
      <c r="I179" s="561"/>
      <c r="J179" s="561"/>
      <c r="K179" s="561"/>
      <c r="L179" s="570"/>
      <c r="M179" s="561"/>
    </row>
    <row r="180">
      <c r="A180" s="567" t="s">
        <v>1625</v>
      </c>
      <c r="B180" s="334" t="s">
        <v>2054</v>
      </c>
      <c r="C180" s="334" t="s">
        <v>2530</v>
      </c>
      <c r="D180" s="334" t="s">
        <v>295</v>
      </c>
      <c r="E180" s="334">
        <v>9.0</v>
      </c>
      <c r="F180" s="334">
        <v>5.0</v>
      </c>
      <c r="G180" s="334" t="s">
        <v>2531</v>
      </c>
      <c r="H180" s="558" t="s">
        <v>1625</v>
      </c>
      <c r="I180" s="559"/>
      <c r="J180" s="559"/>
      <c r="K180" s="559"/>
      <c r="L180" s="569"/>
      <c r="M180" s="559"/>
    </row>
    <row r="181">
      <c r="A181" s="565" t="s">
        <v>1627</v>
      </c>
      <c r="B181" s="336" t="s">
        <v>2361</v>
      </c>
      <c r="C181" s="336" t="s">
        <v>2362</v>
      </c>
      <c r="D181" s="336" t="s">
        <v>1628</v>
      </c>
      <c r="E181" s="336">
        <v>4.0</v>
      </c>
      <c r="F181" s="336">
        <v>6.0</v>
      </c>
      <c r="G181" s="336" t="s">
        <v>2532</v>
      </c>
      <c r="H181" s="555" t="s">
        <v>1627</v>
      </c>
      <c r="I181" s="561"/>
      <c r="J181" s="561"/>
      <c r="K181" s="561"/>
      <c r="L181" s="570"/>
      <c r="M181" s="561"/>
    </row>
    <row r="182">
      <c r="A182" s="567" t="s">
        <v>1947</v>
      </c>
      <c r="B182" s="334" t="s">
        <v>2513</v>
      </c>
      <c r="C182" s="334" t="s">
        <v>2514</v>
      </c>
      <c r="D182" s="334" t="s">
        <v>583</v>
      </c>
      <c r="E182" s="334">
        <v>5.0</v>
      </c>
      <c r="F182" s="334">
        <v>8.0</v>
      </c>
      <c r="G182" s="334" t="s">
        <v>2533</v>
      </c>
      <c r="H182" s="558" t="s">
        <v>1947</v>
      </c>
      <c r="I182" s="559"/>
      <c r="J182" s="559"/>
      <c r="K182" s="559"/>
      <c r="L182" s="569"/>
      <c r="M182" s="559"/>
    </row>
    <row r="183">
      <c r="A183" s="565" t="s">
        <v>1949</v>
      </c>
      <c r="B183" s="336" t="s">
        <v>2054</v>
      </c>
      <c r="C183" s="336" t="s">
        <v>2534</v>
      </c>
      <c r="D183" s="336" t="s">
        <v>347</v>
      </c>
      <c r="E183" s="336">
        <v>2.0</v>
      </c>
      <c r="F183" s="336">
        <v>6.0</v>
      </c>
      <c r="G183" s="336" t="s">
        <v>2535</v>
      </c>
      <c r="H183" s="555" t="s">
        <v>1949</v>
      </c>
      <c r="I183" s="561"/>
      <c r="J183" s="561"/>
      <c r="K183" s="561"/>
      <c r="L183" s="570"/>
      <c r="M183" s="561"/>
    </row>
    <row r="184">
      <c r="A184" s="567" t="s">
        <v>1951</v>
      </c>
      <c r="B184" s="334" t="s">
        <v>2513</v>
      </c>
      <c r="C184" s="334" t="s">
        <v>2518</v>
      </c>
      <c r="D184" s="334" t="s">
        <v>365</v>
      </c>
      <c r="E184" s="334">
        <v>4.0</v>
      </c>
      <c r="F184" s="334">
        <v>9.0</v>
      </c>
      <c r="G184" s="334" t="s">
        <v>2536</v>
      </c>
      <c r="H184" s="558" t="s">
        <v>1951</v>
      </c>
      <c r="I184" s="559"/>
      <c r="J184" s="559"/>
      <c r="K184" s="559"/>
      <c r="L184" s="569"/>
      <c r="M184" s="559"/>
    </row>
    <row r="185">
      <c r="A185" s="565" t="s">
        <v>1953</v>
      </c>
      <c r="B185" s="336" t="s">
        <v>2513</v>
      </c>
      <c r="C185" s="336" t="s">
        <v>2518</v>
      </c>
      <c r="D185" s="336" t="s">
        <v>1955</v>
      </c>
      <c r="E185" s="336">
        <v>12.0</v>
      </c>
      <c r="F185" s="336">
        <v>8.0</v>
      </c>
      <c r="G185" s="336" t="s">
        <v>2537</v>
      </c>
      <c r="H185" s="555" t="s">
        <v>1953</v>
      </c>
      <c r="I185" s="561"/>
      <c r="J185" s="561"/>
      <c r="K185" s="561"/>
      <c r="L185" s="570"/>
      <c r="M185" s="561"/>
    </row>
    <row r="186">
      <c r="A186" s="567" t="s">
        <v>1966</v>
      </c>
      <c r="B186" s="334" t="s">
        <v>2054</v>
      </c>
      <c r="C186" s="334" t="s">
        <v>1522</v>
      </c>
      <c r="D186" s="556"/>
      <c r="E186" s="556"/>
      <c r="F186" s="556"/>
      <c r="G186" s="334" t="s">
        <v>2538</v>
      </c>
      <c r="H186" s="558" t="s">
        <v>1966</v>
      </c>
      <c r="I186" s="556"/>
      <c r="J186" s="556"/>
      <c r="K186" s="556"/>
      <c r="L186" s="556"/>
      <c r="M186" s="556"/>
    </row>
    <row r="187">
      <c r="A187" s="571" t="s">
        <v>1731</v>
      </c>
      <c r="B187" s="572" t="s">
        <v>2054</v>
      </c>
      <c r="C187" s="572" t="s">
        <v>2539</v>
      </c>
      <c r="D187" s="572" t="s">
        <v>341</v>
      </c>
      <c r="E187" s="572">
        <v>12.0</v>
      </c>
      <c r="F187" s="572">
        <v>5.0</v>
      </c>
      <c r="G187" s="572" t="s">
        <v>2540</v>
      </c>
      <c r="H187" s="573" t="s">
        <v>2043</v>
      </c>
      <c r="I187" s="574"/>
      <c r="J187" s="574"/>
      <c r="K187" s="574"/>
      <c r="L187" s="574"/>
      <c r="M187" s="574"/>
    </row>
    <row r="188">
      <c r="A188" s="575" t="s">
        <v>1734</v>
      </c>
      <c r="B188" s="334" t="s">
        <v>2361</v>
      </c>
      <c r="C188" s="334" t="s">
        <v>2541</v>
      </c>
      <c r="D188" s="334" t="s">
        <v>327</v>
      </c>
      <c r="E188" s="334">
        <v>6.0</v>
      </c>
      <c r="F188" s="334">
        <v>3.0</v>
      </c>
      <c r="G188" s="334" t="s">
        <v>2542</v>
      </c>
      <c r="H188" s="558" t="s">
        <v>1732</v>
      </c>
      <c r="I188" s="556"/>
      <c r="J188" s="556"/>
      <c r="K188" s="556"/>
      <c r="L188" s="556"/>
      <c r="M188" s="556"/>
    </row>
    <row r="189">
      <c r="A189" s="576" t="s">
        <v>2543</v>
      </c>
      <c r="B189" s="336" t="s">
        <v>2513</v>
      </c>
      <c r="C189" s="336" t="s">
        <v>2514</v>
      </c>
      <c r="D189" s="336" t="s">
        <v>206</v>
      </c>
      <c r="E189" s="336" t="s">
        <v>220</v>
      </c>
      <c r="F189" s="561"/>
      <c r="G189" s="561"/>
      <c r="H189" s="566"/>
      <c r="I189" s="561"/>
      <c r="J189" s="561"/>
      <c r="K189" s="561"/>
      <c r="L189" s="570"/>
      <c r="M189" s="561"/>
    </row>
    <row r="190">
      <c r="A190" s="577" t="s">
        <v>2544</v>
      </c>
      <c r="B190" s="334" t="s">
        <v>2361</v>
      </c>
      <c r="C190" s="334" t="s">
        <v>2055</v>
      </c>
      <c r="D190" s="334" t="s">
        <v>206</v>
      </c>
      <c r="E190" s="334" t="s">
        <v>220</v>
      </c>
      <c r="F190" s="559"/>
      <c r="G190" s="559"/>
      <c r="H190" s="568"/>
      <c r="I190" s="559"/>
      <c r="J190" s="559"/>
      <c r="K190" s="559"/>
      <c r="L190" s="569"/>
      <c r="M190" s="559"/>
    </row>
    <row r="191">
      <c r="A191" s="576" t="s">
        <v>2545</v>
      </c>
      <c r="B191" s="336" t="s">
        <v>2513</v>
      </c>
      <c r="C191" s="336" t="s">
        <v>2514</v>
      </c>
      <c r="D191" s="336" t="s">
        <v>206</v>
      </c>
      <c r="E191" s="336" t="s">
        <v>220</v>
      </c>
      <c r="F191" s="561"/>
      <c r="G191" s="561"/>
      <c r="H191" s="566"/>
      <c r="I191" s="561"/>
      <c r="J191" s="561"/>
      <c r="K191" s="561"/>
      <c r="L191" s="570"/>
      <c r="M191" s="561"/>
    </row>
    <row r="192">
      <c r="A192" s="577" t="s">
        <v>2546</v>
      </c>
      <c r="B192" s="334" t="s">
        <v>2361</v>
      </c>
      <c r="C192" s="334" t="s">
        <v>2055</v>
      </c>
      <c r="D192" s="334" t="s">
        <v>206</v>
      </c>
      <c r="E192" s="334" t="s">
        <v>220</v>
      </c>
      <c r="F192" s="559"/>
      <c r="G192" s="559"/>
      <c r="H192" s="568"/>
      <c r="I192" s="559"/>
      <c r="J192" s="559"/>
      <c r="K192" s="559"/>
      <c r="L192" s="569"/>
      <c r="M192" s="559"/>
    </row>
    <row r="193">
      <c r="A193" s="576" t="s">
        <v>2547</v>
      </c>
      <c r="B193" s="336" t="s">
        <v>2513</v>
      </c>
      <c r="C193" s="336" t="s">
        <v>2514</v>
      </c>
      <c r="D193" s="336" t="s">
        <v>206</v>
      </c>
      <c r="E193" s="336" t="s">
        <v>220</v>
      </c>
      <c r="F193" s="561"/>
      <c r="G193" s="561"/>
      <c r="H193" s="566"/>
      <c r="I193" s="561"/>
      <c r="J193" s="561"/>
      <c r="K193" s="561"/>
      <c r="L193" s="570"/>
      <c r="M193" s="561"/>
    </row>
    <row r="194">
      <c r="A194" s="577" t="s">
        <v>2548</v>
      </c>
      <c r="B194" s="334" t="s">
        <v>2513</v>
      </c>
      <c r="C194" s="334" t="s">
        <v>2514</v>
      </c>
      <c r="D194" s="334" t="s">
        <v>206</v>
      </c>
      <c r="E194" s="334" t="s">
        <v>220</v>
      </c>
      <c r="F194" s="559"/>
      <c r="G194" s="559"/>
      <c r="H194" s="568"/>
      <c r="I194" s="559"/>
      <c r="J194" s="559"/>
      <c r="K194" s="559"/>
      <c r="L194" s="569"/>
      <c r="M194" s="559"/>
    </row>
    <row r="195">
      <c r="A195" s="576" t="s">
        <v>2549</v>
      </c>
      <c r="B195" s="336" t="s">
        <v>2361</v>
      </c>
      <c r="C195" s="336" t="s">
        <v>2055</v>
      </c>
      <c r="D195" s="336" t="s">
        <v>206</v>
      </c>
      <c r="E195" s="336" t="s">
        <v>220</v>
      </c>
      <c r="F195" s="561"/>
      <c r="G195" s="561"/>
      <c r="H195" s="566"/>
      <c r="I195" s="561"/>
      <c r="J195" s="561"/>
      <c r="K195" s="561"/>
      <c r="L195" s="570"/>
      <c r="M195" s="561"/>
    </row>
    <row r="196">
      <c r="A196" s="577" t="s">
        <v>2550</v>
      </c>
      <c r="B196" s="334" t="s">
        <v>2361</v>
      </c>
      <c r="C196" s="334" t="s">
        <v>2055</v>
      </c>
      <c r="D196" s="334" t="s">
        <v>206</v>
      </c>
      <c r="E196" s="334" t="s">
        <v>220</v>
      </c>
      <c r="F196" s="559"/>
      <c r="G196" s="559"/>
      <c r="H196" s="568"/>
      <c r="I196" s="559"/>
      <c r="J196" s="559"/>
      <c r="K196" s="559"/>
      <c r="L196" s="569"/>
      <c r="M196" s="559"/>
    </row>
    <row r="197">
      <c r="A197" s="576" t="s">
        <v>2551</v>
      </c>
      <c r="B197" s="336" t="s">
        <v>2513</v>
      </c>
      <c r="C197" s="336" t="s">
        <v>2514</v>
      </c>
      <c r="D197" s="336" t="s">
        <v>206</v>
      </c>
      <c r="E197" s="336" t="s">
        <v>220</v>
      </c>
      <c r="F197" s="561"/>
      <c r="G197" s="561"/>
      <c r="H197" s="566"/>
      <c r="I197" s="561"/>
      <c r="J197" s="561"/>
      <c r="K197" s="561"/>
      <c r="L197" s="570"/>
      <c r="M197" s="561"/>
    </row>
    <row r="198">
      <c r="A198" s="577" t="s">
        <v>2552</v>
      </c>
      <c r="B198" s="334" t="s">
        <v>2513</v>
      </c>
      <c r="C198" s="334" t="s">
        <v>2514</v>
      </c>
      <c r="D198" s="334" t="s">
        <v>206</v>
      </c>
      <c r="E198" s="334" t="s">
        <v>220</v>
      </c>
      <c r="F198" s="559"/>
      <c r="G198" s="559"/>
      <c r="H198" s="568"/>
      <c r="I198" s="559"/>
      <c r="J198" s="559"/>
      <c r="K198" s="559"/>
      <c r="L198" s="569"/>
      <c r="M198" s="559"/>
    </row>
    <row r="199">
      <c r="A199" s="576" t="s">
        <v>2553</v>
      </c>
      <c r="B199" s="336" t="s">
        <v>2513</v>
      </c>
      <c r="C199" s="336" t="s">
        <v>2514</v>
      </c>
      <c r="D199" s="336" t="s">
        <v>206</v>
      </c>
      <c r="E199" s="336" t="s">
        <v>220</v>
      </c>
      <c r="F199" s="561"/>
      <c r="G199" s="561"/>
      <c r="H199" s="566"/>
      <c r="I199" s="561"/>
      <c r="J199" s="561"/>
      <c r="K199" s="561"/>
      <c r="L199" s="570"/>
      <c r="M199" s="561"/>
    </row>
    <row r="200">
      <c r="A200" s="577" t="s">
        <v>2554</v>
      </c>
      <c r="B200" s="334" t="s">
        <v>2361</v>
      </c>
      <c r="C200" s="334" t="s">
        <v>2055</v>
      </c>
      <c r="D200" s="334" t="s">
        <v>206</v>
      </c>
      <c r="E200" s="334" t="s">
        <v>220</v>
      </c>
      <c r="F200" s="559"/>
      <c r="G200" s="559"/>
      <c r="H200" s="568"/>
      <c r="I200" s="559"/>
      <c r="J200" s="559"/>
      <c r="K200" s="559"/>
      <c r="L200" s="569"/>
      <c r="M200" s="559"/>
    </row>
    <row r="201">
      <c r="A201" s="576" t="s">
        <v>2555</v>
      </c>
      <c r="B201" s="336" t="s">
        <v>2361</v>
      </c>
      <c r="C201" s="336" t="s">
        <v>2055</v>
      </c>
      <c r="D201" s="336" t="s">
        <v>206</v>
      </c>
      <c r="E201" s="336" t="s">
        <v>220</v>
      </c>
      <c r="F201" s="561"/>
      <c r="G201" s="561"/>
      <c r="H201" s="566"/>
      <c r="I201" s="561"/>
      <c r="J201" s="561"/>
      <c r="K201" s="561"/>
      <c r="L201" s="570"/>
      <c r="M201" s="561"/>
    </row>
    <row r="202">
      <c r="A202" s="577" t="s">
        <v>2556</v>
      </c>
      <c r="B202" s="334" t="s">
        <v>2361</v>
      </c>
      <c r="C202" s="334" t="s">
        <v>2055</v>
      </c>
      <c r="D202" s="334" t="s">
        <v>206</v>
      </c>
      <c r="E202" s="334" t="s">
        <v>220</v>
      </c>
      <c r="F202" s="559"/>
      <c r="G202" s="559"/>
      <c r="H202" s="568"/>
      <c r="I202" s="559"/>
      <c r="J202" s="559"/>
      <c r="K202" s="559"/>
      <c r="L202" s="569"/>
      <c r="M202" s="559"/>
    </row>
    <row r="203">
      <c r="A203" s="576" t="s">
        <v>2557</v>
      </c>
      <c r="B203" s="336" t="s">
        <v>2513</v>
      </c>
      <c r="C203" s="336" t="s">
        <v>2514</v>
      </c>
      <c r="D203" s="336" t="s">
        <v>206</v>
      </c>
      <c r="E203" s="336" t="s">
        <v>220</v>
      </c>
      <c r="F203" s="561"/>
      <c r="G203" s="561"/>
      <c r="H203" s="566"/>
      <c r="I203" s="561"/>
      <c r="J203" s="561"/>
      <c r="K203" s="561"/>
      <c r="L203" s="570"/>
      <c r="M203" s="561"/>
    </row>
    <row r="204">
      <c r="A204" s="575" t="s">
        <v>759</v>
      </c>
      <c r="B204" s="334" t="s">
        <v>2513</v>
      </c>
      <c r="C204" s="334" t="s">
        <v>2558</v>
      </c>
      <c r="D204" s="334">
        <v>0.1</v>
      </c>
      <c r="E204" s="334">
        <v>1.0</v>
      </c>
      <c r="F204" s="334">
        <v>1.0</v>
      </c>
      <c r="G204" s="334" t="s">
        <v>2559</v>
      </c>
      <c r="H204" s="568"/>
      <c r="I204" s="366"/>
      <c r="J204" s="559"/>
      <c r="K204" s="559"/>
      <c r="L204" s="569"/>
      <c r="M204" s="559"/>
    </row>
    <row r="205">
      <c r="A205" s="578" t="s">
        <v>829</v>
      </c>
      <c r="B205" s="336" t="s">
        <v>2513</v>
      </c>
      <c r="C205" s="336" t="s">
        <v>759</v>
      </c>
      <c r="D205" s="336">
        <v>0.2</v>
      </c>
      <c r="E205" s="336">
        <v>1.0</v>
      </c>
      <c r="F205" s="336">
        <v>1.0</v>
      </c>
      <c r="G205" s="336" t="s">
        <v>2560</v>
      </c>
      <c r="H205" s="566"/>
      <c r="I205" s="361"/>
      <c r="J205" s="561"/>
      <c r="K205" s="561"/>
      <c r="L205" s="570"/>
      <c r="M205" s="561"/>
    </row>
    <row r="206">
      <c r="A206" s="575" t="s">
        <v>845</v>
      </c>
      <c r="B206" s="334" t="s">
        <v>2513</v>
      </c>
      <c r="C206" s="334" t="s">
        <v>2561</v>
      </c>
      <c r="D206" s="334">
        <v>0.5</v>
      </c>
      <c r="E206" s="334">
        <v>1.0</v>
      </c>
      <c r="F206" s="334">
        <v>2.0</v>
      </c>
      <c r="G206" s="334" t="s">
        <v>2562</v>
      </c>
      <c r="H206" s="568"/>
      <c r="I206" s="366"/>
      <c r="J206" s="559"/>
      <c r="K206" s="559"/>
      <c r="L206" s="569"/>
      <c r="M206" s="559"/>
    </row>
    <row r="207">
      <c r="A207" s="578" t="s">
        <v>2563</v>
      </c>
      <c r="B207" s="336" t="s">
        <v>2513</v>
      </c>
      <c r="C207" s="336" t="s">
        <v>2564</v>
      </c>
      <c r="D207" s="336">
        <v>0.2</v>
      </c>
      <c r="E207" s="336">
        <v>1.0</v>
      </c>
      <c r="F207" s="336">
        <v>1.0</v>
      </c>
      <c r="G207" s="336" t="s">
        <v>2565</v>
      </c>
      <c r="H207" s="566"/>
      <c r="I207" s="361"/>
      <c r="J207" s="561"/>
      <c r="K207" s="561"/>
      <c r="L207" s="570"/>
      <c r="M207" s="561"/>
    </row>
    <row r="208">
      <c r="A208" s="575" t="s">
        <v>2566</v>
      </c>
      <c r="B208" s="334" t="s">
        <v>2513</v>
      </c>
      <c r="C208" s="334" t="s">
        <v>2567</v>
      </c>
      <c r="D208" s="334">
        <v>0.05</v>
      </c>
      <c r="E208" s="334">
        <v>1.0</v>
      </c>
      <c r="F208" s="334">
        <v>1.0</v>
      </c>
      <c r="G208" s="334" t="s">
        <v>2568</v>
      </c>
      <c r="H208" s="568"/>
      <c r="I208" s="366"/>
      <c r="J208" s="559"/>
      <c r="K208" s="559"/>
      <c r="L208" s="569"/>
      <c r="M208" s="559"/>
    </row>
    <row r="209">
      <c r="A209" s="361" t="s">
        <v>957</v>
      </c>
      <c r="B209" s="336" t="s">
        <v>2513</v>
      </c>
      <c r="C209" s="336" t="s">
        <v>2569</v>
      </c>
      <c r="D209" s="336">
        <v>5.0</v>
      </c>
      <c r="E209" s="336">
        <v>1.0</v>
      </c>
      <c r="F209" s="336">
        <v>3.0</v>
      </c>
      <c r="G209" s="336" t="s">
        <v>2570</v>
      </c>
      <c r="H209" s="566"/>
      <c r="I209" s="361"/>
      <c r="J209" s="561"/>
      <c r="K209" s="561"/>
      <c r="L209" s="570"/>
      <c r="M209" s="561"/>
    </row>
    <row r="210">
      <c r="A210" s="575" t="s">
        <v>1235</v>
      </c>
      <c r="B210" s="334" t="s">
        <v>2513</v>
      </c>
      <c r="C210" s="334" t="s">
        <v>2571</v>
      </c>
      <c r="D210" s="334">
        <v>50.0</v>
      </c>
      <c r="E210" s="334">
        <v>1.0</v>
      </c>
      <c r="F210" s="334">
        <v>3.0</v>
      </c>
      <c r="G210" s="334" t="s">
        <v>2572</v>
      </c>
      <c r="H210" s="568"/>
      <c r="I210" s="366"/>
      <c r="J210" s="559"/>
      <c r="K210" s="559"/>
      <c r="L210" s="569"/>
      <c r="M210" s="559"/>
    </row>
    <row r="211">
      <c r="A211" s="578" t="s">
        <v>1452</v>
      </c>
      <c r="B211" s="336" t="s">
        <v>2513</v>
      </c>
      <c r="C211" s="336" t="s">
        <v>2573</v>
      </c>
      <c r="D211" s="336">
        <v>500.0</v>
      </c>
      <c r="E211" s="336">
        <v>1.0</v>
      </c>
      <c r="F211" s="336">
        <v>4.0</v>
      </c>
      <c r="G211" s="336" t="s">
        <v>2574</v>
      </c>
      <c r="H211" s="566"/>
      <c r="I211" s="361"/>
      <c r="J211" s="561"/>
      <c r="K211" s="561"/>
      <c r="L211" s="570"/>
      <c r="M211" s="561"/>
    </row>
    <row r="212">
      <c r="A212" s="575" t="s">
        <v>770</v>
      </c>
      <c r="B212" s="334" t="s">
        <v>2513</v>
      </c>
      <c r="C212" s="334" t="s">
        <v>770</v>
      </c>
      <c r="D212" s="334">
        <v>0.01</v>
      </c>
      <c r="E212" s="334">
        <v>1.0</v>
      </c>
      <c r="F212" s="334">
        <v>0.0</v>
      </c>
      <c r="G212" s="334" t="s">
        <v>2575</v>
      </c>
      <c r="H212" s="568"/>
      <c r="I212" s="366"/>
      <c r="J212" s="559"/>
      <c r="K212" s="559"/>
      <c r="L212" s="569"/>
      <c r="M212" s="559"/>
    </row>
    <row r="213">
      <c r="A213" s="578" t="s">
        <v>2576</v>
      </c>
      <c r="B213" s="336" t="s">
        <v>2513</v>
      </c>
      <c r="C213" s="336" t="s">
        <v>2576</v>
      </c>
      <c r="D213" s="336">
        <v>0.01</v>
      </c>
      <c r="E213" s="336">
        <v>1.0</v>
      </c>
      <c r="F213" s="336">
        <v>0.0</v>
      </c>
      <c r="G213" s="336" t="s">
        <v>2577</v>
      </c>
      <c r="H213" s="566"/>
      <c r="I213" s="361"/>
      <c r="J213" s="561"/>
      <c r="K213" s="561"/>
      <c r="L213" s="570"/>
      <c r="M213" s="561"/>
    </row>
    <row r="214">
      <c r="A214" s="575" t="s">
        <v>1247</v>
      </c>
      <c r="B214" s="334" t="s">
        <v>2513</v>
      </c>
      <c r="C214" s="334" t="s">
        <v>1247</v>
      </c>
      <c r="D214" s="334">
        <v>0.01</v>
      </c>
      <c r="E214" s="334">
        <v>1.0</v>
      </c>
      <c r="F214" s="334">
        <v>0.0</v>
      </c>
      <c r="G214" s="334" t="s">
        <v>2578</v>
      </c>
      <c r="H214" s="568"/>
      <c r="I214" s="366"/>
      <c r="J214" s="559"/>
      <c r="K214" s="559"/>
      <c r="L214" s="569"/>
      <c r="M214" s="559"/>
    </row>
    <row r="215">
      <c r="A215" s="578" t="s">
        <v>2579</v>
      </c>
      <c r="B215" s="336" t="s">
        <v>2513</v>
      </c>
      <c r="C215" s="336" t="s">
        <v>1247</v>
      </c>
      <c r="D215" s="336">
        <v>0.02</v>
      </c>
      <c r="E215" s="336">
        <v>1.0</v>
      </c>
      <c r="F215" s="336">
        <v>1.0</v>
      </c>
      <c r="G215" s="336" t="s">
        <v>2580</v>
      </c>
      <c r="H215" s="566"/>
      <c r="I215" s="361"/>
      <c r="J215" s="561"/>
      <c r="K215" s="561"/>
      <c r="L215" s="570"/>
      <c r="M215" s="561"/>
    </row>
    <row r="216">
      <c r="A216" s="575" t="s">
        <v>900</v>
      </c>
      <c r="B216" s="334" t="s">
        <v>2513</v>
      </c>
      <c r="C216" s="334" t="s">
        <v>2581</v>
      </c>
      <c r="D216" s="334">
        <v>0.05</v>
      </c>
      <c r="E216" s="334">
        <v>1.0</v>
      </c>
      <c r="F216" s="334">
        <v>1.0</v>
      </c>
      <c r="G216" s="334" t="s">
        <v>2582</v>
      </c>
      <c r="H216" s="568"/>
      <c r="I216" s="366"/>
      <c r="J216" s="559"/>
      <c r="K216" s="559"/>
      <c r="L216" s="569"/>
      <c r="M216" s="559"/>
    </row>
    <row r="217">
      <c r="A217" s="578" t="s">
        <v>747</v>
      </c>
      <c r="B217" s="336" t="s">
        <v>2361</v>
      </c>
      <c r="C217" s="336" t="s">
        <v>747</v>
      </c>
      <c r="D217" s="336">
        <v>0.01</v>
      </c>
      <c r="E217" s="336">
        <v>1.0</v>
      </c>
      <c r="F217" s="336">
        <v>0.0</v>
      </c>
      <c r="G217" s="336" t="s">
        <v>2583</v>
      </c>
      <c r="H217" s="566"/>
      <c r="I217" s="361"/>
      <c r="J217" s="561"/>
      <c r="K217" s="561"/>
      <c r="L217" s="570"/>
      <c r="M217" s="561"/>
    </row>
    <row r="218">
      <c r="A218" s="575" t="s">
        <v>787</v>
      </c>
      <c r="B218" s="334" t="s">
        <v>2054</v>
      </c>
      <c r="C218" s="334" t="s">
        <v>2584</v>
      </c>
      <c r="D218" s="334">
        <v>0.1</v>
      </c>
      <c r="E218" s="334">
        <v>1.0</v>
      </c>
      <c r="F218" s="334">
        <v>1.0</v>
      </c>
      <c r="G218" s="334" t="s">
        <v>2585</v>
      </c>
      <c r="H218" s="568"/>
      <c r="I218" s="366"/>
      <c r="J218" s="559"/>
      <c r="K218" s="559"/>
      <c r="L218" s="569"/>
      <c r="M218" s="559"/>
    </row>
    <row r="219">
      <c r="A219" s="579" t="s">
        <v>1052</v>
      </c>
      <c r="B219" s="579" t="s">
        <v>2054</v>
      </c>
      <c r="C219" s="579" t="s">
        <v>2586</v>
      </c>
      <c r="D219" s="579">
        <v>0.02</v>
      </c>
      <c r="E219" s="579">
        <v>1.0</v>
      </c>
      <c r="F219" s="579">
        <v>0.0</v>
      </c>
      <c r="G219" s="579" t="s">
        <v>2587</v>
      </c>
      <c r="H219" s="566"/>
      <c r="I219" s="361"/>
      <c r="J219" s="561"/>
      <c r="K219" s="561"/>
      <c r="L219" s="570"/>
      <c r="M219" s="561"/>
    </row>
    <row r="220">
      <c r="A220" s="575" t="s">
        <v>860</v>
      </c>
      <c r="B220" s="334" t="s">
        <v>2361</v>
      </c>
      <c r="C220" s="334" t="s">
        <v>2588</v>
      </c>
      <c r="D220" s="334">
        <v>0.05</v>
      </c>
      <c r="E220" s="334">
        <v>1.0</v>
      </c>
      <c r="F220" s="334">
        <v>1.0</v>
      </c>
      <c r="G220" s="334" t="s">
        <v>2589</v>
      </c>
      <c r="H220" s="568"/>
      <c r="I220" s="366"/>
      <c r="J220" s="559"/>
      <c r="K220" s="559"/>
      <c r="L220" s="569"/>
      <c r="M220" s="559"/>
    </row>
    <row r="221">
      <c r="A221" s="578" t="s">
        <v>807</v>
      </c>
      <c r="B221" s="336" t="s">
        <v>2361</v>
      </c>
      <c r="C221" s="336" t="s">
        <v>807</v>
      </c>
      <c r="D221" s="336">
        <v>100.0</v>
      </c>
      <c r="E221" s="336">
        <v>1.0</v>
      </c>
      <c r="F221" s="336">
        <v>1.0</v>
      </c>
      <c r="G221" s="336" t="s">
        <v>2590</v>
      </c>
      <c r="H221" s="566"/>
      <c r="I221" s="361"/>
      <c r="J221" s="561"/>
      <c r="K221" s="561"/>
      <c r="L221" s="570"/>
      <c r="M221" s="561"/>
    </row>
    <row r="222">
      <c r="A222" s="575" t="s">
        <v>1345</v>
      </c>
      <c r="B222" s="334" t="s">
        <v>2054</v>
      </c>
      <c r="C222" s="334" t="s">
        <v>2591</v>
      </c>
      <c r="D222" s="334">
        <v>0.03</v>
      </c>
      <c r="E222" s="334">
        <v>1.0</v>
      </c>
      <c r="F222" s="334">
        <v>1.0</v>
      </c>
      <c r="G222" s="334" t="s">
        <v>2592</v>
      </c>
      <c r="H222" s="568"/>
      <c r="I222" s="366"/>
      <c r="J222" s="559"/>
      <c r="K222" s="559"/>
      <c r="L222" s="569"/>
      <c r="M222" s="559"/>
    </row>
    <row r="223">
      <c r="A223" s="578" t="s">
        <v>804</v>
      </c>
      <c r="B223" s="336" t="s">
        <v>2361</v>
      </c>
      <c r="C223" s="336" t="s">
        <v>804</v>
      </c>
      <c r="D223" s="336">
        <v>0.02</v>
      </c>
      <c r="E223" s="336">
        <v>1.0</v>
      </c>
      <c r="F223" s="336">
        <v>1.0</v>
      </c>
      <c r="G223" s="336" t="s">
        <v>2593</v>
      </c>
      <c r="H223" s="566"/>
      <c r="I223" s="361"/>
      <c r="J223" s="561"/>
      <c r="K223" s="561"/>
      <c r="L223" s="570"/>
      <c r="M223" s="561"/>
    </row>
    <row r="224">
      <c r="A224" s="575" t="s">
        <v>2588</v>
      </c>
      <c r="B224" s="334" t="s">
        <v>2361</v>
      </c>
      <c r="C224" s="334" t="s">
        <v>2588</v>
      </c>
      <c r="D224" s="334">
        <v>0.02</v>
      </c>
      <c r="E224" s="334">
        <v>1.0</v>
      </c>
      <c r="F224" s="334">
        <v>1.0</v>
      </c>
      <c r="G224" s="334" t="s">
        <v>2594</v>
      </c>
      <c r="H224" s="568"/>
      <c r="I224" s="366"/>
      <c r="J224" s="559"/>
      <c r="K224" s="559"/>
      <c r="L224" s="569"/>
      <c r="M224" s="559"/>
    </row>
    <row r="225">
      <c r="A225" s="578" t="s">
        <v>793</v>
      </c>
      <c r="B225" s="336" t="s">
        <v>2513</v>
      </c>
      <c r="C225" s="336" t="s">
        <v>2595</v>
      </c>
      <c r="D225" s="336">
        <v>0.1</v>
      </c>
      <c r="E225" s="336">
        <v>1.0</v>
      </c>
      <c r="F225" s="336">
        <v>1.0</v>
      </c>
      <c r="G225" s="336" t="s">
        <v>2596</v>
      </c>
      <c r="H225" s="566"/>
      <c r="I225" s="361"/>
      <c r="J225" s="561"/>
      <c r="K225" s="561"/>
      <c r="L225" s="570"/>
      <c r="M225" s="561"/>
    </row>
    <row r="226">
      <c r="A226" s="575" t="s">
        <v>780</v>
      </c>
      <c r="B226" s="334" t="s">
        <v>2361</v>
      </c>
      <c r="C226" s="334" t="s">
        <v>747</v>
      </c>
      <c r="D226" s="334">
        <v>0.02</v>
      </c>
      <c r="E226" s="334">
        <v>1.0</v>
      </c>
      <c r="F226" s="334">
        <v>1.0</v>
      </c>
      <c r="G226" s="334" t="s">
        <v>2597</v>
      </c>
      <c r="H226" s="568"/>
      <c r="I226" s="366"/>
      <c r="J226" s="559"/>
      <c r="K226" s="559"/>
      <c r="L226" s="569"/>
      <c r="M226" s="559"/>
    </row>
    <row r="227">
      <c r="A227" s="578" t="s">
        <v>933</v>
      </c>
      <c r="B227" s="336" t="s">
        <v>2054</v>
      </c>
      <c r="C227" s="336" t="s">
        <v>2598</v>
      </c>
      <c r="D227" s="336">
        <v>0.1</v>
      </c>
      <c r="E227" s="336">
        <v>1.0</v>
      </c>
      <c r="F227" s="336">
        <v>1.0</v>
      </c>
      <c r="G227" s="336" t="s">
        <v>2599</v>
      </c>
      <c r="H227" s="566"/>
      <c r="I227" s="361"/>
      <c r="J227" s="561"/>
      <c r="K227" s="561"/>
      <c r="L227" s="570"/>
      <c r="M227" s="561"/>
    </row>
    <row r="228">
      <c r="A228" s="575" t="s">
        <v>811</v>
      </c>
      <c r="B228" s="334" t="s">
        <v>2054</v>
      </c>
      <c r="C228" s="334" t="s">
        <v>2600</v>
      </c>
      <c r="D228" s="334">
        <v>0.05</v>
      </c>
      <c r="E228" s="334">
        <v>1.0</v>
      </c>
      <c r="F228" s="334">
        <v>1.0</v>
      </c>
      <c r="G228" s="334" t="s">
        <v>2601</v>
      </c>
      <c r="H228" s="568"/>
      <c r="I228" s="366"/>
      <c r="J228" s="559"/>
      <c r="K228" s="559"/>
      <c r="L228" s="569"/>
      <c r="M228" s="559"/>
    </row>
    <row r="229">
      <c r="A229" s="578" t="s">
        <v>1003</v>
      </c>
      <c r="B229" s="336" t="s">
        <v>2513</v>
      </c>
      <c r="C229" s="336" t="s">
        <v>2602</v>
      </c>
      <c r="D229" s="336">
        <v>150.0</v>
      </c>
      <c r="E229" s="336">
        <v>1.0</v>
      </c>
      <c r="F229" s="336">
        <v>3.0</v>
      </c>
      <c r="G229" s="336" t="s">
        <v>2603</v>
      </c>
      <c r="H229" s="566"/>
      <c r="I229" s="361"/>
      <c r="J229" s="561"/>
      <c r="K229" s="561"/>
      <c r="L229" s="570"/>
      <c r="M229" s="561"/>
    </row>
    <row r="230">
      <c r="A230" s="575" t="s">
        <v>2604</v>
      </c>
      <c r="B230" s="334" t="s">
        <v>2361</v>
      </c>
      <c r="C230" s="334" t="s">
        <v>2605</v>
      </c>
      <c r="D230" s="334">
        <v>0.02</v>
      </c>
      <c r="E230" s="334">
        <v>1.0</v>
      </c>
      <c r="F230" s="334">
        <v>1.0</v>
      </c>
      <c r="G230" s="334" t="s">
        <v>2606</v>
      </c>
      <c r="H230" s="568"/>
      <c r="I230" s="366"/>
      <c r="J230" s="559"/>
      <c r="K230" s="559"/>
      <c r="L230" s="569"/>
      <c r="M230" s="559"/>
    </row>
    <row r="231">
      <c r="A231" s="578" t="s">
        <v>2607</v>
      </c>
      <c r="B231" s="336" t="s">
        <v>2054</v>
      </c>
      <c r="C231" s="336" t="s">
        <v>1052</v>
      </c>
      <c r="D231" s="336">
        <v>0.05</v>
      </c>
      <c r="E231" s="336">
        <v>1.0</v>
      </c>
      <c r="F231" s="336">
        <v>1.0</v>
      </c>
      <c r="G231" s="336" t="s">
        <v>2608</v>
      </c>
      <c r="H231" s="566"/>
      <c r="I231" s="361"/>
      <c r="J231" s="561"/>
      <c r="K231" s="561"/>
      <c r="L231" s="570"/>
      <c r="M231" s="561"/>
    </row>
    <row r="232">
      <c r="A232" s="575" t="s">
        <v>2609</v>
      </c>
      <c r="B232" s="334" t="s">
        <v>2361</v>
      </c>
      <c r="C232" s="334" t="s">
        <v>2610</v>
      </c>
      <c r="D232" s="334">
        <v>0.5</v>
      </c>
      <c r="E232" s="334">
        <v>1.0</v>
      </c>
      <c r="F232" s="334">
        <v>2.0</v>
      </c>
      <c r="G232" s="334" t="s">
        <v>2611</v>
      </c>
      <c r="H232" s="568"/>
      <c r="I232" s="366"/>
      <c r="J232" s="559"/>
      <c r="K232" s="559"/>
      <c r="L232" s="569"/>
      <c r="M232" s="559"/>
    </row>
    <row r="233">
      <c r="A233" s="578" t="s">
        <v>2612</v>
      </c>
      <c r="B233" s="336" t="s">
        <v>2513</v>
      </c>
      <c r="C233" s="336" t="s">
        <v>2613</v>
      </c>
      <c r="D233" s="336">
        <v>2.0</v>
      </c>
      <c r="E233" s="336">
        <v>1.0</v>
      </c>
      <c r="F233" s="336">
        <v>3.0</v>
      </c>
      <c r="G233" s="336" t="s">
        <v>2614</v>
      </c>
      <c r="H233" s="566"/>
      <c r="I233" s="361"/>
      <c r="J233" s="561"/>
      <c r="K233" s="561"/>
      <c r="L233" s="570"/>
      <c r="M233" s="561"/>
    </row>
    <row r="234">
      <c r="A234" s="575" t="s">
        <v>2615</v>
      </c>
      <c r="B234" s="334" t="s">
        <v>2616</v>
      </c>
      <c r="C234" s="334" t="s">
        <v>2615</v>
      </c>
      <c r="D234" s="334">
        <v>5.0</v>
      </c>
      <c r="E234" s="334">
        <v>1.0</v>
      </c>
      <c r="F234" s="334">
        <v>3.0</v>
      </c>
      <c r="G234" s="334" t="s">
        <v>2617</v>
      </c>
      <c r="H234" s="568"/>
      <c r="I234" s="366"/>
      <c r="J234" s="559"/>
      <c r="K234" s="559"/>
      <c r="L234" s="569"/>
      <c r="M234" s="559"/>
    </row>
    <row r="235">
      <c r="A235" s="578" t="s">
        <v>2618</v>
      </c>
      <c r="B235" s="336" t="s">
        <v>2513</v>
      </c>
      <c r="C235" s="336" t="s">
        <v>2612</v>
      </c>
      <c r="D235" s="336">
        <v>40.0</v>
      </c>
      <c r="E235" s="336">
        <v>1.0</v>
      </c>
      <c r="F235" s="336">
        <v>3.0</v>
      </c>
      <c r="G235" s="336" t="s">
        <v>2619</v>
      </c>
      <c r="H235" s="566"/>
      <c r="I235" s="361"/>
      <c r="J235" s="561"/>
      <c r="K235" s="561"/>
      <c r="L235" s="570"/>
      <c r="M235" s="561"/>
    </row>
    <row r="236">
      <c r="A236" s="575" t="s">
        <v>896</v>
      </c>
      <c r="B236" s="334" t="s">
        <v>2361</v>
      </c>
      <c r="C236" s="334" t="s">
        <v>2620</v>
      </c>
      <c r="D236" s="334">
        <v>0.1</v>
      </c>
      <c r="E236" s="334">
        <v>1.0</v>
      </c>
      <c r="F236" s="334">
        <v>1.0</v>
      </c>
      <c r="G236" s="334" t="s">
        <v>2621</v>
      </c>
      <c r="H236" s="568"/>
      <c r="I236" s="366"/>
      <c r="J236" s="559"/>
      <c r="K236" s="559"/>
      <c r="L236" s="569"/>
      <c r="M236" s="559"/>
    </row>
    <row r="237">
      <c r="A237" s="578" t="s">
        <v>819</v>
      </c>
      <c r="B237" s="336" t="s">
        <v>2361</v>
      </c>
      <c r="C237" s="336" t="s">
        <v>2622</v>
      </c>
      <c r="D237" s="336">
        <v>0.2</v>
      </c>
      <c r="E237" s="336">
        <v>1.0</v>
      </c>
      <c r="F237" s="336">
        <v>1.0</v>
      </c>
      <c r="G237" s="336" t="s">
        <v>2623</v>
      </c>
      <c r="H237" s="566"/>
      <c r="I237" s="361"/>
      <c r="J237" s="561"/>
      <c r="K237" s="561"/>
      <c r="L237" s="570"/>
      <c r="M237" s="561"/>
    </row>
    <row r="238">
      <c r="A238" s="575" t="s">
        <v>2602</v>
      </c>
      <c r="B238" s="334" t="s">
        <v>2513</v>
      </c>
      <c r="C238" s="334" t="s">
        <v>2624</v>
      </c>
      <c r="D238" s="334">
        <v>0.02</v>
      </c>
      <c r="E238" s="334">
        <v>1.0</v>
      </c>
      <c r="F238" s="334">
        <v>0.0</v>
      </c>
      <c r="G238" s="334" t="s">
        <v>2625</v>
      </c>
      <c r="H238" s="568"/>
      <c r="I238" s="366"/>
      <c r="J238" s="559"/>
      <c r="K238" s="559"/>
      <c r="L238" s="569"/>
      <c r="M238" s="559"/>
    </row>
    <row r="239">
      <c r="A239" s="578" t="s">
        <v>2626</v>
      </c>
      <c r="B239" s="336" t="s">
        <v>2513</v>
      </c>
      <c r="C239" s="336" t="s">
        <v>2602</v>
      </c>
      <c r="D239" s="336">
        <v>100.0</v>
      </c>
      <c r="E239" s="336">
        <v>1.0</v>
      </c>
      <c r="F239" s="336">
        <v>4.0</v>
      </c>
      <c r="G239" s="336" t="s">
        <v>2627</v>
      </c>
      <c r="H239" s="566"/>
      <c r="I239" s="361"/>
      <c r="J239" s="561"/>
      <c r="K239" s="561"/>
      <c r="L239" s="570"/>
      <c r="M239" s="561"/>
    </row>
    <row r="240">
      <c r="A240" s="575" t="s">
        <v>2628</v>
      </c>
      <c r="B240" s="334" t="s">
        <v>2361</v>
      </c>
      <c r="C240" s="334" t="s">
        <v>2628</v>
      </c>
      <c r="D240" s="334">
        <v>0.01</v>
      </c>
      <c r="E240" s="334">
        <v>1.0</v>
      </c>
      <c r="F240" s="334">
        <v>0.0</v>
      </c>
      <c r="G240" s="334" t="s">
        <v>2629</v>
      </c>
      <c r="H240" s="568"/>
      <c r="I240" s="366"/>
      <c r="J240" s="559"/>
      <c r="K240" s="559"/>
      <c r="L240" s="569"/>
      <c r="M240" s="559"/>
    </row>
    <row r="241">
      <c r="A241" s="578" t="s">
        <v>2630</v>
      </c>
      <c r="B241" s="336" t="s">
        <v>2361</v>
      </c>
      <c r="C241" s="336" t="s">
        <v>2628</v>
      </c>
      <c r="D241" s="336">
        <v>0.02</v>
      </c>
      <c r="E241" s="336">
        <v>1.0</v>
      </c>
      <c r="F241" s="336">
        <v>1.0</v>
      </c>
      <c r="G241" s="336" t="s">
        <v>2631</v>
      </c>
      <c r="H241" s="566"/>
      <c r="I241" s="361"/>
      <c r="J241" s="561"/>
      <c r="K241" s="561"/>
      <c r="L241" s="570"/>
      <c r="M241" s="561"/>
    </row>
    <row r="242">
      <c r="A242" s="575" t="s">
        <v>945</v>
      </c>
      <c r="B242" s="334" t="s">
        <v>2054</v>
      </c>
      <c r="C242" s="334" t="s">
        <v>2584</v>
      </c>
      <c r="D242" s="334">
        <v>2.0</v>
      </c>
      <c r="E242" s="334">
        <v>1.0</v>
      </c>
      <c r="F242" s="334">
        <v>1.0</v>
      </c>
      <c r="G242" s="334" t="s">
        <v>2632</v>
      </c>
      <c r="H242" s="568"/>
      <c r="I242" s="366"/>
      <c r="J242" s="559"/>
      <c r="K242" s="559"/>
      <c r="L242" s="569"/>
      <c r="M242" s="559"/>
    </row>
    <row r="243">
      <c r="A243" s="578" t="s">
        <v>2633</v>
      </c>
      <c r="B243" s="336" t="s">
        <v>2054</v>
      </c>
      <c r="C243" s="336" t="s">
        <v>2633</v>
      </c>
      <c r="D243" s="336">
        <v>0.5</v>
      </c>
      <c r="E243" s="336">
        <v>1.0</v>
      </c>
      <c r="F243" s="336">
        <v>1.0</v>
      </c>
      <c r="G243" s="336" t="s">
        <v>2634</v>
      </c>
      <c r="H243" s="566"/>
      <c r="I243" s="361"/>
      <c r="J243" s="561"/>
      <c r="K243" s="561"/>
      <c r="L243" s="570"/>
      <c r="M243" s="561"/>
    </row>
    <row r="244">
      <c r="A244" s="575" t="s">
        <v>2635</v>
      </c>
      <c r="B244" s="334" t="s">
        <v>2361</v>
      </c>
      <c r="C244" s="334" t="s">
        <v>2636</v>
      </c>
      <c r="D244" s="334">
        <v>0.02</v>
      </c>
      <c r="E244" s="334">
        <v>1.0</v>
      </c>
      <c r="F244" s="334">
        <v>1.0</v>
      </c>
      <c r="G244" s="334" t="s">
        <v>2637</v>
      </c>
      <c r="H244" s="568"/>
      <c r="I244" s="366"/>
      <c r="J244" s="559"/>
      <c r="K244" s="559"/>
      <c r="L244" s="569"/>
      <c r="M244" s="559"/>
    </row>
    <row r="245">
      <c r="A245" s="578" t="s">
        <v>2638</v>
      </c>
      <c r="B245" s="336" t="s">
        <v>2361</v>
      </c>
      <c r="C245" s="336" t="s">
        <v>2639</v>
      </c>
      <c r="D245" s="336">
        <v>0.05</v>
      </c>
      <c r="E245" s="336">
        <v>1.0</v>
      </c>
      <c r="F245" s="336">
        <v>1.0</v>
      </c>
      <c r="G245" s="336" t="s">
        <v>2640</v>
      </c>
      <c r="H245" s="566"/>
      <c r="I245" s="361"/>
      <c r="J245" s="561"/>
      <c r="K245" s="561"/>
      <c r="L245" s="570"/>
      <c r="M245" s="561"/>
    </row>
    <row r="246">
      <c r="A246" s="575" t="s">
        <v>2641</v>
      </c>
      <c r="B246" s="334" t="s">
        <v>2361</v>
      </c>
      <c r="C246" s="334" t="s">
        <v>2642</v>
      </c>
      <c r="D246" s="334">
        <v>0.1</v>
      </c>
      <c r="E246" s="334">
        <v>1.0</v>
      </c>
      <c r="F246" s="334">
        <v>1.0</v>
      </c>
      <c r="G246" s="334" t="s">
        <v>2643</v>
      </c>
      <c r="H246" s="568"/>
      <c r="I246" s="366"/>
      <c r="J246" s="559"/>
      <c r="K246" s="559"/>
      <c r="L246" s="569"/>
      <c r="M246" s="559"/>
    </row>
    <row r="247">
      <c r="A247" s="578" t="s">
        <v>2644</v>
      </c>
      <c r="B247" s="336" t="s">
        <v>2513</v>
      </c>
      <c r="C247" s="336" t="s">
        <v>2644</v>
      </c>
      <c r="D247" s="336">
        <v>0.05</v>
      </c>
      <c r="E247" s="336">
        <v>1.0</v>
      </c>
      <c r="F247" s="336">
        <v>1.0</v>
      </c>
      <c r="G247" s="336" t="s">
        <v>2645</v>
      </c>
      <c r="H247" s="566"/>
      <c r="I247" s="361"/>
      <c r="J247" s="561"/>
      <c r="K247" s="561"/>
      <c r="L247" s="570"/>
      <c r="M247" s="561"/>
    </row>
    <row r="248">
      <c r="A248" s="575" t="s">
        <v>2646</v>
      </c>
      <c r="B248" s="334" t="s">
        <v>2054</v>
      </c>
      <c r="C248" s="334" t="s">
        <v>2600</v>
      </c>
      <c r="D248" s="334">
        <v>0.2</v>
      </c>
      <c r="E248" s="334">
        <v>1.0</v>
      </c>
      <c r="F248" s="334">
        <v>1.0</v>
      </c>
      <c r="G248" s="334" t="s">
        <v>2647</v>
      </c>
      <c r="H248" s="568"/>
      <c r="I248" s="366"/>
      <c r="J248" s="559"/>
      <c r="K248" s="559"/>
      <c r="L248" s="569"/>
      <c r="M248" s="559"/>
    </row>
    <row r="249">
      <c r="A249" s="578" t="s">
        <v>753</v>
      </c>
      <c r="B249" s="336" t="s">
        <v>2513</v>
      </c>
      <c r="C249" s="336" t="s">
        <v>2648</v>
      </c>
      <c r="D249" s="336" t="s">
        <v>206</v>
      </c>
      <c r="E249" s="336" t="s">
        <v>220</v>
      </c>
      <c r="F249" s="336">
        <v>0.0</v>
      </c>
      <c r="G249" s="336" t="s">
        <v>2649</v>
      </c>
      <c r="H249" s="566"/>
      <c r="I249" s="361"/>
      <c r="J249" s="561"/>
      <c r="K249" s="561"/>
      <c r="L249" s="570"/>
      <c r="M249" s="561"/>
    </row>
    <row r="250">
      <c r="A250" s="575"/>
      <c r="B250" s="334"/>
      <c r="C250" s="334"/>
      <c r="D250" s="334"/>
      <c r="E250" s="334"/>
      <c r="F250" s="334"/>
      <c r="G250" s="334"/>
      <c r="H250" s="568"/>
      <c r="I250" s="366"/>
      <c r="J250" s="559"/>
      <c r="K250" s="559"/>
      <c r="L250" s="569"/>
      <c r="M250" s="559"/>
    </row>
    <row r="251">
      <c r="A251" s="578"/>
      <c r="B251" s="336"/>
      <c r="C251" s="336"/>
      <c r="D251" s="336"/>
      <c r="E251" s="336"/>
      <c r="F251" s="336"/>
      <c r="G251" s="336"/>
      <c r="H251" s="566"/>
      <c r="I251" s="361"/>
      <c r="J251" s="561"/>
      <c r="K251" s="561"/>
      <c r="L251" s="570"/>
      <c r="M251" s="561"/>
    </row>
    <row r="252">
      <c r="A252" s="575"/>
      <c r="B252" s="334"/>
      <c r="C252" s="334"/>
      <c r="D252" s="334"/>
      <c r="E252" s="334"/>
      <c r="F252" s="334"/>
      <c r="G252" s="334"/>
      <c r="H252" s="568"/>
      <c r="I252" s="366"/>
      <c r="J252" s="559"/>
      <c r="K252" s="559"/>
      <c r="L252" s="569"/>
      <c r="M252" s="559"/>
    </row>
    <row r="253">
      <c r="A253" s="578"/>
      <c r="B253" s="336"/>
      <c r="C253" s="336"/>
      <c r="D253" s="336"/>
      <c r="E253" s="336"/>
      <c r="F253" s="336"/>
      <c r="G253" s="336"/>
      <c r="H253" s="566"/>
      <c r="I253" s="361"/>
      <c r="J253" s="561"/>
      <c r="K253" s="561"/>
      <c r="L253" s="570"/>
      <c r="M253" s="561"/>
    </row>
    <row r="254">
      <c r="A254" s="575"/>
      <c r="B254" s="334"/>
      <c r="C254" s="334"/>
      <c r="D254" s="334"/>
      <c r="E254" s="334"/>
      <c r="F254" s="334"/>
      <c r="G254" s="334"/>
      <c r="H254" s="568"/>
      <c r="I254" s="366"/>
      <c r="J254" s="559"/>
      <c r="K254" s="559"/>
      <c r="L254" s="569"/>
      <c r="M254" s="559"/>
    </row>
    <row r="255">
      <c r="A255" s="578"/>
      <c r="B255" s="336"/>
      <c r="C255" s="336"/>
      <c r="D255" s="336"/>
      <c r="E255" s="336"/>
      <c r="F255" s="336"/>
      <c r="G255" s="336"/>
      <c r="H255" s="566"/>
      <c r="I255" s="361"/>
      <c r="J255" s="561"/>
      <c r="K255" s="561"/>
      <c r="L255" s="570"/>
      <c r="M255" s="561"/>
    </row>
    <row r="256">
      <c r="A256" s="575"/>
      <c r="B256" s="334"/>
      <c r="C256" s="334"/>
      <c r="D256" s="334"/>
      <c r="E256" s="334"/>
      <c r="F256" s="334"/>
      <c r="G256" s="334"/>
      <c r="H256" s="568"/>
      <c r="I256" s="366"/>
      <c r="J256" s="559"/>
      <c r="K256" s="559"/>
      <c r="L256" s="569"/>
      <c r="M256" s="559"/>
    </row>
    <row r="257">
      <c r="A257" s="578"/>
      <c r="B257" s="336"/>
      <c r="C257" s="336"/>
      <c r="D257" s="336"/>
      <c r="E257" s="336"/>
      <c r="F257" s="336"/>
      <c r="G257" s="336"/>
      <c r="H257" s="566"/>
      <c r="I257" s="361"/>
      <c r="J257" s="561"/>
      <c r="K257" s="561"/>
      <c r="L257" s="570"/>
      <c r="M257" s="561"/>
    </row>
    <row r="258">
      <c r="A258" s="446"/>
      <c r="B258" s="366"/>
      <c r="C258" s="366"/>
      <c r="D258" s="366"/>
      <c r="E258" s="366"/>
      <c r="F258" s="559"/>
      <c r="G258" s="559"/>
      <c r="H258" s="568"/>
      <c r="I258" s="366"/>
      <c r="J258" s="559"/>
      <c r="K258" s="559"/>
      <c r="L258" s="569"/>
      <c r="M258" s="559"/>
    </row>
    <row r="259">
      <c r="A259" s="450"/>
      <c r="B259" s="361"/>
      <c r="C259" s="361"/>
      <c r="D259" s="361"/>
      <c r="E259" s="361"/>
      <c r="F259" s="561"/>
      <c r="G259" s="561"/>
      <c r="H259" s="566"/>
      <c r="I259" s="361"/>
      <c r="J259" s="561"/>
      <c r="K259" s="561"/>
      <c r="L259" s="570"/>
      <c r="M259" s="561"/>
    </row>
    <row r="260">
      <c r="A260" s="446"/>
      <c r="B260" s="366"/>
      <c r="C260" s="366"/>
      <c r="D260" s="366"/>
      <c r="E260" s="366"/>
      <c r="F260" s="559"/>
      <c r="G260" s="559"/>
      <c r="H260" s="568"/>
      <c r="I260" s="366"/>
      <c r="J260" s="559"/>
      <c r="K260" s="559"/>
      <c r="L260" s="569"/>
      <c r="M260" s="559"/>
    </row>
    <row r="261">
      <c r="A261" s="450"/>
      <c r="B261" s="361"/>
      <c r="C261" s="361"/>
      <c r="D261" s="361"/>
      <c r="E261" s="361"/>
      <c r="F261" s="561"/>
      <c r="G261" s="561"/>
      <c r="H261" s="566"/>
      <c r="I261" s="361"/>
      <c r="J261" s="561"/>
      <c r="K261" s="561"/>
      <c r="L261" s="570"/>
      <c r="M261" s="561"/>
    </row>
    <row r="262">
      <c r="A262" s="446"/>
      <c r="B262" s="366"/>
      <c r="C262" s="366"/>
      <c r="D262" s="366"/>
      <c r="E262" s="366"/>
      <c r="F262" s="559"/>
      <c r="G262" s="559"/>
      <c r="H262" s="568"/>
      <c r="I262" s="366"/>
      <c r="J262" s="559"/>
      <c r="K262" s="559"/>
      <c r="L262" s="569"/>
      <c r="M262" s="559"/>
    </row>
    <row r="263">
      <c r="A263" s="450"/>
      <c r="B263" s="361"/>
      <c r="C263" s="361"/>
      <c r="D263" s="361"/>
      <c r="E263" s="361"/>
      <c r="F263" s="561"/>
      <c r="G263" s="561"/>
      <c r="H263" s="566"/>
      <c r="I263" s="361"/>
      <c r="J263" s="561"/>
      <c r="K263" s="561"/>
      <c r="L263" s="570"/>
      <c r="M263" s="561"/>
    </row>
    <row r="264">
      <c r="A264" s="446"/>
      <c r="B264" s="366"/>
      <c r="C264" s="366"/>
      <c r="D264" s="366"/>
      <c r="E264" s="366"/>
      <c r="F264" s="559"/>
      <c r="G264" s="559"/>
      <c r="H264" s="568"/>
      <c r="I264" s="366"/>
      <c r="J264" s="366" t="s">
        <v>2650</v>
      </c>
      <c r="K264" s="559"/>
      <c r="L264" s="569"/>
      <c r="M264" s="559"/>
    </row>
    <row r="265">
      <c r="A265" s="450"/>
      <c r="B265" s="361"/>
      <c r="C265" s="361"/>
      <c r="D265" s="361"/>
      <c r="E265" s="361"/>
      <c r="F265" s="561"/>
      <c r="G265" s="561"/>
      <c r="H265" s="566"/>
      <c r="I265" s="361"/>
      <c r="J265" s="561"/>
      <c r="K265" s="561"/>
      <c r="L265" s="570"/>
      <c r="M265" s="561"/>
    </row>
    <row r="266">
      <c r="A266" s="446"/>
      <c r="B266" s="366"/>
      <c r="C266" s="366"/>
      <c r="D266" s="366"/>
      <c r="E266" s="366"/>
      <c r="F266" s="559"/>
      <c r="G266" s="559"/>
      <c r="H266" s="568"/>
      <c r="I266" s="366"/>
      <c r="J266" s="559"/>
      <c r="K266" s="559"/>
      <c r="L266" s="569"/>
      <c r="M266" s="559"/>
    </row>
    <row r="267">
      <c r="A267" s="450"/>
      <c r="B267" s="361"/>
      <c r="C267" s="361"/>
      <c r="D267" s="361"/>
      <c r="E267" s="361"/>
      <c r="F267" s="561"/>
      <c r="G267" s="561"/>
      <c r="H267" s="566"/>
      <c r="I267" s="361"/>
      <c r="J267" s="561"/>
      <c r="K267" s="561"/>
      <c r="L267" s="570"/>
      <c r="M267" s="561"/>
    </row>
    <row r="268">
      <c r="A268" s="446"/>
      <c r="B268" s="366"/>
      <c r="C268" s="366"/>
      <c r="D268" s="366"/>
      <c r="E268" s="366"/>
      <c r="F268" s="559"/>
      <c r="G268" s="559"/>
      <c r="H268" s="568"/>
      <c r="I268" s="366"/>
      <c r="J268" s="559"/>
      <c r="K268" s="559"/>
      <c r="L268" s="569"/>
      <c r="M268" s="559"/>
    </row>
    <row r="269">
      <c r="A269" s="450"/>
      <c r="B269" s="361"/>
      <c r="C269" s="361"/>
      <c r="D269" s="361"/>
      <c r="E269" s="361"/>
      <c r="F269" s="561"/>
      <c r="G269" s="561"/>
      <c r="H269" s="566"/>
      <c r="I269" s="361"/>
      <c r="J269" s="561"/>
      <c r="K269" s="561"/>
      <c r="L269" s="570"/>
      <c r="M269" s="561"/>
    </row>
    <row r="270">
      <c r="A270" s="446"/>
      <c r="B270" s="366"/>
      <c r="C270" s="366"/>
      <c r="D270" s="366"/>
      <c r="E270" s="366"/>
      <c r="F270" s="559"/>
      <c r="G270" s="559"/>
      <c r="H270" s="568"/>
      <c r="I270" s="366"/>
      <c r="J270" s="559"/>
      <c r="K270" s="559"/>
      <c r="L270" s="569"/>
      <c r="M270" s="559"/>
    </row>
    <row r="271">
      <c r="A271" s="450"/>
      <c r="B271" s="361"/>
      <c r="C271" s="361"/>
      <c r="D271" s="361"/>
      <c r="E271" s="361"/>
      <c r="F271" s="561"/>
      <c r="G271" s="561"/>
      <c r="H271" s="566"/>
      <c r="I271" s="361"/>
      <c r="J271" s="561"/>
      <c r="K271" s="561"/>
      <c r="L271" s="570"/>
      <c r="M271" s="561"/>
    </row>
    <row r="272">
      <c r="A272" s="446"/>
      <c r="B272" s="366"/>
      <c r="C272" s="366"/>
      <c r="D272" s="366"/>
      <c r="E272" s="366"/>
      <c r="F272" s="559"/>
      <c r="G272" s="559"/>
      <c r="H272" s="568"/>
      <c r="I272" s="366"/>
      <c r="J272" s="559"/>
      <c r="K272" s="559"/>
      <c r="L272" s="569"/>
      <c r="M272" s="559"/>
    </row>
    <row r="273">
      <c r="A273" s="450"/>
      <c r="B273" s="561"/>
      <c r="C273" s="561"/>
      <c r="D273" s="561"/>
      <c r="E273" s="561"/>
      <c r="F273" s="561"/>
      <c r="G273" s="561"/>
      <c r="H273" s="566"/>
      <c r="I273" s="361"/>
      <c r="J273" s="561"/>
      <c r="K273" s="561"/>
      <c r="L273" s="570"/>
      <c r="M273" s="561"/>
    </row>
    <row r="274">
      <c r="A274" s="139"/>
      <c r="B274" s="139"/>
      <c r="C274" s="139"/>
      <c r="D274" s="139"/>
      <c r="E274" s="139"/>
      <c r="F274" s="139"/>
      <c r="G274" s="580"/>
      <c r="H274" s="581"/>
      <c r="I274" s="196"/>
      <c r="J274" s="196"/>
      <c r="K274" s="196"/>
      <c r="L274" s="582"/>
      <c r="M274" s="196"/>
    </row>
    <row r="275">
      <c r="A275" s="139"/>
      <c r="B275" s="139"/>
      <c r="C275" s="139"/>
      <c r="D275" s="139"/>
      <c r="E275" s="139"/>
      <c r="F275" s="139"/>
      <c r="G275" s="580"/>
      <c r="H275" s="581"/>
      <c r="I275" s="196"/>
      <c r="J275" s="196"/>
      <c r="K275" s="196"/>
      <c r="L275" s="582"/>
      <c r="M275" s="196"/>
    </row>
    <row r="276">
      <c r="A276" s="139"/>
      <c r="B276" s="139"/>
      <c r="C276" s="139"/>
      <c r="D276" s="139"/>
      <c r="E276" s="139"/>
      <c r="F276" s="139"/>
      <c r="G276" s="580"/>
      <c r="H276" s="581"/>
      <c r="I276" s="196"/>
      <c r="J276" s="196"/>
      <c r="K276" s="196"/>
      <c r="L276" s="582"/>
      <c r="M276" s="196"/>
    </row>
    <row r="277">
      <c r="A277" s="139"/>
      <c r="B277" s="139"/>
      <c r="C277" s="139"/>
      <c r="D277" s="139"/>
      <c r="E277" s="139"/>
      <c r="F277" s="139"/>
      <c r="G277" s="580"/>
      <c r="H277" s="581"/>
      <c r="I277" s="196"/>
      <c r="J277" s="196"/>
      <c r="K277" s="196"/>
      <c r="L277" s="582"/>
      <c r="M277" s="196"/>
    </row>
    <row r="278">
      <c r="A278" s="139"/>
      <c r="B278" s="139"/>
      <c r="C278" s="139"/>
      <c r="D278" s="139"/>
      <c r="E278" s="139"/>
      <c r="F278" s="139"/>
      <c r="G278" s="580"/>
      <c r="H278" s="581"/>
      <c r="I278" s="196"/>
      <c r="J278" s="196"/>
      <c r="K278" s="196"/>
      <c r="L278" s="582"/>
      <c r="M278" s="196"/>
    </row>
    <row r="279">
      <c r="A279" s="139"/>
      <c r="B279" s="139"/>
      <c r="C279" s="139"/>
      <c r="D279" s="139"/>
      <c r="E279" s="139"/>
      <c r="F279" s="139"/>
      <c r="G279" s="580"/>
      <c r="H279" s="581"/>
      <c r="I279" s="196"/>
      <c r="J279" s="196"/>
      <c r="K279" s="196"/>
      <c r="L279" s="582"/>
      <c r="M279" s="196"/>
    </row>
    <row r="280">
      <c r="A280" s="139"/>
      <c r="B280" s="139"/>
      <c r="C280" s="139"/>
      <c r="D280" s="139"/>
      <c r="E280" s="139"/>
      <c r="F280" s="139"/>
      <c r="G280" s="580"/>
      <c r="H280" s="581"/>
      <c r="I280" s="196"/>
      <c r="J280" s="196"/>
      <c r="K280" s="196"/>
      <c r="L280" s="582"/>
      <c r="M280" s="196"/>
    </row>
    <row r="281">
      <c r="A281" s="139"/>
      <c r="B281" s="139"/>
      <c r="C281" s="139"/>
      <c r="D281" s="139"/>
      <c r="E281" s="139"/>
      <c r="F281" s="139"/>
      <c r="G281" s="580"/>
      <c r="H281" s="581"/>
      <c r="I281" s="196"/>
      <c r="J281" s="196"/>
      <c r="K281" s="196"/>
      <c r="L281" s="582"/>
      <c r="M281" s="196"/>
    </row>
    <row r="282">
      <c r="A282" s="139"/>
      <c r="B282" s="139"/>
      <c r="C282" s="139"/>
      <c r="D282" s="139"/>
      <c r="E282" s="139"/>
      <c r="F282" s="139"/>
      <c r="G282" s="580"/>
      <c r="H282" s="581"/>
      <c r="I282" s="196"/>
      <c r="J282" s="196"/>
      <c r="K282" s="196"/>
      <c r="L282" s="582"/>
      <c r="M282" s="196"/>
    </row>
    <row r="283">
      <c r="A283" s="139"/>
      <c r="B283" s="139"/>
      <c r="C283" s="139"/>
      <c r="D283" s="139"/>
      <c r="E283" s="139"/>
      <c r="F283" s="139"/>
      <c r="G283" s="580"/>
      <c r="H283" s="581"/>
      <c r="I283" s="196"/>
      <c r="J283" s="196"/>
      <c r="K283" s="196"/>
      <c r="L283" s="582"/>
      <c r="M283" s="196"/>
    </row>
    <row r="284">
      <c r="A284" s="139"/>
      <c r="B284" s="139"/>
      <c r="C284" s="139"/>
      <c r="D284" s="139"/>
      <c r="E284" s="139"/>
      <c r="F284" s="139"/>
      <c r="G284" s="580"/>
      <c r="H284" s="581"/>
      <c r="I284" s="196"/>
      <c r="J284" s="196"/>
      <c r="K284" s="196"/>
      <c r="L284" s="582"/>
      <c r="M284" s="196"/>
    </row>
    <row r="285">
      <c r="A285" s="139"/>
      <c r="B285" s="139"/>
      <c r="C285" s="139"/>
      <c r="D285" s="139"/>
      <c r="E285" s="139"/>
      <c r="F285" s="139"/>
      <c r="G285" s="580"/>
      <c r="H285" s="581"/>
      <c r="I285" s="196"/>
      <c r="J285" s="196"/>
      <c r="K285" s="196"/>
      <c r="L285" s="582"/>
      <c r="M285" s="196"/>
    </row>
    <row r="286">
      <c r="A286" s="139"/>
      <c r="B286" s="139"/>
      <c r="C286" s="139"/>
      <c r="D286" s="139"/>
      <c r="E286" s="139"/>
      <c r="F286" s="139"/>
      <c r="G286" s="580"/>
      <c r="H286" s="581"/>
      <c r="I286" s="196"/>
      <c r="J286" s="196"/>
      <c r="K286" s="196"/>
      <c r="L286" s="582"/>
      <c r="M286" s="196"/>
    </row>
    <row r="287">
      <c r="A287" s="139"/>
      <c r="B287" s="139"/>
      <c r="C287" s="139"/>
      <c r="D287" s="139"/>
      <c r="E287" s="139"/>
      <c r="F287" s="139"/>
      <c r="G287" s="580"/>
      <c r="H287" s="581"/>
      <c r="I287" s="196"/>
      <c r="J287" s="196"/>
      <c r="K287" s="196"/>
      <c r="L287" s="582"/>
      <c r="M287" s="196"/>
    </row>
    <row r="288">
      <c r="A288" s="139"/>
      <c r="B288" s="139"/>
      <c r="C288" s="139"/>
      <c r="D288" s="139"/>
      <c r="E288" s="139"/>
      <c r="F288" s="139"/>
      <c r="G288" s="580"/>
      <c r="H288" s="581"/>
      <c r="I288" s="196"/>
      <c r="J288" s="196"/>
      <c r="K288" s="196"/>
      <c r="L288" s="582"/>
      <c r="M288" s="196"/>
    </row>
    <row r="289">
      <c r="A289" s="139"/>
      <c r="B289" s="139"/>
      <c r="C289" s="139"/>
      <c r="D289" s="139"/>
      <c r="E289" s="139"/>
      <c r="F289" s="139"/>
      <c r="G289" s="580"/>
      <c r="H289" s="581"/>
      <c r="I289" s="196"/>
      <c r="J289" s="196"/>
      <c r="K289" s="196"/>
      <c r="L289" s="582"/>
      <c r="M289" s="196"/>
    </row>
    <row r="290">
      <c r="A290" s="139"/>
      <c r="B290" s="139"/>
      <c r="C290" s="139"/>
      <c r="D290" s="139"/>
      <c r="E290" s="139"/>
      <c r="F290" s="139"/>
      <c r="G290" s="580"/>
      <c r="H290" s="581"/>
      <c r="I290" s="196"/>
      <c r="J290" s="196"/>
      <c r="K290" s="196"/>
      <c r="L290" s="582"/>
      <c r="M290" s="196"/>
    </row>
    <row r="291">
      <c r="A291" s="139"/>
      <c r="B291" s="139"/>
      <c r="C291" s="139"/>
      <c r="D291" s="139"/>
      <c r="E291" s="139"/>
      <c r="F291" s="139"/>
      <c r="G291" s="580"/>
      <c r="H291" s="581"/>
      <c r="I291" s="196"/>
      <c r="J291" s="196"/>
      <c r="K291" s="196"/>
      <c r="L291" s="582"/>
      <c r="M291" s="196"/>
    </row>
    <row r="292">
      <c r="A292" s="139"/>
      <c r="B292" s="139"/>
      <c r="C292" s="139"/>
      <c r="D292" s="139"/>
      <c r="E292" s="139"/>
      <c r="F292" s="139"/>
      <c r="G292" s="580"/>
      <c r="H292" s="581"/>
      <c r="I292" s="196"/>
      <c r="J292" s="196"/>
      <c r="K292" s="196"/>
      <c r="L292" s="582"/>
      <c r="M292" s="196"/>
    </row>
    <row r="293">
      <c r="A293" s="139"/>
      <c r="B293" s="139"/>
      <c r="C293" s="139"/>
      <c r="D293" s="139"/>
      <c r="E293" s="139"/>
      <c r="F293" s="139"/>
      <c r="G293" s="580"/>
      <c r="H293" s="581"/>
      <c r="I293" s="196"/>
      <c r="J293" s="196"/>
      <c r="K293" s="196"/>
      <c r="L293" s="582"/>
      <c r="M293" s="196"/>
    </row>
    <row r="294">
      <c r="A294" s="139"/>
      <c r="B294" s="139"/>
      <c r="C294" s="139"/>
      <c r="D294" s="139"/>
      <c r="E294" s="139"/>
      <c r="F294" s="139"/>
      <c r="G294" s="580"/>
      <c r="H294" s="581"/>
      <c r="I294" s="196"/>
      <c r="J294" s="196"/>
      <c r="K294" s="196"/>
      <c r="L294" s="582"/>
      <c r="M294" s="196"/>
    </row>
    <row r="295">
      <c r="A295" s="139"/>
      <c r="B295" s="139"/>
      <c r="C295" s="139"/>
      <c r="D295" s="139"/>
      <c r="E295" s="139"/>
      <c r="F295" s="139"/>
      <c r="G295" s="580"/>
      <c r="H295" s="581"/>
      <c r="I295" s="196"/>
      <c r="J295" s="196"/>
      <c r="K295" s="196"/>
      <c r="L295" s="582"/>
      <c r="M295" s="196"/>
    </row>
    <row r="296">
      <c r="A296" s="139"/>
      <c r="B296" s="139"/>
      <c r="C296" s="139"/>
      <c r="D296" s="139"/>
      <c r="E296" s="139"/>
      <c r="F296" s="139"/>
      <c r="G296" s="580"/>
      <c r="H296" s="581"/>
      <c r="I296" s="196"/>
      <c r="J296" s="196"/>
      <c r="K296" s="196"/>
      <c r="L296" s="582"/>
      <c r="M296" s="196"/>
    </row>
    <row r="297">
      <c r="A297" s="139"/>
      <c r="B297" s="139"/>
      <c r="C297" s="139"/>
      <c r="D297" s="139"/>
      <c r="E297" s="139"/>
      <c r="F297" s="139"/>
      <c r="G297" s="580"/>
      <c r="H297" s="581"/>
      <c r="I297" s="196"/>
      <c r="J297" s="196"/>
      <c r="K297" s="196"/>
      <c r="L297" s="582"/>
      <c r="M297" s="196"/>
    </row>
    <row r="298">
      <c r="A298" s="139"/>
      <c r="B298" s="139"/>
      <c r="C298" s="139"/>
      <c r="D298" s="139"/>
      <c r="E298" s="139"/>
      <c r="F298" s="139"/>
      <c r="G298" s="580"/>
      <c r="H298" s="581"/>
      <c r="I298" s="196"/>
      <c r="J298" s="196"/>
      <c r="K298" s="196"/>
      <c r="L298" s="582"/>
      <c r="M298" s="196"/>
    </row>
    <row r="299">
      <c r="A299" s="139"/>
      <c r="B299" s="139"/>
      <c r="C299" s="139"/>
      <c r="D299" s="139"/>
      <c r="E299" s="139"/>
      <c r="F299" s="139"/>
      <c r="G299" s="580"/>
      <c r="H299" s="581"/>
      <c r="I299" s="196"/>
      <c r="J299" s="196"/>
      <c r="K299" s="196"/>
      <c r="L299" s="582"/>
      <c r="M299" s="196"/>
    </row>
    <row r="300">
      <c r="A300" s="139"/>
      <c r="B300" s="139"/>
      <c r="C300" s="139"/>
      <c r="D300" s="139"/>
      <c r="E300" s="139"/>
      <c r="F300" s="139"/>
      <c r="G300" s="580"/>
      <c r="H300" s="581"/>
      <c r="I300" s="196"/>
      <c r="J300" s="196"/>
      <c r="K300" s="196"/>
      <c r="L300" s="582"/>
      <c r="M300" s="196"/>
    </row>
    <row r="301">
      <c r="A301" s="139"/>
      <c r="B301" s="139"/>
      <c r="C301" s="139"/>
      <c r="D301" s="139"/>
      <c r="E301" s="139"/>
      <c r="F301" s="139"/>
      <c r="G301" s="580"/>
      <c r="H301" s="581"/>
      <c r="I301" s="196"/>
      <c r="J301" s="196"/>
      <c r="K301" s="196"/>
      <c r="L301" s="582"/>
      <c r="M301" s="196"/>
    </row>
    <row r="302">
      <c r="A302" s="139"/>
      <c r="B302" s="139"/>
      <c r="C302" s="139"/>
      <c r="D302" s="139"/>
      <c r="E302" s="139"/>
      <c r="F302" s="139"/>
      <c r="G302" s="580"/>
      <c r="H302" s="581"/>
      <c r="I302" s="196"/>
      <c r="J302" s="196"/>
      <c r="K302" s="196"/>
      <c r="L302" s="582"/>
      <c r="M302" s="196"/>
    </row>
    <row r="303">
      <c r="A303" s="139"/>
      <c r="B303" s="139"/>
      <c r="C303" s="139"/>
      <c r="D303" s="139"/>
      <c r="E303" s="139"/>
      <c r="F303" s="139"/>
      <c r="G303" s="580"/>
      <c r="H303" s="581"/>
      <c r="I303" s="196"/>
      <c r="J303" s="196"/>
      <c r="K303" s="196"/>
      <c r="L303" s="582"/>
      <c r="M303" s="196"/>
    </row>
    <row r="304">
      <c r="A304" s="139"/>
      <c r="B304" s="139"/>
      <c r="C304" s="139"/>
      <c r="D304" s="139"/>
      <c r="E304" s="139"/>
      <c r="F304" s="139"/>
      <c r="G304" s="580"/>
      <c r="H304" s="581"/>
      <c r="I304" s="196"/>
      <c r="J304" s="196"/>
      <c r="K304" s="196"/>
      <c r="L304" s="582"/>
      <c r="M304" s="196"/>
    </row>
    <row r="305">
      <c r="A305" s="139"/>
      <c r="B305" s="139"/>
      <c r="C305" s="139"/>
      <c r="D305" s="139"/>
      <c r="E305" s="139"/>
      <c r="F305" s="139"/>
      <c r="G305" s="580"/>
      <c r="H305" s="581"/>
      <c r="I305" s="196"/>
      <c r="J305" s="196"/>
      <c r="K305" s="196"/>
      <c r="L305" s="582"/>
      <c r="M305" s="196"/>
    </row>
    <row r="306">
      <c r="A306" s="139"/>
      <c r="B306" s="139"/>
      <c r="C306" s="139"/>
      <c r="D306" s="139"/>
      <c r="E306" s="139"/>
      <c r="F306" s="139"/>
      <c r="G306" s="580"/>
      <c r="H306" s="581"/>
      <c r="I306" s="196"/>
      <c r="J306" s="196"/>
      <c r="K306" s="196"/>
      <c r="L306" s="582"/>
      <c r="M306" s="196"/>
    </row>
    <row r="307">
      <c r="A307" s="139"/>
      <c r="B307" s="139"/>
      <c r="C307" s="139"/>
      <c r="D307" s="139"/>
      <c r="E307" s="139"/>
      <c r="F307" s="139"/>
      <c r="G307" s="580"/>
      <c r="H307" s="581"/>
      <c r="I307" s="196"/>
      <c r="J307" s="196"/>
      <c r="K307" s="196"/>
      <c r="L307" s="582"/>
      <c r="M307" s="196"/>
    </row>
    <row r="308">
      <c r="A308" s="139"/>
      <c r="B308" s="139"/>
      <c r="C308" s="139"/>
      <c r="D308" s="139"/>
      <c r="E308" s="139"/>
      <c r="F308" s="139"/>
      <c r="G308" s="580"/>
      <c r="H308" s="581"/>
      <c r="I308" s="196"/>
      <c r="J308" s="196"/>
      <c r="K308" s="196"/>
      <c r="L308" s="582"/>
      <c r="M308" s="196"/>
    </row>
    <row r="309">
      <c r="A309" s="139"/>
      <c r="B309" s="139"/>
      <c r="C309" s="139"/>
      <c r="D309" s="139"/>
      <c r="E309" s="139"/>
      <c r="F309" s="139"/>
      <c r="G309" s="580"/>
      <c r="H309" s="581"/>
      <c r="I309" s="196"/>
      <c r="J309" s="196"/>
      <c r="K309" s="196"/>
      <c r="L309" s="582"/>
      <c r="M309" s="196"/>
    </row>
    <row r="310">
      <c r="A310" s="139"/>
      <c r="B310" s="139"/>
      <c r="C310" s="139"/>
      <c r="D310" s="139"/>
      <c r="E310" s="139"/>
      <c r="F310" s="139"/>
      <c r="G310" s="580"/>
      <c r="H310" s="581"/>
      <c r="I310" s="196"/>
      <c r="J310" s="196"/>
      <c r="K310" s="196"/>
      <c r="L310" s="582"/>
      <c r="M310" s="196"/>
    </row>
    <row r="311">
      <c r="A311" s="139"/>
      <c r="B311" s="139"/>
      <c r="C311" s="139"/>
      <c r="D311" s="139"/>
      <c r="E311" s="139"/>
      <c r="F311" s="139"/>
      <c r="G311" s="580"/>
      <c r="H311" s="581"/>
      <c r="I311" s="196"/>
      <c r="J311" s="196"/>
      <c r="K311" s="196"/>
      <c r="L311" s="582"/>
      <c r="M311" s="196"/>
    </row>
    <row r="312">
      <c r="A312" s="139"/>
      <c r="B312" s="139"/>
      <c r="C312" s="139"/>
      <c r="D312" s="139"/>
      <c r="E312" s="139"/>
      <c r="F312" s="139"/>
      <c r="G312" s="580"/>
      <c r="H312" s="581"/>
      <c r="I312" s="196"/>
      <c r="J312" s="196"/>
      <c r="K312" s="196"/>
      <c r="L312" s="582"/>
      <c r="M312" s="196"/>
    </row>
    <row r="313">
      <c r="A313" s="139"/>
      <c r="B313" s="139"/>
      <c r="C313" s="139"/>
      <c r="D313" s="139"/>
      <c r="E313" s="139"/>
      <c r="F313" s="139"/>
      <c r="G313" s="580"/>
      <c r="H313" s="581"/>
      <c r="I313" s="196"/>
      <c r="J313" s="196"/>
      <c r="K313" s="196"/>
      <c r="L313" s="582"/>
      <c r="M313" s="196"/>
    </row>
    <row r="314">
      <c r="A314" s="139"/>
      <c r="B314" s="139"/>
      <c r="C314" s="139"/>
      <c r="D314" s="139"/>
      <c r="E314" s="139"/>
      <c r="F314" s="139"/>
      <c r="G314" s="580"/>
      <c r="H314" s="581"/>
      <c r="I314" s="196"/>
      <c r="J314" s="196"/>
      <c r="K314" s="196"/>
      <c r="L314" s="582"/>
      <c r="M314" s="196"/>
    </row>
    <row r="315">
      <c r="A315" s="139"/>
      <c r="B315" s="139"/>
      <c r="C315" s="139"/>
      <c r="D315" s="139"/>
      <c r="E315" s="139"/>
      <c r="F315" s="139"/>
      <c r="G315" s="580"/>
      <c r="H315" s="581"/>
      <c r="I315" s="196"/>
      <c r="J315" s="196"/>
      <c r="K315" s="196"/>
      <c r="L315" s="582"/>
      <c r="M315" s="196"/>
    </row>
    <row r="316">
      <c r="A316" s="139"/>
      <c r="B316" s="139"/>
      <c r="C316" s="139"/>
      <c r="D316" s="139"/>
      <c r="E316" s="139"/>
      <c r="F316" s="139"/>
      <c r="G316" s="580"/>
      <c r="H316" s="581"/>
      <c r="I316" s="196"/>
      <c r="J316" s="196"/>
      <c r="K316" s="196"/>
      <c r="L316" s="582"/>
      <c r="M316" s="196"/>
    </row>
    <row r="317">
      <c r="A317" s="139"/>
      <c r="B317" s="139"/>
      <c r="C317" s="139"/>
      <c r="D317" s="139"/>
      <c r="E317" s="139"/>
      <c r="F317" s="139"/>
      <c r="G317" s="580"/>
      <c r="H317" s="581"/>
      <c r="I317" s="196"/>
      <c r="J317" s="196"/>
      <c r="K317" s="196"/>
      <c r="L317" s="582"/>
      <c r="M317" s="196"/>
    </row>
    <row r="318">
      <c r="A318" s="139"/>
      <c r="B318" s="139"/>
      <c r="C318" s="139"/>
      <c r="D318" s="139"/>
      <c r="E318" s="139"/>
      <c r="F318" s="139"/>
      <c r="G318" s="580"/>
      <c r="H318" s="581"/>
      <c r="I318" s="196"/>
      <c r="J318" s="196"/>
      <c r="K318" s="196"/>
      <c r="L318" s="582"/>
      <c r="M318" s="196"/>
    </row>
    <row r="319">
      <c r="A319" s="139"/>
      <c r="B319" s="139"/>
      <c r="C319" s="139"/>
      <c r="D319" s="139"/>
      <c r="E319" s="139"/>
      <c r="F319" s="139"/>
      <c r="G319" s="580"/>
      <c r="H319" s="581"/>
      <c r="I319" s="196"/>
      <c r="J319" s="196"/>
      <c r="K319" s="196"/>
      <c r="L319" s="582"/>
      <c r="M319" s="196"/>
    </row>
    <row r="320">
      <c r="A320" s="139"/>
      <c r="B320" s="139"/>
      <c r="C320" s="139"/>
      <c r="D320" s="139"/>
      <c r="E320" s="139"/>
      <c r="F320" s="139"/>
      <c r="G320" s="580"/>
      <c r="H320" s="581"/>
      <c r="I320" s="196"/>
      <c r="J320" s="196"/>
      <c r="K320" s="196"/>
      <c r="L320" s="582"/>
      <c r="M320" s="196"/>
    </row>
    <row r="321">
      <c r="A321" s="139"/>
      <c r="B321" s="139"/>
      <c r="C321" s="139"/>
      <c r="D321" s="139"/>
      <c r="E321" s="139"/>
      <c r="F321" s="139"/>
      <c r="G321" s="580"/>
      <c r="H321" s="581"/>
      <c r="I321" s="196"/>
      <c r="J321" s="196"/>
      <c r="K321" s="196"/>
      <c r="L321" s="582"/>
      <c r="M321" s="196"/>
    </row>
    <row r="322">
      <c r="A322" s="139"/>
      <c r="B322" s="139"/>
      <c r="C322" s="139"/>
      <c r="D322" s="139"/>
      <c r="E322" s="139"/>
      <c r="F322" s="139"/>
      <c r="G322" s="580"/>
      <c r="H322" s="581"/>
      <c r="I322" s="196"/>
      <c r="J322" s="196"/>
      <c r="K322" s="196"/>
      <c r="L322" s="582"/>
      <c r="M322" s="196"/>
    </row>
    <row r="323">
      <c r="A323" s="139"/>
      <c r="B323" s="139"/>
      <c r="C323" s="139"/>
      <c r="D323" s="139"/>
      <c r="E323" s="139"/>
      <c r="F323" s="139"/>
      <c r="G323" s="580"/>
      <c r="H323" s="581"/>
      <c r="I323" s="196"/>
      <c r="J323" s="196"/>
      <c r="K323" s="196"/>
      <c r="L323" s="582"/>
      <c r="M323" s="196"/>
    </row>
    <row r="324">
      <c r="A324" s="139"/>
      <c r="B324" s="139"/>
      <c r="C324" s="139"/>
      <c r="D324" s="139"/>
      <c r="E324" s="139"/>
      <c r="F324" s="139"/>
      <c r="G324" s="580"/>
      <c r="H324" s="581"/>
      <c r="I324" s="196"/>
      <c r="J324" s="196"/>
      <c r="K324" s="196"/>
      <c r="L324" s="582"/>
      <c r="M324" s="196"/>
    </row>
    <row r="325">
      <c r="A325" s="139"/>
      <c r="B325" s="139"/>
      <c r="C325" s="139"/>
      <c r="D325" s="139"/>
      <c r="E325" s="139"/>
      <c r="F325" s="139"/>
      <c r="G325" s="580"/>
      <c r="H325" s="581"/>
      <c r="I325" s="196"/>
      <c r="J325" s="196"/>
      <c r="K325" s="196"/>
      <c r="L325" s="582"/>
      <c r="M325" s="196"/>
    </row>
    <row r="326">
      <c r="A326" s="139"/>
      <c r="B326" s="139"/>
      <c r="C326" s="139"/>
      <c r="D326" s="139"/>
      <c r="E326" s="139"/>
      <c r="F326" s="139"/>
      <c r="G326" s="580"/>
      <c r="H326" s="581"/>
      <c r="I326" s="196"/>
      <c r="J326" s="196"/>
      <c r="K326" s="196"/>
      <c r="L326" s="582"/>
      <c r="M326" s="196"/>
    </row>
    <row r="327">
      <c r="A327" s="139"/>
      <c r="B327" s="139"/>
      <c r="C327" s="139"/>
      <c r="D327" s="139"/>
      <c r="E327" s="139"/>
      <c r="F327" s="139"/>
      <c r="G327" s="580"/>
      <c r="H327" s="581"/>
      <c r="I327" s="196"/>
      <c r="J327" s="196"/>
      <c r="K327" s="196"/>
      <c r="L327" s="582"/>
      <c r="M327" s="196"/>
    </row>
    <row r="328">
      <c r="A328" s="139"/>
      <c r="B328" s="139"/>
      <c r="C328" s="139"/>
      <c r="D328" s="139"/>
      <c r="E328" s="139"/>
      <c r="F328" s="139"/>
      <c r="G328" s="580"/>
      <c r="H328" s="581"/>
      <c r="I328" s="196"/>
      <c r="J328" s="196"/>
      <c r="K328" s="196"/>
      <c r="L328" s="582"/>
      <c r="M328" s="196"/>
    </row>
    <row r="329">
      <c r="A329" s="139"/>
      <c r="B329" s="139"/>
      <c r="C329" s="139"/>
      <c r="D329" s="139"/>
      <c r="E329" s="139"/>
      <c r="F329" s="139"/>
      <c r="G329" s="580"/>
      <c r="H329" s="581"/>
      <c r="I329" s="196"/>
      <c r="J329" s="196"/>
      <c r="K329" s="196"/>
      <c r="L329" s="582"/>
      <c r="M329" s="196"/>
    </row>
    <row r="330">
      <c r="A330" s="139"/>
      <c r="B330" s="139"/>
      <c r="C330" s="139"/>
      <c r="D330" s="139"/>
      <c r="E330" s="139"/>
      <c r="F330" s="139"/>
      <c r="G330" s="580"/>
      <c r="H330" s="581"/>
      <c r="I330" s="196"/>
      <c r="J330" s="196"/>
      <c r="K330" s="196"/>
      <c r="L330" s="582"/>
      <c r="M330" s="196"/>
    </row>
    <row r="331">
      <c r="A331" s="139"/>
      <c r="B331" s="139"/>
      <c r="C331" s="139"/>
      <c r="D331" s="139"/>
      <c r="E331" s="139"/>
      <c r="F331" s="139"/>
      <c r="G331" s="580"/>
      <c r="H331" s="581"/>
      <c r="I331" s="196"/>
      <c r="J331" s="196"/>
      <c r="K331" s="196"/>
      <c r="L331" s="582"/>
      <c r="M331" s="196"/>
    </row>
    <row r="332">
      <c r="A332" s="139"/>
      <c r="B332" s="139"/>
      <c r="C332" s="139"/>
      <c r="D332" s="139"/>
      <c r="E332" s="139"/>
      <c r="F332" s="139"/>
      <c r="G332" s="580"/>
      <c r="H332" s="581"/>
      <c r="I332" s="196"/>
      <c r="J332" s="196"/>
      <c r="K332" s="196"/>
      <c r="L332" s="582"/>
      <c r="M332" s="196"/>
    </row>
    <row r="333">
      <c r="A333" s="139"/>
      <c r="B333" s="139"/>
      <c r="C333" s="139"/>
      <c r="D333" s="139"/>
      <c r="E333" s="139"/>
      <c r="F333" s="139"/>
      <c r="G333" s="580"/>
      <c r="H333" s="581"/>
      <c r="I333" s="196"/>
      <c r="J333" s="196"/>
      <c r="K333" s="196"/>
      <c r="L333" s="582"/>
      <c r="M333" s="196"/>
    </row>
    <row r="334">
      <c r="A334" s="139"/>
      <c r="B334" s="139"/>
      <c r="C334" s="139"/>
      <c r="D334" s="139"/>
      <c r="E334" s="139"/>
      <c r="F334" s="139"/>
      <c r="G334" s="580"/>
      <c r="H334" s="581"/>
      <c r="I334" s="196"/>
      <c r="J334" s="196"/>
      <c r="K334" s="196"/>
      <c r="L334" s="582"/>
      <c r="M334" s="196"/>
    </row>
    <row r="335">
      <c r="A335" s="139"/>
      <c r="B335" s="139"/>
      <c r="C335" s="139"/>
      <c r="D335" s="139"/>
      <c r="E335" s="139"/>
      <c r="F335" s="139"/>
      <c r="G335" s="580"/>
      <c r="H335" s="581"/>
      <c r="I335" s="196"/>
      <c r="J335" s="196"/>
      <c r="K335" s="196"/>
      <c r="L335" s="582"/>
      <c r="M335" s="196"/>
    </row>
    <row r="336">
      <c r="A336" s="139"/>
      <c r="B336" s="139"/>
      <c r="C336" s="139"/>
      <c r="D336" s="139"/>
      <c r="E336" s="139"/>
      <c r="F336" s="139"/>
      <c r="G336" s="580"/>
      <c r="H336" s="581"/>
      <c r="I336" s="196"/>
      <c r="J336" s="196"/>
      <c r="K336" s="196"/>
      <c r="L336" s="582"/>
      <c r="M336" s="196"/>
    </row>
    <row r="337">
      <c r="A337" s="139"/>
      <c r="B337" s="139"/>
      <c r="C337" s="139"/>
      <c r="D337" s="139"/>
      <c r="E337" s="139"/>
      <c r="F337" s="139"/>
      <c r="G337" s="580"/>
      <c r="H337" s="581"/>
      <c r="I337" s="196"/>
      <c r="J337" s="196"/>
      <c r="K337" s="196"/>
      <c r="L337" s="582"/>
      <c r="M337" s="196"/>
    </row>
    <row r="338">
      <c r="A338" s="139"/>
      <c r="B338" s="139"/>
      <c r="C338" s="139"/>
      <c r="D338" s="139"/>
      <c r="E338" s="139"/>
      <c r="F338" s="139"/>
      <c r="G338" s="580"/>
      <c r="H338" s="581"/>
      <c r="I338" s="196"/>
      <c r="J338" s="196"/>
      <c r="K338" s="196"/>
      <c r="L338" s="582"/>
      <c r="M338" s="196"/>
    </row>
    <row r="339">
      <c r="A339" s="139"/>
      <c r="B339" s="139"/>
      <c r="C339" s="139"/>
      <c r="D339" s="139"/>
      <c r="E339" s="139"/>
      <c r="F339" s="139"/>
      <c r="G339" s="580"/>
      <c r="H339" s="581"/>
      <c r="I339" s="196"/>
      <c r="J339" s="196"/>
      <c r="K339" s="196"/>
      <c r="L339" s="582"/>
      <c r="M339" s="196"/>
    </row>
    <row r="340">
      <c r="A340" s="139"/>
      <c r="B340" s="139"/>
      <c r="C340" s="139"/>
      <c r="D340" s="139"/>
      <c r="E340" s="139"/>
      <c r="F340" s="139"/>
      <c r="G340" s="580"/>
      <c r="H340" s="581"/>
      <c r="I340" s="196"/>
      <c r="J340" s="196"/>
      <c r="K340" s="196"/>
      <c r="L340" s="582"/>
      <c r="M340" s="196"/>
    </row>
    <row r="341">
      <c r="A341" s="139"/>
      <c r="B341" s="139"/>
      <c r="C341" s="139"/>
      <c r="D341" s="139"/>
      <c r="E341" s="139"/>
      <c r="F341" s="139"/>
      <c r="G341" s="580"/>
      <c r="H341" s="581"/>
      <c r="I341" s="196"/>
      <c r="J341" s="196"/>
      <c r="K341" s="196"/>
      <c r="L341" s="582"/>
      <c r="M341" s="196"/>
    </row>
    <row r="342">
      <c r="A342" s="139"/>
      <c r="B342" s="139"/>
      <c r="C342" s="139"/>
      <c r="D342" s="139"/>
      <c r="E342" s="139"/>
      <c r="F342" s="139"/>
      <c r="G342" s="580"/>
      <c r="H342" s="581"/>
      <c r="I342" s="196"/>
      <c r="J342" s="196"/>
      <c r="K342" s="196"/>
      <c r="L342" s="582"/>
      <c r="M342" s="196"/>
    </row>
    <row r="343">
      <c r="A343" s="139"/>
      <c r="B343" s="139"/>
      <c r="C343" s="139"/>
      <c r="D343" s="139"/>
      <c r="E343" s="139"/>
      <c r="F343" s="139"/>
      <c r="G343" s="580"/>
      <c r="H343" s="581"/>
      <c r="I343" s="196"/>
      <c r="J343" s="196"/>
      <c r="K343" s="196"/>
      <c r="L343" s="582"/>
      <c r="M343" s="196"/>
    </row>
    <row r="344">
      <c r="A344" s="139"/>
      <c r="B344" s="139"/>
      <c r="C344" s="139"/>
      <c r="D344" s="139"/>
      <c r="E344" s="139"/>
      <c r="F344" s="139"/>
      <c r="G344" s="580"/>
      <c r="H344" s="581"/>
      <c r="I344" s="196"/>
      <c r="J344" s="196"/>
      <c r="K344" s="196"/>
      <c r="L344" s="582"/>
      <c r="M344" s="196"/>
    </row>
    <row r="345">
      <c r="A345" s="139"/>
      <c r="B345" s="139"/>
      <c r="C345" s="139"/>
      <c r="D345" s="139"/>
      <c r="E345" s="139"/>
      <c r="F345" s="139"/>
      <c r="G345" s="580"/>
      <c r="H345" s="581"/>
      <c r="I345" s="196"/>
      <c r="J345" s="196"/>
      <c r="K345" s="196"/>
      <c r="L345" s="582"/>
      <c r="M345" s="196"/>
    </row>
    <row r="346">
      <c r="A346" s="139"/>
      <c r="B346" s="139"/>
      <c r="C346" s="139"/>
      <c r="D346" s="139"/>
      <c r="E346" s="139"/>
      <c r="F346" s="139"/>
      <c r="G346" s="580"/>
      <c r="H346" s="581"/>
      <c r="I346" s="196"/>
      <c r="J346" s="196"/>
      <c r="K346" s="196"/>
      <c r="L346" s="582"/>
      <c r="M346" s="196"/>
    </row>
    <row r="347">
      <c r="A347" s="139"/>
      <c r="B347" s="139"/>
      <c r="C347" s="139"/>
      <c r="D347" s="139"/>
      <c r="E347" s="139"/>
      <c r="F347" s="139"/>
      <c r="G347" s="580"/>
      <c r="H347" s="581"/>
      <c r="I347" s="196"/>
      <c r="J347" s="196"/>
      <c r="K347" s="196"/>
      <c r="L347" s="582"/>
      <c r="M347" s="196"/>
    </row>
    <row r="348">
      <c r="A348" s="139"/>
      <c r="B348" s="139"/>
      <c r="C348" s="139"/>
      <c r="D348" s="139"/>
      <c r="E348" s="139"/>
      <c r="F348" s="139"/>
      <c r="G348" s="580"/>
      <c r="H348" s="581"/>
      <c r="I348" s="196"/>
      <c r="J348" s="196"/>
      <c r="K348" s="196"/>
      <c r="L348" s="582"/>
      <c r="M348" s="196"/>
    </row>
    <row r="349">
      <c r="A349" s="139"/>
      <c r="B349" s="139"/>
      <c r="C349" s="139"/>
      <c r="D349" s="139"/>
      <c r="E349" s="139"/>
      <c r="F349" s="139"/>
      <c r="G349" s="580"/>
      <c r="H349" s="581"/>
      <c r="I349" s="196"/>
      <c r="J349" s="196"/>
      <c r="K349" s="196"/>
      <c r="L349" s="582"/>
      <c r="M349" s="196"/>
    </row>
    <row r="350">
      <c r="A350" s="139"/>
      <c r="B350" s="139"/>
      <c r="C350" s="139"/>
      <c r="D350" s="139"/>
      <c r="E350" s="139"/>
      <c r="F350" s="139"/>
      <c r="G350" s="580"/>
      <c r="H350" s="581"/>
      <c r="I350" s="196"/>
      <c r="J350" s="196"/>
      <c r="K350" s="196"/>
      <c r="L350" s="582"/>
      <c r="M350" s="196"/>
    </row>
    <row r="351">
      <c r="A351" s="139"/>
      <c r="B351" s="139"/>
      <c r="C351" s="139"/>
      <c r="D351" s="139"/>
      <c r="E351" s="139"/>
      <c r="F351" s="139"/>
      <c r="G351" s="580"/>
      <c r="H351" s="581"/>
      <c r="I351" s="196"/>
      <c r="J351" s="196"/>
      <c r="K351" s="196"/>
      <c r="L351" s="582"/>
      <c r="M351" s="196"/>
    </row>
    <row r="352">
      <c r="A352" s="139"/>
      <c r="B352" s="139"/>
      <c r="C352" s="139"/>
      <c r="D352" s="139"/>
      <c r="E352" s="139"/>
      <c r="F352" s="139"/>
      <c r="G352" s="580"/>
      <c r="H352" s="581"/>
      <c r="I352" s="196"/>
      <c r="J352" s="196"/>
      <c r="K352" s="196"/>
      <c r="L352" s="582"/>
      <c r="M352" s="196"/>
    </row>
    <row r="353">
      <c r="A353" s="139"/>
      <c r="B353" s="139"/>
      <c r="C353" s="139"/>
      <c r="D353" s="139"/>
      <c r="E353" s="139"/>
      <c r="F353" s="139"/>
      <c r="G353" s="580"/>
      <c r="H353" s="581"/>
      <c r="I353" s="196"/>
      <c r="J353" s="196"/>
      <c r="K353" s="196"/>
      <c r="L353" s="582"/>
      <c r="M353" s="196"/>
    </row>
    <row r="354">
      <c r="A354" s="139"/>
      <c r="B354" s="139"/>
      <c r="C354" s="139"/>
      <c r="D354" s="139"/>
      <c r="E354" s="139"/>
      <c r="F354" s="139"/>
      <c r="G354" s="580"/>
      <c r="H354" s="581"/>
      <c r="I354" s="196"/>
      <c r="J354" s="196"/>
      <c r="K354" s="196"/>
      <c r="L354" s="582"/>
      <c r="M354" s="196"/>
    </row>
    <row r="355">
      <c r="A355" s="139"/>
      <c r="B355" s="139"/>
      <c r="C355" s="139"/>
      <c r="D355" s="139"/>
      <c r="E355" s="139"/>
      <c r="F355" s="139"/>
      <c r="G355" s="580"/>
      <c r="H355" s="581"/>
      <c r="I355" s="196"/>
      <c r="J355" s="196"/>
      <c r="K355" s="196"/>
      <c r="L355" s="582"/>
      <c r="M355" s="196"/>
    </row>
    <row r="356">
      <c r="A356" s="139"/>
      <c r="B356" s="139"/>
      <c r="C356" s="139"/>
      <c r="D356" s="139"/>
      <c r="E356" s="139"/>
      <c r="F356" s="139"/>
      <c r="G356" s="580"/>
      <c r="H356" s="581"/>
      <c r="I356" s="196"/>
      <c r="J356" s="196"/>
      <c r="K356" s="196"/>
      <c r="L356" s="582"/>
      <c r="M356" s="196"/>
    </row>
    <row r="357">
      <c r="A357" s="139"/>
      <c r="B357" s="139"/>
      <c r="C357" s="139"/>
      <c r="D357" s="139"/>
      <c r="E357" s="139"/>
      <c r="F357" s="139"/>
      <c r="G357" s="580"/>
      <c r="H357" s="581"/>
      <c r="I357" s="196"/>
      <c r="J357" s="196"/>
      <c r="K357" s="196"/>
      <c r="L357" s="582"/>
      <c r="M357" s="196"/>
    </row>
    <row r="358">
      <c r="A358" s="139"/>
      <c r="B358" s="139"/>
      <c r="C358" s="139"/>
      <c r="D358" s="139"/>
      <c r="E358" s="139"/>
      <c r="F358" s="139"/>
      <c r="G358" s="580"/>
      <c r="H358" s="581"/>
      <c r="I358" s="196"/>
      <c r="J358" s="196"/>
      <c r="K358" s="196"/>
      <c r="L358" s="582"/>
      <c r="M358" s="196"/>
    </row>
    <row r="359">
      <c r="A359" s="139"/>
      <c r="B359" s="139"/>
      <c r="C359" s="139"/>
      <c r="D359" s="139"/>
      <c r="E359" s="139"/>
      <c r="F359" s="139"/>
      <c r="G359" s="580"/>
      <c r="H359" s="581"/>
      <c r="I359" s="196"/>
      <c r="J359" s="196"/>
      <c r="K359" s="196"/>
      <c r="L359" s="582"/>
      <c r="M359" s="196"/>
    </row>
    <row r="360">
      <c r="A360" s="139"/>
      <c r="B360" s="139"/>
      <c r="C360" s="139"/>
      <c r="D360" s="139"/>
      <c r="E360" s="139"/>
      <c r="F360" s="139"/>
      <c r="G360" s="580"/>
      <c r="H360" s="581"/>
      <c r="I360" s="196"/>
      <c r="J360" s="196"/>
      <c r="K360" s="196"/>
      <c r="L360" s="582"/>
      <c r="M360" s="196"/>
    </row>
    <row r="361">
      <c r="A361" s="139"/>
      <c r="B361" s="139"/>
      <c r="C361" s="139"/>
      <c r="D361" s="139"/>
      <c r="E361" s="139"/>
      <c r="F361" s="139"/>
      <c r="G361" s="580"/>
      <c r="H361" s="581"/>
      <c r="I361" s="196"/>
      <c r="J361" s="196"/>
      <c r="K361" s="196"/>
      <c r="L361" s="582"/>
      <c r="M361" s="196"/>
    </row>
    <row r="362">
      <c r="A362" s="139"/>
      <c r="B362" s="139"/>
      <c r="C362" s="139"/>
      <c r="D362" s="139"/>
      <c r="E362" s="139"/>
      <c r="F362" s="139"/>
      <c r="G362" s="580"/>
      <c r="H362" s="581"/>
      <c r="I362" s="196"/>
      <c r="J362" s="196"/>
      <c r="K362" s="196"/>
      <c r="L362" s="582"/>
      <c r="M362" s="196"/>
    </row>
    <row r="363">
      <c r="A363" s="139"/>
      <c r="B363" s="139"/>
      <c r="C363" s="139"/>
      <c r="D363" s="139"/>
      <c r="E363" s="139"/>
      <c r="F363" s="139"/>
      <c r="G363" s="580"/>
      <c r="H363" s="581"/>
      <c r="I363" s="196"/>
      <c r="J363" s="196"/>
      <c r="K363" s="196"/>
      <c r="L363" s="582"/>
      <c r="M363" s="196"/>
    </row>
    <row r="364">
      <c r="A364" s="139"/>
      <c r="B364" s="139"/>
      <c r="C364" s="139"/>
      <c r="D364" s="139"/>
      <c r="E364" s="139"/>
      <c r="F364" s="139"/>
      <c r="G364" s="580"/>
      <c r="H364" s="581"/>
      <c r="I364" s="196"/>
      <c r="J364" s="196"/>
      <c r="K364" s="196"/>
      <c r="L364" s="582"/>
      <c r="M364" s="196"/>
    </row>
    <row r="365">
      <c r="A365" s="139"/>
      <c r="B365" s="139"/>
      <c r="C365" s="139"/>
      <c r="D365" s="139"/>
      <c r="E365" s="139"/>
      <c r="F365" s="139"/>
      <c r="G365" s="580"/>
      <c r="H365" s="581"/>
      <c r="I365" s="196"/>
      <c r="J365" s="196"/>
      <c r="K365" s="196"/>
      <c r="L365" s="582"/>
      <c r="M365" s="196"/>
    </row>
    <row r="366">
      <c r="A366" s="139"/>
      <c r="B366" s="139"/>
      <c r="C366" s="139"/>
      <c r="D366" s="139"/>
      <c r="E366" s="139"/>
      <c r="F366" s="139"/>
      <c r="G366" s="580"/>
      <c r="H366" s="581"/>
      <c r="I366" s="196"/>
      <c r="J366" s="196"/>
      <c r="K366" s="196"/>
      <c r="L366" s="582"/>
      <c r="M366" s="196"/>
    </row>
    <row r="367">
      <c r="A367" s="139"/>
      <c r="B367" s="139"/>
      <c r="C367" s="139"/>
      <c r="D367" s="139"/>
      <c r="E367" s="139"/>
      <c r="F367" s="139"/>
      <c r="G367" s="580"/>
      <c r="H367" s="581"/>
      <c r="I367" s="196"/>
      <c r="J367" s="196"/>
      <c r="K367" s="196"/>
      <c r="L367" s="582"/>
      <c r="M367" s="196"/>
    </row>
    <row r="368">
      <c r="A368" s="139"/>
      <c r="B368" s="139"/>
      <c r="C368" s="139"/>
      <c r="D368" s="139"/>
      <c r="E368" s="139"/>
      <c r="F368" s="139"/>
      <c r="G368" s="580"/>
      <c r="H368" s="581"/>
      <c r="I368" s="196"/>
      <c r="J368" s="196"/>
      <c r="K368" s="196"/>
      <c r="L368" s="582"/>
      <c r="M368" s="196"/>
    </row>
    <row r="369">
      <c r="A369" s="139"/>
      <c r="B369" s="139"/>
      <c r="C369" s="139"/>
      <c r="D369" s="139"/>
      <c r="E369" s="139"/>
      <c r="F369" s="139"/>
      <c r="G369" s="580"/>
      <c r="H369" s="581"/>
      <c r="I369" s="196"/>
      <c r="J369" s="196"/>
      <c r="K369" s="196"/>
      <c r="L369" s="582"/>
      <c r="M369" s="196"/>
    </row>
    <row r="370">
      <c r="A370" s="139"/>
      <c r="B370" s="139"/>
      <c r="C370" s="139"/>
      <c r="D370" s="139"/>
      <c r="E370" s="139"/>
      <c r="F370" s="139"/>
      <c r="G370" s="580"/>
      <c r="H370" s="581"/>
      <c r="I370" s="196"/>
      <c r="J370" s="196"/>
      <c r="K370" s="196"/>
      <c r="L370" s="582"/>
      <c r="M370" s="196"/>
    </row>
    <row r="371">
      <c r="A371" s="139"/>
      <c r="B371" s="139"/>
      <c r="C371" s="139"/>
      <c r="D371" s="139"/>
      <c r="E371" s="139"/>
      <c r="F371" s="139"/>
      <c r="G371" s="580"/>
      <c r="H371" s="581"/>
      <c r="I371" s="196"/>
      <c r="J371" s="196"/>
      <c r="K371" s="196"/>
      <c r="L371" s="582"/>
      <c r="M371" s="196"/>
    </row>
    <row r="372">
      <c r="A372" s="139"/>
      <c r="B372" s="139"/>
      <c r="C372" s="139"/>
      <c r="D372" s="139"/>
      <c r="E372" s="139"/>
      <c r="F372" s="139"/>
      <c r="G372" s="580"/>
      <c r="H372" s="581"/>
      <c r="I372" s="196"/>
      <c r="J372" s="196"/>
      <c r="K372" s="196"/>
      <c r="L372" s="582"/>
      <c r="M372" s="196"/>
    </row>
    <row r="373">
      <c r="A373" s="139"/>
      <c r="B373" s="139"/>
      <c r="C373" s="139"/>
      <c r="D373" s="139"/>
      <c r="E373" s="139"/>
      <c r="F373" s="139"/>
      <c r="G373" s="580"/>
      <c r="H373" s="581"/>
      <c r="I373" s="196"/>
      <c r="J373" s="196"/>
      <c r="K373" s="196"/>
      <c r="L373" s="582"/>
      <c r="M373" s="196"/>
    </row>
    <row r="374">
      <c r="A374" s="139"/>
      <c r="B374" s="139"/>
      <c r="C374" s="139"/>
      <c r="D374" s="139"/>
      <c r="E374" s="139"/>
      <c r="F374" s="139"/>
      <c r="G374" s="580"/>
      <c r="H374" s="581"/>
      <c r="I374" s="196"/>
      <c r="J374" s="196"/>
      <c r="K374" s="196"/>
      <c r="L374" s="582"/>
      <c r="M374" s="196"/>
    </row>
    <row r="375">
      <c r="A375" s="139"/>
      <c r="B375" s="139"/>
      <c r="C375" s="139"/>
      <c r="D375" s="139"/>
      <c r="E375" s="139"/>
      <c r="F375" s="139"/>
      <c r="G375" s="580"/>
      <c r="H375" s="581"/>
      <c r="I375" s="196"/>
      <c r="J375" s="196"/>
      <c r="K375" s="196"/>
      <c r="L375" s="582"/>
      <c r="M375" s="196"/>
    </row>
    <row r="376">
      <c r="A376" s="139"/>
      <c r="B376" s="139"/>
      <c r="C376" s="139"/>
      <c r="D376" s="139"/>
      <c r="E376" s="139"/>
      <c r="F376" s="139"/>
      <c r="G376" s="580"/>
      <c r="H376" s="581"/>
      <c r="I376" s="196"/>
      <c r="J376" s="196"/>
      <c r="K376" s="196"/>
      <c r="L376" s="582"/>
      <c r="M376" s="196"/>
    </row>
    <row r="377">
      <c r="A377" s="139"/>
      <c r="B377" s="139"/>
      <c r="C377" s="139"/>
      <c r="D377" s="139"/>
      <c r="E377" s="139"/>
      <c r="F377" s="139"/>
      <c r="G377" s="580"/>
      <c r="H377" s="581"/>
      <c r="I377" s="196"/>
      <c r="J377" s="196"/>
      <c r="K377" s="196"/>
      <c r="L377" s="582"/>
      <c r="M377" s="196"/>
    </row>
    <row r="378">
      <c r="A378" s="139"/>
      <c r="B378" s="139"/>
      <c r="C378" s="139"/>
      <c r="D378" s="139"/>
      <c r="E378" s="139"/>
      <c r="F378" s="139"/>
      <c r="G378" s="580"/>
      <c r="H378" s="581"/>
      <c r="I378" s="196"/>
      <c r="J378" s="196"/>
      <c r="K378" s="196"/>
      <c r="L378" s="582"/>
      <c r="M378" s="196"/>
    </row>
    <row r="379">
      <c r="A379" s="139"/>
      <c r="B379" s="139"/>
      <c r="C379" s="139"/>
      <c r="D379" s="139"/>
      <c r="E379" s="139"/>
      <c r="F379" s="139"/>
      <c r="G379" s="580"/>
      <c r="H379" s="581"/>
      <c r="I379" s="196"/>
      <c r="J379" s="196"/>
      <c r="K379" s="196"/>
      <c r="L379" s="582"/>
      <c r="M379" s="196"/>
    </row>
    <row r="380">
      <c r="A380" s="139"/>
      <c r="B380" s="139"/>
      <c r="C380" s="139"/>
      <c r="D380" s="139"/>
      <c r="E380" s="139"/>
      <c r="F380" s="139"/>
      <c r="G380" s="580"/>
      <c r="H380" s="581"/>
      <c r="I380" s="196"/>
      <c r="J380" s="196"/>
      <c r="K380" s="196"/>
      <c r="L380" s="582"/>
      <c r="M380" s="196"/>
    </row>
    <row r="381">
      <c r="A381" s="139"/>
      <c r="B381" s="139"/>
      <c r="C381" s="139"/>
      <c r="D381" s="139"/>
      <c r="E381" s="139"/>
      <c r="F381" s="139"/>
      <c r="G381" s="580"/>
      <c r="H381" s="581"/>
      <c r="I381" s="196"/>
      <c r="J381" s="196"/>
      <c r="K381" s="196"/>
      <c r="L381" s="582"/>
      <c r="M381" s="196"/>
    </row>
    <row r="382">
      <c r="A382" s="139"/>
      <c r="B382" s="139"/>
      <c r="C382" s="139"/>
      <c r="D382" s="139"/>
      <c r="E382" s="139"/>
      <c r="F382" s="139"/>
      <c r="G382" s="580"/>
      <c r="H382" s="581"/>
      <c r="I382" s="196"/>
      <c r="J382" s="196"/>
      <c r="K382" s="196"/>
      <c r="L382" s="582"/>
      <c r="M382" s="196"/>
    </row>
    <row r="383">
      <c r="A383" s="139"/>
      <c r="B383" s="139"/>
      <c r="C383" s="139"/>
      <c r="D383" s="139"/>
      <c r="E383" s="139"/>
      <c r="F383" s="139"/>
      <c r="G383" s="580"/>
      <c r="H383" s="581"/>
      <c r="I383" s="196"/>
      <c r="J383" s="196"/>
      <c r="K383" s="196"/>
      <c r="L383" s="582"/>
      <c r="M383" s="196"/>
    </row>
    <row r="384">
      <c r="A384" s="139"/>
      <c r="B384" s="139"/>
      <c r="C384" s="139"/>
      <c r="D384" s="139"/>
      <c r="E384" s="139"/>
      <c r="F384" s="139"/>
      <c r="G384" s="580"/>
      <c r="H384" s="581"/>
      <c r="I384" s="196"/>
      <c r="J384" s="196"/>
      <c r="K384" s="196"/>
      <c r="L384" s="582"/>
      <c r="M384" s="196"/>
    </row>
    <row r="385">
      <c r="A385" s="139"/>
      <c r="B385" s="139"/>
      <c r="C385" s="139"/>
      <c r="D385" s="139"/>
      <c r="E385" s="139"/>
      <c r="F385" s="139"/>
      <c r="G385" s="580"/>
      <c r="H385" s="581"/>
      <c r="I385" s="196"/>
      <c r="J385" s="196"/>
      <c r="K385" s="196"/>
      <c r="L385" s="582"/>
      <c r="M385" s="196"/>
    </row>
    <row r="386">
      <c r="A386" s="139"/>
      <c r="B386" s="139"/>
      <c r="C386" s="139"/>
      <c r="D386" s="139"/>
      <c r="E386" s="139"/>
      <c r="F386" s="139"/>
      <c r="G386" s="580"/>
      <c r="H386" s="581"/>
      <c r="I386" s="196"/>
      <c r="J386" s="196"/>
      <c r="K386" s="196"/>
      <c r="L386" s="582"/>
      <c r="M386" s="196"/>
    </row>
    <row r="387">
      <c r="A387" s="139"/>
      <c r="B387" s="139"/>
      <c r="C387" s="139"/>
      <c r="D387" s="139"/>
      <c r="E387" s="139"/>
      <c r="F387" s="139"/>
      <c r="G387" s="580"/>
      <c r="H387" s="581"/>
      <c r="I387" s="196"/>
      <c r="J387" s="196"/>
      <c r="K387" s="196"/>
      <c r="L387" s="582"/>
      <c r="M387" s="196"/>
    </row>
    <row r="388">
      <c r="A388" s="139"/>
      <c r="B388" s="139"/>
      <c r="C388" s="139"/>
      <c r="D388" s="139"/>
      <c r="E388" s="139"/>
      <c r="F388" s="139"/>
      <c r="G388" s="580"/>
      <c r="H388" s="581"/>
      <c r="I388" s="196"/>
      <c r="J388" s="196"/>
      <c r="K388" s="196"/>
      <c r="L388" s="582"/>
      <c r="M388" s="196"/>
    </row>
    <row r="389">
      <c r="A389" s="139"/>
      <c r="B389" s="139"/>
      <c r="C389" s="139"/>
      <c r="D389" s="139"/>
      <c r="E389" s="139"/>
      <c r="F389" s="139"/>
      <c r="G389" s="580"/>
      <c r="H389" s="581"/>
      <c r="I389" s="196"/>
      <c r="J389" s="196"/>
      <c r="K389" s="196"/>
      <c r="L389" s="582"/>
      <c r="M389" s="196"/>
    </row>
    <row r="390">
      <c r="A390" s="139"/>
      <c r="B390" s="139"/>
      <c r="C390" s="139"/>
      <c r="D390" s="139"/>
      <c r="E390" s="139"/>
      <c r="F390" s="139"/>
      <c r="G390" s="580"/>
      <c r="H390" s="581"/>
      <c r="I390" s="196"/>
      <c r="J390" s="196"/>
      <c r="K390" s="196"/>
      <c r="L390" s="582"/>
      <c r="M390" s="196"/>
    </row>
    <row r="391">
      <c r="A391" s="139"/>
      <c r="B391" s="139"/>
      <c r="C391" s="139"/>
      <c r="D391" s="139"/>
      <c r="E391" s="139"/>
      <c r="F391" s="139"/>
      <c r="G391" s="580"/>
      <c r="H391" s="581"/>
      <c r="I391" s="196"/>
      <c r="J391" s="196"/>
      <c r="K391" s="196"/>
      <c r="L391" s="582"/>
      <c r="M391" s="196"/>
    </row>
    <row r="392">
      <c r="A392" s="139"/>
      <c r="B392" s="139"/>
      <c r="C392" s="139"/>
      <c r="D392" s="139"/>
      <c r="E392" s="139"/>
      <c r="F392" s="139"/>
      <c r="G392" s="580"/>
      <c r="H392" s="581"/>
      <c r="I392" s="196"/>
      <c r="J392" s="196"/>
      <c r="K392" s="196"/>
      <c r="L392" s="582"/>
      <c r="M392" s="196"/>
    </row>
    <row r="393">
      <c r="A393" s="139"/>
      <c r="B393" s="139"/>
      <c r="C393" s="139"/>
      <c r="D393" s="139"/>
      <c r="E393" s="139"/>
      <c r="F393" s="139"/>
      <c r="G393" s="580"/>
      <c r="H393" s="581"/>
      <c r="I393" s="196"/>
      <c r="J393" s="196"/>
      <c r="K393" s="196"/>
      <c r="L393" s="582"/>
      <c r="M393" s="196"/>
    </row>
    <row r="394">
      <c r="A394" s="139"/>
      <c r="B394" s="139"/>
      <c r="C394" s="139"/>
      <c r="D394" s="139"/>
      <c r="E394" s="139"/>
      <c r="F394" s="139"/>
      <c r="G394" s="580"/>
      <c r="H394" s="581"/>
      <c r="I394" s="196"/>
      <c r="J394" s="196"/>
      <c r="K394" s="196"/>
      <c r="L394" s="582"/>
      <c r="M394" s="196"/>
    </row>
    <row r="395">
      <c r="A395" s="139"/>
      <c r="B395" s="139"/>
      <c r="C395" s="139"/>
      <c r="D395" s="139"/>
      <c r="E395" s="139"/>
      <c r="F395" s="139"/>
      <c r="G395" s="580"/>
      <c r="H395" s="581"/>
      <c r="I395" s="196"/>
      <c r="J395" s="196"/>
      <c r="K395" s="196"/>
      <c r="L395" s="582"/>
      <c r="M395" s="196"/>
    </row>
    <row r="396">
      <c r="A396" s="139"/>
      <c r="B396" s="139"/>
      <c r="C396" s="139"/>
      <c r="D396" s="139"/>
      <c r="E396" s="139"/>
      <c r="F396" s="139"/>
      <c r="G396" s="580"/>
      <c r="H396" s="581"/>
      <c r="I396" s="196"/>
      <c r="J396" s="196"/>
      <c r="K396" s="196"/>
      <c r="L396" s="582"/>
      <c r="M396" s="196"/>
    </row>
    <row r="397">
      <c r="A397" s="139"/>
      <c r="B397" s="139"/>
      <c r="C397" s="139"/>
      <c r="D397" s="139"/>
      <c r="E397" s="139"/>
      <c r="F397" s="139"/>
      <c r="G397" s="580"/>
      <c r="H397" s="581"/>
      <c r="I397" s="196"/>
      <c r="J397" s="196"/>
      <c r="K397" s="196"/>
      <c r="L397" s="582"/>
      <c r="M397" s="196"/>
    </row>
    <row r="398">
      <c r="A398" s="139"/>
      <c r="B398" s="139"/>
      <c r="C398" s="139"/>
      <c r="D398" s="139"/>
      <c r="E398" s="139"/>
      <c r="F398" s="139"/>
      <c r="G398" s="580"/>
      <c r="H398" s="581"/>
      <c r="I398" s="196"/>
      <c r="J398" s="196"/>
      <c r="K398" s="196"/>
      <c r="L398" s="582"/>
      <c r="M398" s="196"/>
    </row>
    <row r="399">
      <c r="A399" s="139"/>
      <c r="B399" s="139"/>
      <c r="C399" s="139"/>
      <c r="D399" s="139"/>
      <c r="E399" s="139"/>
      <c r="F399" s="139"/>
      <c r="G399" s="580"/>
      <c r="H399" s="581"/>
      <c r="I399" s="196"/>
      <c r="J399" s="196"/>
      <c r="K399" s="196"/>
      <c r="L399" s="582"/>
      <c r="M399" s="196"/>
    </row>
    <row r="400">
      <c r="A400" s="139"/>
      <c r="B400" s="139"/>
      <c r="C400" s="139"/>
      <c r="D400" s="139"/>
      <c r="E400" s="139"/>
      <c r="F400" s="139"/>
      <c r="G400" s="580"/>
      <c r="H400" s="581"/>
      <c r="I400" s="196"/>
      <c r="J400" s="196"/>
      <c r="K400" s="196"/>
      <c r="L400" s="582"/>
      <c r="M400" s="196"/>
    </row>
    <row r="401">
      <c r="A401" s="139"/>
      <c r="B401" s="139"/>
      <c r="C401" s="139"/>
      <c r="D401" s="139"/>
      <c r="E401" s="139"/>
      <c r="F401" s="139"/>
      <c r="G401" s="580"/>
      <c r="H401" s="581"/>
      <c r="I401" s="196"/>
      <c r="J401" s="196"/>
      <c r="K401" s="196"/>
      <c r="L401" s="582"/>
      <c r="M401" s="196"/>
    </row>
    <row r="402">
      <c r="A402" s="139"/>
      <c r="B402" s="139"/>
      <c r="C402" s="139"/>
      <c r="D402" s="139"/>
      <c r="E402" s="139"/>
      <c r="F402" s="139"/>
      <c r="G402" s="580"/>
      <c r="H402" s="581"/>
      <c r="I402" s="196"/>
      <c r="J402" s="196"/>
      <c r="K402" s="196"/>
      <c r="L402" s="582"/>
      <c r="M402" s="196"/>
    </row>
    <row r="403">
      <c r="A403" s="139"/>
      <c r="B403" s="139"/>
      <c r="C403" s="139"/>
      <c r="D403" s="139"/>
      <c r="E403" s="139"/>
      <c r="F403" s="139"/>
      <c r="G403" s="580"/>
      <c r="H403" s="581"/>
      <c r="I403" s="196"/>
      <c r="J403" s="196"/>
      <c r="K403" s="196"/>
      <c r="L403" s="582"/>
      <c r="M403" s="196"/>
    </row>
    <row r="404">
      <c r="A404" s="139"/>
      <c r="B404" s="139"/>
      <c r="C404" s="139"/>
      <c r="D404" s="139"/>
      <c r="E404" s="139"/>
      <c r="F404" s="139"/>
      <c r="G404" s="580"/>
      <c r="H404" s="581"/>
      <c r="I404" s="196"/>
      <c r="J404" s="196"/>
      <c r="K404" s="196"/>
      <c r="L404" s="582"/>
      <c r="M404" s="196"/>
    </row>
    <row r="405">
      <c r="A405" s="139"/>
      <c r="B405" s="139"/>
      <c r="C405" s="139"/>
      <c r="D405" s="139"/>
      <c r="E405" s="139"/>
      <c r="F405" s="139"/>
      <c r="G405" s="580"/>
      <c r="H405" s="581"/>
      <c r="I405" s="196"/>
      <c r="J405" s="196"/>
      <c r="K405" s="196"/>
      <c r="L405" s="582"/>
      <c r="M405" s="196"/>
    </row>
    <row r="406">
      <c r="A406" s="139"/>
      <c r="B406" s="139"/>
      <c r="C406" s="139"/>
      <c r="D406" s="139"/>
      <c r="E406" s="139"/>
      <c r="F406" s="139"/>
      <c r="G406" s="580"/>
      <c r="H406" s="581"/>
      <c r="I406" s="196"/>
      <c r="J406" s="196"/>
      <c r="K406" s="196"/>
      <c r="L406" s="582"/>
      <c r="M406" s="196"/>
    </row>
    <row r="407">
      <c r="A407" s="139"/>
      <c r="B407" s="139"/>
      <c r="C407" s="139"/>
      <c r="D407" s="139"/>
      <c r="E407" s="139"/>
      <c r="F407" s="139"/>
      <c r="G407" s="580"/>
      <c r="H407" s="581"/>
      <c r="I407" s="196"/>
      <c r="J407" s="196"/>
      <c r="K407" s="196"/>
      <c r="L407" s="582"/>
      <c r="M407" s="196"/>
    </row>
    <row r="408">
      <c r="A408" s="139"/>
      <c r="B408" s="139"/>
      <c r="C408" s="139"/>
      <c r="D408" s="139"/>
      <c r="E408" s="139"/>
      <c r="F408" s="139"/>
      <c r="G408" s="580"/>
      <c r="H408" s="581"/>
      <c r="I408" s="196"/>
      <c r="J408" s="196"/>
      <c r="K408" s="196"/>
      <c r="L408" s="582"/>
      <c r="M408" s="196"/>
    </row>
    <row r="409">
      <c r="A409" s="139"/>
      <c r="B409" s="139"/>
      <c r="C409" s="139"/>
      <c r="D409" s="139"/>
      <c r="E409" s="139"/>
      <c r="F409" s="139"/>
      <c r="G409" s="580"/>
      <c r="H409" s="581"/>
      <c r="I409" s="196"/>
      <c r="J409" s="196"/>
      <c r="K409" s="196"/>
      <c r="L409" s="582"/>
      <c r="M409" s="196"/>
    </row>
    <row r="410">
      <c r="A410" s="139"/>
      <c r="B410" s="139"/>
      <c r="C410" s="139"/>
      <c r="D410" s="139"/>
      <c r="E410" s="139"/>
      <c r="F410" s="139"/>
      <c r="G410" s="580"/>
      <c r="H410" s="581"/>
      <c r="I410" s="196"/>
      <c r="J410" s="196"/>
      <c r="K410" s="196"/>
      <c r="L410" s="582"/>
      <c r="M410" s="196"/>
    </row>
    <row r="411">
      <c r="A411" s="139"/>
      <c r="B411" s="139"/>
      <c r="C411" s="139"/>
      <c r="D411" s="139"/>
      <c r="E411" s="139"/>
      <c r="F411" s="139"/>
      <c r="G411" s="580"/>
      <c r="H411" s="581"/>
      <c r="I411" s="196"/>
      <c r="J411" s="196"/>
      <c r="K411" s="196"/>
      <c r="L411" s="582"/>
      <c r="M411" s="196"/>
    </row>
    <row r="412">
      <c r="A412" s="139"/>
      <c r="B412" s="139"/>
      <c r="C412" s="139"/>
      <c r="D412" s="139"/>
      <c r="E412" s="139"/>
      <c r="F412" s="139"/>
      <c r="G412" s="580"/>
      <c r="H412" s="581"/>
      <c r="I412" s="196"/>
      <c r="J412" s="196"/>
      <c r="K412" s="196"/>
      <c r="L412" s="582"/>
      <c r="M412" s="196"/>
    </row>
    <row r="413">
      <c r="A413" s="139"/>
      <c r="B413" s="139"/>
      <c r="C413" s="139"/>
      <c r="D413" s="139"/>
      <c r="E413" s="139"/>
      <c r="F413" s="139"/>
      <c r="G413" s="580"/>
      <c r="H413" s="581"/>
      <c r="I413" s="196"/>
      <c r="J413" s="196"/>
      <c r="K413" s="196"/>
      <c r="L413" s="582"/>
      <c r="M413" s="196"/>
    </row>
    <row r="414">
      <c r="A414" s="139"/>
      <c r="B414" s="139"/>
      <c r="C414" s="139"/>
      <c r="D414" s="139"/>
      <c r="E414" s="139"/>
      <c r="F414" s="139"/>
      <c r="G414" s="580"/>
      <c r="H414" s="581"/>
      <c r="I414" s="196"/>
      <c r="J414" s="196"/>
      <c r="K414" s="196"/>
      <c r="L414" s="582"/>
      <c r="M414" s="196"/>
    </row>
    <row r="415">
      <c r="A415" s="139"/>
      <c r="B415" s="139"/>
      <c r="C415" s="139"/>
      <c r="D415" s="139"/>
      <c r="E415" s="139"/>
      <c r="F415" s="139"/>
      <c r="G415" s="580"/>
      <c r="H415" s="581"/>
      <c r="I415" s="196"/>
      <c r="J415" s="196"/>
      <c r="K415" s="196"/>
      <c r="L415" s="582"/>
      <c r="M415" s="196"/>
    </row>
    <row r="416">
      <c r="A416" s="139"/>
      <c r="B416" s="139"/>
      <c r="C416" s="139"/>
      <c r="D416" s="139"/>
      <c r="E416" s="139"/>
      <c r="F416" s="139"/>
      <c r="G416" s="580"/>
      <c r="H416" s="581"/>
      <c r="I416" s="196"/>
      <c r="J416" s="196"/>
      <c r="K416" s="196"/>
      <c r="L416" s="582"/>
      <c r="M416" s="196"/>
    </row>
    <row r="417">
      <c r="A417" s="139"/>
      <c r="B417" s="139"/>
      <c r="C417" s="139"/>
      <c r="D417" s="139"/>
      <c r="E417" s="139"/>
      <c r="F417" s="139"/>
      <c r="G417" s="580"/>
      <c r="H417" s="581"/>
      <c r="I417" s="196"/>
      <c r="J417" s="196"/>
      <c r="K417" s="196"/>
      <c r="L417" s="582"/>
      <c r="M417" s="196"/>
    </row>
    <row r="418">
      <c r="A418" s="139"/>
      <c r="B418" s="139"/>
      <c r="C418" s="139"/>
      <c r="D418" s="139"/>
      <c r="E418" s="139"/>
      <c r="F418" s="139"/>
      <c r="G418" s="580"/>
      <c r="H418" s="581"/>
      <c r="I418" s="196"/>
      <c r="J418" s="196"/>
      <c r="K418" s="196"/>
      <c r="L418" s="582"/>
      <c r="M418" s="196"/>
    </row>
    <row r="419">
      <c r="A419" s="139"/>
      <c r="B419" s="139"/>
      <c r="C419" s="139"/>
      <c r="D419" s="139"/>
      <c r="E419" s="139"/>
      <c r="F419" s="139"/>
      <c r="G419" s="580"/>
      <c r="H419" s="581"/>
      <c r="I419" s="196"/>
      <c r="J419" s="196"/>
      <c r="K419" s="196"/>
      <c r="L419" s="582"/>
      <c r="M419" s="196"/>
    </row>
    <row r="420">
      <c r="A420" s="139"/>
      <c r="B420" s="139"/>
      <c r="C420" s="139"/>
      <c r="D420" s="139"/>
      <c r="E420" s="139"/>
      <c r="F420" s="139"/>
      <c r="G420" s="580"/>
      <c r="H420" s="581"/>
      <c r="I420" s="196"/>
      <c r="J420" s="196"/>
      <c r="K420" s="196"/>
      <c r="L420" s="582"/>
      <c r="M420" s="196"/>
    </row>
    <row r="421">
      <c r="A421" s="139"/>
      <c r="B421" s="139"/>
      <c r="C421" s="139"/>
      <c r="D421" s="139"/>
      <c r="E421" s="139"/>
      <c r="F421" s="139"/>
      <c r="G421" s="580"/>
      <c r="H421" s="581"/>
      <c r="I421" s="196"/>
      <c r="J421" s="196"/>
      <c r="K421" s="196"/>
      <c r="L421" s="582"/>
      <c r="M421" s="196"/>
    </row>
    <row r="422">
      <c r="A422" s="139"/>
      <c r="B422" s="139"/>
      <c r="C422" s="139"/>
      <c r="D422" s="139"/>
      <c r="E422" s="139"/>
      <c r="F422" s="139"/>
      <c r="G422" s="580"/>
      <c r="H422" s="581"/>
      <c r="I422" s="196"/>
      <c r="J422" s="196"/>
      <c r="K422" s="196"/>
      <c r="L422" s="582"/>
      <c r="M422" s="196"/>
    </row>
    <row r="423">
      <c r="A423" s="139"/>
      <c r="B423" s="139"/>
      <c r="C423" s="139"/>
      <c r="D423" s="139"/>
      <c r="E423" s="139"/>
      <c r="F423" s="139"/>
      <c r="G423" s="580"/>
      <c r="H423" s="581"/>
      <c r="I423" s="196"/>
      <c r="J423" s="196"/>
      <c r="K423" s="196"/>
      <c r="L423" s="582"/>
      <c r="M423" s="196"/>
    </row>
    <row r="424">
      <c r="A424" s="139"/>
      <c r="B424" s="139"/>
      <c r="C424" s="139"/>
      <c r="D424" s="139"/>
      <c r="E424" s="139"/>
      <c r="F424" s="139"/>
      <c r="G424" s="580"/>
      <c r="H424" s="581"/>
      <c r="I424" s="196"/>
      <c r="J424" s="196"/>
      <c r="K424" s="196"/>
      <c r="L424" s="582"/>
      <c r="M424" s="196"/>
    </row>
    <row r="425">
      <c r="A425" s="139"/>
      <c r="B425" s="139"/>
      <c r="C425" s="139"/>
      <c r="D425" s="139"/>
      <c r="E425" s="139"/>
      <c r="F425" s="139"/>
      <c r="G425" s="580"/>
      <c r="H425" s="581"/>
      <c r="I425" s="196"/>
      <c r="J425" s="196"/>
      <c r="K425" s="196"/>
      <c r="L425" s="582"/>
      <c r="M425" s="196"/>
    </row>
    <row r="426">
      <c r="A426" s="139"/>
      <c r="B426" s="139"/>
      <c r="C426" s="139"/>
      <c r="D426" s="139"/>
      <c r="E426" s="139"/>
      <c r="F426" s="139"/>
      <c r="G426" s="580"/>
      <c r="H426" s="581"/>
      <c r="I426" s="196"/>
      <c r="J426" s="196"/>
      <c r="K426" s="196"/>
      <c r="L426" s="582"/>
      <c r="M426" s="196"/>
    </row>
    <row r="427">
      <c r="A427" s="139"/>
      <c r="B427" s="139"/>
      <c r="C427" s="139"/>
      <c r="D427" s="139"/>
      <c r="E427" s="139"/>
      <c r="F427" s="139"/>
      <c r="G427" s="580"/>
      <c r="H427" s="581"/>
      <c r="I427" s="196"/>
      <c r="J427" s="196"/>
      <c r="K427" s="196"/>
      <c r="L427" s="582"/>
      <c r="M427" s="196"/>
    </row>
    <row r="428">
      <c r="A428" s="139"/>
      <c r="B428" s="139"/>
      <c r="C428" s="139"/>
      <c r="D428" s="139"/>
      <c r="E428" s="139"/>
      <c r="F428" s="139"/>
      <c r="G428" s="580"/>
      <c r="H428" s="581"/>
      <c r="I428" s="196"/>
      <c r="J428" s="196"/>
      <c r="K428" s="196"/>
      <c r="L428" s="582"/>
      <c r="M428" s="196"/>
    </row>
    <row r="429">
      <c r="A429" s="139"/>
      <c r="B429" s="139"/>
      <c r="C429" s="139"/>
      <c r="D429" s="139"/>
      <c r="E429" s="139"/>
      <c r="F429" s="139"/>
      <c r="G429" s="580"/>
      <c r="H429" s="581"/>
      <c r="I429" s="196"/>
      <c r="J429" s="196"/>
      <c r="K429" s="196"/>
      <c r="L429" s="582"/>
      <c r="M429" s="196"/>
    </row>
    <row r="430">
      <c r="A430" s="139"/>
      <c r="B430" s="139"/>
      <c r="C430" s="139"/>
      <c r="D430" s="139"/>
      <c r="E430" s="139"/>
      <c r="F430" s="139"/>
      <c r="G430" s="580"/>
      <c r="H430" s="581"/>
      <c r="I430" s="196"/>
      <c r="J430" s="196"/>
      <c r="K430" s="196"/>
      <c r="L430" s="582"/>
      <c r="M430" s="196"/>
    </row>
    <row r="431">
      <c r="A431" s="139"/>
      <c r="B431" s="139"/>
      <c r="C431" s="139"/>
      <c r="D431" s="139"/>
      <c r="E431" s="139"/>
      <c r="F431" s="139"/>
      <c r="G431" s="580"/>
      <c r="H431" s="581"/>
      <c r="I431" s="196"/>
      <c r="J431" s="196"/>
      <c r="K431" s="196"/>
      <c r="L431" s="582"/>
      <c r="M431" s="196"/>
    </row>
    <row r="432">
      <c r="A432" s="139"/>
      <c r="B432" s="139"/>
      <c r="C432" s="139"/>
      <c r="D432" s="139"/>
      <c r="E432" s="139"/>
      <c r="F432" s="139"/>
      <c r="G432" s="580"/>
      <c r="H432" s="581"/>
      <c r="I432" s="196"/>
      <c r="J432" s="196"/>
      <c r="K432" s="196"/>
      <c r="L432" s="582"/>
      <c r="M432" s="196"/>
    </row>
    <row r="433">
      <c r="A433" s="139"/>
      <c r="B433" s="139"/>
      <c r="C433" s="139"/>
      <c r="D433" s="139"/>
      <c r="E433" s="139"/>
      <c r="F433" s="139"/>
      <c r="G433" s="580"/>
      <c r="H433" s="581"/>
      <c r="I433" s="196"/>
      <c r="J433" s="196"/>
      <c r="K433" s="196"/>
      <c r="L433" s="582"/>
      <c r="M433" s="196"/>
    </row>
    <row r="434">
      <c r="A434" s="139"/>
      <c r="B434" s="139"/>
      <c r="C434" s="139"/>
      <c r="D434" s="139"/>
      <c r="E434" s="139"/>
      <c r="F434" s="139"/>
      <c r="G434" s="580"/>
      <c r="H434" s="581"/>
      <c r="I434" s="196"/>
      <c r="J434" s="196"/>
      <c r="K434" s="196"/>
      <c r="L434" s="582"/>
      <c r="M434" s="196"/>
    </row>
    <row r="435">
      <c r="A435" s="139"/>
      <c r="B435" s="139"/>
      <c r="C435" s="139"/>
      <c r="D435" s="139"/>
      <c r="E435" s="139"/>
      <c r="F435" s="139"/>
      <c r="G435" s="580"/>
      <c r="H435" s="581"/>
      <c r="I435" s="196"/>
      <c r="J435" s="196"/>
      <c r="K435" s="196"/>
      <c r="L435" s="582"/>
      <c r="M435" s="196"/>
    </row>
    <row r="436">
      <c r="A436" s="139"/>
      <c r="B436" s="139"/>
      <c r="C436" s="139"/>
      <c r="D436" s="139"/>
      <c r="E436" s="139"/>
      <c r="F436" s="139"/>
      <c r="G436" s="580"/>
      <c r="H436" s="581"/>
      <c r="I436" s="196"/>
      <c r="J436" s="196"/>
      <c r="K436" s="196"/>
      <c r="L436" s="582"/>
      <c r="M436" s="196"/>
    </row>
    <row r="437">
      <c r="A437" s="139"/>
      <c r="B437" s="139"/>
      <c r="C437" s="139"/>
      <c r="D437" s="139"/>
      <c r="E437" s="139"/>
      <c r="F437" s="139"/>
      <c r="G437" s="580"/>
      <c r="H437" s="581"/>
      <c r="I437" s="196"/>
      <c r="J437" s="196"/>
      <c r="K437" s="196"/>
      <c r="L437" s="582"/>
      <c r="M437" s="196"/>
    </row>
    <row r="438">
      <c r="A438" s="139"/>
      <c r="B438" s="139"/>
      <c r="C438" s="139"/>
      <c r="D438" s="139"/>
      <c r="E438" s="139"/>
      <c r="F438" s="139"/>
      <c r="G438" s="580"/>
      <c r="H438" s="581"/>
      <c r="I438" s="196"/>
      <c r="J438" s="196"/>
      <c r="K438" s="196"/>
      <c r="L438" s="582"/>
      <c r="M438" s="196"/>
    </row>
    <row r="439">
      <c r="A439" s="139"/>
      <c r="B439" s="139"/>
      <c r="C439" s="139"/>
      <c r="D439" s="139"/>
      <c r="E439" s="139"/>
      <c r="F439" s="139"/>
      <c r="G439" s="580"/>
      <c r="H439" s="581"/>
      <c r="I439" s="196"/>
      <c r="J439" s="196"/>
      <c r="K439" s="196"/>
      <c r="L439" s="582"/>
      <c r="M439" s="196"/>
    </row>
    <row r="440">
      <c r="A440" s="139"/>
      <c r="B440" s="139"/>
      <c r="C440" s="139"/>
      <c r="D440" s="139"/>
      <c r="E440" s="139"/>
      <c r="F440" s="139"/>
      <c r="G440" s="580"/>
      <c r="H440" s="581"/>
      <c r="I440" s="196"/>
      <c r="J440" s="196"/>
      <c r="K440" s="196"/>
      <c r="L440" s="582"/>
      <c r="M440" s="196"/>
    </row>
    <row r="441">
      <c r="A441" s="139"/>
      <c r="B441" s="139"/>
      <c r="C441" s="139"/>
      <c r="D441" s="139"/>
      <c r="E441" s="139"/>
      <c r="F441" s="139"/>
      <c r="G441" s="580"/>
      <c r="H441" s="581"/>
      <c r="I441" s="196"/>
      <c r="J441" s="196"/>
      <c r="K441" s="196"/>
      <c r="L441" s="582"/>
      <c r="M441" s="196"/>
    </row>
    <row r="442">
      <c r="A442" s="139"/>
      <c r="B442" s="139"/>
      <c r="C442" s="139"/>
      <c r="D442" s="139"/>
      <c r="E442" s="139"/>
      <c r="F442" s="139"/>
      <c r="G442" s="580"/>
      <c r="H442" s="581"/>
      <c r="I442" s="196"/>
      <c r="J442" s="196"/>
      <c r="K442" s="196"/>
      <c r="L442" s="582"/>
      <c r="M442" s="196"/>
    </row>
    <row r="443">
      <c r="A443" s="139"/>
      <c r="B443" s="139"/>
      <c r="C443" s="139"/>
      <c r="D443" s="139"/>
      <c r="E443" s="139"/>
      <c r="F443" s="139"/>
      <c r="G443" s="580"/>
      <c r="H443" s="581"/>
      <c r="I443" s="196"/>
      <c r="J443" s="196"/>
      <c r="K443" s="196"/>
      <c r="L443" s="582"/>
      <c r="M443" s="196"/>
    </row>
    <row r="444">
      <c r="A444" s="139"/>
      <c r="B444" s="139"/>
      <c r="C444" s="139"/>
      <c r="D444" s="139"/>
      <c r="E444" s="139"/>
      <c r="F444" s="139"/>
      <c r="G444" s="580"/>
      <c r="H444" s="581"/>
      <c r="I444" s="196"/>
      <c r="J444" s="196"/>
      <c r="K444" s="196"/>
      <c r="L444" s="582"/>
      <c r="M444" s="196"/>
    </row>
    <row r="445">
      <c r="A445" s="139"/>
      <c r="B445" s="139"/>
      <c r="C445" s="139"/>
      <c r="D445" s="139"/>
      <c r="E445" s="139"/>
      <c r="F445" s="139"/>
      <c r="G445" s="580"/>
      <c r="H445" s="581"/>
      <c r="I445" s="196"/>
      <c r="J445" s="196"/>
      <c r="K445" s="196"/>
      <c r="L445" s="582"/>
      <c r="M445" s="196"/>
    </row>
    <row r="446">
      <c r="A446" s="139"/>
      <c r="B446" s="139"/>
      <c r="C446" s="139"/>
      <c r="D446" s="139"/>
      <c r="E446" s="139"/>
      <c r="F446" s="139"/>
      <c r="G446" s="580"/>
      <c r="H446" s="581"/>
      <c r="I446" s="196"/>
      <c r="J446" s="196"/>
      <c r="K446" s="196"/>
      <c r="L446" s="582"/>
      <c r="M446" s="196"/>
    </row>
    <row r="447">
      <c r="A447" s="139"/>
      <c r="B447" s="139"/>
      <c r="C447" s="139"/>
      <c r="D447" s="139"/>
      <c r="E447" s="139"/>
      <c r="F447" s="139"/>
      <c r="G447" s="580"/>
      <c r="H447" s="581"/>
      <c r="I447" s="196"/>
      <c r="J447" s="196"/>
      <c r="K447" s="196"/>
      <c r="L447" s="582"/>
      <c r="M447" s="196"/>
    </row>
    <row r="448">
      <c r="A448" s="139"/>
      <c r="B448" s="139"/>
      <c r="C448" s="139"/>
      <c r="D448" s="139"/>
      <c r="E448" s="139"/>
      <c r="F448" s="139"/>
      <c r="G448" s="580"/>
      <c r="H448" s="581"/>
      <c r="I448" s="196"/>
      <c r="J448" s="196"/>
      <c r="K448" s="196"/>
      <c r="L448" s="582"/>
      <c r="M448" s="196"/>
    </row>
    <row r="449">
      <c r="A449" s="139"/>
      <c r="B449" s="139"/>
      <c r="C449" s="139"/>
      <c r="D449" s="139"/>
      <c r="E449" s="139"/>
      <c r="F449" s="139"/>
      <c r="G449" s="580"/>
      <c r="H449" s="581"/>
      <c r="I449" s="196"/>
      <c r="J449" s="196"/>
      <c r="K449" s="196"/>
      <c r="L449" s="582"/>
      <c r="M449" s="196"/>
    </row>
    <row r="450">
      <c r="A450" s="139"/>
      <c r="B450" s="139"/>
      <c r="C450" s="139"/>
      <c r="D450" s="139"/>
      <c r="E450" s="139"/>
      <c r="F450" s="139"/>
      <c r="G450" s="580"/>
      <c r="H450" s="581"/>
      <c r="I450" s="196"/>
      <c r="J450" s="196"/>
      <c r="K450" s="196"/>
      <c r="L450" s="582"/>
      <c r="M450" s="196"/>
    </row>
    <row r="451">
      <c r="A451" s="139"/>
      <c r="B451" s="139"/>
      <c r="C451" s="139"/>
      <c r="D451" s="139"/>
      <c r="E451" s="139"/>
      <c r="F451" s="139"/>
      <c r="G451" s="580"/>
      <c r="H451" s="581"/>
      <c r="I451" s="196"/>
      <c r="J451" s="196"/>
      <c r="K451" s="196"/>
      <c r="L451" s="582"/>
      <c r="M451" s="196"/>
    </row>
    <row r="452">
      <c r="A452" s="139"/>
      <c r="B452" s="139"/>
      <c r="C452" s="139"/>
      <c r="D452" s="139"/>
      <c r="E452" s="139"/>
      <c r="F452" s="139"/>
      <c r="G452" s="580"/>
      <c r="H452" s="581"/>
      <c r="I452" s="196"/>
      <c r="J452" s="196"/>
      <c r="K452" s="196"/>
      <c r="L452" s="582"/>
      <c r="M452" s="196"/>
    </row>
    <row r="453">
      <c r="A453" s="139"/>
      <c r="B453" s="139"/>
      <c r="C453" s="139"/>
      <c r="D453" s="139"/>
      <c r="E453" s="139"/>
      <c r="F453" s="139"/>
      <c r="G453" s="580"/>
      <c r="H453" s="581"/>
      <c r="I453" s="196"/>
      <c r="J453" s="196"/>
      <c r="K453" s="196"/>
      <c r="L453" s="582"/>
      <c r="M453" s="196"/>
    </row>
    <row r="454">
      <c r="A454" s="139"/>
      <c r="B454" s="139"/>
      <c r="C454" s="139"/>
      <c r="D454" s="139"/>
      <c r="E454" s="139"/>
      <c r="F454" s="139"/>
      <c r="G454" s="580"/>
      <c r="H454" s="581"/>
      <c r="I454" s="196"/>
      <c r="J454" s="196"/>
      <c r="K454" s="196"/>
      <c r="L454" s="582"/>
      <c r="M454" s="196"/>
    </row>
    <row r="455">
      <c r="A455" s="139"/>
      <c r="B455" s="139"/>
      <c r="C455" s="139"/>
      <c r="D455" s="139"/>
      <c r="E455" s="139"/>
      <c r="F455" s="139"/>
      <c r="G455" s="580"/>
      <c r="H455" s="581"/>
      <c r="I455" s="196"/>
      <c r="J455" s="196"/>
      <c r="K455" s="196"/>
      <c r="L455" s="582"/>
      <c r="M455" s="196"/>
    </row>
    <row r="456">
      <c r="A456" s="139"/>
      <c r="B456" s="139"/>
      <c r="C456" s="139"/>
      <c r="D456" s="139"/>
      <c r="E456" s="139"/>
      <c r="F456" s="139"/>
      <c r="G456" s="580"/>
      <c r="H456" s="581"/>
      <c r="I456" s="196"/>
      <c r="J456" s="196"/>
      <c r="K456" s="196"/>
      <c r="L456" s="582"/>
      <c r="M456" s="196"/>
    </row>
    <row r="457">
      <c r="A457" s="139"/>
      <c r="B457" s="139"/>
      <c r="C457" s="139"/>
      <c r="D457" s="139"/>
      <c r="E457" s="139"/>
      <c r="F457" s="139"/>
      <c r="G457" s="580"/>
      <c r="H457" s="581"/>
      <c r="I457" s="196"/>
      <c r="J457" s="196"/>
      <c r="K457" s="196"/>
      <c r="L457" s="582"/>
      <c r="M457" s="196"/>
    </row>
    <row r="458">
      <c r="A458" s="139"/>
      <c r="B458" s="139"/>
      <c r="C458" s="139"/>
      <c r="D458" s="139"/>
      <c r="E458" s="139"/>
      <c r="F458" s="139"/>
      <c r="G458" s="580"/>
      <c r="H458" s="581"/>
      <c r="I458" s="196"/>
      <c r="J458" s="196"/>
      <c r="K458" s="196"/>
      <c r="L458" s="582"/>
      <c r="M458" s="196"/>
    </row>
    <row r="459">
      <c r="A459" s="139"/>
      <c r="B459" s="139"/>
      <c r="C459" s="139"/>
      <c r="D459" s="139"/>
      <c r="E459" s="139"/>
      <c r="F459" s="139"/>
      <c r="G459" s="580"/>
      <c r="H459" s="581"/>
      <c r="I459" s="196"/>
      <c r="J459" s="196"/>
      <c r="K459" s="196"/>
      <c r="L459" s="582"/>
      <c r="M459" s="196"/>
    </row>
    <row r="460">
      <c r="A460" s="139"/>
      <c r="B460" s="139"/>
      <c r="C460" s="139"/>
      <c r="D460" s="139"/>
      <c r="E460" s="139"/>
      <c r="F460" s="139"/>
      <c r="G460" s="580"/>
      <c r="H460" s="581"/>
      <c r="I460" s="196"/>
      <c r="J460" s="196"/>
      <c r="K460" s="196"/>
      <c r="L460" s="582"/>
      <c r="M460" s="196"/>
    </row>
    <row r="461">
      <c r="A461" s="139"/>
      <c r="B461" s="139"/>
      <c r="C461" s="139"/>
      <c r="D461" s="139"/>
      <c r="E461" s="139"/>
      <c r="F461" s="139"/>
      <c r="G461" s="580"/>
      <c r="H461" s="581"/>
      <c r="I461" s="196"/>
      <c r="J461" s="196"/>
      <c r="K461" s="196"/>
      <c r="L461" s="582"/>
      <c r="M461" s="196"/>
    </row>
    <row r="462">
      <c r="A462" s="139"/>
      <c r="B462" s="139"/>
      <c r="C462" s="139"/>
      <c r="D462" s="139"/>
      <c r="E462" s="139"/>
      <c r="F462" s="139"/>
      <c r="G462" s="580"/>
      <c r="H462" s="581"/>
      <c r="I462" s="196"/>
      <c r="J462" s="196"/>
      <c r="K462" s="196"/>
      <c r="L462" s="582"/>
      <c r="M462" s="196"/>
    </row>
    <row r="463">
      <c r="A463" s="139"/>
      <c r="B463" s="139"/>
      <c r="C463" s="139"/>
      <c r="D463" s="139"/>
      <c r="E463" s="139"/>
      <c r="F463" s="139"/>
      <c r="G463" s="580"/>
      <c r="H463" s="581"/>
      <c r="I463" s="196"/>
      <c r="J463" s="196"/>
      <c r="K463" s="196"/>
      <c r="L463" s="582"/>
      <c r="M463" s="196"/>
    </row>
    <row r="464">
      <c r="A464" s="139"/>
      <c r="B464" s="139"/>
      <c r="C464" s="139"/>
      <c r="D464" s="139"/>
      <c r="E464" s="139"/>
      <c r="F464" s="139"/>
      <c r="G464" s="580"/>
      <c r="H464" s="581"/>
      <c r="I464" s="196"/>
      <c r="J464" s="196"/>
      <c r="K464" s="196"/>
      <c r="L464" s="582"/>
      <c r="M464" s="196"/>
    </row>
    <row r="465">
      <c r="A465" s="139"/>
      <c r="B465" s="139"/>
      <c r="C465" s="139"/>
      <c r="D465" s="139"/>
      <c r="E465" s="139"/>
      <c r="F465" s="139"/>
      <c r="G465" s="580"/>
      <c r="H465" s="581"/>
      <c r="I465" s="196"/>
      <c r="J465" s="196"/>
      <c r="K465" s="196"/>
      <c r="L465" s="582"/>
      <c r="M465" s="196"/>
    </row>
    <row r="466">
      <c r="A466" s="139"/>
      <c r="B466" s="139"/>
      <c r="C466" s="139"/>
      <c r="D466" s="139"/>
      <c r="E466" s="139"/>
      <c r="F466" s="139"/>
      <c r="G466" s="580"/>
      <c r="H466" s="581"/>
      <c r="I466" s="196"/>
      <c r="J466" s="196"/>
      <c r="K466" s="196"/>
      <c r="L466" s="582"/>
      <c r="M466" s="196"/>
    </row>
    <row r="467">
      <c r="A467" s="139"/>
      <c r="B467" s="139"/>
      <c r="C467" s="139"/>
      <c r="D467" s="139"/>
      <c r="E467" s="139"/>
      <c r="F467" s="139"/>
      <c r="G467" s="580"/>
      <c r="H467" s="581"/>
      <c r="I467" s="196"/>
      <c r="J467" s="196"/>
      <c r="K467" s="196"/>
      <c r="L467" s="582"/>
      <c r="M467" s="196"/>
    </row>
    <row r="468">
      <c r="A468" s="139"/>
      <c r="B468" s="139"/>
      <c r="C468" s="139"/>
      <c r="D468" s="139"/>
      <c r="E468" s="139"/>
      <c r="F468" s="139"/>
      <c r="G468" s="580"/>
      <c r="H468" s="581"/>
      <c r="I468" s="196"/>
      <c r="J468" s="196"/>
      <c r="K468" s="196"/>
      <c r="L468" s="582"/>
      <c r="M468" s="196"/>
    </row>
    <row r="469">
      <c r="A469" s="139"/>
      <c r="B469" s="139"/>
      <c r="C469" s="139"/>
      <c r="D469" s="139"/>
      <c r="E469" s="139"/>
      <c r="F469" s="139"/>
      <c r="G469" s="580"/>
      <c r="H469" s="581"/>
      <c r="I469" s="196"/>
      <c r="J469" s="196"/>
      <c r="K469" s="196"/>
      <c r="L469" s="582"/>
      <c r="M469" s="196"/>
    </row>
    <row r="470">
      <c r="A470" s="139"/>
      <c r="B470" s="139"/>
      <c r="C470" s="139"/>
      <c r="D470" s="139"/>
      <c r="E470" s="139"/>
      <c r="F470" s="139"/>
      <c r="G470" s="580"/>
      <c r="H470" s="581"/>
      <c r="I470" s="196"/>
      <c r="J470" s="196"/>
      <c r="K470" s="196"/>
      <c r="L470" s="582"/>
      <c r="M470" s="196"/>
    </row>
    <row r="471">
      <c r="A471" s="139"/>
      <c r="B471" s="139"/>
      <c r="C471" s="139"/>
      <c r="D471" s="139"/>
      <c r="E471" s="139"/>
      <c r="F471" s="139"/>
      <c r="G471" s="580"/>
      <c r="H471" s="581"/>
      <c r="I471" s="196"/>
      <c r="J471" s="196"/>
      <c r="K471" s="196"/>
      <c r="L471" s="582"/>
      <c r="M471" s="196"/>
    </row>
    <row r="472">
      <c r="A472" s="139"/>
      <c r="B472" s="139"/>
      <c r="C472" s="139"/>
      <c r="D472" s="139"/>
      <c r="E472" s="139"/>
      <c r="F472" s="139"/>
      <c r="G472" s="580"/>
      <c r="H472" s="581"/>
      <c r="I472" s="196"/>
      <c r="J472" s="196"/>
      <c r="K472" s="196"/>
      <c r="L472" s="582"/>
      <c r="M472" s="196"/>
    </row>
    <row r="473">
      <c r="A473" s="139"/>
      <c r="B473" s="139"/>
      <c r="C473" s="139"/>
      <c r="D473" s="139"/>
      <c r="E473" s="139"/>
      <c r="F473" s="139"/>
      <c r="G473" s="580"/>
      <c r="H473" s="581"/>
      <c r="I473" s="196"/>
      <c r="J473" s="196"/>
      <c r="K473" s="196"/>
      <c r="L473" s="582"/>
      <c r="M473" s="196"/>
    </row>
    <row r="474">
      <c r="A474" s="139"/>
      <c r="B474" s="139"/>
      <c r="C474" s="139"/>
      <c r="D474" s="139"/>
      <c r="E474" s="139"/>
      <c r="F474" s="139"/>
      <c r="G474" s="580"/>
      <c r="H474" s="581"/>
      <c r="I474" s="196"/>
      <c r="J474" s="196"/>
      <c r="K474" s="196"/>
      <c r="L474" s="582"/>
      <c r="M474" s="196"/>
    </row>
    <row r="475">
      <c r="A475" s="139"/>
      <c r="B475" s="139"/>
      <c r="C475" s="139"/>
      <c r="D475" s="139"/>
      <c r="E475" s="139"/>
      <c r="F475" s="139"/>
      <c r="G475" s="580"/>
      <c r="H475" s="581"/>
      <c r="I475" s="196"/>
      <c r="J475" s="196"/>
      <c r="K475" s="196"/>
      <c r="L475" s="582"/>
      <c r="M475" s="196"/>
    </row>
    <row r="476">
      <c r="A476" s="139"/>
      <c r="B476" s="139"/>
      <c r="C476" s="139"/>
      <c r="D476" s="139"/>
      <c r="E476" s="139"/>
      <c r="F476" s="139"/>
      <c r="G476" s="580"/>
      <c r="H476" s="581"/>
      <c r="I476" s="196"/>
      <c r="J476" s="196"/>
      <c r="K476" s="196"/>
      <c r="L476" s="582"/>
      <c r="M476" s="196"/>
    </row>
    <row r="477">
      <c r="A477" s="139"/>
      <c r="B477" s="139"/>
      <c r="C477" s="139"/>
      <c r="D477" s="139"/>
      <c r="E477" s="139"/>
      <c r="F477" s="139"/>
      <c r="G477" s="580"/>
      <c r="H477" s="581"/>
      <c r="I477" s="196"/>
      <c r="J477" s="196"/>
      <c r="K477" s="196"/>
      <c r="L477" s="582"/>
      <c r="M477" s="196"/>
    </row>
    <row r="478">
      <c r="A478" s="139"/>
      <c r="B478" s="139"/>
      <c r="C478" s="139"/>
      <c r="D478" s="139"/>
      <c r="E478" s="139"/>
      <c r="F478" s="139"/>
      <c r="G478" s="580"/>
      <c r="H478" s="581"/>
      <c r="I478" s="196"/>
      <c r="J478" s="196"/>
      <c r="K478" s="196"/>
      <c r="L478" s="582"/>
      <c r="M478" s="196"/>
    </row>
    <row r="479">
      <c r="A479" s="139"/>
      <c r="B479" s="139"/>
      <c r="C479" s="139"/>
      <c r="D479" s="139"/>
      <c r="E479" s="139"/>
      <c r="F479" s="139"/>
      <c r="G479" s="580"/>
      <c r="H479" s="581"/>
      <c r="I479" s="196"/>
      <c r="J479" s="196"/>
      <c r="K479" s="196"/>
      <c r="L479" s="582"/>
      <c r="M479" s="196"/>
    </row>
    <row r="480">
      <c r="A480" s="139"/>
      <c r="B480" s="139"/>
      <c r="C480" s="139"/>
      <c r="D480" s="139"/>
      <c r="E480" s="139"/>
      <c r="F480" s="139"/>
      <c r="G480" s="580"/>
      <c r="H480" s="581"/>
      <c r="I480" s="196"/>
      <c r="J480" s="196"/>
      <c r="K480" s="196"/>
      <c r="L480" s="582"/>
      <c r="M480" s="196"/>
    </row>
    <row r="481">
      <c r="A481" s="139"/>
      <c r="B481" s="139"/>
      <c r="C481" s="139"/>
      <c r="D481" s="139"/>
      <c r="E481" s="139"/>
      <c r="F481" s="139"/>
      <c r="G481" s="580"/>
      <c r="H481" s="581"/>
      <c r="I481" s="196"/>
      <c r="J481" s="196"/>
      <c r="K481" s="196"/>
      <c r="L481" s="582"/>
      <c r="M481" s="196"/>
    </row>
    <row r="482">
      <c r="A482" s="139"/>
      <c r="B482" s="139"/>
      <c r="C482" s="139"/>
      <c r="D482" s="139"/>
      <c r="E482" s="139"/>
      <c r="F482" s="139"/>
      <c r="G482" s="580"/>
      <c r="H482" s="581"/>
      <c r="I482" s="196"/>
      <c r="J482" s="196"/>
      <c r="K482" s="196"/>
      <c r="L482" s="582"/>
      <c r="M482" s="196"/>
    </row>
    <row r="483">
      <c r="A483" s="139"/>
      <c r="B483" s="139"/>
      <c r="C483" s="139"/>
      <c r="D483" s="139"/>
      <c r="E483" s="139"/>
      <c r="F483" s="139"/>
      <c r="G483" s="580"/>
      <c r="H483" s="581"/>
      <c r="I483" s="196"/>
      <c r="J483" s="196"/>
      <c r="K483" s="196"/>
      <c r="L483" s="582"/>
      <c r="M483" s="196"/>
    </row>
    <row r="484">
      <c r="A484" s="139"/>
      <c r="B484" s="139"/>
      <c r="C484" s="139"/>
      <c r="D484" s="139"/>
      <c r="E484" s="139"/>
      <c r="F484" s="139"/>
      <c r="G484" s="580"/>
      <c r="H484" s="581"/>
      <c r="I484" s="196"/>
      <c r="J484" s="196"/>
      <c r="K484" s="196"/>
      <c r="L484" s="582"/>
      <c r="M484" s="196"/>
    </row>
    <row r="485">
      <c r="A485" s="139"/>
      <c r="B485" s="139"/>
      <c r="C485" s="139"/>
      <c r="D485" s="139"/>
      <c r="E485" s="139"/>
      <c r="F485" s="139"/>
      <c r="G485" s="580"/>
      <c r="H485" s="581"/>
      <c r="I485" s="196"/>
      <c r="J485" s="196"/>
      <c r="K485" s="196"/>
      <c r="L485" s="582"/>
      <c r="M485" s="196"/>
    </row>
    <row r="486">
      <c r="A486" s="139"/>
      <c r="B486" s="139"/>
      <c r="C486" s="139"/>
      <c r="D486" s="139"/>
      <c r="E486" s="139"/>
      <c r="F486" s="139"/>
      <c r="G486" s="580"/>
      <c r="H486" s="581"/>
      <c r="I486" s="196"/>
      <c r="J486" s="196"/>
      <c r="K486" s="196"/>
      <c r="L486" s="582"/>
      <c r="M486" s="196"/>
    </row>
    <row r="487">
      <c r="A487" s="139"/>
      <c r="B487" s="139"/>
      <c r="C487" s="139"/>
      <c r="D487" s="139"/>
      <c r="E487" s="139"/>
      <c r="F487" s="139"/>
      <c r="G487" s="580"/>
      <c r="H487" s="581"/>
      <c r="I487" s="196"/>
      <c r="J487" s="196"/>
      <c r="K487" s="196"/>
      <c r="L487" s="582"/>
      <c r="M487" s="196"/>
    </row>
    <row r="488">
      <c r="A488" s="139"/>
      <c r="B488" s="139"/>
      <c r="C488" s="139"/>
      <c r="D488" s="139"/>
      <c r="E488" s="139"/>
      <c r="F488" s="139"/>
      <c r="G488" s="580"/>
      <c r="H488" s="581"/>
      <c r="I488" s="196"/>
      <c r="J488" s="196"/>
      <c r="K488" s="196"/>
      <c r="L488" s="582"/>
      <c r="M488" s="196"/>
    </row>
    <row r="489">
      <c r="A489" s="139"/>
      <c r="B489" s="139"/>
      <c r="C489" s="139"/>
      <c r="D489" s="139"/>
      <c r="E489" s="139"/>
      <c r="F489" s="139"/>
      <c r="G489" s="580"/>
      <c r="H489" s="581"/>
      <c r="I489" s="196"/>
      <c r="J489" s="196"/>
      <c r="K489" s="196"/>
      <c r="L489" s="582"/>
      <c r="M489" s="196"/>
    </row>
    <row r="490">
      <c r="A490" s="139"/>
      <c r="B490" s="139"/>
      <c r="C490" s="139"/>
      <c r="D490" s="139"/>
      <c r="E490" s="139"/>
      <c r="F490" s="139"/>
      <c r="G490" s="580"/>
      <c r="H490" s="581"/>
      <c r="I490" s="196"/>
      <c r="J490" s="196"/>
      <c r="K490" s="196"/>
      <c r="L490" s="582"/>
      <c r="M490" s="196"/>
    </row>
    <row r="491">
      <c r="A491" s="139"/>
      <c r="B491" s="139"/>
      <c r="C491" s="139"/>
      <c r="D491" s="139"/>
      <c r="E491" s="139"/>
      <c r="F491" s="139"/>
      <c r="G491" s="580"/>
      <c r="H491" s="581"/>
      <c r="I491" s="196"/>
      <c r="J491" s="196"/>
      <c r="K491" s="196"/>
      <c r="L491" s="582"/>
      <c r="M491" s="196"/>
    </row>
    <row r="492">
      <c r="A492" s="139"/>
      <c r="B492" s="139"/>
      <c r="C492" s="139"/>
      <c r="D492" s="139"/>
      <c r="E492" s="139"/>
      <c r="F492" s="139"/>
      <c r="G492" s="580"/>
      <c r="H492" s="581"/>
      <c r="I492" s="196"/>
      <c r="J492" s="196"/>
      <c r="K492" s="196"/>
      <c r="L492" s="582"/>
      <c r="M492" s="196"/>
    </row>
    <row r="493">
      <c r="A493" s="139"/>
      <c r="B493" s="139"/>
      <c r="C493" s="139"/>
      <c r="D493" s="139"/>
      <c r="E493" s="139"/>
      <c r="F493" s="139"/>
      <c r="G493" s="580"/>
      <c r="H493" s="581"/>
      <c r="I493" s="196"/>
      <c r="J493" s="196"/>
      <c r="K493" s="196"/>
      <c r="L493" s="582"/>
      <c r="M493" s="196"/>
    </row>
    <row r="494">
      <c r="A494" s="139"/>
      <c r="B494" s="139"/>
      <c r="C494" s="139"/>
      <c r="D494" s="139"/>
      <c r="E494" s="139"/>
      <c r="F494" s="139"/>
      <c r="G494" s="580"/>
      <c r="H494" s="581"/>
      <c r="I494" s="196"/>
      <c r="J494" s="196"/>
      <c r="K494" s="196"/>
      <c r="L494" s="582"/>
      <c r="M494" s="196"/>
    </row>
    <row r="495">
      <c r="A495" s="139"/>
      <c r="B495" s="139"/>
      <c r="C495" s="139"/>
      <c r="D495" s="139"/>
      <c r="E495" s="139"/>
      <c r="F495" s="139"/>
      <c r="G495" s="580"/>
      <c r="H495" s="581"/>
      <c r="I495" s="196"/>
      <c r="J495" s="196"/>
      <c r="K495" s="196"/>
      <c r="L495" s="582"/>
      <c r="M495" s="196"/>
    </row>
    <row r="496">
      <c r="A496" s="139"/>
      <c r="B496" s="139"/>
      <c r="C496" s="139"/>
      <c r="D496" s="139"/>
      <c r="E496" s="139"/>
      <c r="F496" s="139"/>
      <c r="G496" s="580"/>
      <c r="H496" s="581"/>
      <c r="I496" s="196"/>
      <c r="J496" s="196"/>
      <c r="K496" s="196"/>
      <c r="L496" s="582"/>
      <c r="M496" s="196"/>
    </row>
    <row r="497">
      <c r="A497" s="139"/>
      <c r="B497" s="139"/>
      <c r="C497" s="139"/>
      <c r="D497" s="139"/>
      <c r="E497" s="139"/>
      <c r="F497" s="139"/>
      <c r="G497" s="580"/>
      <c r="H497" s="581"/>
      <c r="I497" s="196"/>
      <c r="J497" s="196"/>
      <c r="K497" s="196"/>
      <c r="L497" s="582"/>
      <c r="M497" s="196"/>
    </row>
    <row r="498">
      <c r="A498" s="139"/>
      <c r="B498" s="139"/>
      <c r="C498" s="139"/>
      <c r="D498" s="139"/>
      <c r="E498" s="139"/>
      <c r="F498" s="139"/>
      <c r="G498" s="580"/>
      <c r="H498" s="581"/>
      <c r="I498" s="196"/>
      <c r="J498" s="196"/>
      <c r="K498" s="196"/>
      <c r="L498" s="582"/>
      <c r="M498" s="196"/>
    </row>
    <row r="499">
      <c r="A499" s="139"/>
      <c r="B499" s="139"/>
      <c r="C499" s="139"/>
      <c r="D499" s="139"/>
      <c r="E499" s="139"/>
      <c r="F499" s="139"/>
      <c r="G499" s="580"/>
      <c r="H499" s="581"/>
      <c r="I499" s="196"/>
      <c r="J499" s="196"/>
      <c r="K499" s="196"/>
      <c r="L499" s="582"/>
      <c r="M499" s="196"/>
    </row>
    <row r="500">
      <c r="A500" s="139"/>
      <c r="B500" s="139"/>
      <c r="C500" s="139"/>
      <c r="D500" s="139"/>
      <c r="E500" s="139"/>
      <c r="F500" s="139"/>
      <c r="G500" s="580"/>
      <c r="H500" s="581"/>
      <c r="I500" s="196"/>
      <c r="J500" s="196"/>
      <c r="K500" s="196"/>
      <c r="L500" s="582"/>
      <c r="M500" s="196"/>
    </row>
    <row r="501">
      <c r="A501" s="139"/>
      <c r="B501" s="139"/>
      <c r="C501" s="139"/>
      <c r="D501" s="139"/>
      <c r="E501" s="139"/>
      <c r="F501" s="139"/>
      <c r="G501" s="580"/>
      <c r="H501" s="581"/>
      <c r="I501" s="196"/>
      <c r="J501" s="196"/>
      <c r="K501" s="196"/>
      <c r="L501" s="582"/>
      <c r="M501" s="196"/>
    </row>
    <row r="502">
      <c r="A502" s="139"/>
      <c r="B502" s="139"/>
      <c r="C502" s="139"/>
      <c r="D502" s="139"/>
      <c r="E502" s="139"/>
      <c r="F502" s="139"/>
      <c r="G502" s="580"/>
      <c r="H502" s="581"/>
      <c r="I502" s="196"/>
      <c r="J502" s="196"/>
      <c r="K502" s="196"/>
      <c r="L502" s="582"/>
      <c r="M502" s="196"/>
    </row>
    <row r="503">
      <c r="A503" s="139"/>
      <c r="B503" s="139"/>
      <c r="C503" s="139"/>
      <c r="D503" s="139"/>
      <c r="E503" s="139"/>
      <c r="F503" s="139"/>
      <c r="G503" s="580"/>
      <c r="H503" s="581"/>
      <c r="I503" s="196"/>
      <c r="J503" s="196"/>
      <c r="K503" s="196"/>
      <c r="L503" s="582"/>
      <c r="M503" s="196"/>
    </row>
    <row r="504">
      <c r="A504" s="139"/>
      <c r="B504" s="139"/>
      <c r="C504" s="139"/>
      <c r="D504" s="139"/>
      <c r="E504" s="139"/>
      <c r="F504" s="139"/>
      <c r="G504" s="580"/>
      <c r="H504" s="581"/>
      <c r="I504" s="196"/>
      <c r="J504" s="196"/>
      <c r="K504" s="196"/>
      <c r="L504" s="582"/>
      <c r="M504" s="196"/>
    </row>
    <row r="505">
      <c r="A505" s="139"/>
      <c r="B505" s="139"/>
      <c r="C505" s="139"/>
      <c r="D505" s="139"/>
      <c r="E505" s="139"/>
      <c r="F505" s="139"/>
      <c r="G505" s="580"/>
      <c r="H505" s="581"/>
      <c r="I505" s="196"/>
      <c r="J505" s="196"/>
      <c r="K505" s="196"/>
      <c r="L505" s="582"/>
      <c r="M505" s="196"/>
    </row>
    <row r="506">
      <c r="A506" s="139"/>
      <c r="B506" s="139"/>
      <c r="C506" s="139"/>
      <c r="D506" s="139"/>
      <c r="E506" s="139"/>
      <c r="F506" s="139"/>
      <c r="G506" s="580"/>
      <c r="H506" s="581"/>
      <c r="I506" s="196"/>
      <c r="J506" s="196"/>
      <c r="K506" s="196"/>
      <c r="L506" s="582"/>
      <c r="M506" s="196"/>
    </row>
    <row r="507">
      <c r="A507" s="139"/>
      <c r="B507" s="139"/>
      <c r="C507" s="139"/>
      <c r="D507" s="139"/>
      <c r="E507" s="139"/>
      <c r="F507" s="139"/>
      <c r="G507" s="580"/>
      <c r="H507" s="581"/>
      <c r="I507" s="196"/>
      <c r="J507" s="196"/>
      <c r="K507" s="196"/>
      <c r="L507" s="582"/>
      <c r="M507" s="196"/>
    </row>
    <row r="508">
      <c r="A508" s="139"/>
      <c r="B508" s="139"/>
      <c r="C508" s="139"/>
      <c r="D508" s="139"/>
      <c r="E508" s="139"/>
      <c r="F508" s="139"/>
      <c r="G508" s="580"/>
      <c r="H508" s="581"/>
      <c r="I508" s="196"/>
      <c r="J508" s="196"/>
      <c r="K508" s="196"/>
      <c r="L508" s="582"/>
      <c r="M508" s="196"/>
    </row>
    <row r="509">
      <c r="A509" s="139"/>
      <c r="B509" s="139"/>
      <c r="C509" s="139"/>
      <c r="D509" s="139"/>
      <c r="E509" s="139"/>
      <c r="F509" s="139"/>
      <c r="G509" s="580"/>
      <c r="H509" s="581"/>
      <c r="I509" s="196"/>
      <c r="J509" s="196"/>
      <c r="K509" s="196"/>
      <c r="L509" s="582"/>
      <c r="M509" s="196"/>
    </row>
    <row r="510">
      <c r="A510" s="139"/>
      <c r="B510" s="139"/>
      <c r="C510" s="139"/>
      <c r="D510" s="139"/>
      <c r="E510" s="139"/>
      <c r="F510" s="139"/>
      <c r="G510" s="580"/>
      <c r="H510" s="581"/>
      <c r="I510" s="196"/>
      <c r="J510" s="196"/>
      <c r="K510" s="196"/>
      <c r="L510" s="582"/>
      <c r="M510" s="196"/>
    </row>
    <row r="511">
      <c r="A511" s="139"/>
      <c r="B511" s="139"/>
      <c r="C511" s="139"/>
      <c r="D511" s="139"/>
      <c r="E511" s="139"/>
      <c r="F511" s="139"/>
      <c r="G511" s="580"/>
      <c r="H511" s="581"/>
      <c r="I511" s="196"/>
      <c r="J511" s="196"/>
      <c r="K511" s="196"/>
      <c r="L511" s="582"/>
      <c r="M511" s="196"/>
    </row>
    <row r="512">
      <c r="A512" s="139"/>
      <c r="B512" s="139"/>
      <c r="C512" s="139"/>
      <c r="D512" s="139"/>
      <c r="E512" s="139"/>
      <c r="F512" s="139"/>
      <c r="G512" s="580"/>
      <c r="H512" s="581"/>
      <c r="I512" s="196"/>
      <c r="J512" s="196"/>
      <c r="K512" s="196"/>
      <c r="L512" s="582"/>
      <c r="M512" s="196"/>
    </row>
    <row r="513">
      <c r="A513" s="139"/>
      <c r="B513" s="139"/>
      <c r="C513" s="139"/>
      <c r="D513" s="139"/>
      <c r="E513" s="139"/>
      <c r="F513" s="139"/>
      <c r="G513" s="580"/>
      <c r="H513" s="581"/>
      <c r="I513" s="196"/>
      <c r="J513" s="196"/>
      <c r="K513" s="196"/>
      <c r="L513" s="582"/>
      <c r="M513" s="196"/>
    </row>
    <row r="514">
      <c r="A514" s="139"/>
      <c r="B514" s="139"/>
      <c r="C514" s="139"/>
      <c r="D514" s="139"/>
      <c r="E514" s="139"/>
      <c r="F514" s="139"/>
      <c r="G514" s="580"/>
      <c r="H514" s="581"/>
      <c r="I514" s="196"/>
      <c r="J514" s="196"/>
      <c r="K514" s="196"/>
      <c r="L514" s="582"/>
      <c r="M514" s="196"/>
    </row>
    <row r="515">
      <c r="A515" s="139"/>
      <c r="B515" s="139"/>
      <c r="C515" s="139"/>
      <c r="D515" s="139"/>
      <c r="E515" s="139"/>
      <c r="F515" s="139"/>
      <c r="G515" s="580"/>
      <c r="H515" s="581"/>
      <c r="I515" s="196"/>
      <c r="J515" s="196"/>
      <c r="K515" s="196"/>
      <c r="L515" s="582"/>
      <c r="M515" s="196"/>
    </row>
    <row r="516">
      <c r="A516" s="139"/>
      <c r="B516" s="139"/>
      <c r="C516" s="139"/>
      <c r="D516" s="139"/>
      <c r="E516" s="139"/>
      <c r="F516" s="139"/>
      <c r="G516" s="580"/>
      <c r="H516" s="581"/>
      <c r="I516" s="196"/>
      <c r="J516" s="196"/>
      <c r="K516" s="196"/>
      <c r="L516" s="582"/>
      <c r="M516" s="196"/>
    </row>
    <row r="517">
      <c r="A517" s="139"/>
      <c r="B517" s="139"/>
      <c r="C517" s="139"/>
      <c r="D517" s="139"/>
      <c r="E517" s="139"/>
      <c r="F517" s="139"/>
      <c r="G517" s="580"/>
      <c r="H517" s="581"/>
      <c r="I517" s="196"/>
      <c r="J517" s="196"/>
      <c r="K517" s="196"/>
      <c r="L517" s="582"/>
      <c r="M517" s="196"/>
    </row>
    <row r="518">
      <c r="A518" s="139"/>
      <c r="B518" s="139"/>
      <c r="C518" s="139"/>
      <c r="D518" s="139"/>
      <c r="E518" s="139"/>
      <c r="F518" s="139"/>
      <c r="G518" s="580"/>
      <c r="H518" s="581"/>
      <c r="I518" s="196"/>
      <c r="J518" s="196"/>
      <c r="K518" s="196"/>
      <c r="L518" s="582"/>
      <c r="M518" s="196"/>
    </row>
    <row r="519">
      <c r="A519" s="139"/>
      <c r="B519" s="139"/>
      <c r="C519" s="139"/>
      <c r="D519" s="139"/>
      <c r="E519" s="139"/>
      <c r="F519" s="139"/>
      <c r="G519" s="580"/>
      <c r="H519" s="581"/>
      <c r="I519" s="196"/>
      <c r="J519" s="196"/>
      <c r="K519" s="196"/>
      <c r="L519" s="582"/>
      <c r="M519" s="196"/>
    </row>
    <row r="520">
      <c r="A520" s="139"/>
      <c r="B520" s="139"/>
      <c r="C520" s="139"/>
      <c r="D520" s="139"/>
      <c r="E520" s="139"/>
      <c r="F520" s="139"/>
      <c r="G520" s="580"/>
      <c r="H520" s="581"/>
      <c r="I520" s="196"/>
      <c r="J520" s="196"/>
      <c r="K520" s="196"/>
      <c r="L520" s="582"/>
      <c r="M520" s="196"/>
    </row>
    <row r="521">
      <c r="A521" s="139"/>
      <c r="B521" s="139"/>
      <c r="C521" s="139"/>
      <c r="D521" s="139"/>
      <c r="E521" s="139"/>
      <c r="F521" s="139"/>
      <c r="G521" s="580"/>
      <c r="H521" s="581"/>
      <c r="I521" s="196"/>
      <c r="J521" s="196"/>
      <c r="K521" s="196"/>
      <c r="L521" s="582"/>
      <c r="M521" s="196"/>
    </row>
    <row r="522">
      <c r="A522" s="139"/>
      <c r="B522" s="139"/>
      <c r="C522" s="139"/>
      <c r="D522" s="139"/>
      <c r="E522" s="139"/>
      <c r="F522" s="139"/>
      <c r="G522" s="580"/>
      <c r="H522" s="581"/>
      <c r="I522" s="196"/>
      <c r="J522" s="196"/>
      <c r="K522" s="196"/>
      <c r="L522" s="582"/>
      <c r="M522" s="196"/>
    </row>
    <row r="523">
      <c r="A523" s="139"/>
      <c r="B523" s="139"/>
      <c r="C523" s="139"/>
      <c r="D523" s="139"/>
      <c r="E523" s="139"/>
      <c r="F523" s="139"/>
      <c r="G523" s="580"/>
      <c r="H523" s="581"/>
      <c r="I523" s="196"/>
      <c r="J523" s="196"/>
      <c r="K523" s="196"/>
      <c r="L523" s="582"/>
      <c r="M523" s="196"/>
    </row>
    <row r="524">
      <c r="A524" s="139"/>
      <c r="B524" s="139"/>
      <c r="C524" s="139"/>
      <c r="D524" s="139"/>
      <c r="E524" s="139"/>
      <c r="F524" s="139"/>
      <c r="G524" s="580"/>
      <c r="H524" s="581"/>
      <c r="I524" s="196"/>
      <c r="J524" s="196"/>
      <c r="K524" s="196"/>
      <c r="L524" s="582"/>
      <c r="M524" s="196"/>
    </row>
    <row r="525">
      <c r="A525" s="139"/>
      <c r="B525" s="139"/>
      <c r="C525" s="139"/>
      <c r="D525" s="139"/>
      <c r="E525" s="139"/>
      <c r="F525" s="139"/>
      <c r="G525" s="580"/>
      <c r="H525" s="581"/>
      <c r="I525" s="196"/>
      <c r="J525" s="196"/>
      <c r="K525" s="196"/>
      <c r="L525" s="582"/>
      <c r="M525" s="196"/>
    </row>
    <row r="526">
      <c r="A526" s="139"/>
      <c r="B526" s="139"/>
      <c r="C526" s="139"/>
      <c r="D526" s="139"/>
      <c r="E526" s="139"/>
      <c r="F526" s="139"/>
      <c r="G526" s="580"/>
      <c r="H526" s="581"/>
      <c r="I526" s="196"/>
      <c r="J526" s="196"/>
      <c r="K526" s="196"/>
      <c r="L526" s="582"/>
      <c r="M526" s="196"/>
    </row>
    <row r="527">
      <c r="A527" s="139"/>
      <c r="B527" s="139"/>
      <c r="C527" s="139"/>
      <c r="D527" s="139"/>
      <c r="E527" s="139"/>
      <c r="F527" s="139"/>
      <c r="G527" s="580"/>
      <c r="H527" s="581"/>
      <c r="I527" s="196"/>
      <c r="J527" s="196"/>
      <c r="K527" s="196"/>
      <c r="L527" s="582"/>
      <c r="M527" s="196"/>
    </row>
    <row r="528">
      <c r="A528" s="139"/>
      <c r="B528" s="139"/>
      <c r="C528" s="139"/>
      <c r="D528" s="139"/>
      <c r="E528" s="139"/>
      <c r="F528" s="139"/>
      <c r="G528" s="580"/>
      <c r="H528" s="581"/>
      <c r="I528" s="196"/>
      <c r="J528" s="196"/>
      <c r="K528" s="196"/>
      <c r="L528" s="582"/>
      <c r="M528" s="196"/>
    </row>
    <row r="529">
      <c r="A529" s="139"/>
      <c r="B529" s="139"/>
      <c r="C529" s="139"/>
      <c r="D529" s="139"/>
      <c r="E529" s="139"/>
      <c r="F529" s="139"/>
      <c r="G529" s="580"/>
      <c r="H529" s="581"/>
      <c r="I529" s="196"/>
      <c r="J529" s="196"/>
      <c r="K529" s="196"/>
      <c r="L529" s="582"/>
      <c r="M529" s="196"/>
    </row>
    <row r="530">
      <c r="A530" s="139"/>
      <c r="B530" s="139"/>
      <c r="C530" s="139"/>
      <c r="D530" s="139"/>
      <c r="E530" s="139"/>
      <c r="F530" s="139"/>
      <c r="G530" s="580"/>
      <c r="H530" s="581"/>
      <c r="I530" s="196"/>
      <c r="J530" s="196"/>
      <c r="K530" s="196"/>
      <c r="L530" s="582"/>
      <c r="M530" s="196"/>
    </row>
    <row r="531">
      <c r="A531" s="139"/>
      <c r="B531" s="139"/>
      <c r="C531" s="139"/>
      <c r="D531" s="139"/>
      <c r="E531" s="139"/>
      <c r="F531" s="139"/>
      <c r="G531" s="580"/>
      <c r="H531" s="581"/>
      <c r="I531" s="196"/>
      <c r="J531" s="196"/>
      <c r="K531" s="196"/>
      <c r="L531" s="582"/>
      <c r="M531" s="196"/>
    </row>
    <row r="532">
      <c r="A532" s="139"/>
      <c r="B532" s="139"/>
      <c r="C532" s="139"/>
      <c r="D532" s="139"/>
      <c r="E532" s="139"/>
      <c r="F532" s="139"/>
      <c r="G532" s="580"/>
      <c r="H532" s="581"/>
      <c r="I532" s="196"/>
      <c r="J532" s="196"/>
      <c r="K532" s="196"/>
      <c r="L532" s="582"/>
      <c r="M532" s="196"/>
    </row>
    <row r="533">
      <c r="A533" s="139"/>
      <c r="B533" s="139"/>
      <c r="C533" s="139"/>
      <c r="D533" s="139"/>
      <c r="E533" s="139"/>
      <c r="F533" s="139"/>
      <c r="G533" s="580"/>
      <c r="H533" s="581"/>
      <c r="I533" s="196"/>
      <c r="J533" s="196"/>
      <c r="K533" s="196"/>
      <c r="L533" s="582"/>
      <c r="M533" s="196"/>
    </row>
    <row r="534">
      <c r="A534" s="139"/>
      <c r="B534" s="139"/>
      <c r="C534" s="139"/>
      <c r="D534" s="139"/>
      <c r="E534" s="139"/>
      <c r="F534" s="139"/>
      <c r="G534" s="580"/>
      <c r="H534" s="581"/>
      <c r="I534" s="196"/>
      <c r="J534" s="196"/>
      <c r="K534" s="196"/>
      <c r="L534" s="582"/>
      <c r="M534" s="196"/>
    </row>
    <row r="535">
      <c r="A535" s="139"/>
      <c r="B535" s="139"/>
      <c r="C535" s="139"/>
      <c r="D535" s="139"/>
      <c r="E535" s="139"/>
      <c r="F535" s="139"/>
      <c r="G535" s="580"/>
      <c r="H535" s="581"/>
      <c r="I535" s="196"/>
      <c r="J535" s="196"/>
      <c r="K535" s="196"/>
      <c r="L535" s="582"/>
      <c r="M535" s="196"/>
    </row>
    <row r="536">
      <c r="A536" s="139"/>
      <c r="B536" s="139"/>
      <c r="C536" s="139"/>
      <c r="D536" s="139"/>
      <c r="E536" s="139"/>
      <c r="F536" s="139"/>
      <c r="G536" s="580"/>
      <c r="H536" s="581"/>
      <c r="I536" s="196"/>
      <c r="J536" s="196"/>
      <c r="K536" s="196"/>
      <c r="L536" s="582"/>
      <c r="M536" s="196"/>
    </row>
    <row r="537">
      <c r="A537" s="139"/>
      <c r="B537" s="139"/>
      <c r="C537" s="139"/>
      <c r="D537" s="139"/>
      <c r="E537" s="139"/>
      <c r="F537" s="139"/>
      <c r="G537" s="580"/>
      <c r="H537" s="581"/>
      <c r="I537" s="196"/>
      <c r="J537" s="196"/>
      <c r="K537" s="196"/>
      <c r="L537" s="582"/>
      <c r="M537" s="196"/>
    </row>
    <row r="538">
      <c r="A538" s="139"/>
      <c r="B538" s="139"/>
      <c r="C538" s="139"/>
      <c r="D538" s="139"/>
      <c r="E538" s="139"/>
      <c r="F538" s="139"/>
      <c r="G538" s="580"/>
      <c r="H538" s="581"/>
      <c r="I538" s="196"/>
      <c r="J538" s="196"/>
      <c r="K538" s="196"/>
      <c r="L538" s="582"/>
      <c r="M538" s="196"/>
    </row>
    <row r="539">
      <c r="A539" s="139"/>
      <c r="B539" s="139"/>
      <c r="C539" s="139"/>
      <c r="D539" s="139"/>
      <c r="E539" s="139"/>
      <c r="F539" s="139"/>
      <c r="G539" s="580"/>
      <c r="H539" s="581"/>
      <c r="I539" s="196"/>
      <c r="J539" s="196"/>
      <c r="K539" s="196"/>
      <c r="L539" s="582"/>
      <c r="M539" s="196"/>
    </row>
    <row r="540">
      <c r="A540" s="139"/>
      <c r="B540" s="139"/>
      <c r="C540" s="139"/>
      <c r="D540" s="139"/>
      <c r="E540" s="139"/>
      <c r="F540" s="139"/>
      <c r="G540" s="580"/>
      <c r="H540" s="581"/>
      <c r="I540" s="196"/>
      <c r="J540" s="196"/>
      <c r="K540" s="196"/>
      <c r="L540" s="582"/>
      <c r="M540" s="196"/>
    </row>
    <row r="541">
      <c r="A541" s="139"/>
      <c r="B541" s="139"/>
      <c r="C541" s="139"/>
      <c r="D541" s="139"/>
      <c r="E541" s="139"/>
      <c r="F541" s="139"/>
      <c r="G541" s="580"/>
      <c r="H541" s="581"/>
      <c r="I541" s="196"/>
      <c r="J541" s="196"/>
      <c r="K541" s="196"/>
      <c r="L541" s="582"/>
      <c r="M541" s="196"/>
    </row>
    <row r="542">
      <c r="A542" s="139"/>
      <c r="B542" s="139"/>
      <c r="C542" s="139"/>
      <c r="D542" s="139"/>
      <c r="E542" s="139"/>
      <c r="F542" s="139"/>
      <c r="G542" s="580"/>
      <c r="H542" s="581"/>
      <c r="I542" s="196"/>
      <c r="J542" s="196"/>
      <c r="K542" s="196"/>
      <c r="L542" s="582"/>
      <c r="M542" s="196"/>
    </row>
    <row r="543">
      <c r="A543" s="139"/>
      <c r="B543" s="139"/>
      <c r="C543" s="139"/>
      <c r="D543" s="139"/>
      <c r="E543" s="139"/>
      <c r="F543" s="139"/>
      <c r="G543" s="580"/>
      <c r="H543" s="581"/>
      <c r="I543" s="196"/>
      <c r="J543" s="196"/>
      <c r="K543" s="196"/>
      <c r="L543" s="582"/>
      <c r="M543" s="196"/>
    </row>
    <row r="544">
      <c r="A544" s="139"/>
      <c r="B544" s="139"/>
      <c r="C544" s="139"/>
      <c r="D544" s="139"/>
      <c r="E544" s="139"/>
      <c r="F544" s="139"/>
      <c r="G544" s="580"/>
      <c r="H544" s="581"/>
      <c r="I544" s="196"/>
      <c r="J544" s="196"/>
      <c r="K544" s="196"/>
      <c r="L544" s="582"/>
      <c r="M544" s="196"/>
    </row>
    <row r="545">
      <c r="A545" s="139"/>
      <c r="B545" s="139"/>
      <c r="C545" s="139"/>
      <c r="D545" s="139"/>
      <c r="E545" s="139"/>
      <c r="F545" s="139"/>
      <c r="G545" s="580"/>
      <c r="H545" s="581"/>
      <c r="I545" s="196"/>
      <c r="J545" s="196"/>
      <c r="K545" s="196"/>
      <c r="L545" s="582"/>
      <c r="M545" s="196"/>
    </row>
    <row r="546">
      <c r="A546" s="139"/>
      <c r="B546" s="139"/>
      <c r="C546" s="139"/>
      <c r="D546" s="139"/>
      <c r="E546" s="139"/>
      <c r="F546" s="139"/>
      <c r="G546" s="580"/>
      <c r="H546" s="581"/>
      <c r="I546" s="196"/>
      <c r="J546" s="196"/>
      <c r="K546" s="196"/>
      <c r="L546" s="582"/>
      <c r="M546" s="196"/>
    </row>
    <row r="547">
      <c r="A547" s="139"/>
      <c r="B547" s="139"/>
      <c r="C547" s="139"/>
      <c r="D547" s="139"/>
      <c r="E547" s="139"/>
      <c r="F547" s="139"/>
      <c r="G547" s="580"/>
      <c r="H547" s="581"/>
      <c r="I547" s="196"/>
      <c r="J547" s="196"/>
      <c r="K547" s="196"/>
      <c r="L547" s="582"/>
      <c r="M547" s="196"/>
    </row>
    <row r="548">
      <c r="A548" s="139"/>
      <c r="B548" s="139"/>
      <c r="C548" s="139"/>
      <c r="D548" s="139"/>
      <c r="E548" s="139"/>
      <c r="F548" s="139"/>
      <c r="G548" s="580"/>
      <c r="H548" s="581"/>
      <c r="I548" s="196"/>
      <c r="J548" s="196"/>
      <c r="K548" s="196"/>
      <c r="L548" s="582"/>
      <c r="M548" s="196"/>
    </row>
    <row r="549">
      <c r="A549" s="139"/>
      <c r="B549" s="139"/>
      <c r="C549" s="139"/>
      <c r="D549" s="139"/>
      <c r="E549" s="139"/>
      <c r="F549" s="139"/>
      <c r="G549" s="580"/>
      <c r="H549" s="581"/>
      <c r="I549" s="196"/>
      <c r="J549" s="196"/>
      <c r="K549" s="196"/>
      <c r="L549" s="582"/>
      <c r="M549" s="196"/>
    </row>
    <row r="550">
      <c r="A550" s="139"/>
      <c r="B550" s="139"/>
      <c r="C550" s="139"/>
      <c r="D550" s="139"/>
      <c r="E550" s="139"/>
      <c r="F550" s="139"/>
      <c r="G550" s="580"/>
      <c r="H550" s="581"/>
      <c r="I550" s="196"/>
      <c r="J550" s="196"/>
      <c r="K550" s="196"/>
      <c r="L550" s="582"/>
      <c r="M550" s="196"/>
    </row>
    <row r="551">
      <c r="A551" s="139"/>
      <c r="B551" s="139"/>
      <c r="C551" s="139"/>
      <c r="D551" s="139"/>
      <c r="E551" s="139"/>
      <c r="F551" s="139"/>
      <c r="G551" s="580"/>
      <c r="H551" s="581"/>
      <c r="I551" s="196"/>
      <c r="J551" s="196"/>
      <c r="K551" s="196"/>
      <c r="L551" s="582"/>
      <c r="M551" s="196"/>
    </row>
    <row r="552">
      <c r="A552" s="139"/>
      <c r="B552" s="139"/>
      <c r="C552" s="139"/>
      <c r="D552" s="139"/>
      <c r="E552" s="139"/>
      <c r="F552" s="139"/>
      <c r="G552" s="580"/>
      <c r="H552" s="581"/>
      <c r="I552" s="196"/>
      <c r="J552" s="196"/>
      <c r="K552" s="196"/>
      <c r="L552" s="582"/>
      <c r="M552" s="196"/>
    </row>
    <row r="553">
      <c r="A553" s="139"/>
      <c r="B553" s="139"/>
      <c r="C553" s="139"/>
      <c r="D553" s="139"/>
      <c r="E553" s="139"/>
      <c r="F553" s="139"/>
      <c r="G553" s="580"/>
      <c r="H553" s="581"/>
      <c r="I553" s="196"/>
      <c r="J553" s="196"/>
      <c r="K553" s="196"/>
      <c r="L553" s="582"/>
      <c r="M553" s="196"/>
    </row>
    <row r="554">
      <c r="A554" s="139"/>
      <c r="B554" s="139"/>
      <c r="C554" s="139"/>
      <c r="D554" s="139"/>
      <c r="E554" s="139"/>
      <c r="F554" s="139"/>
      <c r="G554" s="580"/>
      <c r="H554" s="581"/>
      <c r="I554" s="196"/>
      <c r="J554" s="196"/>
      <c r="K554" s="196"/>
      <c r="L554" s="582"/>
      <c r="M554" s="196"/>
    </row>
    <row r="555">
      <c r="A555" s="139"/>
      <c r="B555" s="139"/>
      <c r="C555" s="139"/>
      <c r="D555" s="139"/>
      <c r="E555" s="139"/>
      <c r="F555" s="139"/>
      <c r="G555" s="580"/>
      <c r="H555" s="581"/>
      <c r="I555" s="196"/>
      <c r="J555" s="196"/>
      <c r="K555" s="196"/>
      <c r="L555" s="582"/>
      <c r="M555" s="196"/>
    </row>
    <row r="556">
      <c r="A556" s="139"/>
      <c r="B556" s="139"/>
      <c r="C556" s="139"/>
      <c r="D556" s="139"/>
      <c r="E556" s="139"/>
      <c r="F556" s="139"/>
      <c r="G556" s="580"/>
      <c r="H556" s="581"/>
      <c r="I556" s="196"/>
      <c r="J556" s="196"/>
      <c r="K556" s="196"/>
      <c r="L556" s="582"/>
      <c r="M556" s="196"/>
    </row>
    <row r="557">
      <c r="A557" s="139"/>
      <c r="B557" s="139"/>
      <c r="C557" s="139"/>
      <c r="D557" s="139"/>
      <c r="E557" s="139"/>
      <c r="F557" s="139"/>
      <c r="G557" s="580"/>
      <c r="H557" s="581"/>
      <c r="I557" s="196"/>
      <c r="J557" s="196"/>
      <c r="K557" s="196"/>
      <c r="L557" s="582"/>
      <c r="M557" s="196"/>
    </row>
    <row r="558">
      <c r="A558" s="139"/>
      <c r="B558" s="139"/>
      <c r="C558" s="139"/>
      <c r="D558" s="139"/>
      <c r="E558" s="139"/>
      <c r="F558" s="139"/>
      <c r="G558" s="580"/>
      <c r="H558" s="581"/>
      <c r="I558" s="196"/>
      <c r="J558" s="196"/>
      <c r="K558" s="196"/>
      <c r="L558" s="582"/>
      <c r="M558" s="196"/>
    </row>
    <row r="559">
      <c r="A559" s="139"/>
      <c r="B559" s="139"/>
      <c r="C559" s="139"/>
      <c r="D559" s="139"/>
      <c r="E559" s="139"/>
      <c r="F559" s="139"/>
      <c r="G559" s="580"/>
      <c r="H559" s="581"/>
      <c r="I559" s="196"/>
      <c r="J559" s="196"/>
      <c r="K559" s="196"/>
      <c r="L559" s="582"/>
      <c r="M559" s="196"/>
    </row>
    <row r="560">
      <c r="A560" s="139"/>
      <c r="B560" s="139"/>
      <c r="C560" s="139"/>
      <c r="D560" s="139"/>
      <c r="E560" s="139"/>
      <c r="F560" s="139"/>
      <c r="G560" s="580"/>
      <c r="H560" s="581"/>
      <c r="I560" s="196"/>
      <c r="J560" s="196"/>
      <c r="K560" s="196"/>
      <c r="L560" s="582"/>
      <c r="M560" s="196"/>
    </row>
    <row r="561">
      <c r="A561" s="139"/>
      <c r="B561" s="139"/>
      <c r="C561" s="139"/>
      <c r="D561" s="139"/>
      <c r="E561" s="139"/>
      <c r="F561" s="139"/>
      <c r="G561" s="580"/>
      <c r="H561" s="581"/>
      <c r="I561" s="196"/>
      <c r="J561" s="196"/>
      <c r="K561" s="196"/>
      <c r="L561" s="582"/>
      <c r="M561" s="196"/>
    </row>
    <row r="562">
      <c r="A562" s="139"/>
      <c r="B562" s="139"/>
      <c r="C562" s="139"/>
      <c r="D562" s="139"/>
      <c r="E562" s="139"/>
      <c r="F562" s="139"/>
      <c r="G562" s="580"/>
      <c r="H562" s="581"/>
      <c r="I562" s="196"/>
      <c r="J562" s="196"/>
      <c r="K562" s="196"/>
      <c r="L562" s="582"/>
      <c r="M562" s="196"/>
    </row>
    <row r="563">
      <c r="A563" s="139"/>
      <c r="B563" s="139"/>
      <c r="C563" s="139"/>
      <c r="D563" s="139"/>
      <c r="E563" s="139"/>
      <c r="F563" s="139"/>
      <c r="G563" s="580"/>
      <c r="H563" s="581"/>
      <c r="I563" s="196"/>
      <c r="J563" s="196"/>
      <c r="K563" s="196"/>
      <c r="L563" s="582"/>
      <c r="M563" s="196"/>
    </row>
    <row r="564">
      <c r="A564" s="139"/>
      <c r="B564" s="139"/>
      <c r="C564" s="139"/>
      <c r="D564" s="139"/>
      <c r="E564" s="139"/>
      <c r="F564" s="139"/>
      <c r="G564" s="580"/>
      <c r="H564" s="581"/>
      <c r="I564" s="196"/>
      <c r="J564" s="196"/>
      <c r="K564" s="196"/>
      <c r="L564" s="582"/>
      <c r="M564" s="196"/>
    </row>
    <row r="565">
      <c r="A565" s="139"/>
      <c r="B565" s="139"/>
      <c r="C565" s="139"/>
      <c r="D565" s="139"/>
      <c r="E565" s="139"/>
      <c r="F565" s="139"/>
      <c r="G565" s="580"/>
      <c r="H565" s="581"/>
      <c r="I565" s="196"/>
      <c r="J565" s="196"/>
      <c r="K565" s="196"/>
      <c r="L565" s="582"/>
      <c r="M565" s="196"/>
    </row>
    <row r="566">
      <c r="A566" s="139"/>
      <c r="B566" s="139"/>
      <c r="C566" s="139"/>
      <c r="D566" s="139"/>
      <c r="E566" s="139"/>
      <c r="F566" s="139"/>
      <c r="G566" s="580"/>
      <c r="H566" s="581"/>
      <c r="I566" s="196"/>
      <c r="J566" s="196"/>
      <c r="K566" s="196"/>
      <c r="L566" s="582"/>
      <c r="M566" s="196"/>
    </row>
    <row r="567">
      <c r="A567" s="139"/>
      <c r="B567" s="139"/>
      <c r="C567" s="139"/>
      <c r="D567" s="139"/>
      <c r="E567" s="139"/>
      <c r="F567" s="139"/>
      <c r="G567" s="580"/>
      <c r="H567" s="581"/>
      <c r="I567" s="196"/>
      <c r="J567" s="196"/>
      <c r="K567" s="196"/>
      <c r="L567" s="582"/>
      <c r="M567" s="196"/>
    </row>
    <row r="568">
      <c r="A568" s="139"/>
      <c r="B568" s="139"/>
      <c r="C568" s="139"/>
      <c r="D568" s="139"/>
      <c r="E568" s="139"/>
      <c r="F568" s="139"/>
      <c r="G568" s="580"/>
      <c r="H568" s="581"/>
      <c r="I568" s="196"/>
      <c r="J568" s="196"/>
      <c r="K568" s="196"/>
      <c r="L568" s="582"/>
      <c r="M568" s="196"/>
    </row>
    <row r="569">
      <c r="A569" s="139"/>
      <c r="B569" s="139"/>
      <c r="C569" s="139"/>
      <c r="D569" s="139"/>
      <c r="E569" s="139"/>
      <c r="F569" s="139"/>
      <c r="G569" s="580"/>
      <c r="H569" s="581"/>
      <c r="I569" s="196"/>
      <c r="J569" s="196"/>
      <c r="K569" s="196"/>
      <c r="L569" s="582"/>
      <c r="M569" s="196"/>
    </row>
    <row r="570">
      <c r="A570" s="139"/>
      <c r="B570" s="139"/>
      <c r="C570" s="139"/>
      <c r="D570" s="139"/>
      <c r="E570" s="139"/>
      <c r="F570" s="139"/>
      <c r="G570" s="580"/>
      <c r="H570" s="581"/>
      <c r="I570" s="196"/>
      <c r="J570" s="196"/>
      <c r="K570" s="196"/>
      <c r="L570" s="582"/>
      <c r="M570" s="196"/>
    </row>
    <row r="571">
      <c r="A571" s="139"/>
      <c r="B571" s="139"/>
      <c r="C571" s="139"/>
      <c r="D571" s="139"/>
      <c r="E571" s="139"/>
      <c r="F571" s="139"/>
      <c r="G571" s="580"/>
      <c r="H571" s="581"/>
      <c r="I571" s="196"/>
      <c r="J571" s="196"/>
      <c r="K571" s="196"/>
      <c r="L571" s="582"/>
      <c r="M571" s="196"/>
    </row>
    <row r="572">
      <c r="A572" s="139"/>
      <c r="B572" s="139"/>
      <c r="C572" s="139"/>
      <c r="D572" s="139"/>
      <c r="E572" s="139"/>
      <c r="F572" s="139"/>
      <c r="G572" s="580"/>
      <c r="H572" s="581"/>
      <c r="I572" s="196"/>
      <c r="J572" s="196"/>
      <c r="K572" s="196"/>
      <c r="L572" s="582"/>
      <c r="M572" s="196"/>
    </row>
    <row r="573">
      <c r="A573" s="139"/>
      <c r="B573" s="139"/>
      <c r="C573" s="139"/>
      <c r="D573" s="139"/>
      <c r="E573" s="139"/>
      <c r="F573" s="139"/>
      <c r="G573" s="580"/>
      <c r="H573" s="581"/>
      <c r="I573" s="196"/>
      <c r="J573" s="196"/>
      <c r="K573" s="196"/>
      <c r="L573" s="582"/>
      <c r="M573" s="196"/>
    </row>
    <row r="574">
      <c r="A574" s="139"/>
      <c r="B574" s="139"/>
      <c r="C574" s="139"/>
      <c r="D574" s="139"/>
      <c r="E574" s="139"/>
      <c r="F574" s="139"/>
      <c r="G574" s="580"/>
      <c r="H574" s="581"/>
      <c r="I574" s="196"/>
      <c r="J574" s="196"/>
      <c r="K574" s="196"/>
      <c r="L574" s="582"/>
      <c r="M574" s="196"/>
    </row>
    <row r="575">
      <c r="A575" s="139"/>
      <c r="B575" s="139"/>
      <c r="C575" s="139"/>
      <c r="D575" s="139"/>
      <c r="E575" s="139"/>
      <c r="F575" s="139"/>
      <c r="G575" s="580"/>
      <c r="H575" s="581"/>
      <c r="I575" s="196"/>
      <c r="J575" s="196"/>
      <c r="K575" s="196"/>
      <c r="L575" s="582"/>
      <c r="M575" s="196"/>
    </row>
    <row r="576">
      <c r="A576" s="139"/>
      <c r="B576" s="139"/>
      <c r="C576" s="139"/>
      <c r="D576" s="139"/>
      <c r="E576" s="139"/>
      <c r="F576" s="139"/>
      <c r="G576" s="580"/>
      <c r="H576" s="581"/>
      <c r="I576" s="196"/>
      <c r="J576" s="196"/>
      <c r="K576" s="196"/>
      <c r="L576" s="582"/>
      <c r="M576" s="196"/>
    </row>
    <row r="577">
      <c r="A577" s="139"/>
      <c r="B577" s="139"/>
      <c r="C577" s="139"/>
      <c r="D577" s="139"/>
      <c r="E577" s="139"/>
      <c r="F577" s="139"/>
      <c r="G577" s="580"/>
      <c r="H577" s="581"/>
      <c r="I577" s="196"/>
      <c r="J577" s="196"/>
      <c r="K577" s="196"/>
      <c r="L577" s="582"/>
      <c r="M577" s="196"/>
    </row>
    <row r="578">
      <c r="A578" s="139"/>
      <c r="B578" s="139"/>
      <c r="C578" s="139"/>
      <c r="D578" s="139"/>
      <c r="E578" s="139"/>
      <c r="F578" s="139"/>
      <c r="G578" s="580"/>
      <c r="H578" s="581"/>
      <c r="I578" s="196"/>
      <c r="J578" s="196"/>
      <c r="K578" s="196"/>
      <c r="L578" s="582"/>
      <c r="M578" s="196"/>
    </row>
    <row r="579">
      <c r="A579" s="139"/>
      <c r="B579" s="139"/>
      <c r="C579" s="139"/>
      <c r="D579" s="139"/>
      <c r="E579" s="139"/>
      <c r="F579" s="139"/>
      <c r="G579" s="580"/>
      <c r="H579" s="581"/>
      <c r="I579" s="196"/>
      <c r="J579" s="196"/>
      <c r="K579" s="196"/>
      <c r="L579" s="582"/>
      <c r="M579" s="196"/>
    </row>
    <row r="580">
      <c r="A580" s="139"/>
      <c r="B580" s="139"/>
      <c r="C580" s="139"/>
      <c r="D580" s="139"/>
      <c r="E580" s="139"/>
      <c r="F580" s="139"/>
      <c r="G580" s="580"/>
      <c r="H580" s="581"/>
      <c r="I580" s="196"/>
      <c r="J580" s="196"/>
      <c r="K580" s="196"/>
      <c r="L580" s="582"/>
      <c r="M580" s="196"/>
    </row>
    <row r="581">
      <c r="A581" s="139"/>
      <c r="B581" s="139"/>
      <c r="C581" s="139"/>
      <c r="D581" s="139"/>
      <c r="E581" s="139"/>
      <c r="F581" s="139"/>
      <c r="G581" s="580"/>
      <c r="H581" s="581"/>
      <c r="I581" s="196"/>
      <c r="J581" s="196"/>
      <c r="K581" s="196"/>
      <c r="L581" s="582"/>
      <c r="M581" s="196"/>
    </row>
    <row r="582">
      <c r="A582" s="139"/>
      <c r="B582" s="139"/>
      <c r="C582" s="139"/>
      <c r="D582" s="139"/>
      <c r="E582" s="139"/>
      <c r="F582" s="139"/>
      <c r="G582" s="580"/>
      <c r="H582" s="581"/>
      <c r="I582" s="196"/>
      <c r="J582" s="196"/>
      <c r="K582" s="196"/>
      <c r="L582" s="582"/>
      <c r="M582" s="196"/>
    </row>
    <row r="583">
      <c r="A583" s="139"/>
      <c r="B583" s="139"/>
      <c r="C583" s="139"/>
      <c r="D583" s="139"/>
      <c r="E583" s="139"/>
      <c r="F583" s="139"/>
      <c r="G583" s="580"/>
      <c r="H583" s="581"/>
      <c r="I583" s="196"/>
      <c r="J583" s="196"/>
      <c r="K583" s="196"/>
      <c r="L583" s="582"/>
      <c r="M583" s="196"/>
    </row>
    <row r="584">
      <c r="A584" s="139"/>
      <c r="B584" s="139"/>
      <c r="C584" s="139"/>
      <c r="D584" s="139"/>
      <c r="E584" s="139"/>
      <c r="F584" s="139"/>
      <c r="G584" s="580"/>
      <c r="H584" s="581"/>
      <c r="I584" s="196"/>
      <c r="J584" s="196"/>
      <c r="K584" s="196"/>
      <c r="L584" s="582"/>
      <c r="M584" s="196"/>
    </row>
    <row r="585">
      <c r="A585" s="139"/>
      <c r="B585" s="139"/>
      <c r="C585" s="139"/>
      <c r="D585" s="139"/>
      <c r="E585" s="139"/>
      <c r="F585" s="139"/>
      <c r="G585" s="580"/>
      <c r="H585" s="581"/>
      <c r="I585" s="196"/>
      <c r="J585" s="196"/>
      <c r="K585" s="196"/>
      <c r="L585" s="582"/>
      <c r="M585" s="196"/>
    </row>
    <row r="586">
      <c r="A586" s="139"/>
      <c r="B586" s="139"/>
      <c r="C586" s="139"/>
      <c r="D586" s="139"/>
      <c r="E586" s="139"/>
      <c r="F586" s="139"/>
      <c r="G586" s="580"/>
      <c r="H586" s="581"/>
      <c r="I586" s="196"/>
      <c r="J586" s="196"/>
      <c r="K586" s="196"/>
      <c r="L586" s="582"/>
      <c r="M586" s="196"/>
    </row>
    <row r="587">
      <c r="A587" s="139"/>
      <c r="B587" s="139"/>
      <c r="C587" s="139"/>
      <c r="D587" s="139"/>
      <c r="E587" s="139"/>
      <c r="F587" s="139"/>
      <c r="G587" s="580"/>
      <c r="H587" s="581"/>
      <c r="I587" s="196"/>
      <c r="J587" s="196"/>
      <c r="K587" s="196"/>
      <c r="L587" s="582"/>
      <c r="M587" s="196"/>
    </row>
    <row r="588">
      <c r="A588" s="139"/>
      <c r="B588" s="139"/>
      <c r="C588" s="139"/>
      <c r="D588" s="139"/>
      <c r="E588" s="139"/>
      <c r="F588" s="139"/>
      <c r="G588" s="580"/>
      <c r="H588" s="581"/>
      <c r="I588" s="196"/>
      <c r="J588" s="196"/>
      <c r="K588" s="196"/>
      <c r="L588" s="582"/>
      <c r="M588" s="196"/>
    </row>
    <row r="589">
      <c r="A589" s="139"/>
      <c r="B589" s="139"/>
      <c r="C589" s="139"/>
      <c r="D589" s="139"/>
      <c r="E589" s="139"/>
      <c r="F589" s="139"/>
      <c r="G589" s="580"/>
      <c r="H589" s="581"/>
      <c r="I589" s="196"/>
      <c r="J589" s="196"/>
      <c r="K589" s="196"/>
      <c r="L589" s="582"/>
      <c r="M589" s="196"/>
    </row>
    <row r="590">
      <c r="A590" s="139"/>
      <c r="B590" s="139"/>
      <c r="C590" s="139"/>
      <c r="D590" s="139"/>
      <c r="E590" s="139"/>
      <c r="F590" s="139"/>
      <c r="G590" s="580"/>
      <c r="H590" s="581"/>
      <c r="I590" s="196"/>
      <c r="J590" s="196"/>
      <c r="K590" s="196"/>
      <c r="L590" s="582"/>
      <c r="M590" s="196"/>
    </row>
    <row r="591">
      <c r="A591" s="139"/>
      <c r="B591" s="139"/>
      <c r="C591" s="139"/>
      <c r="D591" s="139"/>
      <c r="E591" s="139"/>
      <c r="F591" s="139"/>
      <c r="G591" s="580"/>
      <c r="H591" s="581"/>
      <c r="I591" s="196"/>
      <c r="J591" s="196"/>
      <c r="K591" s="196"/>
      <c r="L591" s="582"/>
      <c r="M591" s="196"/>
    </row>
    <row r="592">
      <c r="A592" s="139"/>
      <c r="B592" s="139"/>
      <c r="C592" s="139"/>
      <c r="D592" s="139"/>
      <c r="E592" s="139"/>
      <c r="F592" s="139"/>
      <c r="G592" s="580"/>
      <c r="H592" s="581"/>
      <c r="I592" s="196"/>
      <c r="J592" s="196"/>
      <c r="K592" s="196"/>
      <c r="L592" s="582"/>
      <c r="M592" s="196"/>
    </row>
    <row r="593">
      <c r="A593" s="139"/>
      <c r="B593" s="139"/>
      <c r="C593" s="139"/>
      <c r="D593" s="139"/>
      <c r="E593" s="139"/>
      <c r="F593" s="139"/>
      <c r="G593" s="580"/>
      <c r="H593" s="581"/>
      <c r="I593" s="196"/>
      <c r="J593" s="196"/>
      <c r="K593" s="196"/>
      <c r="L593" s="582"/>
      <c r="M593" s="196"/>
    </row>
    <row r="594">
      <c r="A594" s="139"/>
      <c r="B594" s="139"/>
      <c r="C594" s="139"/>
      <c r="D594" s="139"/>
      <c r="E594" s="139"/>
      <c r="F594" s="139"/>
      <c r="G594" s="580"/>
      <c r="H594" s="581"/>
      <c r="I594" s="196"/>
      <c r="J594" s="196"/>
      <c r="K594" s="196"/>
      <c r="L594" s="582"/>
      <c r="M594" s="196"/>
    </row>
    <row r="595">
      <c r="A595" s="139"/>
      <c r="B595" s="139"/>
      <c r="C595" s="139"/>
      <c r="D595" s="139"/>
      <c r="E595" s="139"/>
      <c r="F595" s="139"/>
      <c r="G595" s="580"/>
      <c r="H595" s="581"/>
      <c r="I595" s="196"/>
      <c r="J595" s="196"/>
      <c r="K595" s="196"/>
      <c r="L595" s="582"/>
      <c r="M595" s="196"/>
    </row>
    <row r="596">
      <c r="A596" s="139"/>
      <c r="B596" s="139"/>
      <c r="C596" s="139"/>
      <c r="D596" s="139"/>
      <c r="E596" s="139"/>
      <c r="F596" s="139"/>
      <c r="G596" s="580"/>
      <c r="H596" s="581"/>
      <c r="I596" s="196"/>
      <c r="J596" s="196"/>
      <c r="K596" s="196"/>
      <c r="L596" s="582"/>
      <c r="M596" s="196"/>
    </row>
    <row r="597">
      <c r="A597" s="139"/>
      <c r="B597" s="139"/>
      <c r="C597" s="139"/>
      <c r="D597" s="139"/>
      <c r="E597" s="139"/>
      <c r="F597" s="139"/>
      <c r="G597" s="580"/>
      <c r="H597" s="581"/>
      <c r="I597" s="196"/>
      <c r="J597" s="196"/>
      <c r="K597" s="196"/>
      <c r="L597" s="582"/>
      <c r="M597" s="196"/>
    </row>
    <row r="598">
      <c r="A598" s="139"/>
      <c r="B598" s="139"/>
      <c r="C598" s="139"/>
      <c r="D598" s="139"/>
      <c r="E598" s="139"/>
      <c r="F598" s="139"/>
      <c r="G598" s="580"/>
      <c r="H598" s="581"/>
      <c r="I598" s="196"/>
      <c r="J598" s="196"/>
      <c r="K598" s="196"/>
      <c r="L598" s="582"/>
      <c r="M598" s="196"/>
    </row>
    <row r="599">
      <c r="A599" s="139"/>
      <c r="B599" s="139"/>
      <c r="C599" s="139"/>
      <c r="D599" s="139"/>
      <c r="E599" s="139"/>
      <c r="F599" s="139"/>
      <c r="G599" s="580"/>
      <c r="H599" s="581"/>
      <c r="I599" s="196"/>
      <c r="J599" s="196"/>
      <c r="K599" s="196"/>
      <c r="L599" s="582"/>
      <c r="M599" s="196"/>
    </row>
    <row r="600">
      <c r="A600" s="139"/>
      <c r="B600" s="139"/>
      <c r="C600" s="139"/>
      <c r="D600" s="139"/>
      <c r="E600" s="139"/>
      <c r="F600" s="139"/>
      <c r="G600" s="580"/>
      <c r="H600" s="581"/>
      <c r="I600" s="196"/>
      <c r="J600" s="196"/>
      <c r="K600" s="196"/>
      <c r="L600" s="582"/>
      <c r="M600" s="196"/>
    </row>
    <row r="601">
      <c r="A601" s="139"/>
      <c r="B601" s="139"/>
      <c r="C601" s="139"/>
      <c r="D601" s="139"/>
      <c r="E601" s="139"/>
      <c r="F601" s="139"/>
      <c r="G601" s="580"/>
      <c r="H601" s="581"/>
      <c r="I601" s="196"/>
      <c r="J601" s="196"/>
      <c r="K601" s="196"/>
      <c r="L601" s="582"/>
      <c r="M601" s="196"/>
    </row>
    <row r="602">
      <c r="A602" s="139"/>
      <c r="B602" s="139"/>
      <c r="C602" s="139"/>
      <c r="D602" s="139"/>
      <c r="E602" s="139"/>
      <c r="F602" s="139"/>
      <c r="G602" s="580"/>
      <c r="H602" s="581"/>
      <c r="I602" s="196"/>
      <c r="J602" s="196"/>
      <c r="K602" s="196"/>
      <c r="L602" s="582"/>
      <c r="M602" s="196"/>
    </row>
    <row r="603">
      <c r="A603" s="139"/>
      <c r="B603" s="139"/>
      <c r="C603" s="139"/>
      <c r="D603" s="139"/>
      <c r="E603" s="139"/>
      <c r="F603" s="139"/>
      <c r="G603" s="580"/>
      <c r="H603" s="581"/>
      <c r="I603" s="196"/>
      <c r="J603" s="196"/>
      <c r="K603" s="196"/>
      <c r="L603" s="582"/>
      <c r="M603" s="196"/>
    </row>
    <row r="604">
      <c r="A604" s="139"/>
      <c r="B604" s="139"/>
      <c r="C604" s="139"/>
      <c r="D604" s="139"/>
      <c r="E604" s="139"/>
      <c r="F604" s="139"/>
      <c r="G604" s="580"/>
      <c r="H604" s="581"/>
      <c r="I604" s="196"/>
      <c r="J604" s="196"/>
      <c r="K604" s="196"/>
      <c r="L604" s="582"/>
      <c r="M604" s="196"/>
    </row>
    <row r="605">
      <c r="A605" s="139"/>
      <c r="B605" s="139"/>
      <c r="C605" s="139"/>
      <c r="D605" s="139"/>
      <c r="E605" s="139"/>
      <c r="F605" s="139"/>
      <c r="G605" s="580"/>
      <c r="H605" s="581"/>
      <c r="I605" s="196"/>
      <c r="J605" s="196"/>
      <c r="K605" s="196"/>
      <c r="L605" s="582"/>
      <c r="M605" s="196"/>
    </row>
    <row r="606">
      <c r="A606" s="139"/>
      <c r="B606" s="139"/>
      <c r="C606" s="139"/>
      <c r="D606" s="139"/>
      <c r="E606" s="139"/>
      <c r="F606" s="139"/>
      <c r="G606" s="580"/>
      <c r="H606" s="581"/>
      <c r="I606" s="196"/>
      <c r="J606" s="196"/>
      <c r="K606" s="196"/>
      <c r="L606" s="582"/>
      <c r="M606" s="196"/>
    </row>
    <row r="607">
      <c r="A607" s="139"/>
      <c r="B607" s="139"/>
      <c r="C607" s="139"/>
      <c r="D607" s="139"/>
      <c r="E607" s="139"/>
      <c r="F607" s="139"/>
      <c r="G607" s="580"/>
      <c r="H607" s="581"/>
      <c r="I607" s="196"/>
      <c r="J607" s="196"/>
      <c r="K607" s="196"/>
      <c r="L607" s="582"/>
      <c r="M607" s="196"/>
    </row>
    <row r="608">
      <c r="A608" s="139"/>
      <c r="B608" s="139"/>
      <c r="C608" s="139"/>
      <c r="D608" s="139"/>
      <c r="E608" s="139"/>
      <c r="F608" s="139"/>
      <c r="G608" s="580"/>
      <c r="H608" s="581"/>
      <c r="I608" s="196"/>
      <c r="J608" s="196"/>
      <c r="K608" s="196"/>
      <c r="L608" s="582"/>
      <c r="M608" s="196"/>
    </row>
    <row r="609">
      <c r="A609" s="139"/>
      <c r="B609" s="139"/>
      <c r="C609" s="139"/>
      <c r="D609" s="139"/>
      <c r="E609" s="139"/>
      <c r="F609" s="139"/>
      <c r="G609" s="580"/>
      <c r="H609" s="581"/>
      <c r="I609" s="196"/>
      <c r="J609" s="196"/>
      <c r="K609" s="196"/>
      <c r="L609" s="582"/>
      <c r="M609" s="196"/>
    </row>
    <row r="610">
      <c r="A610" s="139"/>
      <c r="B610" s="139"/>
      <c r="C610" s="139"/>
      <c r="D610" s="139"/>
      <c r="E610" s="139"/>
      <c r="F610" s="139"/>
      <c r="G610" s="580"/>
      <c r="H610" s="581"/>
      <c r="I610" s="196"/>
      <c r="J610" s="196"/>
      <c r="K610" s="196"/>
      <c r="L610" s="582"/>
      <c r="M610" s="196"/>
    </row>
    <row r="611">
      <c r="A611" s="139"/>
      <c r="B611" s="139"/>
      <c r="C611" s="139"/>
      <c r="D611" s="139"/>
      <c r="E611" s="139"/>
      <c r="F611" s="139"/>
      <c r="G611" s="580"/>
      <c r="H611" s="581"/>
      <c r="I611" s="196"/>
      <c r="J611" s="196"/>
      <c r="K611" s="196"/>
      <c r="L611" s="582"/>
      <c r="M611" s="196"/>
    </row>
    <row r="612">
      <c r="A612" s="139"/>
      <c r="B612" s="139"/>
      <c r="C612" s="139"/>
      <c r="D612" s="139"/>
      <c r="E612" s="139"/>
      <c r="F612" s="139"/>
      <c r="G612" s="580"/>
      <c r="H612" s="581"/>
      <c r="I612" s="196"/>
      <c r="J612" s="196"/>
      <c r="K612" s="196"/>
      <c r="L612" s="582"/>
      <c r="M612" s="196"/>
    </row>
    <row r="613">
      <c r="A613" s="139"/>
      <c r="B613" s="139"/>
      <c r="C613" s="139"/>
      <c r="D613" s="139"/>
      <c r="E613" s="139"/>
      <c r="F613" s="139"/>
      <c r="G613" s="580"/>
      <c r="H613" s="581"/>
      <c r="I613" s="196"/>
      <c r="J613" s="196"/>
      <c r="K613" s="196"/>
      <c r="L613" s="582"/>
      <c r="M613" s="196"/>
    </row>
    <row r="614">
      <c r="A614" s="139"/>
      <c r="B614" s="139"/>
      <c r="C614" s="139"/>
      <c r="D614" s="139"/>
      <c r="E614" s="139"/>
      <c r="F614" s="139"/>
      <c r="G614" s="580"/>
      <c r="H614" s="581"/>
      <c r="I614" s="196"/>
      <c r="J614" s="196"/>
      <c r="K614" s="196"/>
      <c r="L614" s="582"/>
      <c r="M614" s="196"/>
    </row>
    <row r="615">
      <c r="A615" s="139"/>
      <c r="B615" s="139"/>
      <c r="C615" s="139"/>
      <c r="D615" s="139"/>
      <c r="E615" s="139"/>
      <c r="F615" s="139"/>
      <c r="G615" s="580"/>
      <c r="H615" s="581"/>
      <c r="I615" s="196"/>
      <c r="J615" s="196"/>
      <c r="K615" s="196"/>
      <c r="L615" s="582"/>
      <c r="M615" s="196"/>
    </row>
    <row r="616">
      <c r="A616" s="139"/>
      <c r="B616" s="139"/>
      <c r="C616" s="139"/>
      <c r="D616" s="139"/>
      <c r="E616" s="139"/>
      <c r="F616" s="139"/>
      <c r="G616" s="580"/>
      <c r="H616" s="581"/>
      <c r="I616" s="196"/>
      <c r="J616" s="196"/>
      <c r="K616" s="196"/>
      <c r="L616" s="582"/>
      <c r="M616" s="196"/>
    </row>
    <row r="617">
      <c r="A617" s="139"/>
      <c r="B617" s="139"/>
      <c r="C617" s="139"/>
      <c r="D617" s="139"/>
      <c r="E617" s="139"/>
      <c r="F617" s="139"/>
      <c r="G617" s="580"/>
      <c r="H617" s="581"/>
      <c r="I617" s="196"/>
      <c r="J617" s="196"/>
      <c r="K617" s="196"/>
      <c r="L617" s="582"/>
      <c r="M617" s="196"/>
    </row>
    <row r="618">
      <c r="A618" s="139"/>
      <c r="B618" s="139"/>
      <c r="C618" s="139"/>
      <c r="D618" s="139"/>
      <c r="E618" s="139"/>
      <c r="F618" s="139"/>
      <c r="G618" s="580"/>
      <c r="H618" s="581"/>
      <c r="I618" s="196"/>
      <c r="J618" s="196"/>
      <c r="K618" s="196"/>
      <c r="L618" s="582"/>
      <c r="M618" s="196"/>
    </row>
    <row r="619">
      <c r="A619" s="139"/>
      <c r="B619" s="139"/>
      <c r="C619" s="139"/>
      <c r="D619" s="139"/>
      <c r="E619" s="139"/>
      <c r="F619" s="139"/>
      <c r="G619" s="580"/>
      <c r="H619" s="581"/>
      <c r="I619" s="196"/>
      <c r="J619" s="196"/>
      <c r="K619" s="196"/>
      <c r="L619" s="582"/>
      <c r="M619" s="196"/>
    </row>
    <row r="620">
      <c r="A620" s="139"/>
      <c r="B620" s="139"/>
      <c r="C620" s="139"/>
      <c r="D620" s="139"/>
      <c r="E620" s="139"/>
      <c r="F620" s="139"/>
      <c r="G620" s="580"/>
      <c r="H620" s="581"/>
      <c r="I620" s="196"/>
      <c r="J620" s="196"/>
      <c r="K620" s="196"/>
      <c r="L620" s="582"/>
      <c r="M620" s="196"/>
    </row>
    <row r="621">
      <c r="A621" s="139"/>
      <c r="B621" s="139"/>
      <c r="C621" s="139"/>
      <c r="D621" s="139"/>
      <c r="E621" s="139"/>
      <c r="F621" s="139"/>
      <c r="G621" s="580"/>
      <c r="H621" s="581"/>
      <c r="I621" s="196"/>
      <c r="J621" s="196"/>
      <c r="K621" s="196"/>
      <c r="L621" s="582"/>
      <c r="M621" s="196"/>
    </row>
    <row r="622">
      <c r="A622" s="139"/>
      <c r="B622" s="139"/>
      <c r="C622" s="139"/>
      <c r="D622" s="139"/>
      <c r="E622" s="139"/>
      <c r="F622" s="139"/>
      <c r="G622" s="580"/>
      <c r="H622" s="581"/>
      <c r="I622" s="196"/>
      <c r="J622" s="196"/>
      <c r="K622" s="196"/>
      <c r="L622" s="582"/>
      <c r="M622" s="196"/>
    </row>
    <row r="623">
      <c r="A623" s="139"/>
      <c r="B623" s="139"/>
      <c r="C623" s="139"/>
      <c r="D623" s="139"/>
      <c r="E623" s="139"/>
      <c r="F623" s="139"/>
      <c r="G623" s="580"/>
      <c r="H623" s="581"/>
      <c r="I623" s="196"/>
      <c r="J623" s="196"/>
      <c r="K623" s="196"/>
      <c r="L623" s="582"/>
      <c r="M623" s="196"/>
    </row>
    <row r="624">
      <c r="A624" s="139"/>
      <c r="B624" s="139"/>
      <c r="C624" s="139"/>
      <c r="D624" s="139"/>
      <c r="E624" s="139"/>
      <c r="F624" s="139"/>
      <c r="G624" s="580"/>
      <c r="H624" s="581"/>
      <c r="I624" s="196"/>
      <c r="J624" s="196"/>
      <c r="K624" s="196"/>
      <c r="L624" s="582"/>
      <c r="M624" s="196"/>
    </row>
    <row r="625">
      <c r="A625" s="139"/>
      <c r="B625" s="139"/>
      <c r="C625" s="139"/>
      <c r="D625" s="139"/>
      <c r="E625" s="139"/>
      <c r="F625" s="139"/>
      <c r="G625" s="580"/>
      <c r="H625" s="581"/>
      <c r="I625" s="196"/>
      <c r="J625" s="196"/>
      <c r="K625" s="196"/>
      <c r="L625" s="582"/>
      <c r="M625" s="196"/>
    </row>
    <row r="626">
      <c r="A626" s="139"/>
      <c r="B626" s="139"/>
      <c r="C626" s="139"/>
      <c r="D626" s="139"/>
      <c r="E626" s="139"/>
      <c r="F626" s="139"/>
      <c r="G626" s="580"/>
      <c r="H626" s="581"/>
      <c r="I626" s="196"/>
      <c r="J626" s="196"/>
      <c r="K626" s="196"/>
      <c r="L626" s="582"/>
      <c r="M626" s="196"/>
    </row>
    <row r="627">
      <c r="A627" s="139"/>
      <c r="B627" s="139"/>
      <c r="C627" s="139"/>
      <c r="D627" s="139"/>
      <c r="E627" s="139"/>
      <c r="F627" s="139"/>
      <c r="G627" s="580"/>
      <c r="H627" s="581"/>
      <c r="I627" s="196"/>
      <c r="J627" s="196"/>
      <c r="K627" s="196"/>
      <c r="L627" s="582"/>
      <c r="M627" s="196"/>
    </row>
    <row r="628">
      <c r="A628" s="139"/>
      <c r="B628" s="139"/>
      <c r="C628" s="139"/>
      <c r="D628" s="139"/>
      <c r="E628" s="139"/>
      <c r="F628" s="139"/>
      <c r="G628" s="580"/>
      <c r="H628" s="581"/>
      <c r="I628" s="196"/>
      <c r="J628" s="196"/>
      <c r="K628" s="196"/>
      <c r="L628" s="582"/>
      <c r="M628" s="196"/>
    </row>
    <row r="629">
      <c r="A629" s="139"/>
      <c r="B629" s="139"/>
      <c r="C629" s="139"/>
      <c r="D629" s="139"/>
      <c r="E629" s="139"/>
      <c r="F629" s="139"/>
      <c r="G629" s="580"/>
      <c r="H629" s="581"/>
      <c r="I629" s="196"/>
      <c r="J629" s="196"/>
      <c r="K629" s="196"/>
      <c r="L629" s="582"/>
      <c r="M629" s="196"/>
    </row>
    <row r="630">
      <c r="A630" s="139"/>
      <c r="B630" s="139"/>
      <c r="C630" s="139"/>
      <c r="D630" s="139"/>
      <c r="E630" s="139"/>
      <c r="F630" s="139"/>
      <c r="G630" s="580"/>
      <c r="H630" s="581"/>
      <c r="I630" s="196"/>
      <c r="J630" s="196"/>
      <c r="K630" s="196"/>
      <c r="L630" s="582"/>
      <c r="M630" s="196"/>
    </row>
    <row r="631">
      <c r="A631" s="139"/>
      <c r="B631" s="139"/>
      <c r="C631" s="139"/>
      <c r="D631" s="139"/>
      <c r="E631" s="139"/>
      <c r="F631" s="139"/>
      <c r="G631" s="580"/>
      <c r="H631" s="581"/>
      <c r="I631" s="196"/>
      <c r="J631" s="196"/>
      <c r="K631" s="196"/>
      <c r="L631" s="582"/>
      <c r="M631" s="196"/>
    </row>
    <row r="632">
      <c r="A632" s="139"/>
      <c r="B632" s="139"/>
      <c r="C632" s="139"/>
      <c r="D632" s="139"/>
      <c r="E632" s="139"/>
      <c r="F632" s="139"/>
      <c r="G632" s="580"/>
      <c r="H632" s="581"/>
      <c r="I632" s="196"/>
      <c r="J632" s="196"/>
      <c r="K632" s="196"/>
      <c r="L632" s="582"/>
      <c r="M632" s="196"/>
    </row>
    <row r="633">
      <c r="A633" s="139"/>
      <c r="B633" s="139"/>
      <c r="C633" s="139"/>
      <c r="D633" s="139"/>
      <c r="E633" s="139"/>
      <c r="F633" s="139"/>
      <c r="G633" s="580"/>
      <c r="H633" s="581"/>
      <c r="I633" s="196"/>
      <c r="J633" s="196"/>
      <c r="K633" s="196"/>
      <c r="L633" s="582"/>
      <c r="M633" s="196"/>
    </row>
    <row r="634">
      <c r="A634" s="139"/>
      <c r="B634" s="139"/>
      <c r="C634" s="139"/>
      <c r="D634" s="139"/>
      <c r="E634" s="139"/>
      <c r="F634" s="139"/>
      <c r="G634" s="580"/>
      <c r="H634" s="581"/>
      <c r="I634" s="196"/>
      <c r="J634" s="196"/>
      <c r="K634" s="196"/>
      <c r="L634" s="582"/>
      <c r="M634" s="196"/>
    </row>
    <row r="635">
      <c r="A635" s="139"/>
      <c r="B635" s="139"/>
      <c r="C635" s="139"/>
      <c r="D635" s="139"/>
      <c r="E635" s="139"/>
      <c r="F635" s="139"/>
      <c r="G635" s="580"/>
      <c r="H635" s="581"/>
      <c r="I635" s="196"/>
      <c r="J635" s="196"/>
      <c r="K635" s="196"/>
      <c r="L635" s="582"/>
      <c r="M635" s="196"/>
    </row>
    <row r="636">
      <c r="A636" s="139"/>
      <c r="B636" s="139"/>
      <c r="C636" s="139"/>
      <c r="D636" s="139"/>
      <c r="E636" s="139"/>
      <c r="F636" s="139"/>
      <c r="G636" s="580"/>
      <c r="H636" s="581"/>
      <c r="I636" s="196"/>
      <c r="J636" s="196"/>
      <c r="K636" s="196"/>
      <c r="L636" s="582"/>
      <c r="M636" s="196"/>
    </row>
    <row r="637">
      <c r="A637" s="139"/>
      <c r="B637" s="139"/>
      <c r="C637" s="139"/>
      <c r="D637" s="139"/>
      <c r="E637" s="139"/>
      <c r="F637" s="139"/>
      <c r="G637" s="580"/>
      <c r="H637" s="581"/>
      <c r="I637" s="196"/>
      <c r="J637" s="196"/>
      <c r="K637" s="196"/>
      <c r="L637" s="582"/>
      <c r="M637" s="196"/>
    </row>
    <row r="638">
      <c r="A638" s="139"/>
      <c r="B638" s="139"/>
      <c r="C638" s="139"/>
      <c r="D638" s="139"/>
      <c r="E638" s="139"/>
      <c r="F638" s="139"/>
      <c r="G638" s="580"/>
      <c r="H638" s="581"/>
      <c r="I638" s="196"/>
      <c r="J638" s="196"/>
      <c r="K638" s="196"/>
      <c r="L638" s="582"/>
      <c r="M638" s="196"/>
    </row>
    <row r="639">
      <c r="A639" s="139"/>
      <c r="B639" s="139"/>
      <c r="C639" s="139"/>
      <c r="D639" s="139"/>
      <c r="E639" s="139"/>
      <c r="F639" s="139"/>
      <c r="G639" s="580"/>
      <c r="H639" s="581"/>
      <c r="I639" s="196"/>
      <c r="J639" s="196"/>
      <c r="K639" s="196"/>
      <c r="L639" s="582"/>
      <c r="M639" s="196"/>
    </row>
    <row r="640">
      <c r="A640" s="139"/>
      <c r="B640" s="139"/>
      <c r="C640" s="139"/>
      <c r="D640" s="139"/>
      <c r="E640" s="139"/>
      <c r="F640" s="139"/>
      <c r="G640" s="580"/>
      <c r="H640" s="581"/>
      <c r="I640" s="196"/>
      <c r="J640" s="196"/>
      <c r="K640" s="196"/>
      <c r="L640" s="582"/>
      <c r="M640" s="196"/>
    </row>
    <row r="641">
      <c r="A641" s="139"/>
      <c r="B641" s="139"/>
      <c r="C641" s="139"/>
      <c r="D641" s="139"/>
      <c r="E641" s="139"/>
      <c r="F641" s="139"/>
      <c r="G641" s="580"/>
      <c r="H641" s="581"/>
      <c r="I641" s="196"/>
      <c r="J641" s="196"/>
      <c r="K641" s="196"/>
      <c r="L641" s="582"/>
      <c r="M641" s="196"/>
    </row>
    <row r="642">
      <c r="A642" s="139"/>
      <c r="B642" s="139"/>
      <c r="C642" s="139"/>
      <c r="D642" s="139"/>
      <c r="E642" s="139"/>
      <c r="F642" s="139"/>
      <c r="G642" s="580"/>
      <c r="H642" s="581"/>
      <c r="I642" s="196"/>
      <c r="J642" s="196"/>
      <c r="K642" s="196"/>
      <c r="L642" s="582"/>
      <c r="M642" s="196"/>
    </row>
    <row r="643">
      <c r="A643" s="139"/>
      <c r="B643" s="139"/>
      <c r="C643" s="139"/>
      <c r="D643" s="139"/>
      <c r="E643" s="139"/>
      <c r="F643" s="139"/>
      <c r="G643" s="580"/>
      <c r="H643" s="581"/>
      <c r="I643" s="196"/>
      <c r="J643" s="196"/>
      <c r="K643" s="196"/>
      <c r="L643" s="582"/>
      <c r="M643" s="196"/>
    </row>
    <row r="644">
      <c r="A644" s="139"/>
      <c r="B644" s="139"/>
      <c r="C644" s="139"/>
      <c r="D644" s="139"/>
      <c r="E644" s="139"/>
      <c r="F644" s="139"/>
      <c r="G644" s="580"/>
      <c r="H644" s="581"/>
      <c r="I644" s="196"/>
      <c r="J644" s="196"/>
      <c r="K644" s="196"/>
      <c r="L644" s="582"/>
      <c r="M644" s="196"/>
    </row>
    <row r="645">
      <c r="A645" s="139"/>
      <c r="B645" s="139"/>
      <c r="C645" s="139"/>
      <c r="D645" s="139"/>
      <c r="E645" s="139"/>
      <c r="F645" s="139"/>
      <c r="G645" s="580"/>
      <c r="H645" s="581"/>
      <c r="I645" s="196"/>
      <c r="J645" s="196"/>
      <c r="K645" s="196"/>
      <c r="L645" s="582"/>
      <c r="M645" s="196"/>
    </row>
    <row r="646">
      <c r="A646" s="139"/>
      <c r="B646" s="139"/>
      <c r="C646" s="139"/>
      <c r="D646" s="139"/>
      <c r="E646" s="139"/>
      <c r="F646" s="139"/>
      <c r="G646" s="580"/>
      <c r="H646" s="581"/>
      <c r="I646" s="196"/>
      <c r="J646" s="196"/>
      <c r="K646" s="196"/>
      <c r="L646" s="582"/>
      <c r="M646" s="196"/>
    </row>
    <row r="647">
      <c r="A647" s="139"/>
      <c r="B647" s="139"/>
      <c r="C647" s="139"/>
      <c r="D647" s="139"/>
      <c r="E647" s="139"/>
      <c r="F647" s="139"/>
      <c r="G647" s="580"/>
      <c r="H647" s="581"/>
      <c r="I647" s="196"/>
      <c r="J647" s="196"/>
      <c r="K647" s="196"/>
      <c r="L647" s="582"/>
      <c r="M647" s="196"/>
    </row>
    <row r="648">
      <c r="A648" s="139"/>
      <c r="B648" s="139"/>
      <c r="C648" s="139"/>
      <c r="D648" s="139"/>
      <c r="E648" s="139"/>
      <c r="F648" s="139"/>
      <c r="G648" s="580"/>
      <c r="H648" s="581"/>
      <c r="I648" s="196"/>
      <c r="J648" s="196"/>
      <c r="K648" s="196"/>
      <c r="L648" s="582"/>
      <c r="M648" s="196"/>
    </row>
    <row r="649">
      <c r="A649" s="139"/>
      <c r="B649" s="139"/>
      <c r="C649" s="139"/>
      <c r="D649" s="139"/>
      <c r="E649" s="139"/>
      <c r="F649" s="139"/>
      <c r="G649" s="580"/>
      <c r="H649" s="581"/>
      <c r="I649" s="196"/>
      <c r="J649" s="196"/>
      <c r="K649" s="196"/>
      <c r="L649" s="582"/>
      <c r="M649" s="196"/>
    </row>
    <row r="650">
      <c r="A650" s="139"/>
      <c r="B650" s="139"/>
      <c r="C650" s="139"/>
      <c r="D650" s="139"/>
      <c r="E650" s="139"/>
      <c r="F650" s="139"/>
      <c r="G650" s="580"/>
      <c r="H650" s="581"/>
      <c r="I650" s="196"/>
      <c r="J650" s="196"/>
      <c r="K650" s="196"/>
      <c r="L650" s="582"/>
      <c r="M650" s="196"/>
    </row>
    <row r="651">
      <c r="A651" s="139"/>
      <c r="B651" s="139"/>
      <c r="C651" s="139"/>
      <c r="D651" s="139"/>
      <c r="E651" s="139"/>
      <c r="F651" s="139"/>
      <c r="G651" s="580"/>
      <c r="H651" s="581"/>
      <c r="I651" s="196"/>
      <c r="J651" s="196"/>
      <c r="K651" s="196"/>
      <c r="L651" s="582"/>
      <c r="M651" s="196"/>
    </row>
    <row r="652">
      <c r="A652" s="139"/>
      <c r="B652" s="139"/>
      <c r="C652" s="139"/>
      <c r="D652" s="139"/>
      <c r="E652" s="139"/>
      <c r="F652" s="139"/>
      <c r="G652" s="580"/>
      <c r="H652" s="581"/>
      <c r="I652" s="196"/>
      <c r="J652" s="196"/>
      <c r="K652" s="196"/>
      <c r="L652" s="582"/>
      <c r="M652" s="196"/>
    </row>
    <row r="653">
      <c r="A653" s="139"/>
      <c r="B653" s="139"/>
      <c r="C653" s="139"/>
      <c r="D653" s="139"/>
      <c r="E653" s="139"/>
      <c r="F653" s="139"/>
      <c r="G653" s="580"/>
      <c r="H653" s="581"/>
      <c r="I653" s="196"/>
      <c r="J653" s="196"/>
      <c r="K653" s="196"/>
      <c r="L653" s="582"/>
      <c r="M653" s="196"/>
    </row>
    <row r="654">
      <c r="A654" s="139"/>
      <c r="B654" s="139"/>
      <c r="C654" s="139"/>
      <c r="D654" s="139"/>
      <c r="E654" s="139"/>
      <c r="F654" s="139"/>
      <c r="G654" s="580"/>
      <c r="H654" s="581"/>
      <c r="I654" s="196"/>
      <c r="J654" s="196"/>
      <c r="K654" s="196"/>
      <c r="L654" s="582"/>
      <c r="M654" s="196"/>
    </row>
    <row r="655">
      <c r="A655" s="139"/>
      <c r="B655" s="139"/>
      <c r="C655" s="139"/>
      <c r="D655" s="139"/>
      <c r="E655" s="139"/>
      <c r="F655" s="139"/>
      <c r="G655" s="580"/>
      <c r="H655" s="581"/>
      <c r="I655" s="196"/>
      <c r="J655" s="196"/>
      <c r="K655" s="196"/>
      <c r="L655" s="582"/>
      <c r="M655" s="196"/>
    </row>
    <row r="656">
      <c r="A656" s="139"/>
      <c r="B656" s="139"/>
      <c r="C656" s="139"/>
      <c r="D656" s="139"/>
      <c r="E656" s="139"/>
      <c r="F656" s="139"/>
      <c r="G656" s="580"/>
      <c r="H656" s="581"/>
      <c r="I656" s="196"/>
      <c r="J656" s="196"/>
      <c r="K656" s="196"/>
      <c r="L656" s="582"/>
      <c r="M656" s="196"/>
    </row>
    <row r="657">
      <c r="A657" s="139"/>
      <c r="B657" s="139"/>
      <c r="C657" s="139"/>
      <c r="D657" s="139"/>
      <c r="E657" s="139"/>
      <c r="F657" s="139"/>
      <c r="G657" s="580"/>
      <c r="H657" s="581"/>
      <c r="I657" s="196"/>
      <c r="J657" s="196"/>
      <c r="K657" s="196"/>
      <c r="L657" s="582"/>
      <c r="M657" s="196"/>
    </row>
    <row r="658">
      <c r="A658" s="139"/>
      <c r="B658" s="139"/>
      <c r="C658" s="139"/>
      <c r="D658" s="139"/>
      <c r="E658" s="139"/>
      <c r="F658" s="139"/>
      <c r="G658" s="580"/>
      <c r="H658" s="581"/>
      <c r="I658" s="196"/>
      <c r="J658" s="196"/>
      <c r="K658" s="196"/>
      <c r="L658" s="582"/>
      <c r="M658" s="196"/>
    </row>
    <row r="659">
      <c r="A659" s="139"/>
      <c r="B659" s="139"/>
      <c r="C659" s="139"/>
      <c r="D659" s="139"/>
      <c r="E659" s="139"/>
      <c r="F659" s="139"/>
      <c r="G659" s="580"/>
      <c r="H659" s="581"/>
      <c r="I659" s="196"/>
      <c r="J659" s="196"/>
      <c r="K659" s="196"/>
      <c r="L659" s="582"/>
      <c r="M659" s="196"/>
    </row>
    <row r="660">
      <c r="A660" s="139"/>
      <c r="B660" s="139"/>
      <c r="C660" s="139"/>
      <c r="D660" s="139"/>
      <c r="E660" s="139"/>
      <c r="F660" s="139"/>
      <c r="G660" s="580"/>
      <c r="H660" s="581"/>
      <c r="I660" s="196"/>
      <c r="J660" s="196"/>
      <c r="K660" s="196"/>
      <c r="L660" s="582"/>
      <c r="M660" s="196"/>
    </row>
    <row r="661">
      <c r="A661" s="139"/>
      <c r="B661" s="139"/>
      <c r="C661" s="139"/>
      <c r="D661" s="139"/>
      <c r="E661" s="139"/>
      <c r="F661" s="139"/>
      <c r="G661" s="580"/>
      <c r="H661" s="581"/>
      <c r="I661" s="196"/>
      <c r="J661" s="196"/>
      <c r="K661" s="196"/>
      <c r="L661" s="582"/>
      <c r="M661" s="196"/>
    </row>
    <row r="662">
      <c r="A662" s="139"/>
      <c r="B662" s="139"/>
      <c r="C662" s="139"/>
      <c r="D662" s="139"/>
      <c r="E662" s="139"/>
      <c r="F662" s="139"/>
      <c r="G662" s="580"/>
      <c r="H662" s="581"/>
      <c r="I662" s="196"/>
      <c r="J662" s="196"/>
      <c r="K662" s="196"/>
      <c r="L662" s="582"/>
      <c r="M662" s="196"/>
    </row>
    <row r="663">
      <c r="A663" s="139"/>
      <c r="B663" s="139"/>
      <c r="C663" s="139"/>
      <c r="D663" s="139"/>
      <c r="E663" s="139"/>
      <c r="F663" s="139"/>
      <c r="G663" s="580"/>
      <c r="H663" s="581"/>
      <c r="I663" s="196"/>
      <c r="J663" s="196"/>
      <c r="K663" s="196"/>
      <c r="L663" s="582"/>
      <c r="M663" s="196"/>
    </row>
    <row r="664">
      <c r="A664" s="139"/>
      <c r="B664" s="139"/>
      <c r="C664" s="139"/>
      <c r="D664" s="139"/>
      <c r="E664" s="139"/>
      <c r="F664" s="139"/>
      <c r="G664" s="580"/>
      <c r="H664" s="581"/>
      <c r="I664" s="196"/>
      <c r="J664" s="196"/>
      <c r="K664" s="196"/>
      <c r="L664" s="582"/>
      <c r="M664" s="196"/>
    </row>
    <row r="665">
      <c r="A665" s="139"/>
      <c r="B665" s="139"/>
      <c r="C665" s="139"/>
      <c r="D665" s="139"/>
      <c r="E665" s="139"/>
      <c r="F665" s="139"/>
      <c r="G665" s="580"/>
      <c r="H665" s="581"/>
      <c r="I665" s="196"/>
      <c r="J665" s="196"/>
      <c r="K665" s="196"/>
      <c r="L665" s="582"/>
      <c r="M665" s="196"/>
    </row>
    <row r="666">
      <c r="A666" s="139"/>
      <c r="B666" s="139"/>
      <c r="C666" s="139"/>
      <c r="D666" s="139"/>
      <c r="E666" s="139"/>
      <c r="F666" s="139"/>
      <c r="G666" s="580"/>
      <c r="H666" s="581"/>
      <c r="I666" s="196"/>
      <c r="J666" s="196"/>
      <c r="K666" s="196"/>
      <c r="L666" s="582"/>
      <c r="M666" s="196"/>
    </row>
    <row r="667">
      <c r="A667" s="139"/>
      <c r="B667" s="139"/>
      <c r="C667" s="139"/>
      <c r="D667" s="139"/>
      <c r="E667" s="139"/>
      <c r="F667" s="139"/>
      <c r="G667" s="580"/>
      <c r="H667" s="581"/>
      <c r="I667" s="196"/>
      <c r="J667" s="196"/>
      <c r="K667" s="196"/>
      <c r="L667" s="582"/>
      <c r="M667" s="196"/>
    </row>
    <row r="668">
      <c r="A668" s="139"/>
      <c r="B668" s="139"/>
      <c r="C668" s="139"/>
      <c r="D668" s="139"/>
      <c r="E668" s="139"/>
      <c r="F668" s="139"/>
      <c r="G668" s="580"/>
      <c r="H668" s="581"/>
      <c r="I668" s="196"/>
      <c r="J668" s="196"/>
      <c r="K668" s="196"/>
      <c r="L668" s="582"/>
      <c r="M668" s="196"/>
    </row>
    <row r="669">
      <c r="A669" s="139"/>
      <c r="B669" s="139"/>
      <c r="C669" s="139"/>
      <c r="D669" s="139"/>
      <c r="E669" s="139"/>
      <c r="F669" s="139"/>
      <c r="G669" s="580"/>
      <c r="H669" s="581"/>
      <c r="I669" s="196"/>
      <c r="J669" s="196"/>
      <c r="K669" s="196"/>
      <c r="L669" s="582"/>
      <c r="M669" s="196"/>
    </row>
    <row r="670">
      <c r="A670" s="139"/>
      <c r="B670" s="139"/>
      <c r="C670" s="139"/>
      <c r="D670" s="139"/>
      <c r="E670" s="139"/>
      <c r="F670" s="139"/>
      <c r="G670" s="580"/>
      <c r="H670" s="581"/>
      <c r="I670" s="196"/>
      <c r="J670" s="196"/>
      <c r="K670" s="196"/>
      <c r="L670" s="582"/>
      <c r="M670" s="196"/>
    </row>
    <row r="671">
      <c r="A671" s="139"/>
      <c r="B671" s="139"/>
      <c r="C671" s="139"/>
      <c r="D671" s="139"/>
      <c r="E671" s="139"/>
      <c r="F671" s="139"/>
      <c r="G671" s="580"/>
      <c r="H671" s="581"/>
      <c r="I671" s="196"/>
      <c r="J671" s="196"/>
      <c r="K671" s="196"/>
      <c r="L671" s="582"/>
      <c r="M671" s="196"/>
    </row>
    <row r="672">
      <c r="A672" s="139"/>
      <c r="B672" s="139"/>
      <c r="C672" s="139"/>
      <c r="D672" s="139"/>
      <c r="E672" s="139"/>
      <c r="F672" s="139"/>
      <c r="G672" s="580"/>
      <c r="H672" s="581"/>
      <c r="I672" s="196"/>
      <c r="J672" s="196"/>
      <c r="K672" s="196"/>
      <c r="L672" s="582"/>
      <c r="M672" s="196"/>
    </row>
    <row r="673">
      <c r="A673" s="139"/>
      <c r="B673" s="139"/>
      <c r="C673" s="139"/>
      <c r="D673" s="139"/>
      <c r="E673" s="139"/>
      <c r="F673" s="139"/>
      <c r="G673" s="580"/>
      <c r="H673" s="581"/>
      <c r="I673" s="196"/>
      <c r="J673" s="196"/>
      <c r="K673" s="196"/>
      <c r="L673" s="582"/>
      <c r="M673" s="196"/>
    </row>
    <row r="674">
      <c r="A674" s="139"/>
      <c r="B674" s="139"/>
      <c r="C674" s="139"/>
      <c r="D674" s="139"/>
      <c r="E674" s="139"/>
      <c r="F674" s="139"/>
      <c r="G674" s="580"/>
      <c r="H674" s="581"/>
      <c r="I674" s="196"/>
      <c r="J674" s="196"/>
      <c r="K674" s="196"/>
      <c r="L674" s="582"/>
      <c r="M674" s="196"/>
    </row>
    <row r="675">
      <c r="A675" s="139"/>
      <c r="B675" s="139"/>
      <c r="C675" s="139"/>
      <c r="D675" s="139"/>
      <c r="E675" s="139"/>
      <c r="F675" s="139"/>
      <c r="G675" s="580"/>
      <c r="H675" s="581"/>
      <c r="I675" s="196"/>
      <c r="J675" s="196"/>
      <c r="K675" s="196"/>
      <c r="L675" s="582"/>
      <c r="M675" s="196"/>
    </row>
    <row r="676">
      <c r="A676" s="139"/>
      <c r="B676" s="139"/>
      <c r="C676" s="139"/>
      <c r="D676" s="139"/>
      <c r="E676" s="139"/>
      <c r="F676" s="139"/>
      <c r="G676" s="580"/>
      <c r="H676" s="581"/>
      <c r="I676" s="196"/>
      <c r="J676" s="196"/>
      <c r="K676" s="196"/>
      <c r="L676" s="582"/>
      <c r="M676" s="196"/>
    </row>
    <row r="677">
      <c r="A677" s="139"/>
      <c r="B677" s="139"/>
      <c r="C677" s="139"/>
      <c r="D677" s="139"/>
      <c r="E677" s="139"/>
      <c r="F677" s="139"/>
      <c r="G677" s="580"/>
      <c r="H677" s="581"/>
      <c r="I677" s="196"/>
      <c r="J677" s="196"/>
      <c r="K677" s="196"/>
      <c r="L677" s="582"/>
      <c r="M677" s="196"/>
    </row>
    <row r="678">
      <c r="A678" s="139"/>
      <c r="B678" s="139"/>
      <c r="C678" s="139"/>
      <c r="D678" s="139"/>
      <c r="E678" s="139"/>
      <c r="F678" s="139"/>
      <c r="G678" s="580"/>
      <c r="H678" s="581"/>
      <c r="I678" s="196"/>
      <c r="J678" s="196"/>
      <c r="K678" s="196"/>
      <c r="L678" s="582"/>
      <c r="M678" s="196"/>
    </row>
    <row r="679">
      <c r="A679" s="139"/>
      <c r="B679" s="139"/>
      <c r="C679" s="139"/>
      <c r="D679" s="139"/>
      <c r="E679" s="139"/>
      <c r="F679" s="139"/>
      <c r="G679" s="580"/>
      <c r="H679" s="581"/>
      <c r="I679" s="196"/>
      <c r="J679" s="196"/>
      <c r="K679" s="196"/>
      <c r="L679" s="582"/>
      <c r="M679" s="196"/>
    </row>
    <row r="680">
      <c r="A680" s="139"/>
      <c r="B680" s="139"/>
      <c r="C680" s="139"/>
      <c r="D680" s="139"/>
      <c r="E680" s="139"/>
      <c r="F680" s="139"/>
      <c r="G680" s="580"/>
      <c r="H680" s="581"/>
      <c r="I680" s="196"/>
      <c r="J680" s="196"/>
      <c r="K680" s="196"/>
      <c r="L680" s="582"/>
      <c r="M680" s="196"/>
    </row>
    <row r="681">
      <c r="A681" s="139"/>
      <c r="B681" s="139"/>
      <c r="C681" s="139"/>
      <c r="D681" s="139"/>
      <c r="E681" s="139"/>
      <c r="F681" s="139"/>
      <c r="G681" s="580"/>
      <c r="H681" s="581"/>
      <c r="I681" s="196"/>
      <c r="J681" s="196"/>
      <c r="K681" s="196"/>
      <c r="L681" s="582"/>
      <c r="M681" s="196"/>
    </row>
    <row r="682">
      <c r="A682" s="139"/>
      <c r="B682" s="139"/>
      <c r="C682" s="139"/>
      <c r="D682" s="139"/>
      <c r="E682" s="139"/>
      <c r="F682" s="139"/>
      <c r="G682" s="580"/>
      <c r="H682" s="581"/>
      <c r="I682" s="196"/>
      <c r="J682" s="196"/>
      <c r="K682" s="196"/>
      <c r="L682" s="582"/>
      <c r="M682" s="196"/>
    </row>
    <row r="683">
      <c r="A683" s="139"/>
      <c r="B683" s="139"/>
      <c r="C683" s="139"/>
      <c r="D683" s="139"/>
      <c r="E683" s="139"/>
      <c r="F683" s="139"/>
      <c r="G683" s="580"/>
      <c r="H683" s="581"/>
      <c r="I683" s="196"/>
      <c r="J683" s="196"/>
      <c r="K683" s="196"/>
      <c r="L683" s="582"/>
      <c r="M683" s="196"/>
    </row>
    <row r="684">
      <c r="A684" s="139"/>
      <c r="B684" s="139"/>
      <c r="C684" s="139"/>
      <c r="D684" s="139"/>
      <c r="E684" s="139"/>
      <c r="F684" s="139"/>
      <c r="G684" s="580"/>
      <c r="H684" s="581"/>
      <c r="I684" s="196"/>
      <c r="J684" s="196"/>
      <c r="K684" s="196"/>
      <c r="L684" s="582"/>
      <c r="M684" s="196"/>
    </row>
    <row r="685">
      <c r="A685" s="139"/>
      <c r="B685" s="139"/>
      <c r="C685" s="139"/>
      <c r="D685" s="139"/>
      <c r="E685" s="139"/>
      <c r="F685" s="139"/>
      <c r="G685" s="580"/>
      <c r="H685" s="581"/>
      <c r="I685" s="196"/>
      <c r="J685" s="196"/>
      <c r="K685" s="196"/>
      <c r="L685" s="582"/>
      <c r="M685" s="196"/>
    </row>
    <row r="686">
      <c r="A686" s="139"/>
      <c r="B686" s="139"/>
      <c r="C686" s="139"/>
      <c r="D686" s="139"/>
      <c r="E686" s="139"/>
      <c r="F686" s="139"/>
      <c r="G686" s="580"/>
      <c r="H686" s="581"/>
      <c r="I686" s="196"/>
      <c r="J686" s="196"/>
      <c r="K686" s="196"/>
      <c r="L686" s="582"/>
      <c r="M686" s="196"/>
    </row>
    <row r="687">
      <c r="A687" s="139"/>
      <c r="B687" s="139"/>
      <c r="C687" s="139"/>
      <c r="D687" s="139"/>
      <c r="E687" s="139"/>
      <c r="F687" s="139"/>
      <c r="G687" s="580"/>
      <c r="H687" s="581"/>
      <c r="I687" s="196"/>
      <c r="J687" s="196"/>
      <c r="K687" s="196"/>
      <c r="L687" s="582"/>
      <c r="M687" s="196"/>
    </row>
    <row r="688">
      <c r="A688" s="139"/>
      <c r="B688" s="139"/>
      <c r="C688" s="139"/>
      <c r="D688" s="139"/>
      <c r="E688" s="139"/>
      <c r="F688" s="139"/>
      <c r="G688" s="580"/>
      <c r="H688" s="581"/>
      <c r="I688" s="196"/>
      <c r="J688" s="196"/>
      <c r="K688" s="196"/>
      <c r="L688" s="582"/>
      <c r="M688" s="196"/>
    </row>
    <row r="689">
      <c r="A689" s="139"/>
      <c r="B689" s="139"/>
      <c r="C689" s="139"/>
      <c r="D689" s="139"/>
      <c r="E689" s="139"/>
      <c r="F689" s="139"/>
      <c r="G689" s="580"/>
      <c r="H689" s="581"/>
      <c r="I689" s="196"/>
      <c r="J689" s="196"/>
      <c r="K689" s="196"/>
      <c r="L689" s="582"/>
      <c r="M689" s="196"/>
    </row>
    <row r="690">
      <c r="A690" s="139"/>
      <c r="B690" s="139"/>
      <c r="C690" s="139"/>
      <c r="D690" s="139"/>
      <c r="E690" s="139"/>
      <c r="F690" s="139"/>
      <c r="G690" s="580"/>
      <c r="H690" s="581"/>
      <c r="I690" s="196"/>
      <c r="J690" s="196"/>
      <c r="K690" s="196"/>
      <c r="L690" s="582"/>
      <c r="M690" s="196"/>
    </row>
    <row r="691">
      <c r="A691" s="139"/>
      <c r="B691" s="139"/>
      <c r="C691" s="139"/>
      <c r="D691" s="139"/>
      <c r="E691" s="139"/>
      <c r="F691" s="139"/>
      <c r="G691" s="580"/>
      <c r="H691" s="581"/>
      <c r="I691" s="196"/>
      <c r="J691" s="196"/>
      <c r="K691" s="196"/>
      <c r="L691" s="582"/>
      <c r="M691" s="196"/>
    </row>
    <row r="692">
      <c r="A692" s="139"/>
      <c r="B692" s="139"/>
      <c r="C692" s="139"/>
      <c r="D692" s="139"/>
      <c r="E692" s="139"/>
      <c r="F692" s="139"/>
      <c r="G692" s="580"/>
      <c r="H692" s="581"/>
      <c r="I692" s="196"/>
      <c r="J692" s="196"/>
      <c r="K692" s="196"/>
      <c r="L692" s="582"/>
      <c r="M692" s="196"/>
    </row>
    <row r="693">
      <c r="A693" s="139"/>
      <c r="B693" s="139"/>
      <c r="C693" s="139"/>
      <c r="D693" s="139"/>
      <c r="E693" s="139"/>
      <c r="F693" s="139"/>
      <c r="G693" s="580"/>
      <c r="H693" s="581"/>
      <c r="I693" s="196"/>
      <c r="J693" s="196"/>
      <c r="K693" s="196"/>
      <c r="L693" s="582"/>
      <c r="M693" s="196"/>
    </row>
    <row r="694">
      <c r="A694" s="139"/>
      <c r="B694" s="139"/>
      <c r="C694" s="139"/>
      <c r="D694" s="139"/>
      <c r="E694" s="139"/>
      <c r="F694" s="139"/>
      <c r="G694" s="580"/>
      <c r="H694" s="581"/>
      <c r="I694" s="196"/>
      <c r="J694" s="196"/>
      <c r="K694" s="196"/>
      <c r="L694" s="582"/>
      <c r="M694" s="196"/>
    </row>
    <row r="695">
      <c r="A695" s="139"/>
      <c r="B695" s="139"/>
      <c r="C695" s="139"/>
      <c r="D695" s="139"/>
      <c r="E695" s="139"/>
      <c r="F695" s="139"/>
      <c r="G695" s="580"/>
      <c r="H695" s="581"/>
      <c r="I695" s="196"/>
      <c r="J695" s="196"/>
      <c r="K695" s="196"/>
      <c r="L695" s="582"/>
      <c r="M695" s="196"/>
    </row>
    <row r="696">
      <c r="A696" s="139"/>
      <c r="B696" s="139"/>
      <c r="C696" s="139"/>
      <c r="D696" s="139"/>
      <c r="E696" s="139"/>
      <c r="F696" s="139"/>
      <c r="G696" s="580"/>
      <c r="H696" s="581"/>
      <c r="I696" s="196"/>
      <c r="J696" s="196"/>
      <c r="K696" s="196"/>
      <c r="L696" s="582"/>
      <c r="M696" s="196"/>
    </row>
    <row r="697">
      <c r="A697" s="139"/>
      <c r="B697" s="139"/>
      <c r="C697" s="139"/>
      <c r="D697" s="139"/>
      <c r="E697" s="139"/>
      <c r="F697" s="139"/>
      <c r="G697" s="580"/>
      <c r="H697" s="581"/>
      <c r="I697" s="196"/>
      <c r="J697" s="196"/>
      <c r="K697" s="196"/>
      <c r="L697" s="582"/>
      <c r="M697" s="196"/>
    </row>
    <row r="698">
      <c r="A698" s="139"/>
      <c r="B698" s="139"/>
      <c r="C698" s="139"/>
      <c r="D698" s="139"/>
      <c r="E698" s="139"/>
      <c r="F698" s="139"/>
      <c r="G698" s="580"/>
      <c r="H698" s="581"/>
      <c r="I698" s="196"/>
      <c r="J698" s="196"/>
      <c r="K698" s="196"/>
      <c r="L698" s="582"/>
      <c r="M698" s="196"/>
    </row>
    <row r="699">
      <c r="A699" s="139"/>
      <c r="B699" s="139"/>
      <c r="C699" s="139"/>
      <c r="D699" s="139"/>
      <c r="E699" s="139"/>
      <c r="F699" s="139"/>
      <c r="G699" s="580"/>
      <c r="H699" s="581"/>
      <c r="I699" s="196"/>
      <c r="J699" s="196"/>
      <c r="K699" s="196"/>
      <c r="L699" s="582"/>
      <c r="M699" s="196"/>
    </row>
    <row r="700">
      <c r="A700" s="139"/>
      <c r="B700" s="139"/>
      <c r="C700" s="139"/>
      <c r="D700" s="139"/>
      <c r="E700" s="139"/>
      <c r="F700" s="139"/>
      <c r="G700" s="580"/>
      <c r="H700" s="581"/>
      <c r="I700" s="196"/>
      <c r="J700" s="196"/>
      <c r="K700" s="196"/>
      <c r="L700" s="582"/>
      <c r="M700" s="196"/>
    </row>
    <row r="701">
      <c r="A701" s="139"/>
      <c r="B701" s="139"/>
      <c r="C701" s="139"/>
      <c r="D701" s="139"/>
      <c r="E701" s="139"/>
      <c r="F701" s="139"/>
      <c r="G701" s="580"/>
      <c r="H701" s="581"/>
      <c r="I701" s="196"/>
      <c r="J701" s="196"/>
      <c r="K701" s="196"/>
      <c r="L701" s="582"/>
      <c r="M701" s="196"/>
    </row>
    <row r="702">
      <c r="A702" s="139"/>
      <c r="B702" s="139"/>
      <c r="C702" s="139"/>
      <c r="D702" s="139"/>
      <c r="E702" s="139"/>
      <c r="F702" s="139"/>
      <c r="G702" s="580"/>
      <c r="H702" s="581"/>
      <c r="I702" s="196"/>
      <c r="J702" s="196"/>
      <c r="K702" s="196"/>
      <c r="L702" s="582"/>
      <c r="M702" s="196"/>
    </row>
    <row r="703">
      <c r="A703" s="139"/>
      <c r="B703" s="139"/>
      <c r="C703" s="139"/>
      <c r="D703" s="139"/>
      <c r="E703" s="139"/>
      <c r="F703" s="139"/>
      <c r="G703" s="580"/>
      <c r="H703" s="581"/>
      <c r="I703" s="196"/>
      <c r="J703" s="196"/>
      <c r="K703" s="196"/>
      <c r="L703" s="582"/>
      <c r="M703" s="196"/>
    </row>
    <row r="704">
      <c r="A704" s="139"/>
      <c r="B704" s="139"/>
      <c r="C704" s="139"/>
      <c r="D704" s="139"/>
      <c r="E704" s="139"/>
      <c r="F704" s="139"/>
      <c r="G704" s="580"/>
      <c r="H704" s="581"/>
      <c r="I704" s="196"/>
      <c r="J704" s="196"/>
      <c r="K704" s="196"/>
      <c r="L704" s="582"/>
      <c r="M704" s="196"/>
    </row>
    <row r="705">
      <c r="A705" s="139"/>
      <c r="B705" s="139"/>
      <c r="C705" s="139"/>
      <c r="D705" s="139"/>
      <c r="E705" s="139"/>
      <c r="F705" s="139"/>
      <c r="G705" s="580"/>
      <c r="H705" s="581"/>
      <c r="I705" s="196"/>
      <c r="J705" s="196"/>
      <c r="K705" s="196"/>
      <c r="L705" s="582"/>
      <c r="M705" s="196"/>
    </row>
    <row r="706">
      <c r="A706" s="139"/>
      <c r="B706" s="139"/>
      <c r="C706" s="139"/>
      <c r="D706" s="139"/>
      <c r="E706" s="139"/>
      <c r="F706" s="139"/>
      <c r="G706" s="580"/>
      <c r="H706" s="581"/>
      <c r="I706" s="196"/>
      <c r="J706" s="196"/>
      <c r="K706" s="196"/>
      <c r="L706" s="582"/>
      <c r="M706" s="196"/>
    </row>
    <row r="707">
      <c r="A707" s="139"/>
      <c r="B707" s="139"/>
      <c r="C707" s="139"/>
      <c r="D707" s="139"/>
      <c r="E707" s="139"/>
      <c r="F707" s="139"/>
      <c r="G707" s="580"/>
      <c r="H707" s="581"/>
      <c r="I707" s="196"/>
      <c r="J707" s="196"/>
      <c r="K707" s="196"/>
      <c r="L707" s="582"/>
      <c r="M707" s="196"/>
    </row>
    <row r="708">
      <c r="A708" s="139"/>
      <c r="B708" s="139"/>
      <c r="C708" s="139"/>
      <c r="D708" s="139"/>
      <c r="E708" s="139"/>
      <c r="F708" s="139"/>
      <c r="G708" s="580"/>
      <c r="H708" s="581"/>
      <c r="I708" s="196"/>
      <c r="J708" s="196"/>
      <c r="K708" s="196"/>
      <c r="L708" s="582"/>
      <c r="M708" s="196"/>
    </row>
    <row r="709">
      <c r="A709" s="139"/>
      <c r="B709" s="139"/>
      <c r="C709" s="139"/>
      <c r="D709" s="139"/>
      <c r="E709" s="139"/>
      <c r="F709" s="139"/>
      <c r="G709" s="580"/>
      <c r="H709" s="581"/>
      <c r="I709" s="196"/>
      <c r="J709" s="196"/>
      <c r="K709" s="196"/>
      <c r="L709" s="582"/>
      <c r="M709" s="196"/>
    </row>
    <row r="710">
      <c r="A710" s="139"/>
      <c r="B710" s="139"/>
      <c r="C710" s="139"/>
      <c r="D710" s="139"/>
      <c r="E710" s="139"/>
      <c r="F710" s="139"/>
      <c r="G710" s="580"/>
      <c r="H710" s="581"/>
      <c r="I710" s="196"/>
      <c r="J710" s="196"/>
      <c r="K710" s="196"/>
      <c r="L710" s="582"/>
      <c r="M710" s="196"/>
    </row>
    <row r="711">
      <c r="A711" s="139"/>
      <c r="B711" s="139"/>
      <c r="C711" s="139"/>
      <c r="D711" s="139"/>
      <c r="E711" s="139"/>
      <c r="F711" s="139"/>
      <c r="G711" s="580"/>
      <c r="H711" s="581"/>
      <c r="I711" s="196"/>
      <c r="J711" s="196"/>
      <c r="K711" s="196"/>
      <c r="L711" s="582"/>
      <c r="M711" s="196"/>
    </row>
    <row r="712">
      <c r="A712" s="139"/>
      <c r="B712" s="139"/>
      <c r="C712" s="139"/>
      <c r="D712" s="139"/>
      <c r="E712" s="139"/>
      <c r="F712" s="139"/>
      <c r="G712" s="580"/>
      <c r="H712" s="581"/>
      <c r="I712" s="196"/>
      <c r="J712" s="196"/>
      <c r="K712" s="196"/>
      <c r="L712" s="582"/>
      <c r="M712" s="196"/>
    </row>
    <row r="713">
      <c r="A713" s="139"/>
      <c r="B713" s="139"/>
      <c r="C713" s="139"/>
      <c r="D713" s="139"/>
      <c r="E713" s="139"/>
      <c r="F713" s="139"/>
      <c r="G713" s="580"/>
      <c r="H713" s="581"/>
      <c r="I713" s="196"/>
      <c r="J713" s="196"/>
      <c r="K713" s="196"/>
      <c r="L713" s="582"/>
      <c r="M713" s="196"/>
    </row>
    <row r="714">
      <c r="A714" s="139"/>
      <c r="B714" s="139"/>
      <c r="C714" s="139"/>
      <c r="D714" s="139"/>
      <c r="E714" s="139"/>
      <c r="F714" s="139"/>
      <c r="G714" s="580"/>
      <c r="H714" s="581"/>
      <c r="I714" s="196"/>
      <c r="J714" s="196"/>
      <c r="K714" s="196"/>
      <c r="L714" s="582"/>
      <c r="M714" s="196"/>
    </row>
    <row r="715">
      <c r="A715" s="139"/>
      <c r="B715" s="139"/>
      <c r="C715" s="139"/>
      <c r="D715" s="139"/>
      <c r="E715" s="139"/>
      <c r="F715" s="139"/>
      <c r="G715" s="580"/>
      <c r="H715" s="581"/>
      <c r="I715" s="196"/>
      <c r="J715" s="196"/>
      <c r="K715" s="196"/>
      <c r="L715" s="582"/>
      <c r="M715" s="196"/>
    </row>
    <row r="716">
      <c r="A716" s="139"/>
      <c r="B716" s="139"/>
      <c r="C716" s="139"/>
      <c r="D716" s="139"/>
      <c r="E716" s="139"/>
      <c r="F716" s="139"/>
      <c r="G716" s="580"/>
      <c r="H716" s="581"/>
      <c r="I716" s="196"/>
      <c r="J716" s="196"/>
      <c r="K716" s="196"/>
      <c r="L716" s="582"/>
      <c r="M716" s="196"/>
    </row>
    <row r="717">
      <c r="A717" s="139"/>
      <c r="B717" s="139"/>
      <c r="C717" s="139"/>
      <c r="D717" s="139"/>
      <c r="E717" s="139"/>
      <c r="F717" s="139"/>
      <c r="G717" s="580"/>
      <c r="H717" s="581"/>
      <c r="I717" s="196"/>
      <c r="J717" s="196"/>
      <c r="K717" s="196"/>
      <c r="L717" s="582"/>
      <c r="M717" s="196"/>
    </row>
    <row r="718">
      <c r="A718" s="139"/>
      <c r="B718" s="139"/>
      <c r="C718" s="139"/>
      <c r="D718" s="139"/>
      <c r="E718" s="139"/>
      <c r="F718" s="139"/>
      <c r="G718" s="580"/>
      <c r="H718" s="581"/>
      <c r="I718" s="196"/>
      <c r="J718" s="196"/>
      <c r="K718" s="196"/>
      <c r="L718" s="582"/>
      <c r="M718" s="196"/>
    </row>
    <row r="719">
      <c r="A719" s="139"/>
      <c r="B719" s="139"/>
      <c r="C719" s="139"/>
      <c r="D719" s="139"/>
      <c r="E719" s="139"/>
      <c r="F719" s="139"/>
      <c r="G719" s="580"/>
      <c r="H719" s="581"/>
      <c r="I719" s="196"/>
      <c r="J719" s="196"/>
      <c r="K719" s="196"/>
      <c r="L719" s="582"/>
      <c r="M719" s="196"/>
    </row>
    <row r="720">
      <c r="A720" s="139"/>
      <c r="B720" s="139"/>
      <c r="C720" s="139"/>
      <c r="D720" s="139"/>
      <c r="E720" s="139"/>
      <c r="F720" s="139"/>
      <c r="G720" s="580"/>
      <c r="H720" s="581"/>
      <c r="I720" s="196"/>
      <c r="J720" s="196"/>
      <c r="K720" s="196"/>
      <c r="L720" s="582"/>
      <c r="M720" s="196"/>
    </row>
    <row r="721">
      <c r="A721" s="139"/>
      <c r="B721" s="139"/>
      <c r="C721" s="139"/>
      <c r="D721" s="139"/>
      <c r="E721" s="139"/>
      <c r="F721" s="139"/>
      <c r="G721" s="580"/>
      <c r="H721" s="581"/>
      <c r="I721" s="196"/>
      <c r="J721" s="196"/>
      <c r="K721" s="196"/>
      <c r="L721" s="582"/>
      <c r="M721" s="196"/>
    </row>
    <row r="722">
      <c r="A722" s="139"/>
      <c r="B722" s="139"/>
      <c r="C722" s="139"/>
      <c r="D722" s="139"/>
      <c r="E722" s="139"/>
      <c r="F722" s="139"/>
      <c r="G722" s="580"/>
      <c r="H722" s="581"/>
      <c r="I722" s="196"/>
      <c r="J722" s="196"/>
      <c r="K722" s="196"/>
      <c r="L722" s="582"/>
      <c r="M722" s="196"/>
    </row>
    <row r="723">
      <c r="A723" s="139"/>
      <c r="B723" s="139"/>
      <c r="C723" s="139"/>
      <c r="D723" s="139"/>
      <c r="E723" s="139"/>
      <c r="F723" s="139"/>
      <c r="G723" s="580"/>
      <c r="H723" s="581"/>
      <c r="I723" s="196"/>
      <c r="J723" s="196"/>
      <c r="K723" s="196"/>
      <c r="L723" s="582"/>
      <c r="M723" s="196"/>
    </row>
    <row r="724">
      <c r="A724" s="139"/>
      <c r="B724" s="139"/>
      <c r="C724" s="139"/>
      <c r="D724" s="139"/>
      <c r="E724" s="139"/>
      <c r="F724" s="139"/>
      <c r="G724" s="580"/>
      <c r="H724" s="581"/>
      <c r="I724" s="196"/>
      <c r="J724" s="196"/>
      <c r="K724" s="196"/>
      <c r="L724" s="582"/>
      <c r="M724" s="196"/>
    </row>
    <row r="725">
      <c r="A725" s="139"/>
      <c r="B725" s="139"/>
      <c r="C725" s="139"/>
      <c r="D725" s="139"/>
      <c r="E725" s="139"/>
      <c r="F725" s="139"/>
      <c r="G725" s="580"/>
      <c r="H725" s="581"/>
      <c r="I725" s="196"/>
      <c r="J725" s="196"/>
      <c r="K725" s="196"/>
      <c r="L725" s="582"/>
      <c r="M725" s="196"/>
    </row>
    <row r="726">
      <c r="A726" s="139"/>
      <c r="B726" s="139"/>
      <c r="C726" s="139"/>
      <c r="D726" s="139"/>
      <c r="E726" s="139"/>
      <c r="F726" s="139"/>
      <c r="G726" s="580"/>
      <c r="H726" s="581"/>
      <c r="I726" s="196"/>
      <c r="J726" s="196"/>
      <c r="K726" s="196"/>
      <c r="L726" s="582"/>
      <c r="M726" s="196"/>
    </row>
    <row r="727">
      <c r="A727" s="139"/>
      <c r="B727" s="139"/>
      <c r="C727" s="139"/>
      <c r="D727" s="139"/>
      <c r="E727" s="139"/>
      <c r="F727" s="139"/>
      <c r="G727" s="580"/>
      <c r="H727" s="581"/>
      <c r="I727" s="196"/>
      <c r="J727" s="196"/>
      <c r="K727" s="196"/>
      <c r="L727" s="582"/>
      <c r="M727" s="196"/>
    </row>
    <row r="728">
      <c r="A728" s="139"/>
      <c r="B728" s="139"/>
      <c r="C728" s="139"/>
      <c r="D728" s="139"/>
      <c r="E728" s="139"/>
      <c r="F728" s="139"/>
      <c r="G728" s="580"/>
      <c r="H728" s="581"/>
      <c r="I728" s="196"/>
      <c r="J728" s="196"/>
      <c r="K728" s="196"/>
      <c r="L728" s="582"/>
      <c r="M728" s="196"/>
    </row>
    <row r="729">
      <c r="A729" s="139"/>
      <c r="B729" s="139"/>
      <c r="C729" s="139"/>
      <c r="D729" s="139"/>
      <c r="E729" s="139"/>
      <c r="F729" s="139"/>
      <c r="G729" s="580"/>
      <c r="H729" s="581"/>
      <c r="I729" s="196"/>
      <c r="J729" s="196"/>
      <c r="K729" s="196"/>
      <c r="L729" s="582"/>
      <c r="M729" s="196"/>
    </row>
    <row r="730">
      <c r="A730" s="139"/>
      <c r="B730" s="139"/>
      <c r="C730" s="139"/>
      <c r="D730" s="139"/>
      <c r="E730" s="139"/>
      <c r="F730" s="139"/>
      <c r="G730" s="580"/>
      <c r="H730" s="581"/>
      <c r="I730" s="196"/>
      <c r="J730" s="196"/>
      <c r="K730" s="196"/>
      <c r="L730" s="582"/>
      <c r="M730" s="196"/>
    </row>
    <row r="731">
      <c r="A731" s="139"/>
      <c r="B731" s="139"/>
      <c r="C731" s="139"/>
      <c r="D731" s="139"/>
      <c r="E731" s="139"/>
      <c r="F731" s="139"/>
      <c r="G731" s="580"/>
      <c r="H731" s="581"/>
      <c r="I731" s="196"/>
      <c r="J731" s="196"/>
      <c r="K731" s="196"/>
      <c r="L731" s="582"/>
      <c r="M731" s="196"/>
    </row>
    <row r="732">
      <c r="A732" s="139"/>
      <c r="B732" s="139"/>
      <c r="C732" s="139"/>
      <c r="D732" s="139"/>
      <c r="E732" s="139"/>
      <c r="F732" s="139"/>
      <c r="G732" s="580"/>
      <c r="H732" s="581"/>
      <c r="I732" s="196"/>
      <c r="J732" s="196"/>
      <c r="K732" s="196"/>
      <c r="L732" s="582"/>
      <c r="M732" s="196"/>
    </row>
    <row r="733">
      <c r="A733" s="139"/>
      <c r="B733" s="139"/>
      <c r="C733" s="139"/>
      <c r="D733" s="139"/>
      <c r="E733" s="139"/>
      <c r="F733" s="139"/>
      <c r="G733" s="580"/>
      <c r="H733" s="581"/>
      <c r="I733" s="196"/>
      <c r="J733" s="196"/>
      <c r="K733" s="196"/>
      <c r="L733" s="582"/>
      <c r="M733" s="196"/>
    </row>
    <row r="734">
      <c r="A734" s="139"/>
      <c r="B734" s="139"/>
      <c r="C734" s="139"/>
      <c r="D734" s="139"/>
      <c r="E734" s="139"/>
      <c r="F734" s="139"/>
      <c r="G734" s="580"/>
      <c r="H734" s="581"/>
      <c r="I734" s="196"/>
      <c r="J734" s="196"/>
      <c r="K734" s="196"/>
      <c r="L734" s="582"/>
      <c r="M734" s="196"/>
    </row>
    <row r="735">
      <c r="A735" s="139"/>
      <c r="B735" s="139"/>
      <c r="C735" s="139"/>
      <c r="D735" s="139"/>
      <c r="E735" s="139"/>
      <c r="F735" s="139"/>
      <c r="G735" s="580"/>
      <c r="H735" s="581"/>
      <c r="I735" s="196"/>
      <c r="J735" s="196"/>
      <c r="K735" s="196"/>
      <c r="L735" s="582"/>
      <c r="M735" s="196"/>
    </row>
    <row r="736">
      <c r="A736" s="139"/>
      <c r="B736" s="139"/>
      <c r="C736" s="139"/>
      <c r="D736" s="139"/>
      <c r="E736" s="139"/>
      <c r="F736" s="139"/>
      <c r="G736" s="580"/>
      <c r="H736" s="581"/>
      <c r="I736" s="196"/>
      <c r="J736" s="196"/>
      <c r="K736" s="196"/>
      <c r="L736" s="582"/>
      <c r="M736" s="196"/>
    </row>
    <row r="737">
      <c r="A737" s="139"/>
      <c r="B737" s="139"/>
      <c r="C737" s="139"/>
      <c r="D737" s="139"/>
      <c r="E737" s="139"/>
      <c r="F737" s="139"/>
      <c r="G737" s="580"/>
      <c r="H737" s="581"/>
      <c r="I737" s="196"/>
      <c r="J737" s="196"/>
      <c r="K737" s="196"/>
      <c r="L737" s="582"/>
      <c r="M737" s="196"/>
    </row>
    <row r="738">
      <c r="A738" s="139"/>
      <c r="B738" s="139"/>
      <c r="C738" s="139"/>
      <c r="D738" s="139"/>
      <c r="E738" s="139"/>
      <c r="F738" s="139"/>
      <c r="G738" s="580"/>
      <c r="H738" s="581"/>
      <c r="I738" s="196"/>
      <c r="J738" s="196"/>
      <c r="K738" s="196"/>
      <c r="L738" s="582"/>
      <c r="M738" s="196"/>
    </row>
    <row r="739">
      <c r="A739" s="139"/>
      <c r="B739" s="139"/>
      <c r="C739" s="139"/>
      <c r="D739" s="139"/>
      <c r="E739" s="139"/>
      <c r="F739" s="139"/>
      <c r="G739" s="580"/>
      <c r="H739" s="581"/>
      <c r="I739" s="196"/>
      <c r="J739" s="196"/>
      <c r="K739" s="196"/>
      <c r="L739" s="582"/>
      <c r="M739" s="196"/>
    </row>
    <row r="740">
      <c r="A740" s="139"/>
      <c r="B740" s="139"/>
      <c r="C740" s="139"/>
      <c r="D740" s="139"/>
      <c r="E740" s="139"/>
      <c r="F740" s="139"/>
      <c r="G740" s="580"/>
      <c r="H740" s="581"/>
      <c r="I740" s="196"/>
      <c r="J740" s="196"/>
      <c r="K740" s="196"/>
      <c r="L740" s="582"/>
      <c r="M740" s="196"/>
    </row>
    <row r="741">
      <c r="A741" s="139"/>
      <c r="B741" s="139"/>
      <c r="C741" s="139"/>
      <c r="D741" s="139"/>
      <c r="E741" s="139"/>
      <c r="F741" s="139"/>
      <c r="G741" s="580"/>
      <c r="H741" s="581"/>
      <c r="I741" s="196"/>
      <c r="J741" s="196"/>
      <c r="K741" s="196"/>
      <c r="L741" s="582"/>
      <c r="M741" s="196"/>
    </row>
    <row r="742">
      <c r="A742" s="139"/>
      <c r="B742" s="139"/>
      <c r="C742" s="139"/>
      <c r="D742" s="139"/>
      <c r="E742" s="139"/>
      <c r="F742" s="139"/>
      <c r="G742" s="580"/>
      <c r="H742" s="581"/>
      <c r="I742" s="196"/>
      <c r="J742" s="196"/>
      <c r="K742" s="196"/>
      <c r="L742" s="582"/>
      <c r="M742" s="196"/>
    </row>
    <row r="743">
      <c r="A743" s="139"/>
      <c r="B743" s="139"/>
      <c r="C743" s="139"/>
      <c r="D743" s="139"/>
      <c r="E743" s="139"/>
      <c r="F743" s="139"/>
      <c r="G743" s="580"/>
      <c r="H743" s="581"/>
      <c r="I743" s="196"/>
      <c r="J743" s="196"/>
      <c r="K743" s="196"/>
      <c r="L743" s="582"/>
      <c r="M743" s="196"/>
    </row>
    <row r="744">
      <c r="A744" s="139"/>
      <c r="B744" s="139"/>
      <c r="C744" s="139"/>
      <c r="D744" s="139"/>
      <c r="E744" s="139"/>
      <c r="F744" s="139"/>
      <c r="G744" s="580"/>
      <c r="H744" s="581"/>
      <c r="I744" s="196"/>
      <c r="J744" s="196"/>
      <c r="K744" s="196"/>
      <c r="L744" s="582"/>
      <c r="M744" s="196"/>
    </row>
    <row r="745">
      <c r="A745" s="139"/>
      <c r="B745" s="139"/>
      <c r="C745" s="139"/>
      <c r="D745" s="139"/>
      <c r="E745" s="139"/>
      <c r="F745" s="139"/>
      <c r="G745" s="580"/>
      <c r="H745" s="581"/>
      <c r="I745" s="196"/>
      <c r="J745" s="196"/>
      <c r="K745" s="196"/>
      <c r="L745" s="582"/>
      <c r="M745" s="196"/>
    </row>
    <row r="746">
      <c r="A746" s="139"/>
      <c r="B746" s="139"/>
      <c r="C746" s="139"/>
      <c r="D746" s="139"/>
      <c r="E746" s="139"/>
      <c r="F746" s="139"/>
      <c r="G746" s="580"/>
      <c r="H746" s="581"/>
      <c r="I746" s="196"/>
      <c r="J746" s="196"/>
      <c r="K746" s="196"/>
      <c r="L746" s="582"/>
      <c r="M746" s="196"/>
    </row>
    <row r="747">
      <c r="A747" s="139"/>
      <c r="B747" s="139"/>
      <c r="C747" s="139"/>
      <c r="D747" s="139"/>
      <c r="E747" s="139"/>
      <c r="F747" s="139"/>
      <c r="G747" s="580"/>
      <c r="H747" s="581"/>
      <c r="I747" s="196"/>
      <c r="J747" s="196"/>
      <c r="K747" s="196"/>
      <c r="L747" s="582"/>
      <c r="M747" s="196"/>
    </row>
    <row r="748">
      <c r="A748" s="139"/>
      <c r="B748" s="139"/>
      <c r="C748" s="139"/>
      <c r="D748" s="139"/>
      <c r="E748" s="139"/>
      <c r="F748" s="139"/>
      <c r="G748" s="580"/>
      <c r="H748" s="581"/>
      <c r="I748" s="196"/>
      <c r="J748" s="196"/>
      <c r="K748" s="196"/>
      <c r="L748" s="582"/>
      <c r="M748" s="196"/>
    </row>
    <row r="749">
      <c r="A749" s="139"/>
      <c r="B749" s="139"/>
      <c r="C749" s="139"/>
      <c r="D749" s="139"/>
      <c r="E749" s="139"/>
      <c r="F749" s="139"/>
      <c r="G749" s="580"/>
      <c r="H749" s="581"/>
      <c r="I749" s="196"/>
      <c r="J749" s="196"/>
      <c r="K749" s="196"/>
      <c r="L749" s="582"/>
      <c r="M749" s="196"/>
    </row>
    <row r="750">
      <c r="A750" s="139"/>
      <c r="B750" s="139"/>
      <c r="C750" s="139"/>
      <c r="D750" s="139"/>
      <c r="E750" s="139"/>
      <c r="F750" s="139"/>
      <c r="G750" s="580"/>
      <c r="H750" s="581"/>
      <c r="I750" s="196"/>
      <c r="J750" s="196"/>
      <c r="K750" s="196"/>
      <c r="L750" s="582"/>
      <c r="M750" s="196"/>
    </row>
    <row r="751">
      <c r="A751" s="139"/>
      <c r="B751" s="139"/>
      <c r="C751" s="139"/>
      <c r="D751" s="139"/>
      <c r="E751" s="139"/>
      <c r="F751" s="139"/>
      <c r="G751" s="580"/>
      <c r="H751" s="581"/>
      <c r="I751" s="196"/>
      <c r="J751" s="196"/>
      <c r="K751" s="196"/>
      <c r="L751" s="582"/>
      <c r="M751" s="196"/>
    </row>
    <row r="752">
      <c r="A752" s="139"/>
      <c r="B752" s="139"/>
      <c r="C752" s="139"/>
      <c r="D752" s="139"/>
      <c r="E752" s="139"/>
      <c r="F752" s="139"/>
      <c r="G752" s="580"/>
      <c r="H752" s="581"/>
      <c r="I752" s="196"/>
      <c r="J752" s="196"/>
      <c r="K752" s="196"/>
      <c r="L752" s="582"/>
      <c r="M752" s="196"/>
    </row>
    <row r="753">
      <c r="A753" s="139"/>
      <c r="B753" s="139"/>
      <c r="C753" s="139"/>
      <c r="D753" s="139"/>
      <c r="E753" s="139"/>
      <c r="F753" s="139"/>
      <c r="G753" s="580"/>
      <c r="H753" s="581"/>
      <c r="I753" s="196"/>
      <c r="J753" s="196"/>
      <c r="K753" s="196"/>
      <c r="L753" s="582"/>
      <c r="M753" s="196"/>
    </row>
    <row r="754">
      <c r="A754" s="139"/>
      <c r="B754" s="139"/>
      <c r="C754" s="139"/>
      <c r="D754" s="139"/>
      <c r="E754" s="139"/>
      <c r="F754" s="139"/>
      <c r="G754" s="580"/>
      <c r="H754" s="581"/>
      <c r="I754" s="196"/>
      <c r="J754" s="196"/>
      <c r="K754" s="196"/>
      <c r="L754" s="582"/>
      <c r="M754" s="196"/>
    </row>
    <row r="755">
      <c r="A755" s="139"/>
      <c r="B755" s="139"/>
      <c r="C755" s="139"/>
      <c r="D755" s="139"/>
      <c r="E755" s="139"/>
      <c r="F755" s="139"/>
      <c r="G755" s="580"/>
      <c r="H755" s="581"/>
      <c r="I755" s="196"/>
      <c r="J755" s="196"/>
      <c r="K755" s="196"/>
      <c r="L755" s="582"/>
      <c r="M755" s="196"/>
    </row>
    <row r="756">
      <c r="A756" s="139"/>
      <c r="B756" s="139"/>
      <c r="C756" s="139"/>
      <c r="D756" s="139"/>
      <c r="E756" s="139"/>
      <c r="F756" s="139"/>
      <c r="G756" s="580"/>
      <c r="H756" s="581"/>
      <c r="I756" s="196"/>
      <c r="J756" s="196"/>
      <c r="K756" s="196"/>
      <c r="L756" s="582"/>
      <c r="M756" s="196"/>
    </row>
    <row r="757">
      <c r="A757" s="139"/>
      <c r="B757" s="139"/>
      <c r="C757" s="139"/>
      <c r="D757" s="139"/>
      <c r="E757" s="139"/>
      <c r="F757" s="139"/>
      <c r="G757" s="580"/>
      <c r="H757" s="581"/>
      <c r="I757" s="196"/>
      <c r="J757" s="196"/>
      <c r="K757" s="196"/>
      <c r="L757" s="582"/>
      <c r="M757" s="196"/>
    </row>
    <row r="758">
      <c r="A758" s="139"/>
      <c r="B758" s="139"/>
      <c r="C758" s="139"/>
      <c r="D758" s="139"/>
      <c r="E758" s="139"/>
      <c r="F758" s="139"/>
      <c r="G758" s="580"/>
      <c r="H758" s="581"/>
      <c r="I758" s="196"/>
      <c r="J758" s="196"/>
      <c r="K758" s="196"/>
      <c r="L758" s="582"/>
      <c r="M758" s="196"/>
    </row>
    <row r="759">
      <c r="A759" s="139"/>
      <c r="B759" s="139"/>
      <c r="C759" s="139"/>
      <c r="D759" s="139"/>
      <c r="E759" s="139"/>
      <c r="F759" s="139"/>
      <c r="G759" s="580"/>
      <c r="H759" s="581"/>
      <c r="I759" s="196"/>
      <c r="J759" s="196"/>
      <c r="K759" s="196"/>
      <c r="L759" s="582"/>
      <c r="M759" s="196"/>
    </row>
    <row r="760">
      <c r="A760" s="139"/>
      <c r="B760" s="139"/>
      <c r="C760" s="139"/>
      <c r="D760" s="139"/>
      <c r="E760" s="139"/>
      <c r="F760" s="139"/>
      <c r="G760" s="580"/>
      <c r="H760" s="581"/>
      <c r="I760" s="196"/>
      <c r="J760" s="196"/>
      <c r="K760" s="196"/>
      <c r="L760" s="582"/>
      <c r="M760" s="196"/>
    </row>
    <row r="761">
      <c r="A761" s="139"/>
      <c r="B761" s="139"/>
      <c r="C761" s="139"/>
      <c r="D761" s="139"/>
      <c r="E761" s="139"/>
      <c r="F761" s="139"/>
      <c r="G761" s="580"/>
      <c r="H761" s="581"/>
      <c r="I761" s="196"/>
      <c r="J761" s="196"/>
      <c r="K761" s="196"/>
      <c r="L761" s="582"/>
      <c r="M761" s="196"/>
    </row>
    <row r="762">
      <c r="A762" s="139"/>
      <c r="B762" s="139"/>
      <c r="C762" s="139"/>
      <c r="D762" s="139"/>
      <c r="E762" s="139"/>
      <c r="F762" s="139"/>
      <c r="G762" s="580"/>
      <c r="H762" s="581"/>
      <c r="I762" s="196"/>
      <c r="J762" s="196"/>
      <c r="K762" s="196"/>
      <c r="L762" s="582"/>
      <c r="M762" s="196"/>
    </row>
    <row r="763">
      <c r="A763" s="139"/>
      <c r="B763" s="139"/>
      <c r="C763" s="139"/>
      <c r="D763" s="139"/>
      <c r="E763" s="139"/>
      <c r="F763" s="139"/>
      <c r="G763" s="580"/>
      <c r="H763" s="581"/>
      <c r="I763" s="196"/>
      <c r="J763" s="196"/>
      <c r="K763" s="196"/>
      <c r="L763" s="582"/>
      <c r="M763" s="196"/>
    </row>
    <row r="764">
      <c r="A764" s="139"/>
      <c r="B764" s="139"/>
      <c r="C764" s="139"/>
      <c r="D764" s="139"/>
      <c r="E764" s="139"/>
      <c r="F764" s="139"/>
      <c r="G764" s="580"/>
      <c r="H764" s="581"/>
      <c r="I764" s="196"/>
      <c r="J764" s="196"/>
      <c r="K764" s="196"/>
      <c r="L764" s="582"/>
      <c r="M764" s="196"/>
    </row>
    <row r="765">
      <c r="A765" s="139"/>
      <c r="B765" s="139"/>
      <c r="C765" s="139"/>
      <c r="D765" s="139"/>
      <c r="E765" s="139"/>
      <c r="F765" s="139"/>
      <c r="G765" s="580"/>
      <c r="H765" s="581"/>
      <c r="I765" s="196"/>
      <c r="J765" s="196"/>
      <c r="K765" s="196"/>
      <c r="L765" s="582"/>
      <c r="M765" s="196"/>
    </row>
    <row r="766">
      <c r="A766" s="139"/>
      <c r="B766" s="139"/>
      <c r="C766" s="139"/>
      <c r="D766" s="139"/>
      <c r="E766" s="139"/>
      <c r="F766" s="139"/>
      <c r="G766" s="580"/>
      <c r="H766" s="581"/>
      <c r="I766" s="196"/>
      <c r="J766" s="196"/>
      <c r="K766" s="196"/>
      <c r="L766" s="582"/>
      <c r="M766" s="196"/>
    </row>
    <row r="767">
      <c r="A767" s="139"/>
      <c r="B767" s="139"/>
      <c r="C767" s="139"/>
      <c r="D767" s="139"/>
      <c r="E767" s="139"/>
      <c r="F767" s="139"/>
      <c r="G767" s="580"/>
      <c r="H767" s="581"/>
      <c r="I767" s="196"/>
      <c r="J767" s="196"/>
      <c r="K767" s="196"/>
      <c r="L767" s="582"/>
      <c r="M767" s="196"/>
    </row>
    <row r="768">
      <c r="A768" s="139"/>
      <c r="B768" s="139"/>
      <c r="C768" s="139"/>
      <c r="D768" s="139"/>
      <c r="E768" s="139"/>
      <c r="F768" s="139"/>
      <c r="G768" s="580"/>
      <c r="H768" s="581"/>
      <c r="I768" s="196"/>
      <c r="J768" s="196"/>
      <c r="K768" s="196"/>
      <c r="L768" s="582"/>
      <c r="M768" s="196"/>
    </row>
    <row r="769">
      <c r="A769" s="139"/>
      <c r="B769" s="139"/>
      <c r="C769" s="139"/>
      <c r="D769" s="139"/>
      <c r="E769" s="139"/>
      <c r="F769" s="139"/>
      <c r="G769" s="580"/>
      <c r="H769" s="581"/>
      <c r="I769" s="196"/>
      <c r="J769" s="196"/>
      <c r="K769" s="196"/>
      <c r="L769" s="582"/>
      <c r="M769" s="196"/>
    </row>
    <row r="770">
      <c r="A770" s="139"/>
      <c r="B770" s="139"/>
      <c r="C770" s="139"/>
      <c r="D770" s="139"/>
      <c r="E770" s="139"/>
      <c r="F770" s="139"/>
      <c r="G770" s="580"/>
      <c r="H770" s="581"/>
      <c r="I770" s="196"/>
      <c r="J770" s="196"/>
      <c r="K770" s="196"/>
      <c r="L770" s="582"/>
      <c r="M770" s="196"/>
    </row>
    <row r="771">
      <c r="A771" s="139"/>
      <c r="B771" s="139"/>
      <c r="C771" s="139"/>
      <c r="D771" s="139"/>
      <c r="E771" s="139"/>
      <c r="F771" s="139"/>
      <c r="G771" s="580"/>
      <c r="H771" s="581"/>
      <c r="I771" s="196"/>
      <c r="J771" s="196"/>
      <c r="K771" s="196"/>
      <c r="L771" s="582"/>
      <c r="M771" s="196"/>
    </row>
    <row r="772">
      <c r="A772" s="139"/>
      <c r="B772" s="139"/>
      <c r="C772" s="139"/>
      <c r="D772" s="139"/>
      <c r="E772" s="139"/>
      <c r="F772" s="139"/>
      <c r="G772" s="580"/>
      <c r="H772" s="581"/>
      <c r="I772" s="196"/>
      <c r="J772" s="196"/>
      <c r="K772" s="196"/>
      <c r="L772" s="582"/>
      <c r="M772" s="196"/>
    </row>
    <row r="773">
      <c r="A773" s="139"/>
      <c r="B773" s="139"/>
      <c r="C773" s="139"/>
      <c r="D773" s="139"/>
      <c r="E773" s="139"/>
      <c r="F773" s="139"/>
      <c r="G773" s="580"/>
      <c r="H773" s="581"/>
      <c r="I773" s="196"/>
      <c r="J773" s="196"/>
      <c r="K773" s="196"/>
      <c r="L773" s="582"/>
      <c r="M773" s="196"/>
    </row>
    <row r="774">
      <c r="A774" s="139"/>
      <c r="B774" s="139"/>
      <c r="C774" s="139"/>
      <c r="D774" s="139"/>
      <c r="E774" s="139"/>
      <c r="F774" s="139"/>
      <c r="G774" s="580"/>
      <c r="H774" s="581"/>
      <c r="I774" s="196"/>
      <c r="J774" s="196"/>
      <c r="K774" s="196"/>
      <c r="L774" s="582"/>
      <c r="M774" s="196"/>
    </row>
    <row r="775">
      <c r="A775" s="139"/>
      <c r="B775" s="139"/>
      <c r="C775" s="139"/>
      <c r="D775" s="139"/>
      <c r="E775" s="139"/>
      <c r="F775" s="139"/>
      <c r="G775" s="580"/>
      <c r="H775" s="581"/>
      <c r="I775" s="196"/>
      <c r="J775" s="196"/>
      <c r="K775" s="196"/>
      <c r="L775" s="582"/>
      <c r="M775" s="196"/>
    </row>
    <row r="776">
      <c r="A776" s="139"/>
      <c r="B776" s="139"/>
      <c r="C776" s="139"/>
      <c r="D776" s="139"/>
      <c r="E776" s="139"/>
      <c r="F776" s="139"/>
      <c r="G776" s="580"/>
      <c r="H776" s="581"/>
      <c r="I776" s="196"/>
      <c r="J776" s="196"/>
      <c r="K776" s="196"/>
      <c r="L776" s="582"/>
      <c r="M776" s="196"/>
    </row>
    <row r="777">
      <c r="A777" s="139"/>
      <c r="B777" s="139"/>
      <c r="C777" s="139"/>
      <c r="D777" s="139"/>
      <c r="E777" s="139"/>
      <c r="F777" s="139"/>
      <c r="G777" s="580"/>
      <c r="H777" s="581"/>
      <c r="I777" s="196"/>
      <c r="J777" s="196"/>
      <c r="K777" s="196"/>
      <c r="L777" s="582"/>
      <c r="M777" s="196"/>
    </row>
    <row r="778">
      <c r="A778" s="139"/>
      <c r="B778" s="139"/>
      <c r="C778" s="139"/>
      <c r="D778" s="139"/>
      <c r="E778" s="139"/>
      <c r="F778" s="139"/>
      <c r="G778" s="580"/>
      <c r="H778" s="581"/>
      <c r="I778" s="196"/>
      <c r="J778" s="196"/>
      <c r="K778" s="196"/>
      <c r="L778" s="582"/>
      <c r="M778" s="196"/>
    </row>
    <row r="779">
      <c r="A779" s="139"/>
      <c r="B779" s="139"/>
      <c r="C779" s="139"/>
      <c r="D779" s="139"/>
      <c r="E779" s="139"/>
      <c r="F779" s="139"/>
      <c r="G779" s="580"/>
      <c r="H779" s="581"/>
      <c r="I779" s="196"/>
      <c r="J779" s="196"/>
      <c r="K779" s="196"/>
      <c r="L779" s="582"/>
      <c r="M779" s="196"/>
    </row>
    <row r="780">
      <c r="A780" s="139"/>
      <c r="B780" s="139"/>
      <c r="C780" s="139"/>
      <c r="D780" s="139"/>
      <c r="E780" s="139"/>
      <c r="F780" s="139"/>
      <c r="G780" s="580"/>
      <c r="H780" s="581"/>
      <c r="I780" s="196"/>
      <c r="J780" s="196"/>
      <c r="K780" s="196"/>
      <c r="L780" s="582"/>
      <c r="M780" s="196"/>
    </row>
    <row r="781">
      <c r="A781" s="139"/>
      <c r="B781" s="139"/>
      <c r="C781" s="139"/>
      <c r="D781" s="139"/>
      <c r="E781" s="139"/>
      <c r="F781" s="139"/>
      <c r="G781" s="580"/>
      <c r="H781" s="581"/>
      <c r="I781" s="196"/>
      <c r="J781" s="196"/>
      <c r="K781" s="196"/>
      <c r="L781" s="582"/>
      <c r="M781" s="196"/>
    </row>
    <row r="782">
      <c r="A782" s="139"/>
      <c r="B782" s="139"/>
      <c r="C782" s="139"/>
      <c r="D782" s="139"/>
      <c r="E782" s="139"/>
      <c r="F782" s="139"/>
      <c r="G782" s="580"/>
      <c r="H782" s="581"/>
      <c r="I782" s="196"/>
      <c r="J782" s="196"/>
      <c r="K782" s="196"/>
      <c r="L782" s="582"/>
      <c r="M782" s="196"/>
    </row>
    <row r="783">
      <c r="A783" s="139"/>
      <c r="B783" s="139"/>
      <c r="C783" s="139"/>
      <c r="D783" s="139"/>
      <c r="E783" s="139"/>
      <c r="F783" s="139"/>
      <c r="G783" s="580"/>
      <c r="H783" s="581"/>
      <c r="I783" s="196"/>
      <c r="J783" s="196"/>
      <c r="K783" s="196"/>
      <c r="L783" s="582"/>
      <c r="M783" s="196"/>
    </row>
    <row r="784">
      <c r="A784" s="139"/>
      <c r="B784" s="139"/>
      <c r="C784" s="139"/>
      <c r="D784" s="139"/>
      <c r="E784" s="139"/>
      <c r="F784" s="139"/>
      <c r="G784" s="580"/>
      <c r="H784" s="581"/>
      <c r="I784" s="196"/>
      <c r="J784" s="196"/>
      <c r="K784" s="196"/>
      <c r="L784" s="582"/>
      <c r="M784" s="196"/>
    </row>
    <row r="785">
      <c r="A785" s="139"/>
      <c r="B785" s="139"/>
      <c r="C785" s="139"/>
      <c r="D785" s="139"/>
      <c r="E785" s="139"/>
      <c r="F785" s="139"/>
      <c r="G785" s="580"/>
      <c r="H785" s="581"/>
      <c r="I785" s="196"/>
      <c r="J785" s="196"/>
      <c r="K785" s="196"/>
      <c r="L785" s="582"/>
      <c r="M785" s="196"/>
    </row>
    <row r="786">
      <c r="A786" s="139"/>
      <c r="B786" s="139"/>
      <c r="C786" s="139"/>
      <c r="D786" s="139"/>
      <c r="E786" s="139"/>
      <c r="F786" s="139"/>
      <c r="G786" s="580"/>
      <c r="H786" s="581"/>
      <c r="I786" s="196"/>
      <c r="J786" s="196"/>
      <c r="K786" s="196"/>
      <c r="L786" s="582"/>
      <c r="M786" s="196"/>
    </row>
    <row r="787">
      <c r="A787" s="139"/>
      <c r="B787" s="139"/>
      <c r="C787" s="139"/>
      <c r="D787" s="139"/>
      <c r="E787" s="139"/>
      <c r="F787" s="139"/>
      <c r="G787" s="580"/>
      <c r="H787" s="581"/>
      <c r="I787" s="196"/>
      <c r="J787" s="196"/>
      <c r="K787" s="196"/>
      <c r="L787" s="582"/>
      <c r="M787" s="196"/>
    </row>
    <row r="788">
      <c r="A788" s="139"/>
      <c r="B788" s="139"/>
      <c r="C788" s="139"/>
      <c r="D788" s="139"/>
      <c r="E788" s="139"/>
      <c r="F788" s="139"/>
      <c r="G788" s="580"/>
      <c r="H788" s="581"/>
      <c r="I788" s="196"/>
      <c r="J788" s="196"/>
      <c r="K788" s="196"/>
      <c r="L788" s="582"/>
      <c r="M788" s="196"/>
    </row>
    <row r="789">
      <c r="A789" s="139"/>
      <c r="B789" s="139"/>
      <c r="C789" s="139"/>
      <c r="D789" s="139"/>
      <c r="E789" s="139"/>
      <c r="F789" s="139"/>
      <c r="G789" s="580"/>
      <c r="H789" s="581"/>
      <c r="I789" s="196"/>
      <c r="J789" s="196"/>
      <c r="K789" s="196"/>
      <c r="L789" s="582"/>
      <c r="M789" s="196"/>
    </row>
    <row r="790">
      <c r="A790" s="139"/>
      <c r="B790" s="139"/>
      <c r="C790" s="139"/>
      <c r="D790" s="139"/>
      <c r="E790" s="139"/>
      <c r="F790" s="139"/>
      <c r="G790" s="580"/>
      <c r="H790" s="581"/>
      <c r="I790" s="196"/>
      <c r="J790" s="196"/>
      <c r="K790" s="196"/>
      <c r="L790" s="582"/>
      <c r="M790" s="196"/>
    </row>
    <row r="791">
      <c r="A791" s="139"/>
      <c r="B791" s="139"/>
      <c r="C791" s="139"/>
      <c r="D791" s="139"/>
      <c r="E791" s="139"/>
      <c r="F791" s="139"/>
      <c r="G791" s="580"/>
      <c r="H791" s="581"/>
      <c r="I791" s="196"/>
      <c r="J791" s="196"/>
      <c r="K791" s="196"/>
      <c r="L791" s="582"/>
      <c r="M791" s="196"/>
    </row>
    <row r="792">
      <c r="A792" s="139"/>
      <c r="B792" s="139"/>
      <c r="C792" s="139"/>
      <c r="D792" s="139"/>
      <c r="E792" s="139"/>
      <c r="F792" s="139"/>
      <c r="G792" s="580"/>
      <c r="H792" s="581"/>
      <c r="I792" s="196"/>
      <c r="J792" s="196"/>
      <c r="K792" s="196"/>
      <c r="L792" s="582"/>
      <c r="M792" s="196"/>
    </row>
    <row r="793">
      <c r="A793" s="139"/>
      <c r="B793" s="139"/>
      <c r="C793" s="139"/>
      <c r="D793" s="139"/>
      <c r="E793" s="139"/>
      <c r="F793" s="139"/>
      <c r="G793" s="580"/>
      <c r="H793" s="581"/>
      <c r="I793" s="196"/>
      <c r="J793" s="196"/>
      <c r="K793" s="196"/>
      <c r="L793" s="582"/>
      <c r="M793" s="196"/>
    </row>
    <row r="794">
      <c r="A794" s="139"/>
      <c r="B794" s="139"/>
      <c r="C794" s="139"/>
      <c r="D794" s="139"/>
      <c r="E794" s="139"/>
      <c r="F794" s="139"/>
      <c r="G794" s="580"/>
      <c r="H794" s="581"/>
      <c r="I794" s="196"/>
      <c r="J794" s="196"/>
      <c r="K794" s="196"/>
      <c r="L794" s="582"/>
      <c r="M794" s="196"/>
    </row>
    <row r="795">
      <c r="A795" s="139"/>
      <c r="B795" s="139"/>
      <c r="C795" s="139"/>
      <c r="D795" s="139"/>
      <c r="E795" s="139"/>
      <c r="F795" s="139"/>
      <c r="G795" s="580"/>
      <c r="H795" s="581"/>
      <c r="I795" s="196"/>
      <c r="J795" s="196"/>
      <c r="K795" s="196"/>
      <c r="L795" s="582"/>
      <c r="M795" s="196"/>
    </row>
    <row r="796">
      <c r="A796" s="139"/>
      <c r="B796" s="139"/>
      <c r="C796" s="139"/>
      <c r="D796" s="139"/>
      <c r="E796" s="139"/>
      <c r="F796" s="139"/>
      <c r="G796" s="580"/>
      <c r="H796" s="581"/>
      <c r="I796" s="196"/>
      <c r="J796" s="196"/>
      <c r="K796" s="196"/>
      <c r="L796" s="582"/>
      <c r="M796" s="196"/>
    </row>
    <row r="797">
      <c r="A797" s="139"/>
      <c r="B797" s="139"/>
      <c r="C797" s="139"/>
      <c r="D797" s="139"/>
      <c r="E797" s="139"/>
      <c r="F797" s="139"/>
      <c r="G797" s="580"/>
      <c r="H797" s="581"/>
      <c r="I797" s="196"/>
      <c r="J797" s="196"/>
      <c r="K797" s="196"/>
      <c r="L797" s="582"/>
      <c r="M797" s="196"/>
    </row>
    <row r="798">
      <c r="A798" s="139"/>
      <c r="B798" s="139"/>
      <c r="C798" s="139"/>
      <c r="D798" s="139"/>
      <c r="E798" s="139"/>
      <c r="F798" s="139"/>
      <c r="G798" s="580"/>
      <c r="H798" s="581"/>
      <c r="I798" s="196"/>
      <c r="J798" s="196"/>
      <c r="K798" s="196"/>
      <c r="L798" s="582"/>
      <c r="M798" s="196"/>
    </row>
    <row r="799">
      <c r="A799" s="139"/>
      <c r="B799" s="139"/>
      <c r="C799" s="139"/>
      <c r="D799" s="139"/>
      <c r="E799" s="139"/>
      <c r="F799" s="139"/>
      <c r="G799" s="580"/>
      <c r="H799" s="581"/>
      <c r="I799" s="196"/>
      <c r="J799" s="196"/>
      <c r="K799" s="196"/>
      <c r="L799" s="582"/>
      <c r="M799" s="196"/>
    </row>
    <row r="800">
      <c r="A800" s="139"/>
      <c r="B800" s="139"/>
      <c r="C800" s="139"/>
      <c r="D800" s="139"/>
      <c r="E800" s="139"/>
      <c r="F800" s="139"/>
      <c r="G800" s="580"/>
      <c r="H800" s="581"/>
      <c r="I800" s="196"/>
      <c r="J800" s="196"/>
      <c r="K800" s="196"/>
      <c r="L800" s="582"/>
      <c r="M800" s="196"/>
    </row>
    <row r="801">
      <c r="A801" s="139"/>
      <c r="B801" s="139"/>
      <c r="C801" s="139"/>
      <c r="D801" s="139"/>
      <c r="E801" s="139"/>
      <c r="F801" s="139"/>
      <c r="G801" s="580"/>
      <c r="H801" s="581"/>
      <c r="I801" s="196"/>
      <c r="J801" s="196"/>
      <c r="K801" s="196"/>
      <c r="L801" s="582"/>
      <c r="M801" s="196"/>
    </row>
    <row r="802">
      <c r="A802" s="139"/>
      <c r="B802" s="139"/>
      <c r="C802" s="139"/>
      <c r="D802" s="139"/>
      <c r="E802" s="139"/>
      <c r="F802" s="139"/>
      <c r="G802" s="580"/>
      <c r="H802" s="581"/>
      <c r="I802" s="196"/>
      <c r="J802" s="196"/>
      <c r="K802" s="196"/>
      <c r="L802" s="582"/>
      <c r="M802" s="196"/>
    </row>
    <row r="803">
      <c r="A803" s="139"/>
      <c r="B803" s="139"/>
      <c r="C803" s="139"/>
      <c r="D803" s="139"/>
      <c r="E803" s="139"/>
      <c r="F803" s="139"/>
      <c r="G803" s="580"/>
      <c r="H803" s="581"/>
      <c r="I803" s="196"/>
      <c r="J803" s="196"/>
      <c r="K803" s="196"/>
      <c r="L803" s="582"/>
      <c r="M803" s="196"/>
    </row>
    <row r="804">
      <c r="A804" s="139"/>
      <c r="B804" s="139"/>
      <c r="C804" s="139"/>
      <c r="D804" s="139"/>
      <c r="E804" s="139"/>
      <c r="F804" s="139"/>
      <c r="G804" s="580"/>
      <c r="H804" s="581"/>
      <c r="I804" s="196"/>
      <c r="J804" s="196"/>
      <c r="K804" s="196"/>
      <c r="L804" s="582"/>
      <c r="M804" s="196"/>
    </row>
    <row r="805">
      <c r="A805" s="139"/>
      <c r="B805" s="139"/>
      <c r="C805" s="139"/>
      <c r="D805" s="139"/>
      <c r="E805" s="139"/>
      <c r="F805" s="139"/>
      <c r="G805" s="580"/>
      <c r="H805" s="581"/>
      <c r="I805" s="196"/>
      <c r="J805" s="196"/>
      <c r="K805" s="196"/>
      <c r="L805" s="582"/>
      <c r="M805" s="196"/>
    </row>
    <row r="806">
      <c r="A806" s="139"/>
      <c r="B806" s="139"/>
      <c r="C806" s="139"/>
      <c r="D806" s="139"/>
      <c r="E806" s="139"/>
      <c r="F806" s="139"/>
      <c r="G806" s="580"/>
      <c r="H806" s="581"/>
      <c r="I806" s="196"/>
      <c r="J806" s="196"/>
      <c r="K806" s="196"/>
      <c r="L806" s="582"/>
      <c r="M806" s="196"/>
    </row>
    <row r="807">
      <c r="A807" s="139"/>
      <c r="B807" s="139"/>
      <c r="C807" s="139"/>
      <c r="D807" s="139"/>
      <c r="E807" s="139"/>
      <c r="F807" s="139"/>
      <c r="G807" s="580"/>
      <c r="H807" s="581"/>
      <c r="I807" s="196"/>
      <c r="J807" s="196"/>
      <c r="K807" s="196"/>
      <c r="L807" s="582"/>
      <c r="M807" s="196"/>
    </row>
    <row r="808">
      <c r="A808" s="139"/>
      <c r="B808" s="139"/>
      <c r="C808" s="139"/>
      <c r="D808" s="139"/>
      <c r="E808" s="139"/>
      <c r="F808" s="139"/>
      <c r="G808" s="580"/>
      <c r="H808" s="581"/>
      <c r="I808" s="196"/>
      <c r="J808" s="196"/>
      <c r="K808" s="196"/>
      <c r="L808" s="582"/>
      <c r="M808" s="196"/>
    </row>
    <row r="809">
      <c r="A809" s="139"/>
      <c r="B809" s="139"/>
      <c r="C809" s="139"/>
      <c r="D809" s="139"/>
      <c r="E809" s="139"/>
      <c r="F809" s="139"/>
      <c r="G809" s="580"/>
      <c r="H809" s="581"/>
      <c r="I809" s="196"/>
      <c r="J809" s="196"/>
      <c r="K809" s="196"/>
      <c r="L809" s="582"/>
      <c r="M809" s="196"/>
    </row>
    <row r="810">
      <c r="A810" s="139"/>
      <c r="B810" s="139"/>
      <c r="C810" s="139"/>
      <c r="D810" s="139"/>
      <c r="E810" s="139"/>
      <c r="F810" s="139"/>
      <c r="G810" s="580"/>
      <c r="H810" s="581"/>
      <c r="I810" s="196"/>
      <c r="J810" s="196"/>
      <c r="K810" s="196"/>
      <c r="L810" s="582"/>
      <c r="M810" s="196"/>
    </row>
    <row r="811">
      <c r="A811" s="139"/>
      <c r="B811" s="139"/>
      <c r="C811" s="139"/>
      <c r="D811" s="139"/>
      <c r="E811" s="139"/>
      <c r="F811" s="139"/>
      <c r="G811" s="580"/>
      <c r="H811" s="581"/>
      <c r="I811" s="196"/>
      <c r="J811" s="196"/>
      <c r="K811" s="196"/>
      <c r="L811" s="582"/>
      <c r="M811" s="196"/>
    </row>
    <row r="812">
      <c r="A812" s="139"/>
      <c r="B812" s="139"/>
      <c r="C812" s="139"/>
      <c r="D812" s="139"/>
      <c r="E812" s="139"/>
      <c r="F812" s="139"/>
      <c r="G812" s="580"/>
      <c r="H812" s="581"/>
      <c r="I812" s="196"/>
      <c r="J812" s="196"/>
      <c r="K812" s="196"/>
      <c r="L812" s="582"/>
      <c r="M812" s="196"/>
    </row>
    <row r="813">
      <c r="A813" s="139"/>
      <c r="B813" s="139"/>
      <c r="C813" s="139"/>
      <c r="D813" s="139"/>
      <c r="E813" s="139"/>
      <c r="F813" s="139"/>
      <c r="G813" s="580"/>
      <c r="H813" s="581"/>
      <c r="I813" s="196"/>
      <c r="J813" s="196"/>
      <c r="K813" s="196"/>
      <c r="L813" s="582"/>
      <c r="M813" s="196"/>
    </row>
    <row r="814">
      <c r="A814" s="139"/>
      <c r="B814" s="139"/>
      <c r="C814" s="139"/>
      <c r="D814" s="139"/>
      <c r="E814" s="139"/>
      <c r="F814" s="139"/>
      <c r="G814" s="580"/>
      <c r="H814" s="581"/>
      <c r="I814" s="196"/>
      <c r="J814" s="196"/>
      <c r="K814" s="196"/>
      <c r="L814" s="582"/>
      <c r="M814" s="196"/>
    </row>
    <row r="815">
      <c r="A815" s="139"/>
      <c r="B815" s="139"/>
      <c r="C815" s="139"/>
      <c r="D815" s="139"/>
      <c r="E815" s="139"/>
      <c r="F815" s="139"/>
      <c r="G815" s="580"/>
      <c r="H815" s="581"/>
      <c r="I815" s="196"/>
      <c r="J815" s="196"/>
      <c r="K815" s="196"/>
      <c r="L815" s="582"/>
      <c r="M815" s="196"/>
    </row>
    <row r="816">
      <c r="A816" s="139"/>
      <c r="B816" s="139"/>
      <c r="C816" s="139"/>
      <c r="D816" s="139"/>
      <c r="E816" s="139"/>
      <c r="F816" s="139"/>
      <c r="G816" s="580"/>
      <c r="H816" s="581"/>
      <c r="I816" s="196"/>
      <c r="J816" s="196"/>
      <c r="K816" s="196"/>
      <c r="L816" s="582"/>
      <c r="M816" s="196"/>
    </row>
    <row r="817">
      <c r="A817" s="139"/>
      <c r="B817" s="139"/>
      <c r="C817" s="139"/>
      <c r="D817" s="139"/>
      <c r="E817" s="139"/>
      <c r="F817" s="139"/>
      <c r="G817" s="580"/>
      <c r="H817" s="581"/>
      <c r="I817" s="196"/>
      <c r="J817" s="196"/>
      <c r="K817" s="196"/>
      <c r="L817" s="582"/>
      <c r="M817" s="196"/>
    </row>
    <row r="818">
      <c r="A818" s="139"/>
      <c r="B818" s="139"/>
      <c r="C818" s="139"/>
      <c r="D818" s="139"/>
      <c r="E818" s="139"/>
      <c r="F818" s="139"/>
      <c r="G818" s="580"/>
      <c r="H818" s="581"/>
      <c r="I818" s="196"/>
      <c r="J818" s="196"/>
      <c r="K818" s="196"/>
      <c r="L818" s="582"/>
      <c r="M818" s="196"/>
    </row>
    <row r="819">
      <c r="A819" s="139"/>
      <c r="B819" s="139"/>
      <c r="C819" s="139"/>
      <c r="D819" s="139"/>
      <c r="E819" s="139"/>
      <c r="F819" s="139"/>
      <c r="G819" s="580"/>
      <c r="H819" s="581"/>
      <c r="I819" s="196"/>
      <c r="J819" s="196"/>
      <c r="K819" s="196"/>
      <c r="L819" s="582"/>
      <c r="M819" s="196"/>
    </row>
    <row r="820">
      <c r="A820" s="139"/>
      <c r="B820" s="139"/>
      <c r="C820" s="139"/>
      <c r="D820" s="139"/>
      <c r="E820" s="139"/>
      <c r="F820" s="139"/>
      <c r="G820" s="580"/>
      <c r="H820" s="581"/>
      <c r="I820" s="196"/>
      <c r="J820" s="196"/>
      <c r="K820" s="196"/>
      <c r="L820" s="582"/>
      <c r="M820" s="196"/>
    </row>
    <row r="821">
      <c r="A821" s="139"/>
      <c r="B821" s="139"/>
      <c r="C821" s="139"/>
      <c r="D821" s="139"/>
      <c r="E821" s="139"/>
      <c r="F821" s="139"/>
      <c r="G821" s="580"/>
      <c r="H821" s="581"/>
      <c r="I821" s="196"/>
      <c r="J821" s="196"/>
      <c r="K821" s="196"/>
      <c r="L821" s="582"/>
      <c r="M821" s="196"/>
    </row>
    <row r="822">
      <c r="A822" s="139"/>
      <c r="B822" s="139"/>
      <c r="C822" s="139"/>
      <c r="D822" s="139"/>
      <c r="E822" s="139"/>
      <c r="F822" s="139"/>
      <c r="G822" s="580"/>
      <c r="H822" s="581"/>
      <c r="I822" s="196"/>
      <c r="J822" s="196"/>
      <c r="K822" s="196"/>
      <c r="L822" s="582"/>
      <c r="M822" s="196"/>
    </row>
    <row r="823">
      <c r="A823" s="139"/>
      <c r="B823" s="139"/>
      <c r="C823" s="139"/>
      <c r="D823" s="139"/>
      <c r="E823" s="139"/>
      <c r="F823" s="139"/>
      <c r="G823" s="580"/>
      <c r="H823" s="581"/>
      <c r="I823" s="196"/>
      <c r="J823" s="196"/>
      <c r="K823" s="196"/>
      <c r="L823" s="582"/>
      <c r="M823" s="196"/>
    </row>
    <row r="824">
      <c r="A824" s="139"/>
      <c r="B824" s="139"/>
      <c r="C824" s="139"/>
      <c r="D824" s="139"/>
      <c r="E824" s="139"/>
      <c r="F824" s="139"/>
      <c r="G824" s="580"/>
      <c r="H824" s="581"/>
      <c r="I824" s="196"/>
      <c r="J824" s="196"/>
      <c r="K824" s="196"/>
      <c r="L824" s="582"/>
      <c r="M824" s="196"/>
    </row>
    <row r="825">
      <c r="A825" s="139"/>
      <c r="B825" s="139"/>
      <c r="C825" s="139"/>
      <c r="D825" s="139"/>
      <c r="E825" s="139"/>
      <c r="F825" s="139"/>
      <c r="G825" s="580"/>
      <c r="H825" s="581"/>
      <c r="I825" s="196"/>
      <c r="J825" s="196"/>
      <c r="K825" s="196"/>
      <c r="L825" s="582"/>
      <c r="M825" s="196"/>
    </row>
    <row r="826">
      <c r="A826" s="139"/>
      <c r="B826" s="139"/>
      <c r="C826" s="139"/>
      <c r="D826" s="139"/>
      <c r="E826" s="139"/>
      <c r="F826" s="139"/>
      <c r="G826" s="580"/>
      <c r="H826" s="581"/>
      <c r="I826" s="196"/>
      <c r="J826" s="196"/>
      <c r="K826" s="196"/>
      <c r="L826" s="582"/>
      <c r="M826" s="196"/>
    </row>
    <row r="827">
      <c r="A827" s="139"/>
      <c r="B827" s="139"/>
      <c r="C827" s="139"/>
      <c r="D827" s="139"/>
      <c r="E827" s="139"/>
      <c r="F827" s="139"/>
      <c r="G827" s="580"/>
      <c r="H827" s="581"/>
      <c r="I827" s="196"/>
      <c r="J827" s="196"/>
      <c r="K827" s="196"/>
      <c r="L827" s="582"/>
      <c r="M827" s="196"/>
    </row>
    <row r="828">
      <c r="A828" s="139"/>
      <c r="B828" s="139"/>
      <c r="C828" s="139"/>
      <c r="D828" s="139"/>
      <c r="E828" s="139"/>
      <c r="F828" s="139"/>
      <c r="G828" s="580"/>
      <c r="H828" s="581"/>
      <c r="I828" s="196"/>
      <c r="J828" s="196"/>
      <c r="K828" s="196"/>
      <c r="L828" s="582"/>
      <c r="M828" s="196"/>
    </row>
    <row r="829">
      <c r="A829" s="139"/>
      <c r="B829" s="139"/>
      <c r="C829" s="139"/>
      <c r="D829" s="139"/>
      <c r="E829" s="139"/>
      <c r="F829" s="139"/>
      <c r="G829" s="580"/>
      <c r="H829" s="581"/>
      <c r="I829" s="196"/>
      <c r="J829" s="196"/>
      <c r="K829" s="196"/>
      <c r="L829" s="582"/>
      <c r="M829" s="196"/>
    </row>
    <row r="830">
      <c r="A830" s="139"/>
      <c r="B830" s="139"/>
      <c r="C830" s="139"/>
      <c r="D830" s="139"/>
      <c r="E830" s="139"/>
      <c r="F830" s="139"/>
      <c r="G830" s="580"/>
      <c r="H830" s="581"/>
      <c r="I830" s="196"/>
      <c r="J830" s="196"/>
      <c r="K830" s="196"/>
      <c r="L830" s="582"/>
      <c r="M830" s="196"/>
    </row>
    <row r="831">
      <c r="A831" s="139"/>
      <c r="B831" s="139"/>
      <c r="C831" s="139"/>
      <c r="D831" s="139"/>
      <c r="E831" s="139"/>
      <c r="F831" s="139"/>
      <c r="G831" s="580"/>
      <c r="H831" s="581"/>
      <c r="I831" s="196"/>
      <c r="J831" s="196"/>
      <c r="K831" s="196"/>
      <c r="L831" s="582"/>
      <c r="M831" s="196"/>
    </row>
    <row r="832">
      <c r="A832" s="139"/>
      <c r="B832" s="139"/>
      <c r="C832" s="139"/>
      <c r="D832" s="139"/>
      <c r="E832" s="139"/>
      <c r="F832" s="139"/>
      <c r="G832" s="580"/>
      <c r="H832" s="581"/>
      <c r="I832" s="196"/>
      <c r="J832" s="196"/>
      <c r="K832" s="196"/>
      <c r="L832" s="582"/>
      <c r="M832" s="196"/>
    </row>
    <row r="833">
      <c r="A833" s="139"/>
      <c r="B833" s="139"/>
      <c r="C833" s="139"/>
      <c r="D833" s="139"/>
      <c r="E833" s="139"/>
      <c r="F833" s="139"/>
      <c r="G833" s="580"/>
      <c r="H833" s="581"/>
      <c r="I833" s="196"/>
      <c r="J833" s="196"/>
      <c r="K833" s="196"/>
      <c r="L833" s="582"/>
      <c r="M833" s="196"/>
    </row>
    <row r="834">
      <c r="A834" s="139"/>
      <c r="B834" s="139"/>
      <c r="C834" s="139"/>
      <c r="D834" s="139"/>
      <c r="E834" s="139"/>
      <c r="F834" s="139"/>
      <c r="G834" s="580"/>
      <c r="H834" s="581"/>
      <c r="I834" s="196"/>
      <c r="J834" s="196"/>
      <c r="K834" s="196"/>
      <c r="L834" s="582"/>
      <c r="M834" s="196"/>
    </row>
    <row r="835">
      <c r="A835" s="139"/>
      <c r="B835" s="139"/>
      <c r="C835" s="139"/>
      <c r="D835" s="139"/>
      <c r="E835" s="139"/>
      <c r="F835" s="139"/>
      <c r="G835" s="580"/>
      <c r="H835" s="581"/>
      <c r="I835" s="196"/>
      <c r="J835" s="196"/>
      <c r="K835" s="196"/>
      <c r="L835" s="582"/>
      <c r="M835" s="196"/>
    </row>
    <row r="836">
      <c r="A836" s="139"/>
      <c r="B836" s="139"/>
      <c r="C836" s="139"/>
      <c r="D836" s="139"/>
      <c r="E836" s="139"/>
      <c r="F836" s="139"/>
      <c r="G836" s="580"/>
      <c r="H836" s="581"/>
      <c r="I836" s="196"/>
      <c r="J836" s="196"/>
      <c r="K836" s="196"/>
      <c r="L836" s="582"/>
      <c r="M836" s="196"/>
    </row>
    <row r="837">
      <c r="A837" s="139"/>
      <c r="B837" s="139"/>
      <c r="C837" s="139"/>
      <c r="D837" s="139"/>
      <c r="E837" s="139"/>
      <c r="F837" s="139"/>
      <c r="G837" s="580"/>
      <c r="H837" s="581"/>
      <c r="I837" s="196"/>
      <c r="J837" s="196"/>
      <c r="K837" s="196"/>
      <c r="L837" s="582"/>
      <c r="M837" s="196"/>
    </row>
    <row r="838">
      <c r="A838" s="139"/>
      <c r="B838" s="139"/>
      <c r="C838" s="139"/>
      <c r="D838" s="139"/>
      <c r="E838" s="139"/>
      <c r="F838" s="139"/>
      <c r="G838" s="580"/>
      <c r="H838" s="581"/>
      <c r="I838" s="196"/>
      <c r="J838" s="196"/>
      <c r="K838" s="196"/>
      <c r="L838" s="582"/>
      <c r="M838" s="196"/>
    </row>
    <row r="839">
      <c r="A839" s="139"/>
      <c r="B839" s="139"/>
      <c r="C839" s="139"/>
      <c r="D839" s="139"/>
      <c r="E839" s="139"/>
      <c r="F839" s="139"/>
      <c r="G839" s="580"/>
      <c r="H839" s="581"/>
      <c r="I839" s="196"/>
      <c r="J839" s="196"/>
      <c r="K839" s="196"/>
      <c r="L839" s="582"/>
      <c r="M839" s="196"/>
    </row>
    <row r="840">
      <c r="A840" s="139"/>
      <c r="B840" s="139"/>
      <c r="C840" s="139"/>
      <c r="D840" s="139"/>
      <c r="E840" s="139"/>
      <c r="F840" s="139"/>
      <c r="G840" s="580"/>
      <c r="H840" s="581"/>
      <c r="I840" s="196"/>
      <c r="J840" s="196"/>
      <c r="K840" s="196"/>
      <c r="L840" s="582"/>
      <c r="M840" s="196"/>
    </row>
    <row r="841">
      <c r="A841" s="139"/>
      <c r="B841" s="139"/>
      <c r="C841" s="139"/>
      <c r="D841" s="139"/>
      <c r="E841" s="139"/>
      <c r="F841" s="139"/>
      <c r="G841" s="580"/>
      <c r="H841" s="581"/>
      <c r="I841" s="196"/>
      <c r="J841" s="196"/>
      <c r="K841" s="196"/>
      <c r="L841" s="582"/>
      <c r="M841" s="196"/>
    </row>
    <row r="842">
      <c r="A842" s="139"/>
      <c r="B842" s="139"/>
      <c r="C842" s="139"/>
      <c r="D842" s="139"/>
      <c r="E842" s="139"/>
      <c r="F842" s="139"/>
      <c r="G842" s="580"/>
      <c r="H842" s="581"/>
      <c r="I842" s="196"/>
      <c r="J842" s="196"/>
      <c r="K842" s="196"/>
      <c r="L842" s="582"/>
      <c r="M842" s="196"/>
    </row>
    <row r="843">
      <c r="A843" s="139"/>
      <c r="B843" s="139"/>
      <c r="C843" s="139"/>
      <c r="D843" s="139"/>
      <c r="E843" s="139"/>
      <c r="F843" s="139"/>
      <c r="G843" s="580"/>
      <c r="H843" s="581"/>
      <c r="I843" s="196"/>
      <c r="J843" s="196"/>
      <c r="K843" s="196"/>
      <c r="L843" s="582"/>
      <c r="M843" s="196"/>
    </row>
    <row r="844">
      <c r="A844" s="139"/>
      <c r="B844" s="139"/>
      <c r="C844" s="139"/>
      <c r="D844" s="139"/>
      <c r="E844" s="139"/>
      <c r="F844" s="139"/>
      <c r="G844" s="580"/>
      <c r="H844" s="581"/>
      <c r="I844" s="196"/>
      <c r="J844" s="196"/>
      <c r="K844" s="196"/>
      <c r="L844" s="582"/>
      <c r="M844" s="196"/>
    </row>
    <row r="845">
      <c r="A845" s="139"/>
      <c r="B845" s="139"/>
      <c r="C845" s="139"/>
      <c r="D845" s="139"/>
      <c r="E845" s="139"/>
      <c r="F845" s="139"/>
      <c r="G845" s="580"/>
      <c r="H845" s="581"/>
      <c r="I845" s="196"/>
      <c r="J845" s="196"/>
      <c r="K845" s="196"/>
      <c r="L845" s="582"/>
      <c r="M845" s="196"/>
    </row>
    <row r="846">
      <c r="A846" s="139"/>
      <c r="B846" s="139"/>
      <c r="C846" s="139"/>
      <c r="D846" s="139"/>
      <c r="E846" s="139"/>
      <c r="F846" s="139"/>
      <c r="G846" s="580"/>
      <c r="H846" s="581"/>
      <c r="I846" s="196"/>
      <c r="J846" s="196"/>
      <c r="K846" s="196"/>
      <c r="L846" s="582"/>
      <c r="M846" s="196"/>
    </row>
    <row r="847">
      <c r="A847" s="139"/>
      <c r="B847" s="139"/>
      <c r="C847" s="139"/>
      <c r="D847" s="139"/>
      <c r="E847" s="139"/>
      <c r="F847" s="139"/>
      <c r="G847" s="580"/>
      <c r="H847" s="581"/>
      <c r="I847" s="196"/>
      <c r="J847" s="196"/>
      <c r="K847" s="196"/>
      <c r="L847" s="582"/>
      <c r="M847" s="196"/>
    </row>
    <row r="848">
      <c r="A848" s="139"/>
      <c r="B848" s="139"/>
      <c r="C848" s="139"/>
      <c r="D848" s="139"/>
      <c r="E848" s="139"/>
      <c r="F848" s="139"/>
      <c r="G848" s="580"/>
      <c r="H848" s="581"/>
      <c r="I848" s="196"/>
      <c r="J848" s="196"/>
      <c r="K848" s="196"/>
      <c r="L848" s="582"/>
      <c r="M848" s="196"/>
    </row>
    <row r="849">
      <c r="A849" s="139"/>
      <c r="B849" s="139"/>
      <c r="C849" s="139"/>
      <c r="D849" s="139"/>
      <c r="E849" s="139"/>
      <c r="F849" s="139"/>
      <c r="G849" s="580"/>
      <c r="H849" s="581"/>
      <c r="I849" s="196"/>
      <c r="J849" s="196"/>
      <c r="K849" s="196"/>
      <c r="L849" s="582"/>
      <c r="M849" s="196"/>
    </row>
    <row r="850">
      <c r="A850" s="139"/>
      <c r="B850" s="139"/>
      <c r="C850" s="139"/>
      <c r="D850" s="139"/>
      <c r="E850" s="139"/>
      <c r="F850" s="139"/>
      <c r="G850" s="580"/>
      <c r="H850" s="581"/>
      <c r="I850" s="196"/>
      <c r="J850" s="196"/>
      <c r="K850" s="196"/>
      <c r="L850" s="582"/>
      <c r="M850" s="196"/>
    </row>
    <row r="851">
      <c r="A851" s="139"/>
      <c r="B851" s="139"/>
      <c r="C851" s="139"/>
      <c r="D851" s="139"/>
      <c r="E851" s="139"/>
      <c r="F851" s="139"/>
      <c r="G851" s="580"/>
      <c r="H851" s="581"/>
      <c r="I851" s="196"/>
      <c r="J851" s="196"/>
      <c r="K851" s="196"/>
      <c r="L851" s="582"/>
      <c r="M851" s="196"/>
    </row>
    <row r="852">
      <c r="A852" s="139"/>
      <c r="B852" s="139"/>
      <c r="C852" s="139"/>
      <c r="D852" s="139"/>
      <c r="E852" s="139"/>
      <c r="F852" s="139"/>
      <c r="G852" s="580"/>
      <c r="H852" s="581"/>
      <c r="I852" s="196"/>
      <c r="J852" s="196"/>
      <c r="K852" s="196"/>
      <c r="L852" s="582"/>
      <c r="M852" s="196"/>
    </row>
    <row r="853">
      <c r="A853" s="139"/>
      <c r="B853" s="139"/>
      <c r="C853" s="139"/>
      <c r="D853" s="139"/>
      <c r="E853" s="139"/>
      <c r="F853" s="139"/>
      <c r="G853" s="580"/>
      <c r="H853" s="581"/>
      <c r="I853" s="196"/>
      <c r="J853" s="196"/>
      <c r="K853" s="196"/>
      <c r="L853" s="582"/>
      <c r="M853" s="196"/>
    </row>
    <row r="854">
      <c r="A854" s="139"/>
      <c r="B854" s="139"/>
      <c r="C854" s="139"/>
      <c r="D854" s="139"/>
      <c r="E854" s="139"/>
      <c r="F854" s="139"/>
      <c r="G854" s="580"/>
      <c r="H854" s="581"/>
      <c r="I854" s="196"/>
      <c r="J854" s="196"/>
      <c r="K854" s="196"/>
      <c r="L854" s="582"/>
      <c r="M854" s="196"/>
    </row>
    <row r="855">
      <c r="A855" s="139"/>
      <c r="B855" s="139"/>
      <c r="C855" s="139"/>
      <c r="D855" s="139"/>
      <c r="E855" s="139"/>
      <c r="F855" s="139"/>
      <c r="G855" s="580"/>
      <c r="H855" s="581"/>
      <c r="I855" s="196"/>
      <c r="J855" s="196"/>
      <c r="K855" s="196"/>
      <c r="L855" s="582"/>
      <c r="M855" s="196"/>
    </row>
    <row r="856">
      <c r="A856" s="139"/>
      <c r="B856" s="139"/>
      <c r="C856" s="139"/>
      <c r="D856" s="139"/>
      <c r="E856" s="139"/>
      <c r="F856" s="139"/>
      <c r="G856" s="580"/>
      <c r="H856" s="581"/>
      <c r="I856" s="196"/>
      <c r="J856" s="196"/>
      <c r="K856" s="196"/>
      <c r="L856" s="582"/>
      <c r="M856" s="196"/>
    </row>
    <row r="857">
      <c r="A857" s="139"/>
      <c r="B857" s="139"/>
      <c r="C857" s="139"/>
      <c r="D857" s="139"/>
      <c r="E857" s="139"/>
      <c r="F857" s="139"/>
      <c r="G857" s="580"/>
      <c r="H857" s="581"/>
      <c r="I857" s="196"/>
      <c r="J857" s="196"/>
      <c r="K857" s="196"/>
      <c r="L857" s="582"/>
      <c r="M857" s="196"/>
    </row>
    <row r="858">
      <c r="A858" s="139"/>
      <c r="B858" s="139"/>
      <c r="C858" s="139"/>
      <c r="D858" s="139"/>
      <c r="E858" s="139"/>
      <c r="F858" s="139"/>
      <c r="G858" s="580"/>
      <c r="H858" s="581"/>
      <c r="I858" s="196"/>
      <c r="J858" s="196"/>
      <c r="K858" s="196"/>
      <c r="L858" s="582"/>
      <c r="M858" s="196"/>
    </row>
    <row r="859">
      <c r="A859" s="139"/>
      <c r="B859" s="139"/>
      <c r="C859" s="139"/>
      <c r="D859" s="139"/>
      <c r="E859" s="139"/>
      <c r="F859" s="139"/>
      <c r="G859" s="580"/>
      <c r="H859" s="581"/>
      <c r="I859" s="196"/>
      <c r="J859" s="196"/>
      <c r="K859" s="196"/>
      <c r="L859" s="582"/>
      <c r="M859" s="196"/>
    </row>
    <row r="860">
      <c r="A860" s="139"/>
      <c r="B860" s="139"/>
      <c r="C860" s="139"/>
      <c r="D860" s="139"/>
      <c r="E860" s="139"/>
      <c r="F860" s="139"/>
      <c r="G860" s="580"/>
      <c r="H860" s="581"/>
      <c r="I860" s="196"/>
      <c r="J860" s="196"/>
      <c r="K860" s="196"/>
      <c r="L860" s="582"/>
      <c r="M860" s="196"/>
    </row>
    <row r="861">
      <c r="A861" s="139"/>
      <c r="B861" s="139"/>
      <c r="C861" s="139"/>
      <c r="D861" s="139"/>
      <c r="E861" s="139"/>
      <c r="F861" s="139"/>
      <c r="G861" s="580"/>
      <c r="H861" s="581"/>
      <c r="I861" s="196"/>
      <c r="J861" s="196"/>
      <c r="K861" s="196"/>
      <c r="L861" s="582"/>
      <c r="M861" s="196"/>
    </row>
    <row r="862">
      <c r="A862" s="139"/>
      <c r="B862" s="139"/>
      <c r="C862" s="139"/>
      <c r="D862" s="139"/>
      <c r="E862" s="139"/>
      <c r="F862" s="139"/>
      <c r="G862" s="580"/>
      <c r="H862" s="581"/>
      <c r="I862" s="196"/>
      <c r="J862" s="196"/>
      <c r="K862" s="196"/>
      <c r="L862" s="582"/>
      <c r="M862" s="196"/>
    </row>
    <row r="863">
      <c r="A863" s="139"/>
      <c r="B863" s="139"/>
      <c r="C863" s="139"/>
      <c r="D863" s="139"/>
      <c r="E863" s="139"/>
      <c r="F863" s="139"/>
      <c r="G863" s="580"/>
      <c r="H863" s="581"/>
      <c r="I863" s="196"/>
      <c r="J863" s="196"/>
      <c r="K863" s="196"/>
      <c r="L863" s="582"/>
      <c r="M863" s="196"/>
    </row>
    <row r="864">
      <c r="A864" s="139"/>
      <c r="B864" s="139"/>
      <c r="C864" s="139"/>
      <c r="D864" s="139"/>
      <c r="E864" s="139"/>
      <c r="F864" s="139"/>
      <c r="G864" s="580"/>
      <c r="H864" s="581"/>
      <c r="I864" s="196"/>
      <c r="J864" s="196"/>
      <c r="K864" s="196"/>
      <c r="L864" s="582"/>
      <c r="M864" s="196"/>
    </row>
    <row r="865">
      <c r="A865" s="139"/>
      <c r="B865" s="139"/>
      <c r="C865" s="139"/>
      <c r="D865" s="139"/>
      <c r="E865" s="139"/>
      <c r="F865" s="139"/>
      <c r="G865" s="580"/>
      <c r="H865" s="581"/>
      <c r="I865" s="196"/>
      <c r="J865" s="196"/>
      <c r="K865" s="196"/>
      <c r="L865" s="582"/>
      <c r="M865" s="196"/>
    </row>
    <row r="866">
      <c r="A866" s="139"/>
      <c r="B866" s="139"/>
      <c r="C866" s="139"/>
      <c r="D866" s="139"/>
      <c r="E866" s="139"/>
      <c r="F866" s="139"/>
      <c r="G866" s="580"/>
      <c r="H866" s="581"/>
      <c r="I866" s="196"/>
      <c r="J866" s="196"/>
      <c r="K866" s="196"/>
      <c r="L866" s="582"/>
      <c r="M866" s="196"/>
    </row>
    <row r="867">
      <c r="A867" s="139"/>
      <c r="B867" s="139"/>
      <c r="C867" s="139"/>
      <c r="D867" s="139"/>
      <c r="E867" s="139"/>
      <c r="F867" s="139"/>
      <c r="G867" s="580"/>
      <c r="H867" s="581"/>
      <c r="I867" s="196"/>
      <c r="J867" s="196"/>
      <c r="K867" s="196"/>
      <c r="L867" s="582"/>
      <c r="M867" s="196"/>
    </row>
    <row r="868">
      <c r="A868" s="139"/>
      <c r="B868" s="139"/>
      <c r="C868" s="139"/>
      <c r="D868" s="139"/>
      <c r="E868" s="139"/>
      <c r="F868" s="139"/>
      <c r="G868" s="580"/>
      <c r="H868" s="581"/>
      <c r="I868" s="196"/>
      <c r="J868" s="196"/>
      <c r="K868" s="196"/>
      <c r="L868" s="582"/>
      <c r="M868" s="196"/>
    </row>
    <row r="869">
      <c r="A869" s="139"/>
      <c r="B869" s="139"/>
      <c r="C869" s="139"/>
      <c r="D869" s="139"/>
      <c r="E869" s="139"/>
      <c r="F869" s="139"/>
      <c r="G869" s="580"/>
      <c r="H869" s="581"/>
      <c r="I869" s="196"/>
      <c r="J869" s="196"/>
      <c r="K869" s="196"/>
      <c r="L869" s="582"/>
      <c r="M869" s="196"/>
    </row>
    <row r="870">
      <c r="A870" s="139"/>
      <c r="B870" s="139"/>
      <c r="C870" s="139"/>
      <c r="D870" s="139"/>
      <c r="E870" s="139"/>
      <c r="F870" s="139"/>
      <c r="G870" s="580"/>
      <c r="H870" s="581"/>
      <c r="I870" s="196"/>
      <c r="J870" s="196"/>
      <c r="K870" s="196"/>
      <c r="L870" s="582"/>
      <c r="M870" s="196"/>
    </row>
    <row r="871">
      <c r="A871" s="139"/>
      <c r="B871" s="139"/>
      <c r="C871" s="139"/>
      <c r="D871" s="139"/>
      <c r="E871" s="139"/>
      <c r="F871" s="139"/>
      <c r="G871" s="580"/>
      <c r="H871" s="581"/>
      <c r="I871" s="196"/>
      <c r="J871" s="196"/>
      <c r="K871" s="196"/>
      <c r="L871" s="582"/>
      <c r="M871" s="196"/>
    </row>
    <row r="872">
      <c r="A872" s="139"/>
      <c r="B872" s="139"/>
      <c r="C872" s="139"/>
      <c r="D872" s="139"/>
      <c r="E872" s="139"/>
      <c r="F872" s="139"/>
      <c r="G872" s="580"/>
      <c r="H872" s="581"/>
      <c r="I872" s="196"/>
      <c r="J872" s="196"/>
      <c r="K872" s="196"/>
      <c r="L872" s="582"/>
      <c r="M872" s="196"/>
    </row>
    <row r="873">
      <c r="A873" s="139"/>
      <c r="B873" s="139"/>
      <c r="C873" s="139"/>
      <c r="D873" s="139"/>
      <c r="E873" s="139"/>
      <c r="F873" s="139"/>
      <c r="G873" s="580"/>
      <c r="H873" s="581"/>
      <c r="I873" s="196"/>
      <c r="J873" s="196"/>
      <c r="K873" s="196"/>
      <c r="L873" s="582"/>
      <c r="M873" s="196"/>
    </row>
    <row r="874">
      <c r="A874" s="139"/>
      <c r="B874" s="139"/>
      <c r="C874" s="139"/>
      <c r="D874" s="139"/>
      <c r="E874" s="139"/>
      <c r="F874" s="139"/>
      <c r="G874" s="580"/>
      <c r="H874" s="581"/>
      <c r="I874" s="196"/>
      <c r="J874" s="196"/>
      <c r="K874" s="196"/>
      <c r="L874" s="582"/>
      <c r="M874" s="196"/>
    </row>
    <row r="875">
      <c r="A875" s="139"/>
      <c r="B875" s="139"/>
      <c r="C875" s="139"/>
      <c r="D875" s="139"/>
      <c r="E875" s="139"/>
      <c r="F875" s="139"/>
      <c r="G875" s="580"/>
      <c r="H875" s="581"/>
      <c r="I875" s="196"/>
      <c r="J875" s="196"/>
      <c r="K875" s="196"/>
      <c r="L875" s="582"/>
      <c r="M875" s="196"/>
    </row>
    <row r="876">
      <c r="A876" s="139"/>
      <c r="B876" s="139"/>
      <c r="C876" s="139"/>
      <c r="D876" s="139"/>
      <c r="E876" s="139"/>
      <c r="F876" s="139"/>
      <c r="G876" s="580"/>
      <c r="H876" s="581"/>
      <c r="I876" s="196"/>
      <c r="J876" s="196"/>
      <c r="K876" s="196"/>
      <c r="L876" s="582"/>
      <c r="M876" s="196"/>
    </row>
    <row r="877">
      <c r="A877" s="139"/>
      <c r="B877" s="139"/>
      <c r="C877" s="139"/>
      <c r="D877" s="139"/>
      <c r="E877" s="139"/>
      <c r="F877" s="139"/>
      <c r="G877" s="580"/>
      <c r="H877" s="581"/>
      <c r="I877" s="196"/>
      <c r="J877" s="196"/>
      <c r="K877" s="196"/>
      <c r="L877" s="582"/>
      <c r="M877" s="196"/>
    </row>
    <row r="878">
      <c r="A878" s="139"/>
      <c r="B878" s="139"/>
      <c r="C878" s="139"/>
      <c r="D878" s="139"/>
      <c r="E878" s="139"/>
      <c r="F878" s="139"/>
      <c r="G878" s="580"/>
      <c r="H878" s="581"/>
      <c r="I878" s="196"/>
      <c r="J878" s="196"/>
      <c r="K878" s="196"/>
      <c r="L878" s="582"/>
      <c r="M878" s="196"/>
    </row>
    <row r="879">
      <c r="A879" s="139"/>
      <c r="B879" s="139"/>
      <c r="C879" s="139"/>
      <c r="D879" s="139"/>
      <c r="E879" s="139"/>
      <c r="F879" s="139"/>
      <c r="G879" s="580"/>
      <c r="H879" s="581"/>
      <c r="I879" s="196"/>
      <c r="J879" s="196"/>
      <c r="K879" s="196"/>
      <c r="L879" s="582"/>
      <c r="M879" s="196"/>
    </row>
    <row r="880">
      <c r="A880" s="139"/>
      <c r="B880" s="139"/>
      <c r="C880" s="139"/>
      <c r="D880" s="139"/>
      <c r="E880" s="139"/>
      <c r="F880" s="139"/>
      <c r="G880" s="580"/>
      <c r="H880" s="581"/>
      <c r="I880" s="196"/>
      <c r="J880" s="196"/>
      <c r="K880" s="196"/>
      <c r="L880" s="582"/>
      <c r="M880" s="196"/>
    </row>
    <row r="881">
      <c r="A881" s="139"/>
      <c r="B881" s="139"/>
      <c r="C881" s="139"/>
      <c r="D881" s="139"/>
      <c r="E881" s="139"/>
      <c r="F881" s="139"/>
      <c r="G881" s="580"/>
      <c r="H881" s="581"/>
      <c r="I881" s="196"/>
      <c r="J881" s="196"/>
      <c r="K881" s="196"/>
      <c r="L881" s="582"/>
      <c r="M881" s="196"/>
    </row>
    <row r="882">
      <c r="A882" s="139"/>
      <c r="B882" s="139"/>
      <c r="C882" s="139"/>
      <c r="D882" s="139"/>
      <c r="E882" s="139"/>
      <c r="F882" s="139"/>
      <c r="G882" s="580"/>
      <c r="H882" s="581"/>
      <c r="I882" s="196"/>
      <c r="J882" s="196"/>
      <c r="K882" s="196"/>
      <c r="L882" s="582"/>
      <c r="M882" s="196"/>
    </row>
    <row r="883">
      <c r="A883" s="139"/>
      <c r="B883" s="139"/>
      <c r="C883" s="139"/>
      <c r="D883" s="139"/>
      <c r="E883" s="139"/>
      <c r="F883" s="139"/>
      <c r="G883" s="580"/>
      <c r="H883" s="581"/>
      <c r="I883" s="196"/>
      <c r="J883" s="196"/>
      <c r="K883" s="196"/>
      <c r="L883" s="582"/>
      <c r="M883" s="196"/>
    </row>
    <row r="884">
      <c r="A884" s="139"/>
      <c r="B884" s="139"/>
      <c r="C884" s="139"/>
      <c r="D884" s="139"/>
      <c r="E884" s="139"/>
      <c r="F884" s="139"/>
      <c r="G884" s="580"/>
      <c r="H884" s="581"/>
      <c r="I884" s="196"/>
      <c r="J884" s="196"/>
      <c r="K884" s="196"/>
      <c r="L884" s="582"/>
      <c r="M884" s="196"/>
    </row>
    <row r="885">
      <c r="A885" s="139"/>
      <c r="B885" s="139"/>
      <c r="C885" s="139"/>
      <c r="D885" s="139"/>
      <c r="E885" s="139"/>
      <c r="F885" s="139"/>
      <c r="G885" s="580"/>
      <c r="H885" s="581"/>
      <c r="I885" s="196"/>
      <c r="J885" s="196"/>
      <c r="K885" s="196"/>
      <c r="L885" s="582"/>
      <c r="M885" s="196"/>
    </row>
    <row r="886">
      <c r="A886" s="139"/>
      <c r="B886" s="139"/>
      <c r="C886" s="139"/>
      <c r="D886" s="139"/>
      <c r="E886" s="139"/>
      <c r="F886" s="139"/>
      <c r="G886" s="580"/>
      <c r="H886" s="581"/>
      <c r="I886" s="196"/>
      <c r="J886" s="196"/>
      <c r="K886" s="196"/>
      <c r="L886" s="582"/>
      <c r="M886" s="196"/>
    </row>
    <row r="887">
      <c r="A887" s="139"/>
      <c r="B887" s="139"/>
      <c r="C887" s="139"/>
      <c r="D887" s="139"/>
      <c r="E887" s="139"/>
      <c r="F887" s="139"/>
      <c r="G887" s="580"/>
      <c r="H887" s="581"/>
      <c r="I887" s="196"/>
      <c r="J887" s="196"/>
      <c r="K887" s="196"/>
      <c r="L887" s="582"/>
      <c r="M887" s="196"/>
    </row>
    <row r="888">
      <c r="A888" s="139"/>
      <c r="B888" s="139"/>
      <c r="C888" s="139"/>
      <c r="D888" s="139"/>
      <c r="E888" s="139"/>
      <c r="F888" s="139"/>
      <c r="G888" s="580"/>
      <c r="H888" s="581"/>
      <c r="I888" s="196"/>
      <c r="J888" s="196"/>
      <c r="K888" s="196"/>
      <c r="L888" s="582"/>
      <c r="M888" s="196"/>
    </row>
    <row r="889">
      <c r="A889" s="139"/>
      <c r="B889" s="139"/>
      <c r="C889" s="139"/>
      <c r="D889" s="139"/>
      <c r="E889" s="139"/>
      <c r="F889" s="139"/>
      <c r="G889" s="580"/>
      <c r="H889" s="581"/>
      <c r="I889" s="196"/>
      <c r="J889" s="196"/>
      <c r="K889" s="196"/>
      <c r="L889" s="582"/>
      <c r="M889" s="196"/>
    </row>
    <row r="890">
      <c r="A890" s="139"/>
      <c r="B890" s="139"/>
      <c r="C890" s="139"/>
      <c r="D890" s="139"/>
      <c r="E890" s="139"/>
      <c r="F890" s="139"/>
      <c r="G890" s="580"/>
      <c r="H890" s="581"/>
      <c r="I890" s="196"/>
      <c r="J890" s="196"/>
      <c r="K890" s="196"/>
      <c r="L890" s="582"/>
      <c r="M890" s="196"/>
    </row>
    <row r="891">
      <c r="A891" s="139"/>
      <c r="B891" s="139"/>
      <c r="C891" s="139"/>
      <c r="D891" s="139"/>
      <c r="E891" s="139"/>
      <c r="F891" s="139"/>
      <c r="G891" s="580"/>
      <c r="H891" s="581"/>
      <c r="I891" s="196"/>
      <c r="J891" s="196"/>
      <c r="K891" s="196"/>
      <c r="L891" s="582"/>
      <c r="M891" s="196"/>
    </row>
    <row r="892">
      <c r="A892" s="139"/>
      <c r="B892" s="139"/>
      <c r="C892" s="139"/>
      <c r="D892" s="139"/>
      <c r="E892" s="139"/>
      <c r="F892" s="139"/>
      <c r="G892" s="580"/>
      <c r="H892" s="581"/>
      <c r="I892" s="196"/>
      <c r="J892" s="196"/>
      <c r="K892" s="196"/>
      <c r="L892" s="582"/>
      <c r="M892" s="196"/>
    </row>
    <row r="893">
      <c r="A893" s="139"/>
      <c r="B893" s="139"/>
      <c r="C893" s="139"/>
      <c r="D893" s="139"/>
      <c r="E893" s="139"/>
      <c r="F893" s="139"/>
      <c r="G893" s="580"/>
      <c r="H893" s="581"/>
      <c r="I893" s="196"/>
      <c r="J893" s="196"/>
      <c r="K893" s="196"/>
      <c r="L893" s="582"/>
      <c r="M893" s="196"/>
    </row>
    <row r="894">
      <c r="A894" s="139"/>
      <c r="B894" s="139"/>
      <c r="C894" s="139"/>
      <c r="D894" s="139"/>
      <c r="E894" s="139"/>
      <c r="F894" s="139"/>
      <c r="G894" s="580"/>
      <c r="H894" s="581"/>
      <c r="I894" s="196"/>
      <c r="J894" s="196"/>
      <c r="K894" s="196"/>
      <c r="L894" s="582"/>
      <c r="M894" s="196"/>
    </row>
    <row r="895">
      <c r="A895" s="139"/>
      <c r="B895" s="139"/>
      <c r="C895" s="139"/>
      <c r="D895" s="139"/>
      <c r="E895" s="139"/>
      <c r="F895" s="139"/>
      <c r="G895" s="580"/>
      <c r="H895" s="581"/>
      <c r="I895" s="196"/>
      <c r="J895" s="196"/>
      <c r="K895" s="196"/>
      <c r="L895" s="582"/>
      <c r="M895" s="196"/>
    </row>
    <row r="896">
      <c r="A896" s="139"/>
      <c r="B896" s="139"/>
      <c r="C896" s="139"/>
      <c r="D896" s="139"/>
      <c r="E896" s="139"/>
      <c r="F896" s="139"/>
      <c r="G896" s="580"/>
      <c r="H896" s="581"/>
      <c r="I896" s="196"/>
      <c r="J896" s="196"/>
      <c r="K896" s="196"/>
      <c r="L896" s="582"/>
      <c r="M896" s="196"/>
    </row>
    <row r="897">
      <c r="A897" s="139"/>
      <c r="B897" s="139"/>
      <c r="C897" s="139"/>
      <c r="D897" s="139"/>
      <c r="E897" s="139"/>
      <c r="F897" s="139"/>
      <c r="G897" s="580"/>
      <c r="H897" s="581"/>
      <c r="I897" s="196"/>
      <c r="J897" s="196"/>
      <c r="K897" s="196"/>
      <c r="L897" s="582"/>
      <c r="M897" s="196"/>
    </row>
    <row r="898">
      <c r="A898" s="139"/>
      <c r="B898" s="139"/>
      <c r="C898" s="139"/>
      <c r="D898" s="139"/>
      <c r="E898" s="139"/>
      <c r="F898" s="139"/>
      <c r="G898" s="580"/>
      <c r="H898" s="581"/>
      <c r="I898" s="196"/>
      <c r="J898" s="196"/>
      <c r="K898" s="196"/>
      <c r="L898" s="582"/>
      <c r="M898" s="196"/>
    </row>
    <row r="899">
      <c r="A899" s="139"/>
      <c r="B899" s="139"/>
      <c r="C899" s="139"/>
      <c r="D899" s="139"/>
      <c r="E899" s="139"/>
      <c r="F899" s="139"/>
      <c r="G899" s="580"/>
      <c r="H899" s="581"/>
      <c r="I899" s="196"/>
      <c r="J899" s="196"/>
      <c r="K899" s="196"/>
      <c r="L899" s="582"/>
      <c r="M899" s="196"/>
    </row>
    <row r="900">
      <c r="A900" s="139"/>
      <c r="B900" s="139"/>
      <c r="C900" s="139"/>
      <c r="D900" s="139"/>
      <c r="E900" s="139"/>
      <c r="F900" s="139"/>
      <c r="G900" s="580"/>
      <c r="H900" s="581"/>
      <c r="I900" s="196"/>
      <c r="J900" s="196"/>
      <c r="K900" s="196"/>
      <c r="L900" s="582"/>
      <c r="M900" s="196"/>
    </row>
    <row r="901">
      <c r="A901" s="139"/>
      <c r="B901" s="139"/>
      <c r="C901" s="139"/>
      <c r="D901" s="139"/>
      <c r="E901" s="139"/>
      <c r="F901" s="139"/>
      <c r="G901" s="580"/>
      <c r="H901" s="581"/>
      <c r="I901" s="196"/>
      <c r="J901" s="196"/>
      <c r="K901" s="196"/>
      <c r="L901" s="582"/>
      <c r="M901" s="196"/>
    </row>
    <row r="902">
      <c r="A902" s="139"/>
      <c r="B902" s="139"/>
      <c r="C902" s="139"/>
      <c r="D902" s="139"/>
      <c r="E902" s="139"/>
      <c r="F902" s="139"/>
      <c r="G902" s="580"/>
      <c r="H902" s="581"/>
      <c r="I902" s="196"/>
      <c r="J902" s="196"/>
      <c r="K902" s="196"/>
      <c r="L902" s="582"/>
      <c r="M902" s="196"/>
    </row>
    <row r="903">
      <c r="A903" s="139"/>
      <c r="B903" s="139"/>
      <c r="C903" s="139"/>
      <c r="D903" s="139"/>
      <c r="E903" s="139"/>
      <c r="F903" s="139"/>
      <c r="G903" s="580"/>
      <c r="H903" s="581"/>
      <c r="I903" s="196"/>
      <c r="J903" s="196"/>
      <c r="K903" s="196"/>
      <c r="L903" s="582"/>
      <c r="M903" s="196"/>
    </row>
    <row r="904">
      <c r="A904" s="139"/>
      <c r="B904" s="139"/>
      <c r="C904" s="139"/>
      <c r="D904" s="139"/>
      <c r="E904" s="139"/>
      <c r="F904" s="139"/>
      <c r="G904" s="580"/>
      <c r="H904" s="581"/>
      <c r="I904" s="196"/>
      <c r="J904" s="196"/>
      <c r="K904" s="196"/>
      <c r="L904" s="582"/>
      <c r="M904" s="196"/>
    </row>
    <row r="905">
      <c r="A905" s="139"/>
      <c r="B905" s="139"/>
      <c r="C905" s="139"/>
      <c r="D905" s="139"/>
      <c r="E905" s="139"/>
      <c r="F905" s="139"/>
      <c r="G905" s="580"/>
      <c r="H905" s="581"/>
      <c r="I905" s="196"/>
      <c r="J905" s="196"/>
      <c r="K905" s="196"/>
      <c r="L905" s="582"/>
      <c r="M905" s="196"/>
    </row>
    <row r="906">
      <c r="A906" s="139"/>
      <c r="B906" s="139"/>
      <c r="C906" s="139"/>
      <c r="D906" s="139"/>
      <c r="E906" s="139"/>
      <c r="F906" s="139"/>
      <c r="G906" s="580"/>
      <c r="H906" s="581"/>
      <c r="I906" s="196"/>
      <c r="J906" s="196"/>
      <c r="K906" s="196"/>
      <c r="L906" s="582"/>
      <c r="M906" s="196"/>
    </row>
    <row r="907">
      <c r="A907" s="139"/>
      <c r="B907" s="139"/>
      <c r="C907" s="139"/>
      <c r="D907" s="139"/>
      <c r="E907" s="139"/>
      <c r="F907" s="139"/>
      <c r="G907" s="580"/>
      <c r="H907" s="581"/>
      <c r="I907" s="196"/>
      <c r="J907" s="196"/>
      <c r="K907" s="196"/>
      <c r="L907" s="582"/>
      <c r="M907" s="196"/>
    </row>
    <row r="908">
      <c r="A908" s="139"/>
      <c r="B908" s="139"/>
      <c r="C908" s="139"/>
      <c r="D908" s="139"/>
      <c r="E908" s="139"/>
      <c r="F908" s="139"/>
      <c r="G908" s="580"/>
      <c r="H908" s="581"/>
      <c r="I908" s="196"/>
      <c r="J908" s="196"/>
      <c r="K908" s="196"/>
      <c r="L908" s="582"/>
      <c r="M908" s="196"/>
    </row>
    <row r="909">
      <c r="A909" s="139"/>
      <c r="B909" s="139"/>
      <c r="C909" s="139"/>
      <c r="D909" s="139"/>
      <c r="E909" s="139"/>
      <c r="F909" s="139"/>
      <c r="G909" s="580"/>
      <c r="H909" s="581"/>
      <c r="I909" s="196"/>
      <c r="J909" s="196"/>
      <c r="K909" s="196"/>
      <c r="L909" s="582"/>
      <c r="M909" s="196"/>
    </row>
    <row r="910">
      <c r="A910" s="139"/>
      <c r="B910" s="139"/>
      <c r="C910" s="139"/>
      <c r="D910" s="139"/>
      <c r="E910" s="139"/>
      <c r="F910" s="139"/>
      <c r="G910" s="580"/>
      <c r="H910" s="581"/>
      <c r="I910" s="196"/>
      <c r="J910" s="196"/>
      <c r="K910" s="196"/>
      <c r="L910" s="582"/>
      <c r="M910" s="196"/>
    </row>
    <row r="911">
      <c r="A911" s="139"/>
      <c r="B911" s="139"/>
      <c r="C911" s="139"/>
      <c r="D911" s="139"/>
      <c r="E911" s="139"/>
      <c r="F911" s="139"/>
      <c r="G911" s="580"/>
      <c r="H911" s="581"/>
      <c r="I911" s="196"/>
      <c r="J911" s="196"/>
      <c r="K911" s="196"/>
      <c r="L911" s="582"/>
      <c r="M911" s="196"/>
    </row>
    <row r="912">
      <c r="A912" s="139"/>
      <c r="B912" s="139"/>
      <c r="C912" s="139"/>
      <c r="D912" s="139"/>
      <c r="E912" s="139"/>
      <c r="F912" s="139"/>
      <c r="G912" s="580"/>
      <c r="H912" s="581"/>
      <c r="I912" s="196"/>
      <c r="J912" s="196"/>
      <c r="K912" s="196"/>
      <c r="L912" s="582"/>
      <c r="M912" s="196"/>
    </row>
    <row r="913">
      <c r="A913" s="139"/>
      <c r="B913" s="139"/>
      <c r="C913" s="139"/>
      <c r="D913" s="139"/>
      <c r="E913" s="139"/>
      <c r="F913" s="139"/>
      <c r="G913" s="580"/>
      <c r="H913" s="581"/>
      <c r="I913" s="196"/>
      <c r="J913" s="196"/>
      <c r="K913" s="196"/>
      <c r="L913" s="582"/>
      <c r="M913" s="196"/>
    </row>
    <row r="914">
      <c r="A914" s="139"/>
      <c r="B914" s="139"/>
      <c r="C914" s="139"/>
      <c r="D914" s="139"/>
      <c r="E914" s="139"/>
      <c r="F914" s="139"/>
      <c r="G914" s="580"/>
      <c r="H914" s="581"/>
      <c r="I914" s="196"/>
      <c r="J914" s="196"/>
      <c r="K914" s="196"/>
      <c r="L914" s="582"/>
      <c r="M914" s="196"/>
    </row>
    <row r="915">
      <c r="A915" s="139"/>
      <c r="B915" s="139"/>
      <c r="C915" s="139"/>
      <c r="D915" s="139"/>
      <c r="E915" s="139"/>
      <c r="F915" s="139"/>
      <c r="G915" s="580"/>
      <c r="H915" s="581"/>
      <c r="I915" s="196"/>
      <c r="J915" s="196"/>
      <c r="K915" s="196"/>
      <c r="L915" s="582"/>
      <c r="M915" s="196"/>
    </row>
    <row r="916">
      <c r="A916" s="139"/>
      <c r="B916" s="139"/>
      <c r="C916" s="139"/>
      <c r="D916" s="139"/>
      <c r="E916" s="139"/>
      <c r="F916" s="139"/>
      <c r="G916" s="580"/>
      <c r="H916" s="581"/>
      <c r="I916" s="196"/>
      <c r="J916" s="196"/>
      <c r="K916" s="196"/>
      <c r="L916" s="582"/>
      <c r="M916" s="196"/>
    </row>
    <row r="917">
      <c r="A917" s="139"/>
      <c r="B917" s="139"/>
      <c r="C917" s="139"/>
      <c r="D917" s="139"/>
      <c r="E917" s="139"/>
      <c r="F917" s="139"/>
      <c r="G917" s="580"/>
      <c r="H917" s="581"/>
      <c r="I917" s="196"/>
      <c r="J917" s="196"/>
      <c r="K917" s="196"/>
      <c r="L917" s="582"/>
      <c r="M917" s="196"/>
    </row>
    <row r="918">
      <c r="A918" s="139"/>
      <c r="B918" s="139"/>
      <c r="C918" s="139"/>
      <c r="D918" s="139"/>
      <c r="E918" s="139"/>
      <c r="F918" s="139"/>
      <c r="G918" s="580"/>
      <c r="H918" s="581"/>
      <c r="I918" s="196"/>
      <c r="J918" s="196"/>
      <c r="K918" s="196"/>
      <c r="L918" s="582"/>
      <c r="M918" s="196"/>
    </row>
    <row r="919">
      <c r="A919" s="139"/>
      <c r="B919" s="139"/>
      <c r="C919" s="139"/>
      <c r="D919" s="139"/>
      <c r="E919" s="139"/>
      <c r="F919" s="139"/>
      <c r="G919" s="580"/>
      <c r="H919" s="581"/>
      <c r="I919" s="196"/>
      <c r="J919" s="196"/>
      <c r="K919" s="196"/>
      <c r="L919" s="582"/>
      <c r="M919" s="196"/>
    </row>
    <row r="920">
      <c r="A920" s="139"/>
      <c r="B920" s="139"/>
      <c r="C920" s="139"/>
      <c r="D920" s="139"/>
      <c r="E920" s="139"/>
      <c r="F920" s="139"/>
      <c r="G920" s="580"/>
      <c r="H920" s="581"/>
      <c r="I920" s="196"/>
      <c r="J920" s="196"/>
      <c r="K920" s="196"/>
      <c r="L920" s="582"/>
      <c r="M920" s="196"/>
    </row>
    <row r="921">
      <c r="A921" s="139"/>
      <c r="B921" s="139"/>
      <c r="C921" s="139"/>
      <c r="D921" s="139"/>
      <c r="E921" s="139"/>
      <c r="F921" s="139"/>
      <c r="G921" s="580"/>
      <c r="H921" s="581"/>
      <c r="I921" s="196"/>
      <c r="J921" s="196"/>
      <c r="K921" s="196"/>
      <c r="L921" s="582"/>
      <c r="M921" s="196"/>
    </row>
    <row r="922">
      <c r="A922" s="139"/>
      <c r="B922" s="139"/>
      <c r="C922" s="139"/>
      <c r="D922" s="139"/>
      <c r="E922" s="139"/>
      <c r="F922" s="139"/>
      <c r="G922" s="580"/>
      <c r="H922" s="581"/>
      <c r="I922" s="196"/>
      <c r="J922" s="196"/>
      <c r="K922" s="196"/>
      <c r="L922" s="582"/>
      <c r="M922" s="196"/>
    </row>
    <row r="923">
      <c r="A923" s="139"/>
      <c r="B923" s="139"/>
      <c r="C923" s="139"/>
      <c r="D923" s="139"/>
      <c r="E923" s="139"/>
      <c r="F923" s="139"/>
      <c r="G923" s="580"/>
      <c r="H923" s="581"/>
      <c r="I923" s="196"/>
      <c r="J923" s="196"/>
      <c r="K923" s="196"/>
      <c r="L923" s="582"/>
      <c r="M923" s="196"/>
    </row>
    <row r="924">
      <c r="A924" s="139"/>
      <c r="B924" s="139"/>
      <c r="C924" s="139"/>
      <c r="D924" s="139"/>
      <c r="E924" s="139"/>
      <c r="F924" s="139"/>
      <c r="G924" s="580"/>
      <c r="H924" s="581"/>
      <c r="I924" s="196"/>
      <c r="J924" s="196"/>
      <c r="K924" s="196"/>
      <c r="L924" s="582"/>
      <c r="M924" s="196"/>
    </row>
    <row r="925">
      <c r="A925" s="139"/>
      <c r="B925" s="139"/>
      <c r="C925" s="139"/>
      <c r="D925" s="139"/>
      <c r="E925" s="139"/>
      <c r="F925" s="139"/>
      <c r="G925" s="580"/>
      <c r="H925" s="581"/>
      <c r="I925" s="196"/>
      <c r="J925" s="196"/>
      <c r="K925" s="196"/>
      <c r="L925" s="582"/>
      <c r="M925" s="196"/>
    </row>
    <row r="926">
      <c r="A926" s="139"/>
      <c r="B926" s="139"/>
      <c r="C926" s="139"/>
      <c r="D926" s="139"/>
      <c r="E926" s="139"/>
      <c r="F926" s="139"/>
      <c r="G926" s="580"/>
      <c r="H926" s="581"/>
      <c r="I926" s="196"/>
      <c r="J926" s="196"/>
      <c r="K926" s="196"/>
      <c r="L926" s="582"/>
      <c r="M926" s="196"/>
    </row>
    <row r="927">
      <c r="A927" s="139"/>
      <c r="B927" s="139"/>
      <c r="C927" s="139"/>
      <c r="D927" s="139"/>
      <c r="E927" s="139"/>
      <c r="F927" s="139"/>
      <c r="G927" s="580"/>
      <c r="H927" s="581"/>
      <c r="I927" s="196"/>
      <c r="J927" s="196"/>
      <c r="K927" s="196"/>
      <c r="L927" s="582"/>
      <c r="M927" s="196"/>
    </row>
    <row r="928">
      <c r="A928" s="139"/>
      <c r="B928" s="139"/>
      <c r="C928" s="139"/>
      <c r="D928" s="139"/>
      <c r="E928" s="139"/>
      <c r="F928" s="139"/>
      <c r="G928" s="580"/>
      <c r="H928" s="581"/>
      <c r="I928" s="196"/>
      <c r="J928" s="196"/>
      <c r="K928" s="196"/>
      <c r="L928" s="582"/>
      <c r="M928" s="196"/>
    </row>
    <row r="929">
      <c r="A929" s="139"/>
      <c r="B929" s="139"/>
      <c r="C929" s="139"/>
      <c r="D929" s="139"/>
      <c r="E929" s="139"/>
      <c r="F929" s="139"/>
      <c r="G929" s="580"/>
      <c r="H929" s="581"/>
      <c r="I929" s="196"/>
      <c r="J929" s="196"/>
      <c r="K929" s="196"/>
      <c r="L929" s="582"/>
      <c r="M929" s="196"/>
    </row>
    <row r="930">
      <c r="A930" s="139"/>
      <c r="B930" s="139"/>
      <c r="C930" s="139"/>
      <c r="D930" s="139"/>
      <c r="E930" s="139"/>
      <c r="F930" s="139"/>
      <c r="G930" s="580"/>
      <c r="H930" s="581"/>
      <c r="I930" s="196"/>
      <c r="J930" s="196"/>
      <c r="K930" s="196"/>
      <c r="L930" s="582"/>
      <c r="M930" s="196"/>
    </row>
    <row r="931">
      <c r="A931" s="139"/>
      <c r="B931" s="139"/>
      <c r="C931" s="139"/>
      <c r="D931" s="139"/>
      <c r="E931" s="139"/>
      <c r="F931" s="139"/>
      <c r="G931" s="580"/>
      <c r="H931" s="581"/>
      <c r="I931" s="196"/>
      <c r="J931" s="196"/>
      <c r="K931" s="196"/>
      <c r="L931" s="582"/>
      <c r="M931" s="196"/>
    </row>
    <row r="932">
      <c r="A932" s="139"/>
      <c r="B932" s="139"/>
      <c r="C932" s="139"/>
      <c r="D932" s="139"/>
      <c r="E932" s="139"/>
      <c r="F932" s="139"/>
      <c r="G932" s="580"/>
      <c r="H932" s="581"/>
      <c r="I932" s="196"/>
      <c r="J932" s="196"/>
      <c r="K932" s="196"/>
      <c r="L932" s="582"/>
      <c r="M932" s="196"/>
    </row>
    <row r="933">
      <c r="A933" s="139"/>
      <c r="B933" s="139"/>
      <c r="C933" s="139"/>
      <c r="D933" s="139"/>
      <c r="E933" s="139"/>
      <c r="F933" s="139"/>
      <c r="G933" s="580"/>
      <c r="H933" s="581"/>
      <c r="I933" s="196"/>
      <c r="J933" s="196"/>
      <c r="K933" s="196"/>
      <c r="L933" s="582"/>
      <c r="M933" s="196"/>
    </row>
    <row r="934">
      <c r="A934" s="139"/>
      <c r="B934" s="139"/>
      <c r="C934" s="139"/>
      <c r="D934" s="139"/>
      <c r="E934" s="139"/>
      <c r="F934" s="139"/>
      <c r="G934" s="580"/>
      <c r="H934" s="581"/>
      <c r="I934" s="196"/>
      <c r="J934" s="196"/>
      <c r="K934" s="196"/>
      <c r="L934" s="582"/>
      <c r="M934" s="196"/>
    </row>
    <row r="935">
      <c r="A935" s="139"/>
      <c r="B935" s="139"/>
      <c r="C935" s="139"/>
      <c r="D935" s="139"/>
      <c r="E935" s="139"/>
      <c r="F935" s="139"/>
      <c r="G935" s="580"/>
      <c r="H935" s="581"/>
      <c r="I935" s="196"/>
      <c r="J935" s="196"/>
      <c r="K935" s="196"/>
      <c r="L935" s="582"/>
      <c r="M935" s="196"/>
    </row>
    <row r="936">
      <c r="A936" s="139"/>
      <c r="B936" s="139"/>
      <c r="C936" s="139"/>
      <c r="D936" s="139"/>
      <c r="E936" s="139"/>
      <c r="F936" s="139"/>
      <c r="G936" s="580"/>
      <c r="H936" s="581"/>
      <c r="I936" s="196"/>
      <c r="J936" s="196"/>
      <c r="K936" s="196"/>
      <c r="L936" s="582"/>
      <c r="M936" s="196"/>
    </row>
    <row r="937">
      <c r="A937" s="139"/>
      <c r="B937" s="139"/>
      <c r="C937" s="139"/>
      <c r="D937" s="139"/>
      <c r="E937" s="139"/>
      <c r="F937" s="139"/>
      <c r="G937" s="580"/>
      <c r="H937" s="581"/>
      <c r="I937" s="196"/>
      <c r="J937" s="196"/>
      <c r="K937" s="196"/>
      <c r="L937" s="582"/>
      <c r="M937" s="196"/>
    </row>
    <row r="938">
      <c r="A938" s="139"/>
      <c r="B938" s="139"/>
      <c r="C938" s="139"/>
      <c r="D938" s="139"/>
      <c r="E938" s="139"/>
      <c r="F938" s="139"/>
      <c r="G938" s="580"/>
      <c r="H938" s="581"/>
      <c r="I938" s="196"/>
      <c r="J938" s="196"/>
      <c r="K938" s="196"/>
      <c r="L938" s="582"/>
      <c r="M938" s="196"/>
    </row>
    <row r="939">
      <c r="A939" s="139"/>
      <c r="B939" s="139"/>
      <c r="C939" s="139"/>
      <c r="D939" s="139"/>
      <c r="E939" s="139"/>
      <c r="F939" s="139"/>
      <c r="G939" s="580"/>
      <c r="H939" s="581"/>
      <c r="I939" s="196"/>
      <c r="J939" s="196"/>
      <c r="K939" s="196"/>
      <c r="L939" s="582"/>
      <c r="M939" s="196"/>
    </row>
    <row r="940">
      <c r="A940" s="139"/>
      <c r="B940" s="139"/>
      <c r="C940" s="139"/>
      <c r="D940" s="139"/>
      <c r="E940" s="139"/>
      <c r="F940" s="139"/>
      <c r="G940" s="580"/>
      <c r="H940" s="581"/>
      <c r="I940" s="196"/>
      <c r="J940" s="196"/>
      <c r="K940" s="196"/>
      <c r="L940" s="582"/>
      <c r="M940" s="196"/>
    </row>
    <row r="941">
      <c r="A941" s="139"/>
      <c r="B941" s="139"/>
      <c r="C941" s="139"/>
      <c r="D941" s="139"/>
      <c r="E941" s="139"/>
      <c r="F941" s="139"/>
      <c r="G941" s="580"/>
      <c r="H941" s="581"/>
      <c r="I941" s="196"/>
      <c r="J941" s="196"/>
      <c r="K941" s="196"/>
      <c r="L941" s="582"/>
      <c r="M941" s="196"/>
    </row>
    <row r="942">
      <c r="A942" s="139"/>
      <c r="B942" s="139"/>
      <c r="C942" s="139"/>
      <c r="D942" s="139"/>
      <c r="E942" s="139"/>
      <c r="F942" s="139"/>
      <c r="G942" s="580"/>
      <c r="H942" s="581"/>
      <c r="I942" s="196"/>
      <c r="J942" s="196"/>
      <c r="K942" s="196"/>
      <c r="L942" s="582"/>
      <c r="M942" s="196"/>
    </row>
    <row r="943">
      <c r="A943" s="139"/>
      <c r="B943" s="139"/>
      <c r="C943" s="139"/>
      <c r="D943" s="139"/>
      <c r="E943" s="139"/>
      <c r="F943" s="139"/>
      <c r="G943" s="580"/>
      <c r="H943" s="581"/>
      <c r="I943" s="196"/>
      <c r="J943" s="196"/>
      <c r="K943" s="196"/>
      <c r="L943" s="582"/>
      <c r="M943" s="196"/>
    </row>
    <row r="944">
      <c r="A944" s="139"/>
      <c r="B944" s="139"/>
      <c r="C944" s="139"/>
      <c r="D944" s="139"/>
      <c r="E944" s="139"/>
      <c r="F944" s="139"/>
      <c r="G944" s="580"/>
      <c r="H944" s="581"/>
      <c r="I944" s="196"/>
      <c r="J944" s="196"/>
      <c r="K944" s="196"/>
      <c r="L944" s="582"/>
      <c r="M944" s="196"/>
    </row>
    <row r="945">
      <c r="A945" s="139"/>
      <c r="B945" s="139"/>
      <c r="C945" s="139"/>
      <c r="D945" s="139"/>
      <c r="E945" s="139"/>
      <c r="F945" s="139"/>
      <c r="G945" s="580"/>
      <c r="H945" s="581"/>
      <c r="I945" s="196"/>
      <c r="J945" s="196"/>
      <c r="K945" s="196"/>
      <c r="L945" s="582"/>
      <c r="M945" s="196"/>
    </row>
    <row r="946">
      <c r="A946" s="139"/>
      <c r="B946" s="139"/>
      <c r="C946" s="139"/>
      <c r="D946" s="139"/>
      <c r="E946" s="139"/>
      <c r="F946" s="139"/>
      <c r="G946" s="580"/>
      <c r="H946" s="581"/>
      <c r="I946" s="196"/>
      <c r="J946" s="196"/>
      <c r="K946" s="196"/>
      <c r="L946" s="582"/>
      <c r="M946" s="196"/>
    </row>
    <row r="947">
      <c r="A947" s="139"/>
      <c r="B947" s="139"/>
      <c r="C947" s="139"/>
      <c r="D947" s="139"/>
      <c r="E947" s="139"/>
      <c r="F947" s="139"/>
      <c r="G947" s="580"/>
      <c r="H947" s="581"/>
      <c r="I947" s="196"/>
      <c r="J947" s="196"/>
      <c r="K947" s="196"/>
      <c r="L947" s="582"/>
      <c r="M947" s="196"/>
    </row>
    <row r="948">
      <c r="A948" s="139"/>
      <c r="B948" s="139"/>
      <c r="C948" s="139"/>
      <c r="D948" s="139"/>
      <c r="E948" s="139"/>
      <c r="F948" s="139"/>
      <c r="G948" s="580"/>
      <c r="H948" s="581"/>
      <c r="I948" s="196"/>
      <c r="J948" s="196"/>
      <c r="K948" s="196"/>
      <c r="L948" s="582"/>
      <c r="M948" s="196"/>
    </row>
    <row r="949">
      <c r="A949" s="139"/>
      <c r="B949" s="139"/>
      <c r="C949" s="139"/>
      <c r="D949" s="139"/>
      <c r="E949" s="139"/>
      <c r="F949" s="139"/>
      <c r="G949" s="580"/>
      <c r="H949" s="581"/>
      <c r="I949" s="196"/>
      <c r="J949" s="196"/>
      <c r="K949" s="196"/>
      <c r="L949" s="582"/>
      <c r="M949" s="196"/>
    </row>
    <row r="950">
      <c r="A950" s="139"/>
      <c r="B950" s="139"/>
      <c r="C950" s="139"/>
      <c r="D950" s="139"/>
      <c r="E950" s="139"/>
      <c r="F950" s="139"/>
      <c r="G950" s="580"/>
      <c r="H950" s="581"/>
      <c r="I950" s="196"/>
      <c r="J950" s="196"/>
      <c r="K950" s="196"/>
      <c r="L950" s="582"/>
      <c r="M950" s="196"/>
    </row>
    <row r="951">
      <c r="A951" s="139"/>
      <c r="B951" s="139"/>
      <c r="C951" s="139"/>
      <c r="D951" s="139"/>
      <c r="E951" s="139"/>
      <c r="F951" s="139"/>
      <c r="G951" s="580"/>
      <c r="H951" s="581"/>
      <c r="I951" s="196"/>
      <c r="J951" s="196"/>
      <c r="K951" s="196"/>
      <c r="L951" s="582"/>
      <c r="M951" s="196"/>
    </row>
    <row r="952">
      <c r="A952" s="139"/>
      <c r="B952" s="139"/>
      <c r="C952" s="139"/>
      <c r="D952" s="139"/>
      <c r="E952" s="139"/>
      <c r="F952" s="139"/>
      <c r="G952" s="580"/>
      <c r="H952" s="581"/>
      <c r="I952" s="196"/>
      <c r="J952" s="196"/>
      <c r="K952" s="196"/>
      <c r="L952" s="582"/>
      <c r="M952" s="196"/>
    </row>
    <row r="953">
      <c r="A953" s="139"/>
      <c r="B953" s="139"/>
      <c r="C953" s="139"/>
      <c r="D953" s="139"/>
      <c r="E953" s="139"/>
      <c r="F953" s="139"/>
      <c r="G953" s="580"/>
      <c r="H953" s="581"/>
      <c r="I953" s="196"/>
      <c r="J953" s="196"/>
      <c r="K953" s="196"/>
      <c r="L953" s="582"/>
      <c r="M953" s="196"/>
    </row>
    <row r="954">
      <c r="A954" s="139"/>
      <c r="B954" s="139"/>
      <c r="C954" s="139"/>
      <c r="D954" s="139"/>
      <c r="E954" s="139"/>
      <c r="F954" s="139"/>
      <c r="G954" s="580"/>
      <c r="H954" s="581"/>
      <c r="I954" s="196"/>
      <c r="J954" s="196"/>
      <c r="K954" s="196"/>
      <c r="L954" s="582"/>
      <c r="M954" s="196"/>
    </row>
    <row r="955">
      <c r="A955" s="139"/>
      <c r="B955" s="139"/>
      <c r="C955" s="139"/>
      <c r="D955" s="139"/>
      <c r="E955" s="139"/>
      <c r="F955" s="139"/>
      <c r="G955" s="580"/>
      <c r="H955" s="581"/>
      <c r="I955" s="196"/>
      <c r="J955" s="196"/>
      <c r="K955" s="196"/>
      <c r="L955" s="582"/>
      <c r="M955" s="196"/>
    </row>
    <row r="956">
      <c r="A956" s="139"/>
      <c r="B956" s="139"/>
      <c r="C956" s="139"/>
      <c r="D956" s="139"/>
      <c r="E956" s="139"/>
      <c r="F956" s="139"/>
      <c r="G956" s="580"/>
      <c r="H956" s="581"/>
      <c r="I956" s="196"/>
      <c r="J956" s="196"/>
      <c r="K956" s="196"/>
      <c r="L956" s="582"/>
      <c r="M956" s="196"/>
    </row>
    <row r="957">
      <c r="A957" s="139"/>
      <c r="B957" s="139"/>
      <c r="C957" s="139"/>
      <c r="D957" s="139"/>
      <c r="E957" s="139"/>
      <c r="F957" s="139"/>
      <c r="G957" s="580"/>
      <c r="H957" s="581"/>
      <c r="I957" s="196"/>
      <c r="J957" s="196"/>
      <c r="K957" s="196"/>
      <c r="L957" s="582"/>
      <c r="M957" s="196"/>
    </row>
    <row r="958">
      <c r="A958" s="139"/>
      <c r="B958" s="139"/>
      <c r="C958" s="139"/>
      <c r="D958" s="139"/>
      <c r="E958" s="139"/>
      <c r="F958" s="139"/>
      <c r="G958" s="580"/>
      <c r="H958" s="581"/>
      <c r="I958" s="196"/>
      <c r="J958" s="196"/>
      <c r="K958" s="196"/>
      <c r="L958" s="582"/>
      <c r="M958" s="196"/>
    </row>
    <row r="959">
      <c r="A959" s="139"/>
      <c r="B959" s="139"/>
      <c r="C959" s="139"/>
      <c r="D959" s="139"/>
      <c r="E959" s="139"/>
      <c r="F959" s="139"/>
      <c r="G959" s="580"/>
      <c r="H959" s="581"/>
      <c r="I959" s="196"/>
      <c r="J959" s="196"/>
      <c r="K959" s="196"/>
      <c r="L959" s="582"/>
      <c r="M959" s="196"/>
    </row>
    <row r="960">
      <c r="A960" s="139"/>
      <c r="B960" s="139"/>
      <c r="C960" s="139"/>
      <c r="D960" s="139"/>
      <c r="E960" s="139"/>
      <c r="F960" s="139"/>
      <c r="G960" s="580"/>
      <c r="H960" s="581"/>
      <c r="I960" s="196"/>
      <c r="J960" s="196"/>
      <c r="K960" s="196"/>
      <c r="L960" s="582"/>
      <c r="M960" s="196"/>
    </row>
    <row r="961">
      <c r="A961" s="139"/>
      <c r="B961" s="139"/>
      <c r="C961" s="139"/>
      <c r="D961" s="139"/>
      <c r="E961" s="139"/>
      <c r="F961" s="139"/>
      <c r="G961" s="580"/>
      <c r="H961" s="581"/>
      <c r="I961" s="196"/>
      <c r="J961" s="196"/>
      <c r="K961" s="196"/>
      <c r="L961" s="582"/>
      <c r="M961" s="196"/>
    </row>
    <row r="962">
      <c r="A962" s="139"/>
      <c r="B962" s="139"/>
      <c r="C962" s="139"/>
      <c r="D962" s="139"/>
      <c r="E962" s="139"/>
      <c r="F962" s="139"/>
      <c r="G962" s="580"/>
      <c r="H962" s="581"/>
      <c r="I962" s="196"/>
      <c r="J962" s="196"/>
      <c r="K962" s="196"/>
      <c r="L962" s="582"/>
      <c r="M962" s="196"/>
    </row>
    <row r="963">
      <c r="A963" s="139"/>
      <c r="B963" s="139"/>
      <c r="C963" s="139"/>
      <c r="D963" s="139"/>
      <c r="E963" s="139"/>
      <c r="F963" s="139"/>
      <c r="G963" s="580"/>
      <c r="H963" s="581"/>
      <c r="I963" s="196"/>
      <c r="J963" s="196"/>
      <c r="K963" s="196"/>
      <c r="L963" s="582"/>
      <c r="M963" s="196"/>
    </row>
    <row r="964">
      <c r="A964" s="139"/>
      <c r="B964" s="139"/>
      <c r="C964" s="139"/>
      <c r="D964" s="139"/>
      <c r="E964" s="139"/>
      <c r="F964" s="139"/>
      <c r="G964" s="580"/>
      <c r="H964" s="581"/>
      <c r="I964" s="196"/>
      <c r="J964" s="196"/>
      <c r="K964" s="196"/>
      <c r="L964" s="582"/>
      <c r="M964" s="196"/>
    </row>
    <row r="965">
      <c r="A965" s="139"/>
      <c r="B965" s="139"/>
      <c r="C965" s="139"/>
      <c r="D965" s="139"/>
      <c r="E965" s="139"/>
      <c r="F965" s="139"/>
      <c r="G965" s="580"/>
      <c r="H965" s="581"/>
      <c r="I965" s="196"/>
      <c r="J965" s="196"/>
      <c r="K965" s="196"/>
      <c r="L965" s="582"/>
      <c r="M965" s="196"/>
    </row>
    <row r="966">
      <c r="A966" s="139"/>
      <c r="B966" s="139"/>
      <c r="C966" s="139"/>
      <c r="D966" s="139"/>
      <c r="E966" s="139"/>
      <c r="F966" s="139"/>
      <c r="G966" s="580"/>
      <c r="H966" s="581"/>
      <c r="I966" s="196"/>
      <c r="J966" s="196"/>
      <c r="K966" s="196"/>
      <c r="L966" s="582"/>
      <c r="M966" s="196"/>
    </row>
    <row r="967">
      <c r="A967" s="139"/>
      <c r="B967" s="139"/>
      <c r="C967" s="139"/>
      <c r="D967" s="139"/>
      <c r="E967" s="139"/>
      <c r="F967" s="139"/>
      <c r="G967" s="580"/>
      <c r="H967" s="581"/>
      <c r="I967" s="196"/>
      <c r="J967" s="196"/>
      <c r="K967" s="196"/>
      <c r="L967" s="582"/>
      <c r="M967" s="196"/>
    </row>
    <row r="968">
      <c r="A968" s="139"/>
      <c r="B968" s="139"/>
      <c r="C968" s="139"/>
      <c r="D968" s="139"/>
      <c r="E968" s="139"/>
      <c r="F968" s="139"/>
      <c r="G968" s="580"/>
      <c r="H968" s="581"/>
      <c r="I968" s="196"/>
      <c r="J968" s="196"/>
      <c r="K968" s="196"/>
      <c r="L968" s="582"/>
      <c r="M968" s="196"/>
    </row>
    <row r="969">
      <c r="A969" s="139"/>
      <c r="B969" s="139"/>
      <c r="C969" s="139"/>
      <c r="D969" s="139"/>
      <c r="E969" s="139"/>
      <c r="F969" s="139"/>
      <c r="G969" s="580"/>
      <c r="H969" s="581"/>
      <c r="I969" s="196"/>
      <c r="J969" s="196"/>
      <c r="K969" s="196"/>
      <c r="L969" s="582"/>
      <c r="M969" s="196"/>
    </row>
    <row r="970">
      <c r="A970" s="139"/>
      <c r="B970" s="139"/>
      <c r="C970" s="139"/>
      <c r="D970" s="139"/>
      <c r="E970" s="139"/>
      <c r="F970" s="139"/>
      <c r="G970" s="580"/>
      <c r="H970" s="581"/>
      <c r="I970" s="196"/>
      <c r="J970" s="196"/>
      <c r="K970" s="196"/>
      <c r="L970" s="582"/>
      <c r="M970" s="196"/>
    </row>
    <row r="971">
      <c r="A971" s="139"/>
      <c r="B971" s="139"/>
      <c r="C971" s="139"/>
      <c r="D971" s="139"/>
      <c r="E971" s="139"/>
      <c r="F971" s="139"/>
      <c r="G971" s="580"/>
      <c r="H971" s="581"/>
      <c r="I971" s="196"/>
      <c r="J971" s="196"/>
      <c r="K971" s="196"/>
      <c r="L971" s="582"/>
      <c r="M971" s="196"/>
    </row>
    <row r="972">
      <c r="A972" s="139"/>
      <c r="B972" s="139"/>
      <c r="C972" s="139"/>
      <c r="D972" s="139"/>
      <c r="E972" s="139"/>
      <c r="F972" s="139"/>
      <c r="G972" s="580"/>
      <c r="H972" s="581"/>
      <c r="I972" s="196"/>
      <c r="J972" s="196"/>
      <c r="K972" s="196"/>
      <c r="L972" s="582"/>
      <c r="M972" s="196"/>
    </row>
    <row r="973">
      <c r="A973" s="139"/>
      <c r="B973" s="139"/>
      <c r="C973" s="139"/>
      <c r="D973" s="139"/>
      <c r="E973" s="139"/>
      <c r="F973" s="139"/>
      <c r="G973" s="580"/>
      <c r="H973" s="581"/>
      <c r="I973" s="196"/>
      <c r="J973" s="196"/>
      <c r="K973" s="196"/>
      <c r="L973" s="582"/>
      <c r="M973" s="196"/>
    </row>
    <row r="974">
      <c r="A974" s="139"/>
      <c r="B974" s="139"/>
      <c r="C974" s="139"/>
      <c r="D974" s="139"/>
      <c r="E974" s="139"/>
      <c r="F974" s="139"/>
      <c r="G974" s="580"/>
      <c r="H974" s="581"/>
      <c r="I974" s="196"/>
      <c r="J974" s="196"/>
      <c r="K974" s="196"/>
      <c r="L974" s="582"/>
      <c r="M974" s="196"/>
    </row>
    <row r="975">
      <c r="A975" s="139"/>
      <c r="B975" s="139"/>
      <c r="C975" s="139"/>
      <c r="D975" s="139"/>
      <c r="E975" s="139"/>
      <c r="F975" s="139"/>
      <c r="G975" s="580"/>
      <c r="H975" s="581"/>
      <c r="I975" s="196"/>
      <c r="J975" s="196"/>
      <c r="K975" s="196"/>
      <c r="L975" s="582"/>
      <c r="M975" s="196"/>
    </row>
    <row r="976">
      <c r="A976" s="139"/>
      <c r="B976" s="139"/>
      <c r="C976" s="139"/>
      <c r="D976" s="139"/>
      <c r="E976" s="139"/>
      <c r="F976" s="139"/>
      <c r="G976" s="580"/>
      <c r="H976" s="581"/>
      <c r="I976" s="196"/>
      <c r="J976" s="196"/>
      <c r="K976" s="196"/>
      <c r="L976" s="582"/>
      <c r="M976" s="196"/>
    </row>
    <row r="977">
      <c r="A977" s="139"/>
      <c r="B977" s="139"/>
      <c r="C977" s="139"/>
      <c r="D977" s="139"/>
      <c r="E977" s="139"/>
      <c r="F977" s="139"/>
      <c r="G977" s="580"/>
      <c r="H977" s="581"/>
      <c r="I977" s="196"/>
      <c r="J977" s="196"/>
      <c r="K977" s="196"/>
      <c r="L977" s="582"/>
      <c r="M977" s="196"/>
    </row>
    <row r="978">
      <c r="A978" s="139"/>
      <c r="B978" s="139"/>
      <c r="C978" s="139"/>
      <c r="D978" s="139"/>
      <c r="E978" s="139"/>
      <c r="F978" s="139"/>
      <c r="G978" s="580"/>
      <c r="H978" s="581"/>
      <c r="I978" s="196"/>
      <c r="J978" s="196"/>
      <c r="K978" s="196"/>
      <c r="L978" s="582"/>
      <c r="M978" s="196"/>
    </row>
    <row r="979">
      <c r="A979" s="139"/>
      <c r="B979" s="139"/>
      <c r="C979" s="139"/>
      <c r="D979" s="139"/>
      <c r="E979" s="139"/>
      <c r="F979" s="139"/>
      <c r="G979" s="580"/>
      <c r="H979" s="581"/>
      <c r="I979" s="196"/>
      <c r="J979" s="196"/>
      <c r="K979" s="196"/>
      <c r="L979" s="582"/>
      <c r="M979" s="196"/>
    </row>
    <row r="980">
      <c r="A980" s="139"/>
      <c r="B980" s="139"/>
      <c r="C980" s="139"/>
      <c r="D980" s="139"/>
      <c r="E980" s="139"/>
      <c r="F980" s="139"/>
      <c r="G980" s="580"/>
      <c r="H980" s="581"/>
      <c r="I980" s="196"/>
      <c r="J980" s="196"/>
      <c r="K980" s="196"/>
      <c r="L980" s="582"/>
      <c r="M980" s="196"/>
    </row>
    <row r="981">
      <c r="A981" s="139"/>
      <c r="B981" s="139"/>
      <c r="C981" s="139"/>
      <c r="D981" s="139"/>
      <c r="E981" s="139"/>
      <c r="F981" s="139"/>
      <c r="G981" s="580"/>
      <c r="H981" s="581"/>
      <c r="I981" s="196"/>
      <c r="J981" s="196"/>
      <c r="K981" s="196"/>
      <c r="L981" s="582"/>
      <c r="M981" s="196"/>
    </row>
    <row r="982">
      <c r="A982" s="139"/>
      <c r="B982" s="139"/>
      <c r="C982" s="139"/>
      <c r="D982" s="139"/>
      <c r="E982" s="139"/>
      <c r="F982" s="139"/>
      <c r="G982" s="580"/>
      <c r="H982" s="581"/>
      <c r="I982" s="196"/>
      <c r="J982" s="196"/>
      <c r="K982" s="196"/>
      <c r="L982" s="582"/>
      <c r="M982" s="196"/>
    </row>
    <row r="983">
      <c r="A983" s="139"/>
      <c r="B983" s="139"/>
      <c r="C983" s="139"/>
      <c r="D983" s="139"/>
      <c r="E983" s="139"/>
      <c r="F983" s="139"/>
      <c r="G983" s="580"/>
      <c r="H983" s="581"/>
      <c r="I983" s="196"/>
      <c r="J983" s="196"/>
      <c r="K983" s="196"/>
      <c r="L983" s="582"/>
      <c r="M983" s="196"/>
    </row>
    <row r="984">
      <c r="A984" s="139"/>
      <c r="B984" s="139"/>
      <c r="C984" s="139"/>
      <c r="D984" s="139"/>
      <c r="E984" s="139"/>
      <c r="F984" s="139"/>
      <c r="G984" s="580"/>
      <c r="H984" s="581"/>
      <c r="I984" s="196"/>
      <c r="J984" s="196"/>
      <c r="K984" s="196"/>
      <c r="L984" s="582"/>
      <c r="M984" s="196"/>
    </row>
    <row r="985">
      <c r="A985" s="139"/>
      <c r="B985" s="139"/>
      <c r="C985" s="139"/>
      <c r="D985" s="139"/>
      <c r="E985" s="139"/>
      <c r="F985" s="139"/>
      <c r="G985" s="580"/>
      <c r="H985" s="581"/>
      <c r="I985" s="196"/>
      <c r="J985" s="196"/>
      <c r="K985" s="196"/>
      <c r="L985" s="582"/>
      <c r="M985" s="196"/>
    </row>
    <row r="986">
      <c r="A986" s="139"/>
      <c r="B986" s="139"/>
      <c r="C986" s="139"/>
      <c r="D986" s="139"/>
      <c r="E986" s="139"/>
      <c r="F986" s="139"/>
      <c r="G986" s="580"/>
      <c r="H986" s="581"/>
      <c r="I986" s="196"/>
      <c r="J986" s="196"/>
      <c r="K986" s="196"/>
      <c r="L986" s="582"/>
      <c r="M986" s="196"/>
    </row>
    <row r="987">
      <c r="A987" s="139"/>
      <c r="B987" s="139"/>
      <c r="C987" s="139"/>
      <c r="D987" s="139"/>
      <c r="E987" s="139"/>
      <c r="F987" s="139"/>
      <c r="G987" s="580"/>
      <c r="H987" s="581"/>
      <c r="I987" s="196"/>
      <c r="J987" s="196"/>
      <c r="K987" s="196"/>
      <c r="L987" s="582"/>
      <c r="M987" s="196"/>
    </row>
    <row r="988">
      <c r="A988" s="139"/>
      <c r="B988" s="139"/>
      <c r="C988" s="139"/>
      <c r="D988" s="139"/>
      <c r="E988" s="139"/>
      <c r="F988" s="139"/>
      <c r="G988" s="580"/>
      <c r="H988" s="581"/>
      <c r="I988" s="196"/>
      <c r="J988" s="196"/>
      <c r="K988" s="196"/>
      <c r="L988" s="582"/>
      <c r="M988" s="196"/>
    </row>
    <row r="989">
      <c r="A989" s="139"/>
      <c r="B989" s="139"/>
      <c r="C989" s="139"/>
      <c r="D989" s="139"/>
      <c r="E989" s="139"/>
      <c r="F989" s="139"/>
      <c r="G989" s="580"/>
      <c r="H989" s="581"/>
      <c r="I989" s="196"/>
      <c r="J989" s="196"/>
      <c r="K989" s="196"/>
      <c r="L989" s="582"/>
      <c r="M989" s="196"/>
    </row>
    <row r="990">
      <c r="A990" s="139"/>
      <c r="B990" s="139"/>
      <c r="C990" s="139"/>
      <c r="D990" s="139"/>
      <c r="E990" s="139"/>
      <c r="F990" s="139"/>
      <c r="G990" s="580"/>
      <c r="H990" s="581"/>
      <c r="I990" s="196"/>
      <c r="J990" s="196"/>
      <c r="K990" s="196"/>
      <c r="L990" s="582"/>
      <c r="M990" s="196"/>
    </row>
    <row r="991">
      <c r="A991" s="139"/>
      <c r="B991" s="139"/>
      <c r="C991" s="139"/>
      <c r="D991" s="139"/>
      <c r="E991" s="139"/>
      <c r="F991" s="139"/>
      <c r="G991" s="580"/>
      <c r="H991" s="581"/>
      <c r="I991" s="196"/>
      <c r="J991" s="196"/>
      <c r="K991" s="196"/>
      <c r="L991" s="582"/>
      <c r="M991" s="196"/>
    </row>
    <row r="992">
      <c r="A992" s="139"/>
      <c r="B992" s="139"/>
      <c r="C992" s="139"/>
      <c r="D992" s="139"/>
      <c r="E992" s="139"/>
      <c r="F992" s="139"/>
      <c r="G992" s="580"/>
      <c r="H992" s="581"/>
      <c r="I992" s="196"/>
      <c r="J992" s="196"/>
      <c r="K992" s="196"/>
      <c r="L992" s="582"/>
      <c r="M992" s="196"/>
    </row>
    <row r="993">
      <c r="A993" s="139"/>
      <c r="B993" s="139"/>
      <c r="C993" s="139"/>
      <c r="D993" s="139"/>
      <c r="E993" s="139"/>
      <c r="F993" s="139"/>
      <c r="G993" s="580"/>
      <c r="H993" s="581"/>
      <c r="I993" s="196"/>
      <c r="J993" s="196"/>
      <c r="K993" s="196"/>
      <c r="L993" s="582"/>
      <c r="M993" s="196"/>
    </row>
    <row r="994">
      <c r="A994" s="139"/>
      <c r="B994" s="139"/>
      <c r="C994" s="139"/>
      <c r="D994" s="139"/>
      <c r="E994" s="139"/>
      <c r="F994" s="139"/>
      <c r="G994" s="580"/>
      <c r="H994" s="581"/>
      <c r="I994" s="196"/>
      <c r="J994" s="196"/>
      <c r="K994" s="196"/>
      <c r="L994" s="582"/>
      <c r="M994" s="196"/>
    </row>
    <row r="995">
      <c r="A995" s="139"/>
      <c r="B995" s="139"/>
      <c r="C995" s="139"/>
      <c r="D995" s="139"/>
      <c r="E995" s="139"/>
      <c r="F995" s="139"/>
      <c r="G995" s="580"/>
      <c r="H995" s="581"/>
      <c r="I995" s="196"/>
      <c r="J995" s="196"/>
      <c r="K995" s="196"/>
      <c r="L995" s="582"/>
      <c r="M995" s="196"/>
    </row>
    <row r="996">
      <c r="A996" s="139"/>
      <c r="B996" s="139"/>
      <c r="C996" s="139"/>
      <c r="D996" s="139"/>
      <c r="E996" s="139"/>
      <c r="F996" s="139"/>
      <c r="G996" s="580"/>
      <c r="H996" s="581"/>
      <c r="I996" s="196"/>
      <c r="J996" s="196"/>
      <c r="K996" s="196"/>
      <c r="L996" s="582"/>
      <c r="M996" s="196"/>
    </row>
    <row r="997">
      <c r="A997" s="139"/>
      <c r="B997" s="139"/>
      <c r="C997" s="139"/>
      <c r="D997" s="139"/>
      <c r="E997" s="139"/>
      <c r="F997" s="139"/>
      <c r="G997" s="580"/>
      <c r="H997" s="581"/>
      <c r="I997" s="196"/>
      <c r="J997" s="196"/>
      <c r="K997" s="196"/>
      <c r="L997" s="582"/>
      <c r="M997" s="196"/>
    </row>
    <row r="998">
      <c r="A998" s="139"/>
      <c r="B998" s="139"/>
      <c r="C998" s="139"/>
      <c r="D998" s="139"/>
      <c r="E998" s="139"/>
      <c r="F998" s="139"/>
      <c r="G998" s="580"/>
      <c r="H998" s="581"/>
      <c r="I998" s="196"/>
      <c r="J998" s="196"/>
      <c r="K998" s="196"/>
      <c r="L998" s="582"/>
      <c r="M998" s="196"/>
    </row>
    <row r="999">
      <c r="A999" s="139"/>
      <c r="B999" s="139"/>
      <c r="C999" s="139"/>
      <c r="D999" s="139"/>
      <c r="E999" s="139"/>
      <c r="F999" s="139"/>
      <c r="G999" s="580"/>
      <c r="H999" s="581"/>
      <c r="I999" s="196"/>
      <c r="J999" s="196"/>
      <c r="K999" s="196"/>
      <c r="L999" s="582"/>
      <c r="M999" s="196"/>
    </row>
    <row r="1000">
      <c r="A1000" s="139"/>
      <c r="B1000" s="139"/>
      <c r="C1000" s="139"/>
      <c r="D1000" s="139"/>
      <c r="E1000" s="139"/>
      <c r="F1000" s="139"/>
      <c r="G1000" s="580"/>
      <c r="H1000" s="581"/>
      <c r="I1000" s="196"/>
      <c r="J1000" s="196"/>
      <c r="K1000" s="196"/>
      <c r="L1000" s="582"/>
      <c r="M1000" s="196"/>
    </row>
    <row r="1001">
      <c r="A1001" s="139"/>
      <c r="B1001" s="139"/>
      <c r="C1001" s="139"/>
      <c r="D1001" s="139"/>
      <c r="E1001" s="139"/>
      <c r="F1001" s="139"/>
      <c r="G1001" s="580"/>
      <c r="H1001" s="581"/>
      <c r="I1001" s="196"/>
      <c r="J1001" s="196"/>
      <c r="K1001" s="196"/>
      <c r="L1001" s="582"/>
      <c r="M1001" s="196"/>
    </row>
    <row r="1002">
      <c r="A1002" s="139"/>
      <c r="B1002" s="139"/>
      <c r="C1002" s="139"/>
      <c r="D1002" s="139"/>
      <c r="E1002" s="139"/>
      <c r="F1002" s="139"/>
      <c r="G1002" s="580"/>
      <c r="H1002" s="581"/>
      <c r="I1002" s="196"/>
      <c r="J1002" s="196"/>
      <c r="K1002" s="196"/>
      <c r="L1002" s="582"/>
      <c r="M1002" s="196"/>
    </row>
    <row r="1003">
      <c r="A1003" s="139"/>
      <c r="B1003" s="139"/>
      <c r="C1003" s="139"/>
      <c r="D1003" s="139"/>
      <c r="E1003" s="139"/>
      <c r="F1003" s="139"/>
      <c r="G1003" s="580"/>
      <c r="H1003" s="581"/>
      <c r="I1003" s="196"/>
      <c r="J1003" s="196"/>
      <c r="K1003" s="196"/>
      <c r="L1003" s="582"/>
      <c r="M1003" s="196"/>
    </row>
    <row r="1004">
      <c r="A1004" s="139"/>
      <c r="B1004" s="139"/>
      <c r="C1004" s="139"/>
      <c r="D1004" s="139"/>
      <c r="E1004" s="139"/>
      <c r="F1004" s="139"/>
      <c r="G1004" s="580"/>
      <c r="H1004" s="581"/>
      <c r="I1004" s="196"/>
      <c r="J1004" s="196"/>
      <c r="K1004" s="196"/>
      <c r="L1004" s="582"/>
      <c r="M1004" s="196"/>
    </row>
    <row r="1005">
      <c r="A1005" s="139"/>
      <c r="B1005" s="139"/>
      <c r="C1005" s="139"/>
      <c r="D1005" s="139"/>
      <c r="E1005" s="139"/>
      <c r="F1005" s="139"/>
      <c r="G1005" s="580"/>
      <c r="H1005" s="581"/>
      <c r="I1005" s="196"/>
      <c r="J1005" s="196"/>
      <c r="K1005" s="196"/>
      <c r="L1005" s="582"/>
      <c r="M1005" s="196"/>
    </row>
    <row r="1006">
      <c r="A1006" s="139"/>
      <c r="B1006" s="139"/>
      <c r="C1006" s="139"/>
      <c r="D1006" s="139"/>
      <c r="E1006" s="139"/>
      <c r="F1006" s="139"/>
      <c r="G1006" s="580"/>
      <c r="H1006" s="581"/>
      <c r="I1006" s="196"/>
      <c r="J1006" s="196"/>
      <c r="K1006" s="196"/>
      <c r="L1006" s="582"/>
      <c r="M1006" s="196"/>
    </row>
    <row r="1007">
      <c r="A1007" s="139"/>
      <c r="B1007" s="139"/>
      <c r="C1007" s="139"/>
      <c r="D1007" s="139"/>
      <c r="E1007" s="139"/>
      <c r="F1007" s="139"/>
      <c r="G1007" s="580"/>
      <c r="H1007" s="581"/>
      <c r="I1007" s="196"/>
      <c r="J1007" s="196"/>
      <c r="K1007" s="196"/>
      <c r="L1007" s="582"/>
      <c r="M1007" s="196"/>
    </row>
    <row r="1008">
      <c r="A1008" s="139"/>
      <c r="B1008" s="139"/>
      <c r="C1008" s="139"/>
      <c r="D1008" s="139"/>
      <c r="E1008" s="139"/>
      <c r="F1008" s="139"/>
      <c r="G1008" s="580"/>
      <c r="H1008" s="581"/>
      <c r="I1008" s="196"/>
      <c r="J1008" s="196"/>
      <c r="K1008" s="196"/>
      <c r="L1008" s="582"/>
      <c r="M1008" s="196"/>
    </row>
    <row r="1009">
      <c r="A1009" s="139"/>
      <c r="B1009" s="139"/>
      <c r="C1009" s="139"/>
      <c r="D1009" s="139"/>
      <c r="E1009" s="139"/>
      <c r="F1009" s="139"/>
      <c r="G1009" s="580"/>
      <c r="H1009" s="581"/>
      <c r="I1009" s="196"/>
      <c r="J1009" s="196"/>
      <c r="K1009" s="196"/>
      <c r="L1009" s="582"/>
      <c r="M1009" s="196"/>
    </row>
    <row r="1010">
      <c r="A1010" s="139"/>
      <c r="B1010" s="139"/>
      <c r="C1010" s="139"/>
      <c r="D1010" s="139"/>
      <c r="E1010" s="139"/>
      <c r="F1010" s="139"/>
      <c r="G1010" s="580"/>
      <c r="H1010" s="581"/>
      <c r="I1010" s="196"/>
      <c r="J1010" s="196"/>
      <c r="K1010" s="196"/>
      <c r="L1010" s="582"/>
      <c r="M1010" s="196"/>
    </row>
    <row r="1011">
      <c r="A1011" s="139"/>
      <c r="B1011" s="139"/>
      <c r="C1011" s="139"/>
      <c r="D1011" s="139"/>
      <c r="E1011" s="139"/>
      <c r="F1011" s="139"/>
      <c r="G1011" s="580"/>
      <c r="H1011" s="581"/>
      <c r="I1011" s="196"/>
      <c r="J1011" s="196"/>
      <c r="K1011" s="196"/>
      <c r="L1011" s="582"/>
      <c r="M1011" s="196"/>
    </row>
    <row r="1012">
      <c r="A1012" s="139"/>
      <c r="B1012" s="139"/>
      <c r="C1012" s="139"/>
      <c r="D1012" s="139"/>
      <c r="E1012" s="139"/>
      <c r="F1012" s="139"/>
      <c r="G1012" s="580"/>
      <c r="H1012" s="581"/>
      <c r="I1012" s="196"/>
      <c r="J1012" s="196"/>
      <c r="K1012" s="196"/>
      <c r="L1012" s="582"/>
      <c r="M1012" s="196"/>
    </row>
    <row r="1013">
      <c r="A1013" s="139"/>
      <c r="B1013" s="139"/>
      <c r="C1013" s="139"/>
      <c r="D1013" s="139"/>
      <c r="E1013" s="139"/>
      <c r="F1013" s="139"/>
      <c r="G1013" s="580"/>
      <c r="H1013" s="581"/>
      <c r="I1013" s="196"/>
      <c r="J1013" s="196"/>
      <c r="K1013" s="196"/>
      <c r="L1013" s="582"/>
      <c r="M1013" s="196"/>
    </row>
    <row r="1014">
      <c r="A1014" s="139"/>
      <c r="B1014" s="139"/>
      <c r="C1014" s="139"/>
      <c r="D1014" s="139"/>
      <c r="E1014" s="139"/>
      <c r="F1014" s="139"/>
      <c r="G1014" s="580"/>
      <c r="H1014" s="581"/>
      <c r="I1014" s="196"/>
      <c r="J1014" s="196"/>
      <c r="K1014" s="196"/>
      <c r="L1014" s="582"/>
      <c r="M1014" s="196"/>
    </row>
    <row r="1015">
      <c r="A1015" s="139"/>
      <c r="B1015" s="139"/>
      <c r="C1015" s="139"/>
      <c r="D1015" s="139"/>
      <c r="E1015" s="139"/>
      <c r="F1015" s="139"/>
      <c r="G1015" s="580"/>
      <c r="H1015" s="581"/>
      <c r="I1015" s="196"/>
      <c r="J1015" s="196"/>
      <c r="K1015" s="196"/>
      <c r="L1015" s="582"/>
      <c r="M1015" s="196"/>
    </row>
    <row r="1016">
      <c r="A1016" s="139"/>
      <c r="B1016" s="139"/>
      <c r="C1016" s="139"/>
      <c r="D1016" s="139"/>
      <c r="E1016" s="139"/>
      <c r="F1016" s="139"/>
      <c r="G1016" s="580"/>
      <c r="H1016" s="581"/>
      <c r="I1016" s="196"/>
      <c r="J1016" s="196"/>
      <c r="K1016" s="196"/>
      <c r="L1016" s="582"/>
      <c r="M1016" s="196"/>
    </row>
    <row r="1017">
      <c r="A1017" s="139"/>
      <c r="B1017" s="139"/>
      <c r="C1017" s="139"/>
      <c r="D1017" s="139"/>
      <c r="E1017" s="139"/>
      <c r="F1017" s="139"/>
      <c r="G1017" s="580"/>
      <c r="H1017" s="581"/>
      <c r="I1017" s="196"/>
      <c r="J1017" s="196"/>
      <c r="K1017" s="196"/>
      <c r="L1017" s="582"/>
      <c r="M1017" s="196"/>
    </row>
    <row r="1018">
      <c r="A1018" s="139"/>
      <c r="B1018" s="139"/>
      <c r="C1018" s="139"/>
      <c r="D1018" s="139"/>
      <c r="E1018" s="139"/>
      <c r="F1018" s="139"/>
      <c r="G1018" s="580"/>
      <c r="H1018" s="581"/>
      <c r="I1018" s="196"/>
      <c r="J1018" s="196"/>
      <c r="K1018" s="196"/>
      <c r="L1018" s="582"/>
      <c r="M1018" s="196"/>
    </row>
    <row r="1019">
      <c r="A1019" s="139"/>
      <c r="B1019" s="139"/>
      <c r="C1019" s="139"/>
      <c r="D1019" s="139"/>
      <c r="E1019" s="139"/>
      <c r="F1019" s="139"/>
      <c r="G1019" s="580"/>
      <c r="H1019" s="581"/>
      <c r="I1019" s="196"/>
      <c r="J1019" s="196"/>
      <c r="K1019" s="196"/>
      <c r="L1019" s="582"/>
      <c r="M1019" s="196"/>
    </row>
    <row r="1020">
      <c r="A1020" s="139"/>
      <c r="B1020" s="139"/>
      <c r="C1020" s="139"/>
      <c r="D1020" s="139"/>
      <c r="E1020" s="139"/>
      <c r="F1020" s="139"/>
      <c r="G1020" s="580"/>
      <c r="H1020" s="581"/>
      <c r="I1020" s="196"/>
      <c r="J1020" s="196"/>
      <c r="K1020" s="196"/>
      <c r="L1020" s="582"/>
      <c r="M1020" s="196"/>
    </row>
    <row r="1021">
      <c r="A1021" s="139"/>
      <c r="B1021" s="139"/>
      <c r="C1021" s="139"/>
      <c r="D1021" s="139"/>
      <c r="E1021" s="139"/>
      <c r="F1021" s="139"/>
      <c r="G1021" s="580"/>
      <c r="H1021" s="581"/>
      <c r="I1021" s="196"/>
      <c r="J1021" s="196"/>
      <c r="K1021" s="196"/>
      <c r="L1021" s="582"/>
      <c r="M1021" s="196"/>
    </row>
    <row r="1022">
      <c r="A1022" s="139"/>
      <c r="B1022" s="139"/>
      <c r="C1022" s="139"/>
      <c r="D1022" s="139"/>
      <c r="E1022" s="139"/>
      <c r="F1022" s="139"/>
      <c r="G1022" s="580"/>
      <c r="H1022" s="581"/>
      <c r="I1022" s="196"/>
      <c r="J1022" s="196"/>
      <c r="K1022" s="196"/>
      <c r="L1022" s="582"/>
      <c r="M1022" s="196"/>
    </row>
    <row r="1023">
      <c r="A1023" s="139"/>
      <c r="B1023" s="139"/>
      <c r="C1023" s="139"/>
      <c r="D1023" s="139"/>
      <c r="E1023" s="139"/>
      <c r="F1023" s="139"/>
      <c r="G1023" s="580"/>
      <c r="H1023" s="581"/>
      <c r="I1023" s="196"/>
      <c r="J1023" s="196"/>
      <c r="K1023" s="196"/>
      <c r="L1023" s="582"/>
      <c r="M1023" s="196"/>
    </row>
    <row r="1024">
      <c r="A1024" s="139"/>
      <c r="B1024" s="139"/>
      <c r="C1024" s="139"/>
      <c r="D1024" s="139"/>
      <c r="E1024" s="139"/>
      <c r="F1024" s="139"/>
      <c r="G1024" s="580"/>
      <c r="H1024" s="581"/>
      <c r="I1024" s="196"/>
      <c r="J1024" s="196"/>
      <c r="K1024" s="196"/>
      <c r="L1024" s="582"/>
      <c r="M1024" s="196"/>
    </row>
    <row r="1025">
      <c r="A1025" s="139"/>
      <c r="B1025" s="139"/>
      <c r="C1025" s="139"/>
      <c r="D1025" s="139"/>
      <c r="E1025" s="139"/>
      <c r="F1025" s="139"/>
      <c r="G1025" s="580"/>
      <c r="H1025" s="581"/>
      <c r="I1025" s="196"/>
      <c r="J1025" s="196"/>
      <c r="K1025" s="196"/>
      <c r="L1025" s="582"/>
      <c r="M1025" s="196"/>
    </row>
    <row r="1026">
      <c r="A1026" s="139"/>
      <c r="B1026" s="139"/>
      <c r="C1026" s="139"/>
      <c r="D1026" s="139"/>
      <c r="E1026" s="139"/>
      <c r="F1026" s="139"/>
      <c r="G1026" s="580"/>
      <c r="H1026" s="581"/>
      <c r="I1026" s="196"/>
      <c r="J1026" s="196"/>
      <c r="K1026" s="196"/>
      <c r="L1026" s="582"/>
      <c r="M1026" s="196"/>
    </row>
    <row r="1027">
      <c r="A1027" s="139"/>
      <c r="B1027" s="139"/>
      <c r="C1027" s="139"/>
      <c r="D1027" s="139"/>
      <c r="E1027" s="139"/>
      <c r="F1027" s="139"/>
      <c r="G1027" s="580"/>
      <c r="H1027" s="581"/>
      <c r="I1027" s="196"/>
      <c r="J1027" s="196"/>
      <c r="K1027" s="196"/>
      <c r="L1027" s="582"/>
      <c r="M1027" s="196"/>
    </row>
    <row r="1028">
      <c r="A1028" s="139"/>
      <c r="B1028" s="139"/>
      <c r="C1028" s="139"/>
      <c r="D1028" s="139"/>
      <c r="E1028" s="139"/>
      <c r="F1028" s="139"/>
      <c r="G1028" s="580"/>
      <c r="H1028" s="581"/>
      <c r="I1028" s="196"/>
      <c r="J1028" s="196"/>
      <c r="K1028" s="196"/>
      <c r="L1028" s="582"/>
      <c r="M1028" s="196"/>
    </row>
    <row r="1029">
      <c r="A1029" s="139"/>
      <c r="B1029" s="139"/>
      <c r="C1029" s="139"/>
      <c r="D1029" s="139"/>
      <c r="E1029" s="139"/>
      <c r="F1029" s="139"/>
      <c r="G1029" s="580"/>
      <c r="H1029" s="581"/>
      <c r="I1029" s="196"/>
      <c r="J1029" s="196"/>
      <c r="K1029" s="196"/>
      <c r="L1029" s="582"/>
      <c r="M1029" s="196"/>
    </row>
    <row r="1030">
      <c r="A1030" s="139"/>
      <c r="B1030" s="139"/>
      <c r="C1030" s="139"/>
      <c r="D1030" s="139"/>
      <c r="E1030" s="139"/>
      <c r="F1030" s="139"/>
      <c r="G1030" s="580"/>
      <c r="H1030" s="581"/>
      <c r="I1030" s="196"/>
      <c r="J1030" s="196"/>
      <c r="K1030" s="196"/>
      <c r="L1030" s="582"/>
      <c r="M1030" s="196"/>
    </row>
    <row r="1031">
      <c r="A1031" s="139"/>
      <c r="B1031" s="139"/>
      <c r="C1031" s="139"/>
      <c r="D1031" s="139"/>
      <c r="E1031" s="139"/>
      <c r="F1031" s="139"/>
      <c r="G1031" s="580"/>
      <c r="H1031" s="581"/>
      <c r="I1031" s="196"/>
      <c r="J1031" s="196"/>
      <c r="K1031" s="196"/>
      <c r="L1031" s="582"/>
      <c r="M1031" s="196"/>
    </row>
    <row r="1032">
      <c r="A1032" s="139"/>
      <c r="B1032" s="139"/>
      <c r="C1032" s="139"/>
      <c r="D1032" s="139"/>
      <c r="E1032" s="139"/>
      <c r="F1032" s="139"/>
      <c r="G1032" s="580"/>
      <c r="H1032" s="581"/>
      <c r="I1032" s="196"/>
      <c r="J1032" s="196"/>
      <c r="K1032" s="196"/>
      <c r="L1032" s="582"/>
      <c r="M1032" s="196"/>
    </row>
    <row r="1033">
      <c r="A1033" s="139"/>
      <c r="B1033" s="139"/>
      <c r="C1033" s="139"/>
      <c r="D1033" s="139"/>
      <c r="E1033" s="139"/>
      <c r="F1033" s="139"/>
      <c r="G1033" s="580"/>
      <c r="H1033" s="581"/>
      <c r="I1033" s="196"/>
      <c r="J1033" s="196"/>
      <c r="K1033" s="196"/>
      <c r="L1033" s="582"/>
      <c r="M1033" s="196"/>
    </row>
    <row r="1034">
      <c r="A1034" s="139"/>
      <c r="B1034" s="139"/>
      <c r="C1034" s="139"/>
      <c r="D1034" s="139"/>
      <c r="E1034" s="139"/>
      <c r="F1034" s="139"/>
      <c r="G1034" s="580"/>
      <c r="H1034" s="581"/>
      <c r="I1034" s="196"/>
      <c r="J1034" s="196"/>
      <c r="K1034" s="196"/>
      <c r="L1034" s="582"/>
      <c r="M1034" s="196"/>
    </row>
    <row r="1035">
      <c r="A1035" s="139"/>
      <c r="B1035" s="139"/>
      <c r="C1035" s="139"/>
      <c r="D1035" s="139"/>
      <c r="E1035" s="139"/>
      <c r="F1035" s="139"/>
      <c r="G1035" s="580"/>
      <c r="H1035" s="581"/>
      <c r="I1035" s="196"/>
      <c r="J1035" s="196"/>
      <c r="K1035" s="196"/>
      <c r="L1035" s="582"/>
      <c r="M1035" s="196"/>
    </row>
    <row r="1036">
      <c r="A1036" s="139"/>
      <c r="B1036" s="139"/>
      <c r="C1036" s="139"/>
      <c r="D1036" s="139"/>
      <c r="E1036" s="139"/>
      <c r="F1036" s="139"/>
      <c r="G1036" s="580"/>
      <c r="H1036" s="581"/>
      <c r="I1036" s="196"/>
      <c r="J1036" s="196"/>
      <c r="K1036" s="196"/>
      <c r="L1036" s="582"/>
      <c r="M1036" s="196"/>
    </row>
    <row r="1037">
      <c r="A1037" s="139"/>
      <c r="B1037" s="139"/>
      <c r="C1037" s="139"/>
      <c r="D1037" s="139"/>
      <c r="E1037" s="139"/>
      <c r="F1037" s="139"/>
      <c r="G1037" s="580"/>
      <c r="H1037" s="581"/>
      <c r="I1037" s="196"/>
      <c r="J1037" s="196"/>
      <c r="K1037" s="196"/>
      <c r="L1037" s="582"/>
      <c r="M1037" s="196"/>
    </row>
    <row r="1038">
      <c r="A1038" s="139"/>
      <c r="B1038" s="139"/>
      <c r="C1038" s="139"/>
      <c r="D1038" s="139"/>
      <c r="E1038" s="139"/>
      <c r="F1038" s="139"/>
      <c r="G1038" s="580"/>
      <c r="H1038" s="581"/>
      <c r="I1038" s="196"/>
      <c r="J1038" s="196"/>
      <c r="K1038" s="196"/>
      <c r="L1038" s="582"/>
      <c r="M1038" s="196"/>
    </row>
    <row r="1039">
      <c r="A1039" s="139"/>
      <c r="B1039" s="139"/>
      <c r="C1039" s="139"/>
      <c r="D1039" s="139"/>
      <c r="E1039" s="139"/>
      <c r="F1039" s="139"/>
      <c r="G1039" s="580"/>
      <c r="H1039" s="581"/>
      <c r="I1039" s="196"/>
      <c r="J1039" s="196"/>
      <c r="K1039" s="196"/>
      <c r="L1039" s="582"/>
      <c r="M1039" s="196"/>
    </row>
    <row r="1040">
      <c r="A1040" s="139"/>
      <c r="B1040" s="139"/>
      <c r="C1040" s="139"/>
      <c r="D1040" s="139"/>
      <c r="E1040" s="139"/>
      <c r="F1040" s="139"/>
      <c r="G1040" s="580"/>
      <c r="H1040" s="581"/>
      <c r="I1040" s="196"/>
      <c r="J1040" s="196"/>
      <c r="K1040" s="196"/>
      <c r="L1040" s="582"/>
      <c r="M1040" s="196"/>
    </row>
    <row r="1041">
      <c r="A1041" s="139"/>
      <c r="B1041" s="139"/>
      <c r="C1041" s="139"/>
      <c r="D1041" s="139"/>
      <c r="E1041" s="139"/>
      <c r="F1041" s="139"/>
      <c r="G1041" s="580"/>
      <c r="H1041" s="581"/>
      <c r="I1041" s="196"/>
      <c r="J1041" s="196"/>
      <c r="K1041" s="196"/>
      <c r="L1041" s="582"/>
      <c r="M1041" s="196"/>
    </row>
    <row r="1042">
      <c r="A1042" s="139"/>
      <c r="B1042" s="139"/>
      <c r="C1042" s="139"/>
      <c r="D1042" s="139"/>
      <c r="E1042" s="139"/>
      <c r="F1042" s="139"/>
      <c r="G1042" s="580"/>
      <c r="H1042" s="581"/>
      <c r="I1042" s="196"/>
      <c r="J1042" s="196"/>
      <c r="K1042" s="196"/>
      <c r="L1042" s="582"/>
      <c r="M1042" s="196"/>
    </row>
    <row r="1043">
      <c r="A1043" s="139"/>
      <c r="B1043" s="139"/>
      <c r="C1043" s="139"/>
      <c r="D1043" s="139"/>
      <c r="E1043" s="139"/>
      <c r="F1043" s="139"/>
      <c r="G1043" s="580"/>
      <c r="H1043" s="581"/>
      <c r="I1043" s="196"/>
      <c r="J1043" s="196"/>
      <c r="K1043" s="196"/>
      <c r="L1043" s="582"/>
      <c r="M1043" s="196"/>
    </row>
    <row r="1044">
      <c r="A1044" s="139"/>
      <c r="B1044" s="139"/>
      <c r="C1044" s="139"/>
      <c r="D1044" s="139"/>
      <c r="E1044" s="139"/>
      <c r="F1044" s="139"/>
      <c r="G1044" s="580"/>
      <c r="H1044" s="581"/>
      <c r="I1044" s="196"/>
      <c r="J1044" s="196"/>
      <c r="K1044" s="196"/>
      <c r="L1044" s="582"/>
      <c r="M1044" s="196"/>
    </row>
    <row r="1045">
      <c r="A1045" s="139"/>
      <c r="B1045" s="139"/>
      <c r="C1045" s="139"/>
      <c r="D1045" s="139"/>
      <c r="E1045" s="139"/>
      <c r="F1045" s="139"/>
      <c r="G1045" s="580"/>
      <c r="H1045" s="581"/>
      <c r="I1045" s="196"/>
      <c r="J1045" s="196"/>
      <c r="K1045" s="196"/>
      <c r="L1045" s="582"/>
      <c r="M1045" s="196"/>
    </row>
    <row r="1046">
      <c r="A1046" s="139"/>
      <c r="B1046" s="139"/>
      <c r="C1046" s="139"/>
      <c r="D1046" s="139"/>
      <c r="E1046" s="139"/>
      <c r="F1046" s="139"/>
      <c r="G1046" s="580"/>
      <c r="H1046" s="581"/>
      <c r="I1046" s="196"/>
      <c r="J1046" s="196"/>
      <c r="K1046" s="196"/>
      <c r="L1046" s="582"/>
      <c r="M1046" s="196"/>
    </row>
    <row r="1047">
      <c r="A1047" s="139"/>
      <c r="B1047" s="139"/>
      <c r="C1047" s="139"/>
      <c r="D1047" s="139"/>
      <c r="E1047" s="139"/>
      <c r="F1047" s="139"/>
      <c r="G1047" s="580"/>
      <c r="H1047" s="581"/>
      <c r="I1047" s="196"/>
      <c r="J1047" s="196"/>
      <c r="K1047" s="196"/>
      <c r="L1047" s="582"/>
      <c r="M1047" s="196"/>
    </row>
    <row r="1048">
      <c r="A1048" s="139"/>
      <c r="B1048" s="139"/>
      <c r="C1048" s="139"/>
      <c r="D1048" s="139"/>
      <c r="E1048" s="139"/>
      <c r="F1048" s="139"/>
      <c r="G1048" s="580"/>
      <c r="H1048" s="581"/>
      <c r="I1048" s="196"/>
      <c r="J1048" s="196"/>
      <c r="K1048" s="196"/>
      <c r="L1048" s="582"/>
      <c r="M1048" s="196"/>
    </row>
    <row r="1049">
      <c r="A1049" s="139"/>
      <c r="B1049" s="139"/>
      <c r="C1049" s="139"/>
      <c r="D1049" s="139"/>
      <c r="E1049" s="139"/>
      <c r="F1049" s="139"/>
      <c r="G1049" s="580"/>
      <c r="H1049" s="581"/>
      <c r="I1049" s="196"/>
      <c r="J1049" s="196"/>
      <c r="K1049" s="196"/>
      <c r="L1049" s="582"/>
      <c r="M1049" s="196"/>
    </row>
    <row r="1050">
      <c r="A1050" s="139"/>
      <c r="B1050" s="139"/>
      <c r="C1050" s="139"/>
      <c r="D1050" s="139"/>
      <c r="E1050" s="139"/>
      <c r="F1050" s="139"/>
      <c r="G1050" s="580"/>
      <c r="H1050" s="581"/>
      <c r="I1050" s="196"/>
      <c r="J1050" s="196"/>
      <c r="K1050" s="196"/>
      <c r="L1050" s="582"/>
      <c r="M1050" s="196"/>
    </row>
    <row r="1051">
      <c r="A1051" s="139"/>
      <c r="B1051" s="139"/>
      <c r="C1051" s="139"/>
      <c r="D1051" s="139"/>
      <c r="E1051" s="139"/>
      <c r="F1051" s="139"/>
      <c r="G1051" s="580"/>
      <c r="H1051" s="581"/>
      <c r="I1051" s="196"/>
      <c r="J1051" s="196"/>
      <c r="K1051" s="196"/>
      <c r="L1051" s="582"/>
      <c r="M1051" s="196"/>
    </row>
    <row r="1052">
      <c r="A1052" s="139"/>
      <c r="B1052" s="139"/>
      <c r="C1052" s="139"/>
      <c r="D1052" s="139"/>
      <c r="E1052" s="139"/>
      <c r="F1052" s="139"/>
      <c r="G1052" s="580"/>
      <c r="H1052" s="581"/>
      <c r="I1052" s="196"/>
      <c r="J1052" s="196"/>
      <c r="K1052" s="196"/>
      <c r="L1052" s="582"/>
      <c r="M1052" s="196"/>
    </row>
    <row r="1053">
      <c r="A1053" s="139"/>
      <c r="B1053" s="139"/>
      <c r="C1053" s="139"/>
      <c r="D1053" s="139"/>
      <c r="E1053" s="139"/>
      <c r="F1053" s="139"/>
      <c r="G1053" s="580"/>
      <c r="H1053" s="581"/>
      <c r="I1053" s="196"/>
      <c r="J1053" s="196"/>
      <c r="K1053" s="196"/>
      <c r="L1053" s="582"/>
      <c r="M1053" s="196"/>
    </row>
    <row r="1054">
      <c r="A1054" s="139"/>
      <c r="B1054" s="139"/>
      <c r="C1054" s="139"/>
      <c r="D1054" s="139"/>
      <c r="E1054" s="139"/>
      <c r="F1054" s="139"/>
      <c r="G1054" s="580"/>
      <c r="H1054" s="581"/>
      <c r="I1054" s="196"/>
      <c r="J1054" s="196"/>
      <c r="K1054" s="196"/>
      <c r="L1054" s="582"/>
      <c r="M1054" s="196"/>
    </row>
    <row r="1055">
      <c r="A1055" s="139"/>
      <c r="B1055" s="139"/>
      <c r="C1055" s="139"/>
      <c r="D1055" s="139"/>
      <c r="E1055" s="139"/>
      <c r="F1055" s="139"/>
      <c r="G1055" s="580"/>
      <c r="H1055" s="581"/>
      <c r="I1055" s="196"/>
      <c r="J1055" s="196"/>
      <c r="K1055" s="196"/>
      <c r="L1055" s="582"/>
      <c r="M1055" s="196"/>
    </row>
    <row r="1056">
      <c r="A1056" s="139"/>
      <c r="B1056" s="139"/>
      <c r="C1056" s="139"/>
      <c r="D1056" s="139"/>
      <c r="E1056" s="139"/>
      <c r="F1056" s="139"/>
      <c r="G1056" s="580"/>
      <c r="H1056" s="581"/>
      <c r="I1056" s="196"/>
      <c r="J1056" s="196"/>
      <c r="K1056" s="196"/>
      <c r="L1056" s="582"/>
      <c r="M1056" s="196"/>
    </row>
    <row r="1057">
      <c r="A1057" s="139"/>
      <c r="B1057" s="139"/>
      <c r="C1057" s="139"/>
      <c r="D1057" s="139"/>
      <c r="E1057" s="139"/>
      <c r="F1057" s="139"/>
      <c r="G1057" s="580"/>
      <c r="H1057" s="581"/>
      <c r="I1057" s="196"/>
      <c r="J1057" s="196"/>
      <c r="K1057" s="196"/>
      <c r="L1057" s="582"/>
      <c r="M1057" s="196"/>
    </row>
    <row r="1058">
      <c r="A1058" s="139"/>
      <c r="B1058" s="139"/>
      <c r="C1058" s="139"/>
      <c r="D1058" s="139"/>
      <c r="E1058" s="139"/>
      <c r="F1058" s="139"/>
      <c r="G1058" s="580"/>
      <c r="H1058" s="581"/>
      <c r="I1058" s="196"/>
      <c r="J1058" s="196"/>
      <c r="K1058" s="196"/>
      <c r="L1058" s="582"/>
      <c r="M1058" s="196"/>
    </row>
    <row r="1059">
      <c r="A1059" s="139"/>
      <c r="B1059" s="139"/>
      <c r="C1059" s="139"/>
      <c r="D1059" s="139"/>
      <c r="E1059" s="139"/>
      <c r="F1059" s="139"/>
      <c r="G1059" s="580"/>
      <c r="H1059" s="581"/>
      <c r="I1059" s="196"/>
      <c r="J1059" s="196"/>
      <c r="K1059" s="196"/>
      <c r="L1059" s="582"/>
      <c r="M1059" s="196"/>
    </row>
    <row r="1060">
      <c r="A1060" s="139"/>
      <c r="B1060" s="139"/>
      <c r="C1060" s="139"/>
      <c r="D1060" s="139"/>
      <c r="E1060" s="139"/>
      <c r="F1060" s="139"/>
      <c r="G1060" s="580"/>
      <c r="H1060" s="581"/>
      <c r="I1060" s="196"/>
      <c r="J1060" s="196"/>
      <c r="K1060" s="196"/>
      <c r="L1060" s="582"/>
      <c r="M1060" s="196"/>
    </row>
    <row r="1061">
      <c r="A1061" s="139"/>
      <c r="B1061" s="139"/>
      <c r="C1061" s="139"/>
      <c r="D1061" s="139"/>
      <c r="E1061" s="139"/>
      <c r="F1061" s="139"/>
      <c r="G1061" s="580"/>
      <c r="H1061" s="581"/>
      <c r="I1061" s="196"/>
      <c r="J1061" s="196"/>
      <c r="K1061" s="196"/>
      <c r="L1061" s="582"/>
      <c r="M1061" s="196"/>
    </row>
    <row r="1062">
      <c r="A1062" s="139"/>
      <c r="B1062" s="139"/>
      <c r="C1062" s="139"/>
      <c r="D1062" s="139"/>
      <c r="E1062" s="139"/>
      <c r="F1062" s="139"/>
      <c r="G1062" s="580"/>
      <c r="H1062" s="581"/>
      <c r="I1062" s="196"/>
      <c r="J1062" s="196"/>
      <c r="K1062" s="196"/>
      <c r="L1062" s="582"/>
      <c r="M1062" s="196"/>
    </row>
    <row r="1063">
      <c r="A1063" s="139"/>
      <c r="B1063" s="139"/>
      <c r="C1063" s="139"/>
      <c r="D1063" s="139"/>
      <c r="E1063" s="139"/>
      <c r="F1063" s="139"/>
      <c r="G1063" s="580"/>
      <c r="H1063" s="581"/>
      <c r="I1063" s="196"/>
      <c r="J1063" s="196"/>
      <c r="K1063" s="196"/>
      <c r="L1063" s="582"/>
      <c r="M1063" s="196"/>
    </row>
    <row r="1064">
      <c r="A1064" s="139"/>
      <c r="B1064" s="139"/>
      <c r="C1064" s="139"/>
      <c r="D1064" s="139"/>
      <c r="E1064" s="139"/>
      <c r="F1064" s="139"/>
      <c r="G1064" s="580"/>
      <c r="H1064" s="581"/>
      <c r="I1064" s="196"/>
      <c r="J1064" s="196"/>
      <c r="K1064" s="196"/>
      <c r="L1064" s="582"/>
      <c r="M1064" s="196"/>
    </row>
    <row r="1065">
      <c r="A1065" s="139"/>
      <c r="B1065" s="139"/>
      <c r="C1065" s="139"/>
      <c r="D1065" s="139"/>
      <c r="E1065" s="139"/>
      <c r="F1065" s="139"/>
      <c r="G1065" s="580"/>
      <c r="H1065" s="581"/>
      <c r="I1065" s="196"/>
      <c r="J1065" s="196"/>
      <c r="K1065" s="196"/>
      <c r="L1065" s="582"/>
      <c r="M1065" s="196"/>
    </row>
  </sheetData>
  <mergeCells count="9">
    <mergeCell ref="H1:L1"/>
    <mergeCell ref="M1:M2"/>
    <mergeCell ref="A1:A2"/>
    <mergeCell ref="B1:B2"/>
    <mergeCell ref="C1:C2"/>
    <mergeCell ref="D1:D2"/>
    <mergeCell ref="E1:E2"/>
    <mergeCell ref="F1:F2"/>
    <mergeCell ref="G1:G2"/>
  </mergeCells>
  <conditionalFormatting sqref="H1:H30 I1:I48 J1:L1065 H32:H37 H39:H55 I50:I1065 H57:H58 H60:H1065 A209">
    <cfRule type="containsText" dxfId="3" priority="1" operator="containsText" text="Недоступно">
      <formula>NOT(ISERROR(SEARCH(("Недоступно"),(H1))))</formula>
    </cfRule>
  </conditionalFormatting>
  <hyperlinks>
    <hyperlink display="Осколок кости чудовища" location="'Усовершенствования V0.21'!A38" ref="H5"/>
    <hyperlink display="Зачарование лёгкости" location="'Усовершенствования V0.21'!A39" ref="H7"/>
    <hyperlink display="Хребет чудовища" location="'Усовершенствования V0.21'!A40" ref="H11"/>
    <hyperlink display="Зачарование поглощения" location="'Усовершенствования V0.21'!A41" ref="H12"/>
    <hyperlink display="Осколок тени" location="'Усовершенствования V0.21'!A42" ref="H15"/>
    <hyperlink display="Пыль призрака" location="'Импланты V0.1'!A66" ref="I16"/>
    <hyperlink display="Осколок черепа чудовища" location="'Усовершенствования V0.21'!A43" ref="H17"/>
    <hyperlink display="Коготь чудовища" location="'Усовершенствования V0.21'!A44" ref="H18"/>
    <hyperlink display="Коготь чудовища" location="'Импланты V0.1'!A67" ref="I18"/>
    <hyperlink display="Шкура чудовища" location="'Усовершенствования V0.21'!A45" ref="H19"/>
    <hyperlink display="Сердце чудовища" location="'Импланты V0.1'!A68" ref="I20"/>
    <hyperlink display="Отравляющее" location="'Усовершенствования V0.21'!A46" ref="H21"/>
    <hyperlink display="Язык чудовища" location="'Импланты V0.1'!A69" ref="I22"/>
    <hyperlink display="Желчный покров" location="'Усовершенствования V0.21'!A47" ref="H23"/>
    <hyperlink display="Хитиновое покрытие" location="'Усовершенствования V0.21'!A48" ref="H24"/>
    <hyperlink display="Фрагмент панциря чудовища" location="'Усовершенствования V0.21'!A49" ref="H27"/>
    <hyperlink display="Сухожилие чудовища" location="'Усовершенствования V0.21'!A50" ref="H28"/>
    <hyperlink display="Зачарование прыжков" location="'Усовершенствования V0.21'!A51" ref="H29"/>
    <hyperlink display="Чешуя монстра" location="'Усовершенствования V0.21'!A53" ref="H31"/>
    <hyperlink display="Мозг чудовища" location="'Импланты V0.1'!A70" ref="I32"/>
    <hyperlink display="Щупальце чудовища" location="'Усовершенствования V0.21'!A54" ref="H33"/>
    <hyperlink display="Щупальце чудовища" location="'Импланты V0.1'!A71" ref="I33"/>
    <hyperlink display="Душевное зачарование" location="'Усовершенствования V0.21'!A55" ref="H37"/>
    <hyperlink display="Закалённая чешуя" location="'Усовершенствования V0.21'!A56" ref="H38"/>
    <hyperlink display="Ледяной клык" location="'Усовершенствования V0.21'!A57" ref="H39"/>
    <hyperlink display="Ледяной клык" location="'Импланты V0.1'!A72" ref="I39"/>
    <hyperlink display="Эктоплазма" location="'Усовершенствования V0.21'!A58" ref="H40"/>
    <hyperlink display="Эктоплазма" location="'Импланты V0.1'!A73" ref="I40"/>
    <hyperlink display="Эсенция тени" location="'Усовершенствования V0.21'!A59" ref="H41"/>
    <hyperlink display="Малое зачарование  остроты, защиты и стойкости" location="'Усовершенствования V0.21'!A60" ref="H43"/>
    <hyperlink display="Конденсатор магии" location="'Импланты V0.1'!A11" ref="I43"/>
    <hyperlink display="Панцирь чудовища" location="'Усовершенствования V0.21'!A63" ref="H44"/>
    <hyperlink display="Лёгкое чудовища" location="'Импланты V0.1'!A75" ref="I46"/>
    <hyperlink display="Гиганский коготь" location="'Усовершенствования V0.21'!A64" ref="H48"/>
    <hyperlink display="Регенерирующая плоть" location="'Импланты V0.1'!A76" ref="I49"/>
    <hyperlink display="Зачарование некромантии" location="'Усовершенствования V0.21'!A65" ref="H50"/>
    <hyperlink display="Живой корень" location="'Усовершенствования V0.21'!A66" ref="H52"/>
    <hyperlink display="Бивень чудовища" location="'Усовершенствования V0.21'!A68" ref="H53"/>
    <hyperlink display="Проклятье цепей" location="'Усовершенствования V0.21'!A69" ref="H55"/>
    <hyperlink display="Эссенция света" location="'Усовершенствования V0.21'!A70" ref="H56"/>
    <hyperlink display="Эссенция света" location="'Импланты V0.1'!A77" ref="I56"/>
    <hyperlink display="Грозовой камень" location="'Усовершенствования V0.21'!A71" ref="H57"/>
    <hyperlink display="Живая вода" location="'Усовершенствования V0.21'!A72" ref="H58"/>
    <hyperlink display="Живая вода" location="'Импланты V0.1'!A78" ref="I58"/>
    <hyperlink display="Мана-ускоритель" location="'Усовершенствования V0.21'!A73" ref="H59"/>
    <hyperlink display="Конденсатор магии" location="'Импланты V0.1'!A11" ref="I59"/>
    <hyperlink display="Зачарование остроты и защиты" location="'Усовершенствования V0.21'!A74" ref="H60"/>
    <hyperlink display="Конденсатор магии" location="'Импланты V0.1'!A11" ref="I60"/>
    <hyperlink display="Огненная мазь" location="'Усовершенствования V0.21'!A76" ref="H64"/>
    <hyperlink display="Ледяная мазь" location="'Усовершенствования V0.21'!A78" ref="H65"/>
    <hyperlink display="Проклятье обсидиана" location="'Усовершенствования V0.21'!A77" ref="H67"/>
    <hyperlink display="Великое зачарование остроты и защиты" location="'Усовершенствования V0.21'!A79" ref="H68"/>
    <hyperlink display="Эссенция кошмара" location="'Усовершенствования V0.21'!A81" ref="H69"/>
    <hyperlink display="Сердцевина древня" location="'Усовершенствования V0.21'!A82" ref="H70"/>
    <hyperlink display="Священная сталь" location="'Усовершенствования V0.21'!A83" ref="H74"/>
    <hyperlink display="Астральное жало" location="'Усовершенствования V0.21'!A84" ref="H78"/>
    <hyperlink display="Сердце преобразования" location="'Импланты V0.1'!A80" ref="I79"/>
    <hyperlink display="Хребет бесконечной плоти" location="'Усовершенствования V0.21'!A85" ref="H81"/>
    <hyperlink display="Абсолютная Пустота" location="'Усовершенствования V0.21'!A86" ref="H84"/>
    <hyperlink display="Ядро переплетённой реальности" location="'Импланты V0.1'!A81" ref="I85"/>
    <hyperlink display="Панцирная пластина Дредноута" location="'Усовершенствования V0.21'!F34" ref="H121"/>
    <hyperlink display="Клешни дредноута" location="'Усовершенствования V0.21'!E36" ref="H123"/>
    <hyperlink display="Синтезатор яда" location="'Усовершенствования V0.21'!A37" ref="H126"/>
    <hyperlink display="Синтезатор яда" location="'Импланты V0.1'!A65" ref="I126"/>
    <hyperlink display="Адамантин оружие и доспехи" location="'Усовершенствования V0.21'!A3" ref="H168"/>
    <hyperlink display="Эльфийская сталь" location="'Усовершенствования V0.21'!A4" ref="H169"/>
    <hyperlink display="Кристаллы забытых Титанов" location="'Усовершенствования V0.21'!A5" ref="H170"/>
    <hyperlink display="Кости мантикоры" location="'Усовершенствования V0.21'!A6" ref="H171"/>
    <hyperlink display="Осколки метеоритных звёзд" location="'Усовершенствования V0.21'!A7" ref="H172"/>
    <hyperlink display="Искажающая сталь" location="'Усовершенствования V0.21'!A8" ref="H173"/>
    <hyperlink display="Дьявольское железо" location="'Усовершенствования V0.21'!A9" ref="H174"/>
    <hyperlink display="Ночная сталь" location="'Усовершенствования V0.21'!A10" ref="H175"/>
    <hyperlink display="Радужный металл" location="'Усовершенствования V0.21'!A11" ref="H176"/>
    <hyperlink display="Коричневая сталь" location="'Усовершенствования V0.21'!A12" ref="H177"/>
    <hyperlink display="Мифрил" location="'Усовершенствования V0.21'!A14" ref="H178"/>
    <hyperlink display="Лунный металл" location="'Усовершенствования V0.21'!A15" ref="H179"/>
    <hyperlink display="Шерсть гриффона" location="'Усовершенствования V0.21'!A16" ref="H180"/>
    <hyperlink display="Корень драконьего дерева" location="'Усовершенствования V0.21'!A17" ref="H181"/>
    <hyperlink display="Освящённый адамантий" location="'Усовершенствования V0.21'!A18" ref="H182"/>
    <hyperlink display="Прах модронов" location="'Усовершенствования V0.21'!A19" ref="H183"/>
    <hyperlink display="Порошок Дрохубы" location="'Усовершенствования V0.21'!A20" ref="H184"/>
    <hyperlink display="Шёпот тьмы" location="'Усовершенствования V0.21'!A19" ref="H185"/>
    <hyperlink display="Кости тролля" location="'Усовершенствования V0.21'!A33" ref="H186"/>
    <hyperlink display="Паучья тетева" location="'Усовершенствования V0.21'!A88" ref="H187"/>
    <hyperlink display="Фейское плечо" location="'Усовершенствования V0.21'!A89" ref="H188"/>
  </hyperlink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13.25"/>
    <col customWidth="1" min="3" max="3" width="11.5"/>
    <col customWidth="1" min="4" max="5" width="18.0"/>
    <col customWidth="1" min="6" max="6" width="28.5"/>
    <col customWidth="1" min="7" max="7" width="27.38"/>
    <col customWidth="1" min="8" max="8" width="31.25"/>
  </cols>
  <sheetData>
    <row r="1">
      <c r="A1" s="583" t="s">
        <v>167</v>
      </c>
      <c r="B1" s="551" t="s">
        <v>2651</v>
      </c>
      <c r="C1" s="551" t="s">
        <v>2652</v>
      </c>
      <c r="D1" s="552" t="s">
        <v>2653</v>
      </c>
      <c r="E1" s="200"/>
      <c r="F1" s="200"/>
      <c r="G1" s="200"/>
      <c r="H1" s="201"/>
    </row>
    <row r="2">
      <c r="A2" s="553"/>
      <c r="B2" s="553"/>
      <c r="C2" s="553"/>
      <c r="D2" s="554" t="s">
        <v>2654</v>
      </c>
      <c r="E2" s="554" t="s">
        <v>2651</v>
      </c>
      <c r="F2" s="554" t="s">
        <v>1745</v>
      </c>
      <c r="G2" s="554" t="s">
        <v>1745</v>
      </c>
      <c r="H2" s="554" t="s">
        <v>1745</v>
      </c>
    </row>
    <row r="3">
      <c r="A3" s="584" t="s">
        <v>1522</v>
      </c>
      <c r="B3" s="361" t="s">
        <v>2655</v>
      </c>
      <c r="C3" s="361">
        <v>3.0</v>
      </c>
      <c r="D3" s="361" t="s">
        <v>2656</v>
      </c>
      <c r="E3" s="361"/>
      <c r="F3" s="361" t="s">
        <v>1573</v>
      </c>
      <c r="G3" s="361" t="s">
        <v>1526</v>
      </c>
      <c r="H3" s="361" t="s">
        <v>2073</v>
      </c>
    </row>
    <row r="4">
      <c r="A4" s="585" t="s">
        <v>2657</v>
      </c>
      <c r="B4" s="366" t="s">
        <v>2658</v>
      </c>
      <c r="C4" s="366">
        <v>1.0</v>
      </c>
      <c r="D4" s="559"/>
      <c r="E4" s="366"/>
      <c r="F4" s="366" t="s">
        <v>1980</v>
      </c>
      <c r="G4" s="366" t="s">
        <v>2073</v>
      </c>
      <c r="H4" s="366" t="s">
        <v>1646</v>
      </c>
    </row>
    <row r="5">
      <c r="A5" s="584" t="s">
        <v>2659</v>
      </c>
      <c r="B5" s="361" t="s">
        <v>2658</v>
      </c>
      <c r="C5" s="361">
        <v>1.0</v>
      </c>
      <c r="D5" s="561"/>
      <c r="E5" s="361"/>
      <c r="F5" s="361" t="s">
        <v>2086</v>
      </c>
      <c r="G5" s="361" t="s">
        <v>2083</v>
      </c>
      <c r="H5" s="361" t="s">
        <v>1635</v>
      </c>
    </row>
    <row r="6">
      <c r="A6" s="585" t="s">
        <v>2660</v>
      </c>
      <c r="B6" s="366" t="s">
        <v>2658</v>
      </c>
      <c r="C6" s="366">
        <v>1.0</v>
      </c>
      <c r="D6" s="559"/>
      <c r="E6" s="366"/>
      <c r="F6" s="366" t="s">
        <v>1649</v>
      </c>
      <c r="G6" s="366" t="s">
        <v>1642</v>
      </c>
      <c r="H6" s="366" t="s">
        <v>2136</v>
      </c>
    </row>
    <row r="7">
      <c r="A7" s="584" t="s">
        <v>2661</v>
      </c>
      <c r="B7" s="361" t="s">
        <v>2658</v>
      </c>
      <c r="C7" s="361">
        <v>1.0</v>
      </c>
      <c r="D7" s="561"/>
      <c r="E7" s="361"/>
      <c r="F7" s="361" t="s">
        <v>2059</v>
      </c>
      <c r="G7" s="361" t="s">
        <v>2065</v>
      </c>
      <c r="H7" s="361" t="s">
        <v>2086</v>
      </c>
    </row>
    <row r="8">
      <c r="A8" s="585" t="s">
        <v>2662</v>
      </c>
      <c r="B8" s="366" t="s">
        <v>2658</v>
      </c>
      <c r="C8" s="366">
        <v>1.0</v>
      </c>
      <c r="D8" s="559"/>
      <c r="E8" s="366"/>
      <c r="F8" s="366" t="s">
        <v>1659</v>
      </c>
      <c r="G8" s="366" t="s">
        <v>2663</v>
      </c>
      <c r="H8" s="366" t="s">
        <v>1646</v>
      </c>
    </row>
    <row r="9">
      <c r="A9" s="584" t="s">
        <v>2664</v>
      </c>
      <c r="B9" s="361" t="s">
        <v>2658</v>
      </c>
      <c r="C9" s="361">
        <v>1.0</v>
      </c>
      <c r="D9" s="561"/>
      <c r="E9" s="361"/>
      <c r="F9" s="361" t="s">
        <v>2073</v>
      </c>
      <c r="G9" s="361" t="s">
        <v>1526</v>
      </c>
      <c r="H9" s="361" t="s">
        <v>2083</v>
      </c>
    </row>
    <row r="10">
      <c r="A10" s="585" t="s">
        <v>2665</v>
      </c>
      <c r="B10" s="366" t="s">
        <v>2658</v>
      </c>
      <c r="C10" s="366">
        <v>1.0</v>
      </c>
      <c r="D10" s="559"/>
      <c r="E10" s="366"/>
      <c r="F10" s="366" t="s">
        <v>1659</v>
      </c>
      <c r="G10" s="366" t="s">
        <v>1538</v>
      </c>
      <c r="H10" s="366" t="s">
        <v>1646</v>
      </c>
    </row>
    <row r="11">
      <c r="A11" s="584" t="s">
        <v>2666</v>
      </c>
      <c r="B11" s="361" t="s">
        <v>2658</v>
      </c>
      <c r="C11" s="361">
        <v>1.0</v>
      </c>
      <c r="D11" s="561"/>
      <c r="E11" s="361"/>
      <c r="F11" s="361" t="s">
        <v>1649</v>
      </c>
      <c r="G11" s="361" t="s">
        <v>1526</v>
      </c>
      <c r="H11" s="361" t="s">
        <v>1650</v>
      </c>
    </row>
    <row r="12">
      <c r="A12" s="585" t="s">
        <v>2667</v>
      </c>
      <c r="B12" s="366" t="s">
        <v>2658</v>
      </c>
      <c r="C12" s="366">
        <v>1.0</v>
      </c>
      <c r="D12" s="559"/>
      <c r="E12" s="366"/>
      <c r="F12" s="366" t="s">
        <v>1649</v>
      </c>
      <c r="G12" s="366" t="s">
        <v>1642</v>
      </c>
      <c r="H12" s="366" t="s">
        <v>2073</v>
      </c>
    </row>
    <row r="13">
      <c r="A13" s="584" t="s">
        <v>2668</v>
      </c>
      <c r="B13" s="361" t="s">
        <v>2658</v>
      </c>
      <c r="C13" s="361">
        <v>1.0</v>
      </c>
      <c r="D13" s="561"/>
      <c r="E13" s="361"/>
      <c r="F13" s="361" t="s">
        <v>2136</v>
      </c>
      <c r="G13" s="361" t="s">
        <v>1532</v>
      </c>
      <c r="H13" s="361" t="s">
        <v>1670</v>
      </c>
    </row>
    <row r="14">
      <c r="A14" s="585" t="s">
        <v>2669</v>
      </c>
      <c r="B14" s="366" t="s">
        <v>2658</v>
      </c>
      <c r="C14" s="366">
        <v>1.0</v>
      </c>
      <c r="D14" s="559"/>
      <c r="E14" s="366"/>
      <c r="F14" s="366" t="s">
        <v>1649</v>
      </c>
      <c r="G14" s="366" t="s">
        <v>1642</v>
      </c>
      <c r="H14" s="366" t="s">
        <v>1650</v>
      </c>
    </row>
    <row r="15">
      <c r="A15" s="584" t="s">
        <v>2670</v>
      </c>
      <c r="B15" s="361" t="s">
        <v>2658</v>
      </c>
      <c r="C15" s="361">
        <v>1.0</v>
      </c>
      <c r="D15" s="561"/>
      <c r="E15" s="361"/>
      <c r="F15" s="361" t="s">
        <v>1532</v>
      </c>
      <c r="G15" s="361" t="s">
        <v>1526</v>
      </c>
      <c r="H15" s="361" t="s">
        <v>1975</v>
      </c>
    </row>
    <row r="16">
      <c r="A16" s="585" t="s">
        <v>2671</v>
      </c>
      <c r="B16" s="366" t="s">
        <v>2658</v>
      </c>
      <c r="C16" s="366">
        <v>1.0</v>
      </c>
      <c r="D16" s="559"/>
      <c r="E16" s="366"/>
      <c r="F16" s="366" t="s">
        <v>1526</v>
      </c>
      <c r="G16" s="366" t="s">
        <v>2073</v>
      </c>
      <c r="H16" s="366" t="s">
        <v>1523</v>
      </c>
    </row>
    <row r="17">
      <c r="A17" s="584" t="s">
        <v>2672</v>
      </c>
      <c r="B17" s="361" t="s">
        <v>2658</v>
      </c>
      <c r="C17" s="361">
        <v>1.0</v>
      </c>
      <c r="D17" s="561"/>
      <c r="E17" s="361"/>
      <c r="F17" s="361" t="s">
        <v>1670</v>
      </c>
      <c r="G17" s="361" t="s">
        <v>1523</v>
      </c>
      <c r="H17" s="361" t="s">
        <v>1635</v>
      </c>
    </row>
    <row r="18">
      <c r="A18" s="585" t="s">
        <v>2673</v>
      </c>
      <c r="B18" s="366" t="s">
        <v>2658</v>
      </c>
      <c r="C18" s="366">
        <v>1.0</v>
      </c>
      <c r="D18" s="559"/>
      <c r="E18" s="366"/>
      <c r="F18" s="366" t="s">
        <v>1980</v>
      </c>
      <c r="G18" s="366" t="s">
        <v>1526</v>
      </c>
      <c r="H18" s="366" t="s">
        <v>1646</v>
      </c>
    </row>
    <row r="19">
      <c r="A19" s="584" t="s">
        <v>2674</v>
      </c>
      <c r="B19" s="361" t="s">
        <v>2658</v>
      </c>
      <c r="C19" s="361">
        <v>1.0</v>
      </c>
      <c r="D19" s="561"/>
      <c r="E19" s="361"/>
      <c r="F19" s="361" t="s">
        <v>1980</v>
      </c>
      <c r="G19" s="361" t="s">
        <v>1526</v>
      </c>
      <c r="H19" s="361" t="s">
        <v>2073</v>
      </c>
    </row>
    <row r="20">
      <c r="A20" s="585" t="s">
        <v>2675</v>
      </c>
      <c r="B20" s="366" t="s">
        <v>2658</v>
      </c>
      <c r="C20" s="366">
        <v>1.0</v>
      </c>
      <c r="D20" s="559"/>
      <c r="E20" s="366"/>
      <c r="F20" s="366" t="s">
        <v>2663</v>
      </c>
      <c r="G20" s="366" t="s">
        <v>2676</v>
      </c>
      <c r="H20" s="366" t="s">
        <v>2073</v>
      </c>
    </row>
    <row r="21">
      <c r="A21" s="584" t="s">
        <v>2677</v>
      </c>
      <c r="B21" s="361" t="s">
        <v>2658</v>
      </c>
      <c r="C21" s="361">
        <v>1.0</v>
      </c>
      <c r="D21" s="561"/>
      <c r="E21" s="361"/>
      <c r="F21" s="361" t="s">
        <v>1528</v>
      </c>
      <c r="G21" s="361" t="s">
        <v>1526</v>
      </c>
      <c r="H21" s="361" t="s">
        <v>1980</v>
      </c>
    </row>
    <row r="22">
      <c r="A22" s="585" t="s">
        <v>2678</v>
      </c>
      <c r="B22" s="366" t="s">
        <v>2658</v>
      </c>
      <c r="C22" s="366">
        <v>1.0</v>
      </c>
      <c r="D22" s="559"/>
      <c r="E22" s="366"/>
      <c r="F22" s="366" t="s">
        <v>1649</v>
      </c>
      <c r="G22" s="366" t="s">
        <v>1538</v>
      </c>
      <c r="H22" s="366" t="s">
        <v>2073</v>
      </c>
    </row>
    <row r="23">
      <c r="A23" s="584" t="s">
        <v>2679</v>
      </c>
      <c r="B23" s="361" t="s">
        <v>2658</v>
      </c>
      <c r="C23" s="361">
        <v>2.0</v>
      </c>
      <c r="D23" s="561"/>
      <c r="E23" s="561"/>
      <c r="F23" s="361" t="s">
        <v>1659</v>
      </c>
      <c r="G23" s="361" t="s">
        <v>2113</v>
      </c>
      <c r="H23" s="361" t="s">
        <v>1538</v>
      </c>
    </row>
    <row r="24">
      <c r="A24" s="585" t="s">
        <v>2680</v>
      </c>
      <c r="B24" s="366" t="s">
        <v>2658</v>
      </c>
      <c r="C24" s="366">
        <v>2.0</v>
      </c>
      <c r="D24" s="559"/>
      <c r="E24" s="559"/>
      <c r="F24" s="366" t="s">
        <v>1640</v>
      </c>
      <c r="G24" s="366" t="s">
        <v>1526</v>
      </c>
      <c r="H24" s="366" t="s">
        <v>2073</v>
      </c>
    </row>
    <row r="25">
      <c r="A25" s="584" t="s">
        <v>2681</v>
      </c>
      <c r="B25" s="361" t="s">
        <v>2658</v>
      </c>
      <c r="C25" s="361">
        <v>2.0</v>
      </c>
      <c r="D25" s="561"/>
      <c r="E25" s="561"/>
      <c r="F25" s="361" t="s">
        <v>1538</v>
      </c>
      <c r="G25" s="361" t="s">
        <v>1526</v>
      </c>
      <c r="H25" s="361" t="s">
        <v>2682</v>
      </c>
    </row>
    <row r="26">
      <c r="A26" s="585" t="s">
        <v>2683</v>
      </c>
      <c r="B26" s="366" t="s">
        <v>2658</v>
      </c>
      <c r="C26" s="366">
        <v>2.0</v>
      </c>
      <c r="D26" s="559"/>
      <c r="E26" s="559"/>
      <c r="F26" s="366" t="s">
        <v>1640</v>
      </c>
      <c r="G26" s="366" t="s">
        <v>1526</v>
      </c>
      <c r="H26" s="366" t="s">
        <v>1528</v>
      </c>
    </row>
    <row r="27">
      <c r="A27" s="584" t="s">
        <v>2684</v>
      </c>
      <c r="B27" s="361" t="s">
        <v>2658</v>
      </c>
      <c r="C27" s="361">
        <v>2.0</v>
      </c>
      <c r="D27" s="561"/>
      <c r="E27" s="561"/>
      <c r="F27" s="361" t="s">
        <v>1670</v>
      </c>
      <c r="G27" s="361" t="s">
        <v>1532</v>
      </c>
      <c r="H27" s="361" t="s">
        <v>2073</v>
      </c>
    </row>
    <row r="28">
      <c r="A28" s="585" t="s">
        <v>2685</v>
      </c>
      <c r="B28" s="366" t="s">
        <v>2658</v>
      </c>
      <c r="C28" s="366">
        <v>2.0</v>
      </c>
      <c r="D28" s="559"/>
      <c r="E28" s="559"/>
      <c r="F28" s="366" t="s">
        <v>1526</v>
      </c>
      <c r="G28" s="366" t="s">
        <v>2073</v>
      </c>
      <c r="H28" s="366" t="s">
        <v>2059</v>
      </c>
    </row>
    <row r="29">
      <c r="A29" s="584" t="s">
        <v>2686</v>
      </c>
      <c r="B29" s="361" t="s">
        <v>2658</v>
      </c>
      <c r="C29" s="361">
        <v>2.0</v>
      </c>
      <c r="D29" s="561"/>
      <c r="E29" s="561"/>
      <c r="F29" s="361" t="s">
        <v>1649</v>
      </c>
      <c r="G29" s="361" t="s">
        <v>2687</v>
      </c>
      <c r="H29" s="361" t="s">
        <v>2136</v>
      </c>
    </row>
    <row r="30">
      <c r="A30" s="585" t="s">
        <v>2688</v>
      </c>
      <c r="B30" s="366" t="s">
        <v>2658</v>
      </c>
      <c r="C30" s="366">
        <v>2.0</v>
      </c>
      <c r="D30" s="559"/>
      <c r="E30" s="559"/>
      <c r="F30" s="366" t="s">
        <v>2076</v>
      </c>
      <c r="G30" s="366" t="s">
        <v>1657</v>
      </c>
      <c r="H30" s="366" t="s">
        <v>2059</v>
      </c>
    </row>
    <row r="31">
      <c r="A31" s="584" t="s">
        <v>2689</v>
      </c>
      <c r="B31" s="361" t="s">
        <v>2658</v>
      </c>
      <c r="C31" s="361">
        <v>2.0</v>
      </c>
      <c r="D31" s="561"/>
      <c r="E31" s="561"/>
      <c r="F31" s="361" t="s">
        <v>1980</v>
      </c>
      <c r="G31" s="361" t="s">
        <v>1526</v>
      </c>
      <c r="H31" s="361" t="s">
        <v>2113</v>
      </c>
    </row>
    <row r="32">
      <c r="A32" s="585" t="s">
        <v>2690</v>
      </c>
      <c r="B32" s="366" t="s">
        <v>2658</v>
      </c>
      <c r="C32" s="366">
        <v>2.0</v>
      </c>
      <c r="D32" s="559"/>
      <c r="E32" s="559"/>
      <c r="F32" s="366" t="s">
        <v>2073</v>
      </c>
      <c r="G32" s="366" t="s">
        <v>2083</v>
      </c>
      <c r="H32" s="366" t="s">
        <v>1526</v>
      </c>
    </row>
    <row r="33">
      <c r="A33" s="584" t="s">
        <v>2691</v>
      </c>
      <c r="B33" s="361" t="s">
        <v>2658</v>
      </c>
      <c r="C33" s="361">
        <v>2.0</v>
      </c>
      <c r="D33" s="561"/>
      <c r="E33" s="561"/>
      <c r="F33" s="361" t="s">
        <v>1670</v>
      </c>
      <c r="G33" s="361" t="s">
        <v>2259</v>
      </c>
      <c r="H33" s="361" t="s">
        <v>2073</v>
      </c>
    </row>
    <row r="34">
      <c r="A34" s="585" t="s">
        <v>2692</v>
      </c>
      <c r="B34" s="366" t="s">
        <v>2658</v>
      </c>
      <c r="C34" s="366">
        <v>2.0</v>
      </c>
      <c r="D34" s="559"/>
      <c r="E34" s="559"/>
      <c r="F34" s="366" t="s">
        <v>1975</v>
      </c>
      <c r="G34" s="366" t="s">
        <v>1523</v>
      </c>
      <c r="H34" s="366" t="s">
        <v>2059</v>
      </c>
    </row>
    <row r="35">
      <c r="A35" s="584" t="s">
        <v>2693</v>
      </c>
      <c r="B35" s="361" t="s">
        <v>2658</v>
      </c>
      <c r="C35" s="361">
        <v>2.0</v>
      </c>
      <c r="D35" s="561"/>
      <c r="E35" s="561"/>
      <c r="F35" s="361" t="s">
        <v>2663</v>
      </c>
      <c r="G35" s="361" t="s">
        <v>2073</v>
      </c>
      <c r="H35" s="361" t="s">
        <v>2136</v>
      </c>
    </row>
    <row r="36">
      <c r="A36" s="585" t="s">
        <v>2694</v>
      </c>
      <c r="B36" s="366" t="s">
        <v>2658</v>
      </c>
      <c r="C36" s="366">
        <v>2.0</v>
      </c>
      <c r="D36" s="559"/>
      <c r="E36" s="559"/>
      <c r="F36" s="366" t="s">
        <v>1649</v>
      </c>
      <c r="G36" s="366" t="s">
        <v>1538</v>
      </c>
      <c r="H36" s="366" t="s">
        <v>1670</v>
      </c>
    </row>
    <row r="37">
      <c r="A37" s="584" t="s">
        <v>2695</v>
      </c>
      <c r="B37" s="361" t="s">
        <v>2658</v>
      </c>
      <c r="C37" s="361">
        <v>2.0</v>
      </c>
      <c r="D37" s="561"/>
      <c r="E37" s="561"/>
      <c r="F37" s="361" t="s">
        <v>2073</v>
      </c>
      <c r="G37" s="361" t="s">
        <v>2083</v>
      </c>
      <c r="H37" s="361" t="s">
        <v>1528</v>
      </c>
    </row>
    <row r="38">
      <c r="A38" s="585" t="s">
        <v>2696</v>
      </c>
      <c r="B38" s="366" t="s">
        <v>2658</v>
      </c>
      <c r="C38" s="366">
        <v>2.0</v>
      </c>
      <c r="D38" s="559"/>
      <c r="E38" s="559"/>
      <c r="F38" s="366" t="s">
        <v>1532</v>
      </c>
      <c r="G38" s="366" t="s">
        <v>2113</v>
      </c>
      <c r="H38" s="366" t="s">
        <v>2136</v>
      </c>
    </row>
    <row r="39">
      <c r="A39" s="584" t="s">
        <v>2697</v>
      </c>
      <c r="B39" s="361" t="s">
        <v>2658</v>
      </c>
      <c r="C39" s="361">
        <v>2.0</v>
      </c>
      <c r="D39" s="561"/>
      <c r="E39" s="561"/>
      <c r="F39" s="361" t="s">
        <v>2136</v>
      </c>
      <c r="G39" s="361" t="s">
        <v>1649</v>
      </c>
      <c r="H39" s="361" t="s">
        <v>2083</v>
      </c>
    </row>
    <row r="40">
      <c r="A40" s="585" t="s">
        <v>2698</v>
      </c>
      <c r="B40" s="366" t="s">
        <v>2658</v>
      </c>
      <c r="C40" s="366">
        <v>3.0</v>
      </c>
      <c r="D40" s="559"/>
      <c r="E40" s="559"/>
      <c r="F40" s="366" t="s">
        <v>1528</v>
      </c>
      <c r="G40" s="366" t="s">
        <v>1642</v>
      </c>
      <c r="H40" s="366" t="s">
        <v>2113</v>
      </c>
    </row>
    <row r="41">
      <c r="A41" s="584" t="s">
        <v>2699</v>
      </c>
      <c r="B41" s="361" t="s">
        <v>2658</v>
      </c>
      <c r="C41" s="361">
        <v>3.0</v>
      </c>
      <c r="D41" s="561"/>
      <c r="E41" s="561"/>
      <c r="F41" s="361" t="s">
        <v>1665</v>
      </c>
      <c r="G41" s="361" t="s">
        <v>1646</v>
      </c>
      <c r="H41" s="361" t="s">
        <v>1500</v>
      </c>
    </row>
    <row r="42">
      <c r="A42" s="585" t="s">
        <v>2700</v>
      </c>
      <c r="B42" s="366" t="s">
        <v>2658</v>
      </c>
      <c r="C42" s="366">
        <v>3.0</v>
      </c>
      <c r="D42" s="559"/>
      <c r="E42" s="559"/>
      <c r="F42" s="366" t="s">
        <v>1538</v>
      </c>
      <c r="G42" s="366" t="s">
        <v>1649</v>
      </c>
      <c r="H42" s="366" t="s">
        <v>1500</v>
      </c>
    </row>
    <row r="43">
      <c r="A43" s="584" t="s">
        <v>2701</v>
      </c>
      <c r="B43" s="361" t="s">
        <v>2658</v>
      </c>
      <c r="C43" s="361">
        <v>3.0</v>
      </c>
      <c r="D43" s="561"/>
      <c r="E43" s="561"/>
      <c r="F43" s="361" t="s">
        <v>1642</v>
      </c>
      <c r="G43" s="361" t="s">
        <v>1528</v>
      </c>
      <c r="H43" s="361" t="s">
        <v>1500</v>
      </c>
    </row>
    <row r="44">
      <c r="A44" s="585" t="s">
        <v>2702</v>
      </c>
      <c r="B44" s="366" t="s">
        <v>2658</v>
      </c>
      <c r="C44" s="366">
        <v>3.0</v>
      </c>
      <c r="D44" s="559"/>
      <c r="E44" s="559"/>
      <c r="F44" s="366" t="s">
        <v>1536</v>
      </c>
      <c r="G44" s="366" t="s">
        <v>2113</v>
      </c>
      <c r="H44" s="366" t="s">
        <v>1646</v>
      </c>
    </row>
    <row r="45">
      <c r="A45" s="584" t="s">
        <v>2703</v>
      </c>
      <c r="B45" s="361" t="s">
        <v>2658</v>
      </c>
      <c r="C45" s="361">
        <v>3.0</v>
      </c>
      <c r="D45" s="561"/>
      <c r="E45" s="561"/>
      <c r="F45" s="361" t="s">
        <v>1538</v>
      </c>
      <c r="G45" s="361" t="s">
        <v>2109</v>
      </c>
      <c r="H45" s="361" t="s">
        <v>1526</v>
      </c>
    </row>
    <row r="46">
      <c r="A46" s="585" t="s">
        <v>2704</v>
      </c>
      <c r="B46" s="366" t="s">
        <v>2658</v>
      </c>
      <c r="C46" s="366">
        <v>3.0</v>
      </c>
      <c r="D46" s="559"/>
      <c r="E46" s="559"/>
      <c r="F46" s="366" t="s">
        <v>1646</v>
      </c>
      <c r="G46" s="366" t="s">
        <v>1528</v>
      </c>
      <c r="H46" s="366" t="s">
        <v>1650</v>
      </c>
    </row>
    <row r="47">
      <c r="A47" s="584" t="s">
        <v>2705</v>
      </c>
      <c r="B47" s="361" t="s">
        <v>2658</v>
      </c>
      <c r="C47" s="361">
        <v>3.0</v>
      </c>
      <c r="D47" s="561"/>
      <c r="E47" s="561"/>
      <c r="F47" s="361" t="s">
        <v>1526</v>
      </c>
      <c r="G47" s="361" t="s">
        <v>1650</v>
      </c>
      <c r="H47" s="361" t="s">
        <v>1536</v>
      </c>
    </row>
    <row r="48">
      <c r="A48" s="585" t="s">
        <v>2706</v>
      </c>
      <c r="B48" s="366" t="s">
        <v>2658</v>
      </c>
      <c r="C48" s="366">
        <v>3.0</v>
      </c>
      <c r="D48" s="559"/>
      <c r="E48" s="559"/>
      <c r="F48" s="366" t="s">
        <v>1659</v>
      </c>
      <c r="G48" s="366" t="s">
        <v>1656</v>
      </c>
      <c r="H48" s="366" t="s">
        <v>2131</v>
      </c>
    </row>
    <row r="49">
      <c r="A49" s="584" t="s">
        <v>2707</v>
      </c>
      <c r="B49" s="361" t="s">
        <v>2658</v>
      </c>
      <c r="C49" s="361">
        <v>3.0</v>
      </c>
      <c r="D49" s="561"/>
      <c r="E49" s="561"/>
      <c r="F49" s="361" t="s">
        <v>1532</v>
      </c>
      <c r="G49" s="361" t="s">
        <v>1652</v>
      </c>
      <c r="H49" s="361" t="s">
        <v>1649</v>
      </c>
    </row>
    <row r="50">
      <c r="A50" s="585" t="s">
        <v>2708</v>
      </c>
      <c r="B50" s="366" t="s">
        <v>2658</v>
      </c>
      <c r="C50" s="366">
        <v>3.0</v>
      </c>
      <c r="D50" s="559"/>
      <c r="E50" s="559"/>
      <c r="F50" s="366" t="s">
        <v>1650</v>
      </c>
      <c r="G50" s="366" t="s">
        <v>2134</v>
      </c>
      <c r="H50" s="366" t="s">
        <v>1538</v>
      </c>
    </row>
    <row r="51">
      <c r="A51" s="584" t="s">
        <v>2709</v>
      </c>
      <c r="B51" s="361" t="s">
        <v>2658</v>
      </c>
      <c r="C51" s="361">
        <v>3.0</v>
      </c>
      <c r="D51" s="561"/>
      <c r="E51" s="561"/>
      <c r="F51" s="361" t="s">
        <v>1650</v>
      </c>
      <c r="G51" s="361" t="s">
        <v>1640</v>
      </c>
      <c r="H51" s="361" t="s">
        <v>1536</v>
      </c>
    </row>
    <row r="52">
      <c r="A52" s="585" t="s">
        <v>2710</v>
      </c>
      <c r="B52" s="366" t="s">
        <v>2658</v>
      </c>
      <c r="C52" s="366">
        <v>3.0</v>
      </c>
      <c r="D52" s="559"/>
      <c r="E52" s="559"/>
      <c r="F52" s="366" t="s">
        <v>2109</v>
      </c>
      <c r="G52" s="366" t="s">
        <v>2113</v>
      </c>
      <c r="H52" s="366" t="s">
        <v>2134</v>
      </c>
    </row>
    <row r="53">
      <c r="A53" s="584" t="s">
        <v>2711</v>
      </c>
      <c r="B53" s="361" t="s">
        <v>2658</v>
      </c>
      <c r="C53" s="361">
        <v>3.0</v>
      </c>
      <c r="D53" s="561"/>
      <c r="E53" s="561"/>
      <c r="F53" s="361" t="s">
        <v>1637</v>
      </c>
      <c r="G53" s="361" t="s">
        <v>1536</v>
      </c>
      <c r="H53" s="361" t="s">
        <v>1649</v>
      </c>
    </row>
    <row r="54">
      <c r="A54" s="585" t="s">
        <v>2712</v>
      </c>
      <c r="B54" s="366" t="s">
        <v>2658</v>
      </c>
      <c r="C54" s="366">
        <v>4.0</v>
      </c>
      <c r="D54" s="559"/>
      <c r="E54" s="559"/>
      <c r="F54" s="366" t="s">
        <v>2136</v>
      </c>
      <c r="G54" s="366" t="s">
        <v>1528</v>
      </c>
      <c r="H54" s="366" t="s">
        <v>1665</v>
      </c>
    </row>
    <row r="55">
      <c r="A55" s="584" t="s">
        <v>2713</v>
      </c>
      <c r="B55" s="361" t="s">
        <v>2658</v>
      </c>
      <c r="C55" s="361">
        <v>4.0</v>
      </c>
      <c r="D55" s="561"/>
      <c r="E55" s="561"/>
      <c r="F55" s="361" t="s">
        <v>2109</v>
      </c>
      <c r="G55" s="361" t="s">
        <v>1679</v>
      </c>
      <c r="H55" s="361" t="s">
        <v>2134</v>
      </c>
    </row>
    <row r="56">
      <c r="A56" s="585" t="s">
        <v>2714</v>
      </c>
      <c r="B56" s="366" t="s">
        <v>2658</v>
      </c>
      <c r="C56" s="366">
        <v>4.0</v>
      </c>
      <c r="D56" s="559"/>
      <c r="E56" s="559"/>
      <c r="F56" s="366" t="s">
        <v>1538</v>
      </c>
      <c r="G56" s="366" t="s">
        <v>1681</v>
      </c>
      <c r="H56" s="366" t="s">
        <v>1573</v>
      </c>
    </row>
    <row r="57">
      <c r="A57" s="584" t="s">
        <v>2715</v>
      </c>
      <c r="B57" s="361" t="s">
        <v>2658</v>
      </c>
      <c r="C57" s="361">
        <v>4.0</v>
      </c>
      <c r="D57" s="561"/>
      <c r="E57" s="561"/>
      <c r="F57" s="361" t="s">
        <v>1637</v>
      </c>
      <c r="G57" s="361" t="s">
        <v>1659</v>
      </c>
      <c r="H57" s="361" t="s">
        <v>1646</v>
      </c>
    </row>
    <row r="58">
      <c r="A58" s="585" t="s">
        <v>2716</v>
      </c>
      <c r="B58" s="366" t="s">
        <v>2658</v>
      </c>
      <c r="C58" s="366">
        <v>4.0</v>
      </c>
      <c r="D58" s="559"/>
      <c r="E58" s="559"/>
      <c r="F58" s="366" t="s">
        <v>2136</v>
      </c>
      <c r="G58" s="366" t="s">
        <v>2109</v>
      </c>
      <c r="H58" s="366" t="s">
        <v>1573</v>
      </c>
    </row>
    <row r="59">
      <c r="A59" s="584" t="s">
        <v>2717</v>
      </c>
      <c r="B59" s="361" t="s">
        <v>2658</v>
      </c>
      <c r="C59" s="361">
        <v>4.0</v>
      </c>
      <c r="D59" s="561"/>
      <c r="E59" s="561"/>
      <c r="F59" s="361" t="s">
        <v>1657</v>
      </c>
      <c r="G59" s="361" t="s">
        <v>1573</v>
      </c>
      <c r="H59" s="361" t="s">
        <v>1646</v>
      </c>
    </row>
    <row r="60">
      <c r="A60" s="585" t="s">
        <v>2718</v>
      </c>
      <c r="B60" s="366" t="s">
        <v>2658</v>
      </c>
      <c r="C60" s="366">
        <v>5.0</v>
      </c>
      <c r="D60" s="559"/>
      <c r="E60" s="559"/>
      <c r="F60" s="366" t="s">
        <v>2176</v>
      </c>
      <c r="G60" s="366" t="s">
        <v>2131</v>
      </c>
      <c r="H60" s="366" t="s">
        <v>2166</v>
      </c>
    </row>
    <row r="61">
      <c r="A61" s="584" t="s">
        <v>2719</v>
      </c>
      <c r="B61" s="361" t="s">
        <v>2658</v>
      </c>
      <c r="C61" s="361">
        <v>5.0</v>
      </c>
      <c r="D61" s="561"/>
      <c r="E61" s="561"/>
      <c r="F61" s="361" t="s">
        <v>1861</v>
      </c>
      <c r="G61" s="361" t="s">
        <v>1534</v>
      </c>
      <c r="H61" s="361" t="s">
        <v>2113</v>
      </c>
    </row>
    <row r="62">
      <c r="A62" s="585" t="s">
        <v>2720</v>
      </c>
      <c r="B62" s="366" t="s">
        <v>2658</v>
      </c>
      <c r="C62" s="366">
        <v>5.0</v>
      </c>
      <c r="D62" s="559"/>
      <c r="E62" s="559"/>
      <c r="F62" s="366" t="s">
        <v>2136</v>
      </c>
      <c r="G62" s="366" t="s">
        <v>1699</v>
      </c>
      <c r="H62" s="366" t="s">
        <v>2199</v>
      </c>
    </row>
    <row r="63">
      <c r="A63" s="584" t="s">
        <v>2721</v>
      </c>
      <c r="B63" s="361" t="s">
        <v>2658</v>
      </c>
      <c r="C63" s="361">
        <v>5.0</v>
      </c>
      <c r="D63" s="561"/>
      <c r="E63" s="561"/>
      <c r="F63" s="361" t="s">
        <v>1534</v>
      </c>
      <c r="G63" s="361" t="s">
        <v>1699</v>
      </c>
      <c r="H63" s="361" t="s">
        <v>1861</v>
      </c>
    </row>
    <row r="64">
      <c r="A64" s="585" t="s">
        <v>2722</v>
      </c>
      <c r="B64" s="366" t="s">
        <v>2658</v>
      </c>
      <c r="C64" s="366">
        <v>6.0</v>
      </c>
      <c r="D64" s="559"/>
      <c r="E64" s="559"/>
      <c r="F64" s="366" t="s">
        <v>1659</v>
      </c>
      <c r="G64" s="366" t="s">
        <v>1861</v>
      </c>
      <c r="H64" s="366" t="s">
        <v>1538</v>
      </c>
    </row>
    <row r="65">
      <c r="A65" s="584" t="s">
        <v>2723</v>
      </c>
      <c r="B65" s="361" t="s">
        <v>2658</v>
      </c>
      <c r="C65" s="361">
        <v>6.0</v>
      </c>
      <c r="D65" s="561"/>
      <c r="E65" s="561"/>
      <c r="F65" s="361" t="s">
        <v>1526</v>
      </c>
      <c r="G65" s="361" t="s">
        <v>2184</v>
      </c>
      <c r="H65" s="361" t="s">
        <v>1528</v>
      </c>
    </row>
    <row r="66">
      <c r="A66" s="585" t="s">
        <v>2724</v>
      </c>
      <c r="B66" s="366" t="s">
        <v>2658</v>
      </c>
      <c r="C66" s="366">
        <v>6.0</v>
      </c>
      <c r="D66" s="559"/>
      <c r="E66" s="559"/>
      <c r="F66" s="366" t="s">
        <v>2166</v>
      </c>
      <c r="G66" s="366" t="s">
        <v>1540</v>
      </c>
      <c r="H66" s="366" t="s">
        <v>1980</v>
      </c>
    </row>
    <row r="67">
      <c r="A67" s="584" t="s">
        <v>2725</v>
      </c>
      <c r="B67" s="361" t="s">
        <v>2658</v>
      </c>
      <c r="C67" s="361">
        <v>6.0</v>
      </c>
      <c r="D67" s="561"/>
      <c r="E67" s="561"/>
      <c r="F67" s="361" t="s">
        <v>1573</v>
      </c>
      <c r="G67" s="361" t="s">
        <v>2070</v>
      </c>
      <c r="H67" s="361" t="s">
        <v>1630</v>
      </c>
    </row>
    <row r="68">
      <c r="A68" s="585" t="s">
        <v>2726</v>
      </c>
      <c r="B68" s="366" t="s">
        <v>2658</v>
      </c>
      <c r="C68" s="366">
        <v>6.0</v>
      </c>
      <c r="D68" s="559"/>
      <c r="E68" s="559"/>
      <c r="F68" s="366" t="s">
        <v>1528</v>
      </c>
      <c r="G68" s="366" t="s">
        <v>1687</v>
      </c>
      <c r="H68" s="366" t="s">
        <v>2203</v>
      </c>
    </row>
    <row r="69">
      <c r="A69" s="584" t="s">
        <v>2727</v>
      </c>
      <c r="B69" s="361" t="s">
        <v>2658</v>
      </c>
      <c r="C69" s="361">
        <v>6.0</v>
      </c>
      <c r="D69" s="561"/>
      <c r="E69" s="561"/>
      <c r="F69" s="361" t="s">
        <v>1679</v>
      </c>
      <c r="G69" s="361" t="s">
        <v>1532</v>
      </c>
      <c r="H69" s="361" t="s">
        <v>1693</v>
      </c>
    </row>
    <row r="70">
      <c r="A70" s="585" t="s">
        <v>2728</v>
      </c>
      <c r="B70" s="366" t="s">
        <v>2658</v>
      </c>
      <c r="C70" s="366">
        <v>6.0</v>
      </c>
      <c r="D70" s="559"/>
      <c r="E70" s="559"/>
      <c r="F70" s="366" t="s">
        <v>1500</v>
      </c>
      <c r="G70" s="366" t="s">
        <v>1573</v>
      </c>
      <c r="H70" s="366" t="s">
        <v>1650</v>
      </c>
    </row>
    <row r="71">
      <c r="A71" s="584" t="s">
        <v>2729</v>
      </c>
      <c r="B71" s="361" t="s">
        <v>2658</v>
      </c>
      <c r="C71" s="361">
        <v>6.0</v>
      </c>
      <c r="D71" s="561"/>
      <c r="E71" s="561"/>
      <c r="F71" s="361" t="s">
        <v>1659</v>
      </c>
      <c r="G71" s="361" t="s">
        <v>1670</v>
      </c>
      <c r="H71" s="361" t="s">
        <v>2166</v>
      </c>
    </row>
    <row r="72">
      <c r="A72" s="585" t="s">
        <v>2730</v>
      </c>
      <c r="B72" s="366" t="s">
        <v>2658</v>
      </c>
      <c r="C72" s="366">
        <v>6.0</v>
      </c>
      <c r="D72" s="559"/>
      <c r="E72" s="559"/>
      <c r="F72" s="366" t="s">
        <v>2113</v>
      </c>
      <c r="G72" s="366" t="s">
        <v>1526</v>
      </c>
      <c r="H72" s="366" t="s">
        <v>1679</v>
      </c>
    </row>
    <row r="73">
      <c r="A73" s="584" t="s">
        <v>2731</v>
      </c>
      <c r="B73" s="361" t="s">
        <v>2658</v>
      </c>
      <c r="C73" s="361">
        <v>6.0</v>
      </c>
      <c r="D73" s="561"/>
      <c r="E73" s="561"/>
      <c r="F73" s="361" t="s">
        <v>2073</v>
      </c>
      <c r="G73" s="361" t="s">
        <v>1528</v>
      </c>
      <c r="H73" s="361" t="s">
        <v>1573</v>
      </c>
    </row>
    <row r="74">
      <c r="A74" s="585" t="s">
        <v>2732</v>
      </c>
      <c r="B74" s="366" t="s">
        <v>2658</v>
      </c>
      <c r="C74" s="366">
        <v>6.0</v>
      </c>
      <c r="D74" s="559"/>
      <c r="E74" s="559"/>
      <c r="F74" s="366" t="s">
        <v>1666</v>
      </c>
      <c r="G74" s="366" t="s">
        <v>1650</v>
      </c>
      <c r="H74" s="366" t="s">
        <v>1630</v>
      </c>
    </row>
    <row r="75">
      <c r="A75" s="584" t="s">
        <v>2733</v>
      </c>
      <c r="B75" s="361" t="s">
        <v>2658</v>
      </c>
      <c r="C75" s="361">
        <v>7.0</v>
      </c>
      <c r="D75" s="561"/>
      <c r="E75" s="561"/>
      <c r="F75" s="361" t="s">
        <v>1665</v>
      </c>
      <c r="G75" s="361" t="s">
        <v>1861</v>
      </c>
      <c r="H75" s="361" t="s">
        <v>1707</v>
      </c>
    </row>
    <row r="76">
      <c r="A76" s="585" t="s">
        <v>2734</v>
      </c>
      <c r="B76" s="366" t="s">
        <v>2658</v>
      </c>
      <c r="C76" s="366">
        <v>7.0</v>
      </c>
      <c r="D76" s="559"/>
      <c r="E76" s="559"/>
      <c r="F76" s="366" t="s">
        <v>1681</v>
      </c>
      <c r="G76" s="366" t="s">
        <v>1679</v>
      </c>
      <c r="H76" s="366" t="s">
        <v>1637</v>
      </c>
    </row>
    <row r="77">
      <c r="A77" s="584" t="s">
        <v>2735</v>
      </c>
      <c r="B77" s="361" t="s">
        <v>2658</v>
      </c>
      <c r="C77" s="361">
        <v>7.0</v>
      </c>
      <c r="D77" s="561"/>
      <c r="E77" s="561"/>
      <c r="F77" s="361" t="s">
        <v>1861</v>
      </c>
      <c r="G77" s="361" t="s">
        <v>1540</v>
      </c>
      <c r="H77" s="361" t="s">
        <v>1532</v>
      </c>
    </row>
    <row r="78">
      <c r="A78" s="585" t="s">
        <v>2736</v>
      </c>
      <c r="B78" s="366" t="s">
        <v>2658</v>
      </c>
      <c r="C78" s="366">
        <v>7.0</v>
      </c>
      <c r="D78" s="559"/>
      <c r="E78" s="559"/>
      <c r="F78" s="366" t="s">
        <v>1980</v>
      </c>
      <c r="G78" s="366" t="s">
        <v>1670</v>
      </c>
      <c r="H78" s="366" t="s">
        <v>2207</v>
      </c>
    </row>
    <row r="79">
      <c r="A79" s="584" t="s">
        <v>2667</v>
      </c>
      <c r="B79" s="361" t="s">
        <v>2658</v>
      </c>
      <c r="C79" s="361">
        <v>8.0</v>
      </c>
      <c r="D79" s="561"/>
      <c r="E79" s="561"/>
      <c r="F79" s="361" t="s">
        <v>1681</v>
      </c>
      <c r="G79" s="361" t="s">
        <v>2184</v>
      </c>
      <c r="H79" s="361" t="s">
        <v>1642</v>
      </c>
    </row>
    <row r="80">
      <c r="A80" s="585" t="s">
        <v>1970</v>
      </c>
      <c r="B80" s="366" t="s">
        <v>2658</v>
      </c>
      <c r="C80" s="366">
        <v>9.0</v>
      </c>
      <c r="D80" s="586" t="s">
        <v>1967</v>
      </c>
      <c r="E80" s="559"/>
      <c r="F80" s="586" t="s">
        <v>2349</v>
      </c>
      <c r="G80" s="366" t="s">
        <v>1972</v>
      </c>
      <c r="H80" s="366" t="s">
        <v>2353</v>
      </c>
    </row>
    <row r="81">
      <c r="A81" s="584" t="s">
        <v>1566</v>
      </c>
      <c r="B81" s="361" t="s">
        <v>2658</v>
      </c>
      <c r="C81" s="361">
        <v>9.0</v>
      </c>
      <c r="D81" s="561"/>
      <c r="E81" s="561"/>
      <c r="F81" s="361" t="s">
        <v>1679</v>
      </c>
      <c r="G81" s="361" t="s">
        <v>2663</v>
      </c>
      <c r="H81" s="361" t="s">
        <v>2176</v>
      </c>
    </row>
    <row r="82">
      <c r="A82" s="585" t="s">
        <v>2737</v>
      </c>
      <c r="B82" s="366" t="s">
        <v>2658</v>
      </c>
      <c r="C82" s="366">
        <v>10.0</v>
      </c>
      <c r="D82" s="559"/>
      <c r="E82" s="559"/>
      <c r="F82" s="366" t="s">
        <v>1728</v>
      </c>
      <c r="G82" s="366" t="s">
        <v>2037</v>
      </c>
      <c r="H82" s="366" t="s">
        <v>2113</v>
      </c>
    </row>
    <row r="83">
      <c r="A83" s="584" t="s">
        <v>2738</v>
      </c>
      <c r="B83" s="361" t="s">
        <v>2739</v>
      </c>
      <c r="C83" s="361">
        <v>1.0</v>
      </c>
      <c r="D83" s="561"/>
      <c r="E83" s="561"/>
      <c r="F83" s="361" t="s">
        <v>2059</v>
      </c>
      <c r="G83" s="361" t="s">
        <v>1523</v>
      </c>
      <c r="H83" s="361" t="s">
        <v>1635</v>
      </c>
    </row>
    <row r="84">
      <c r="A84" s="585" t="s">
        <v>2740</v>
      </c>
      <c r="B84" s="366" t="s">
        <v>2739</v>
      </c>
      <c r="C84" s="366">
        <v>1.0</v>
      </c>
      <c r="D84" s="559"/>
      <c r="E84" s="559"/>
      <c r="F84" s="366" t="s">
        <v>1523</v>
      </c>
      <c r="G84" s="366" t="s">
        <v>2059</v>
      </c>
      <c r="H84" s="366" t="s">
        <v>2073</v>
      </c>
    </row>
    <row r="85">
      <c r="A85" s="584" t="s">
        <v>2741</v>
      </c>
      <c r="B85" s="361" t="s">
        <v>2739</v>
      </c>
      <c r="C85" s="361">
        <v>1.0</v>
      </c>
      <c r="D85" s="561"/>
      <c r="E85" s="561"/>
      <c r="F85" s="361" t="s">
        <v>2076</v>
      </c>
      <c r="G85" s="361" t="s">
        <v>1635</v>
      </c>
      <c r="H85" s="361" t="s">
        <v>2065</v>
      </c>
    </row>
    <row r="86">
      <c r="A86" s="585" t="s">
        <v>2742</v>
      </c>
      <c r="B86" s="366" t="s">
        <v>2739</v>
      </c>
      <c r="C86" s="366">
        <v>1.0</v>
      </c>
      <c r="D86" s="559"/>
      <c r="E86" s="559"/>
      <c r="F86" s="366" t="s">
        <v>2073</v>
      </c>
      <c r="G86" s="366" t="s">
        <v>1980</v>
      </c>
      <c r="H86" s="366" t="s">
        <v>1630</v>
      </c>
    </row>
    <row r="87">
      <c r="A87" s="584" t="s">
        <v>2743</v>
      </c>
      <c r="B87" s="361" t="s">
        <v>2739</v>
      </c>
      <c r="C87" s="361">
        <v>1.0</v>
      </c>
      <c r="D87" s="561"/>
      <c r="E87" s="561"/>
      <c r="F87" s="361" t="s">
        <v>2086</v>
      </c>
      <c r="G87" s="361" t="s">
        <v>2083</v>
      </c>
      <c r="H87" s="361" t="s">
        <v>2070</v>
      </c>
    </row>
    <row r="88">
      <c r="A88" s="585" t="s">
        <v>2744</v>
      </c>
      <c r="B88" s="366" t="s">
        <v>2739</v>
      </c>
      <c r="C88" s="366">
        <v>2.0</v>
      </c>
      <c r="D88" s="559"/>
      <c r="E88" s="559"/>
      <c r="F88" s="366" t="s">
        <v>1523</v>
      </c>
      <c r="G88" s="366" t="s">
        <v>1635</v>
      </c>
      <c r="H88" s="366" t="s">
        <v>1650</v>
      </c>
    </row>
    <row r="89">
      <c r="A89" s="584" t="s">
        <v>2745</v>
      </c>
      <c r="B89" s="361" t="s">
        <v>2739</v>
      </c>
      <c r="C89" s="361">
        <v>2.0</v>
      </c>
      <c r="D89" s="561"/>
      <c r="E89" s="561"/>
      <c r="F89" s="361" t="s">
        <v>1528</v>
      </c>
      <c r="G89" s="361" t="s">
        <v>1980</v>
      </c>
      <c r="H89" s="361" t="s">
        <v>1530</v>
      </c>
    </row>
    <row r="90">
      <c r="A90" s="585" t="s">
        <v>2746</v>
      </c>
      <c r="B90" s="366" t="s">
        <v>2739</v>
      </c>
      <c r="C90" s="366">
        <v>2.0</v>
      </c>
      <c r="D90" s="559"/>
      <c r="E90" s="559"/>
      <c r="F90" s="366" t="s">
        <v>2065</v>
      </c>
      <c r="G90" s="366" t="s">
        <v>2059</v>
      </c>
      <c r="H90" s="366" t="s">
        <v>2109</v>
      </c>
    </row>
    <row r="91">
      <c r="A91" s="584" t="s">
        <v>2747</v>
      </c>
      <c r="B91" s="361" t="s">
        <v>2739</v>
      </c>
      <c r="C91" s="361">
        <v>2.0</v>
      </c>
      <c r="D91" s="561"/>
      <c r="E91" s="561"/>
      <c r="F91" s="361" t="s">
        <v>1652</v>
      </c>
      <c r="G91" s="361" t="s">
        <v>1650</v>
      </c>
      <c r="H91" s="361" t="s">
        <v>1637</v>
      </c>
    </row>
    <row r="92">
      <c r="A92" s="585" t="s">
        <v>2748</v>
      </c>
      <c r="B92" s="366" t="s">
        <v>2739</v>
      </c>
      <c r="C92" s="366">
        <v>2.0</v>
      </c>
      <c r="D92" s="559"/>
      <c r="E92" s="559"/>
      <c r="F92" s="366" t="s">
        <v>1652</v>
      </c>
      <c r="G92" s="366" t="s">
        <v>1980</v>
      </c>
      <c r="H92" s="366" t="s">
        <v>1634</v>
      </c>
    </row>
    <row r="93">
      <c r="A93" s="584" t="s">
        <v>2749</v>
      </c>
      <c r="B93" s="361" t="s">
        <v>2739</v>
      </c>
      <c r="C93" s="361">
        <v>2.0</v>
      </c>
      <c r="D93" s="561"/>
      <c r="E93" s="561"/>
      <c r="F93" s="361" t="s">
        <v>1637</v>
      </c>
      <c r="G93" s="361" t="s">
        <v>2083</v>
      </c>
      <c r="H93" s="361" t="s">
        <v>2065</v>
      </c>
    </row>
    <row r="94">
      <c r="A94" s="585" t="s">
        <v>2750</v>
      </c>
      <c r="B94" s="366" t="s">
        <v>2739</v>
      </c>
      <c r="C94" s="366">
        <v>2.0</v>
      </c>
      <c r="D94" s="559"/>
      <c r="E94" s="559"/>
      <c r="F94" s="366" t="s">
        <v>1637</v>
      </c>
      <c r="G94" s="366" t="s">
        <v>2076</v>
      </c>
      <c r="H94" s="366" t="s">
        <v>1980</v>
      </c>
    </row>
    <row r="95">
      <c r="A95" s="584" t="s">
        <v>2751</v>
      </c>
      <c r="B95" s="361" t="s">
        <v>2739</v>
      </c>
      <c r="C95" s="361">
        <v>3.0</v>
      </c>
      <c r="D95" s="561"/>
      <c r="E95" s="561"/>
      <c r="F95" s="361" t="s">
        <v>1861</v>
      </c>
      <c r="G95" s="361" t="s">
        <v>1656</v>
      </c>
      <c r="H95" s="361" t="s">
        <v>1670</v>
      </c>
    </row>
    <row r="96">
      <c r="A96" s="585" t="s">
        <v>2752</v>
      </c>
      <c r="B96" s="366" t="s">
        <v>2739</v>
      </c>
      <c r="C96" s="366">
        <v>3.0</v>
      </c>
      <c r="D96" s="559"/>
      <c r="E96" s="559"/>
      <c r="F96" s="366" t="s">
        <v>2109</v>
      </c>
      <c r="G96" s="366" t="s">
        <v>1646</v>
      </c>
      <c r="H96" s="366" t="s">
        <v>1526</v>
      </c>
    </row>
    <row r="97">
      <c r="A97" s="584" t="s">
        <v>2753</v>
      </c>
      <c r="B97" s="361" t="s">
        <v>2739</v>
      </c>
      <c r="C97" s="361">
        <v>3.0</v>
      </c>
      <c r="D97" s="561"/>
      <c r="E97" s="561"/>
      <c r="F97" s="361" t="s">
        <v>1500</v>
      </c>
      <c r="G97" s="361" t="s">
        <v>2131</v>
      </c>
      <c r="H97" s="361" t="s">
        <v>1538</v>
      </c>
    </row>
    <row r="98">
      <c r="A98" s="585" t="s">
        <v>2754</v>
      </c>
      <c r="B98" s="366" t="s">
        <v>2739</v>
      </c>
      <c r="C98" s="366">
        <v>3.0</v>
      </c>
      <c r="D98" s="559"/>
      <c r="E98" s="559"/>
      <c r="F98" s="366" t="s">
        <v>1659</v>
      </c>
      <c r="G98" s="366" t="s">
        <v>1656</v>
      </c>
      <c r="H98" s="366" t="s">
        <v>2134</v>
      </c>
    </row>
    <row r="99">
      <c r="A99" s="584" t="s">
        <v>2755</v>
      </c>
      <c r="B99" s="361" t="s">
        <v>2739</v>
      </c>
      <c r="C99" s="361">
        <v>3.0</v>
      </c>
      <c r="D99" s="561"/>
      <c r="E99" s="561"/>
      <c r="F99" s="361" t="s">
        <v>1534</v>
      </c>
      <c r="G99" s="361" t="s">
        <v>1538</v>
      </c>
      <c r="H99" s="361" t="s">
        <v>1659</v>
      </c>
    </row>
    <row r="100">
      <c r="A100" s="585" t="s">
        <v>2756</v>
      </c>
      <c r="B100" s="366" t="s">
        <v>2739</v>
      </c>
      <c r="C100" s="366">
        <v>3.0</v>
      </c>
      <c r="D100" s="559"/>
      <c r="E100" s="559"/>
      <c r="F100" s="366" t="s">
        <v>1538</v>
      </c>
      <c r="G100" s="366" t="s">
        <v>2136</v>
      </c>
      <c r="H100" s="366" t="s">
        <v>1530</v>
      </c>
    </row>
    <row r="101">
      <c r="A101" s="584" t="s">
        <v>2757</v>
      </c>
      <c r="B101" s="361" t="s">
        <v>2739</v>
      </c>
      <c r="C101" s="361">
        <v>4.0</v>
      </c>
      <c r="D101" s="561"/>
      <c r="E101" s="561"/>
      <c r="F101" s="361" t="s">
        <v>2113</v>
      </c>
      <c r="G101" s="361" t="s">
        <v>1687</v>
      </c>
      <c r="H101" s="361" t="s">
        <v>1646</v>
      </c>
    </row>
    <row r="102">
      <c r="A102" s="585" t="s">
        <v>2758</v>
      </c>
      <c r="B102" s="366" t="s">
        <v>2739</v>
      </c>
      <c r="C102" s="366">
        <v>4.0</v>
      </c>
      <c r="D102" s="559"/>
      <c r="E102" s="559"/>
      <c r="F102" s="366" t="s">
        <v>1688</v>
      </c>
      <c r="G102" s="366" t="s">
        <v>2113</v>
      </c>
      <c r="H102" s="366" t="s">
        <v>1666</v>
      </c>
    </row>
    <row r="103">
      <c r="A103" s="584" t="s">
        <v>2759</v>
      </c>
      <c r="B103" s="361" t="s">
        <v>2739</v>
      </c>
      <c r="C103" s="361">
        <v>4.0</v>
      </c>
      <c r="D103" s="561"/>
      <c r="E103" s="561"/>
      <c r="F103" s="361" t="s">
        <v>1573</v>
      </c>
      <c r="G103" s="361" t="s">
        <v>2166</v>
      </c>
      <c r="H103" s="361" t="s">
        <v>1659</v>
      </c>
    </row>
    <row r="104">
      <c r="A104" s="585" t="s">
        <v>2760</v>
      </c>
      <c r="B104" s="366" t="s">
        <v>2739</v>
      </c>
      <c r="C104" s="366">
        <v>4.0</v>
      </c>
      <c r="D104" s="559"/>
      <c r="E104" s="559"/>
      <c r="F104" s="366" t="s">
        <v>1688</v>
      </c>
      <c r="G104" s="366" t="s">
        <v>1526</v>
      </c>
      <c r="H104" s="366" t="s">
        <v>1536</v>
      </c>
    </row>
    <row r="105">
      <c r="A105" s="584" t="s">
        <v>2761</v>
      </c>
      <c r="B105" s="361" t="s">
        <v>2739</v>
      </c>
      <c r="C105" s="361">
        <v>4.0</v>
      </c>
      <c r="D105" s="561"/>
      <c r="E105" s="561"/>
      <c r="F105" s="361" t="s">
        <v>1666</v>
      </c>
      <c r="G105" s="361" t="s">
        <v>2159</v>
      </c>
      <c r="H105" s="361" t="s">
        <v>1500</v>
      </c>
    </row>
    <row r="106">
      <c r="A106" s="585" t="s">
        <v>2762</v>
      </c>
      <c r="B106" s="366" t="s">
        <v>2739</v>
      </c>
      <c r="C106" s="366">
        <v>4.0</v>
      </c>
      <c r="D106" s="559"/>
      <c r="E106" s="559"/>
      <c r="F106" s="366" t="s">
        <v>2131</v>
      </c>
      <c r="G106" s="366" t="s">
        <v>1652</v>
      </c>
      <c r="H106" s="366" t="s">
        <v>1640</v>
      </c>
    </row>
    <row r="107">
      <c r="A107" s="584" t="s">
        <v>2763</v>
      </c>
      <c r="B107" s="361" t="s">
        <v>2739</v>
      </c>
      <c r="C107" s="361">
        <v>5.0</v>
      </c>
      <c r="D107" s="561"/>
      <c r="E107" s="561"/>
      <c r="F107" s="361" t="s">
        <v>1670</v>
      </c>
      <c r="G107" s="361" t="s">
        <v>1693</v>
      </c>
      <c r="H107" s="361" t="s">
        <v>2163</v>
      </c>
    </row>
    <row r="108">
      <c r="A108" s="585" t="s">
        <v>2764</v>
      </c>
      <c r="B108" s="366" t="s">
        <v>2739</v>
      </c>
      <c r="C108" s="366">
        <v>5.0</v>
      </c>
      <c r="D108" s="559"/>
      <c r="E108" s="559"/>
      <c r="F108" s="366" t="s">
        <v>1500</v>
      </c>
      <c r="G108" s="366" t="s">
        <v>2184</v>
      </c>
      <c r="H108" s="366" t="s">
        <v>2016</v>
      </c>
    </row>
    <row r="109">
      <c r="A109" s="584" t="s">
        <v>2765</v>
      </c>
      <c r="B109" s="361" t="s">
        <v>2739</v>
      </c>
      <c r="C109" s="361">
        <v>5.0</v>
      </c>
      <c r="D109" s="561"/>
      <c r="E109" s="561"/>
      <c r="F109" s="361" t="s">
        <v>1659</v>
      </c>
      <c r="G109" s="361" t="s">
        <v>1670</v>
      </c>
      <c r="H109" s="361" t="s">
        <v>1532</v>
      </c>
    </row>
    <row r="110">
      <c r="A110" s="585" t="s">
        <v>2766</v>
      </c>
      <c r="B110" s="366" t="s">
        <v>2739</v>
      </c>
      <c r="C110" s="366">
        <v>5.0</v>
      </c>
      <c r="D110" s="559"/>
      <c r="E110" s="559"/>
      <c r="F110" s="366" t="s">
        <v>1699</v>
      </c>
      <c r="G110" s="366" t="s">
        <v>1679</v>
      </c>
      <c r="H110" s="366" t="s">
        <v>1666</v>
      </c>
    </row>
    <row r="111">
      <c r="A111" s="584" t="s">
        <v>2767</v>
      </c>
      <c r="B111" s="361" t="s">
        <v>2739</v>
      </c>
      <c r="C111" s="361">
        <v>5.0</v>
      </c>
      <c r="D111" s="561"/>
      <c r="E111" s="561"/>
      <c r="F111" s="361" t="s">
        <v>2184</v>
      </c>
      <c r="G111" s="361" t="s">
        <v>1540</v>
      </c>
      <c r="H111" s="361" t="s">
        <v>1679</v>
      </c>
    </row>
    <row r="112">
      <c r="A112" s="585" t="s">
        <v>2768</v>
      </c>
      <c r="B112" s="366" t="s">
        <v>2739</v>
      </c>
      <c r="C112" s="366">
        <v>5.0</v>
      </c>
      <c r="D112" s="559"/>
      <c r="E112" s="559"/>
      <c r="F112" s="366" t="s">
        <v>1532</v>
      </c>
      <c r="G112" s="366" t="s">
        <v>1681</v>
      </c>
      <c r="H112" s="366" t="s">
        <v>1657</v>
      </c>
    </row>
    <row r="113">
      <c r="A113" s="584" t="s">
        <v>2769</v>
      </c>
      <c r="B113" s="361" t="s">
        <v>2739</v>
      </c>
      <c r="C113" s="361">
        <v>5.0</v>
      </c>
      <c r="D113" s="561"/>
      <c r="E113" s="561"/>
      <c r="F113" s="361" t="s">
        <v>2136</v>
      </c>
      <c r="G113" s="361" t="s">
        <v>2113</v>
      </c>
      <c r="H113" s="361" t="s">
        <v>1687</v>
      </c>
    </row>
    <row r="114">
      <c r="A114" s="585" t="s">
        <v>2770</v>
      </c>
      <c r="B114" s="366" t="s">
        <v>2739</v>
      </c>
      <c r="C114" s="366">
        <v>6.0</v>
      </c>
      <c r="D114" s="559"/>
      <c r="E114" s="559"/>
      <c r="F114" s="366" t="s">
        <v>2199</v>
      </c>
      <c r="G114" s="366" t="s">
        <v>2184</v>
      </c>
      <c r="H114" s="366" t="s">
        <v>2026</v>
      </c>
    </row>
    <row r="115">
      <c r="A115" s="584" t="s">
        <v>2771</v>
      </c>
      <c r="B115" s="361" t="s">
        <v>2739</v>
      </c>
      <c r="C115" s="361">
        <v>6.0</v>
      </c>
      <c r="D115" s="561"/>
      <c r="E115" s="561"/>
      <c r="F115" s="361" t="s">
        <v>2216</v>
      </c>
      <c r="G115" s="361" t="s">
        <v>2166</v>
      </c>
      <c r="H115" s="361" t="s">
        <v>2207</v>
      </c>
    </row>
    <row r="116">
      <c r="A116" s="585" t="s">
        <v>2357</v>
      </c>
      <c r="B116" s="366" t="s">
        <v>2739</v>
      </c>
      <c r="C116" s="366">
        <v>6.0</v>
      </c>
      <c r="D116" s="586" t="s">
        <v>2356</v>
      </c>
      <c r="E116" s="559"/>
      <c r="F116" s="586" t="s">
        <v>2349</v>
      </c>
      <c r="G116" s="586" t="s">
        <v>2131</v>
      </c>
      <c r="H116" s="586" t="s">
        <v>2166</v>
      </c>
    </row>
    <row r="117">
      <c r="A117" s="584" t="s">
        <v>2772</v>
      </c>
      <c r="B117" s="361" t="s">
        <v>2739</v>
      </c>
      <c r="C117" s="361">
        <v>6.0</v>
      </c>
      <c r="D117" s="561"/>
      <c r="E117" s="561"/>
      <c r="F117" s="361" t="s">
        <v>1687</v>
      </c>
      <c r="G117" s="361" t="s">
        <v>2184</v>
      </c>
      <c r="H117" s="361" t="s">
        <v>1540</v>
      </c>
    </row>
    <row r="118">
      <c r="A118" s="585" t="s">
        <v>2773</v>
      </c>
      <c r="B118" s="366" t="s">
        <v>2739</v>
      </c>
      <c r="C118" s="366">
        <v>6.0</v>
      </c>
      <c r="D118" s="559"/>
      <c r="E118" s="559"/>
      <c r="F118" s="366" t="s">
        <v>1699</v>
      </c>
      <c r="G118" s="366" t="s">
        <v>2026</v>
      </c>
      <c r="H118" s="366" t="s">
        <v>1707</v>
      </c>
    </row>
    <row r="119">
      <c r="A119" s="584" t="s">
        <v>2774</v>
      </c>
      <c r="B119" s="361" t="s">
        <v>2739</v>
      </c>
      <c r="C119" s="361">
        <v>7.0</v>
      </c>
      <c r="D119" s="561"/>
      <c r="E119" s="561"/>
      <c r="F119" s="361" t="s">
        <v>2233</v>
      </c>
      <c r="G119" s="361" t="s">
        <v>2196</v>
      </c>
      <c r="H119" s="361" t="s">
        <v>1693</v>
      </c>
    </row>
    <row r="120">
      <c r="A120" s="585" t="s">
        <v>2775</v>
      </c>
      <c r="B120" s="366" t="s">
        <v>2739</v>
      </c>
      <c r="C120" s="366">
        <v>7.0</v>
      </c>
      <c r="D120" s="559"/>
      <c r="E120" s="559"/>
      <c r="F120" s="366" t="s">
        <v>2199</v>
      </c>
      <c r="G120" s="366" t="s">
        <v>2196</v>
      </c>
      <c r="H120" s="366" t="s">
        <v>2207</v>
      </c>
    </row>
    <row r="121">
      <c r="A121" s="584" t="s">
        <v>2776</v>
      </c>
      <c r="B121" s="361" t="s">
        <v>2739</v>
      </c>
      <c r="C121" s="361">
        <v>7.0</v>
      </c>
      <c r="D121" s="561"/>
      <c r="E121" s="561"/>
      <c r="F121" s="361" t="s">
        <v>2229</v>
      </c>
      <c r="G121" s="361" t="s">
        <v>2223</v>
      </c>
      <c r="H121" s="361" t="s">
        <v>2196</v>
      </c>
    </row>
    <row r="122">
      <c r="A122" s="585" t="s">
        <v>2777</v>
      </c>
      <c r="B122" s="366" t="s">
        <v>2739</v>
      </c>
      <c r="C122" s="366">
        <v>7.0</v>
      </c>
      <c r="D122" s="559"/>
      <c r="E122" s="559"/>
      <c r="F122" s="366" t="s">
        <v>2216</v>
      </c>
      <c r="G122" s="366" t="s">
        <v>1699</v>
      </c>
      <c r="H122" s="366" t="s">
        <v>2229</v>
      </c>
    </row>
    <row r="123">
      <c r="A123" s="584" t="s">
        <v>2778</v>
      </c>
      <c r="B123" s="361" t="s">
        <v>2739</v>
      </c>
      <c r="C123" s="361">
        <v>7.0</v>
      </c>
      <c r="D123" s="561"/>
      <c r="E123" s="561"/>
      <c r="F123" s="361" t="s">
        <v>1720</v>
      </c>
      <c r="G123" s="361" t="s">
        <v>2223</v>
      </c>
      <c r="H123" s="361" t="s">
        <v>1699</v>
      </c>
    </row>
    <row r="124">
      <c r="A124" s="585" t="s">
        <v>2779</v>
      </c>
      <c r="B124" s="366" t="s">
        <v>2739</v>
      </c>
      <c r="C124" s="366">
        <v>8.0</v>
      </c>
      <c r="D124" s="559"/>
      <c r="E124" s="559"/>
      <c r="F124" s="366" t="s">
        <v>2780</v>
      </c>
      <c r="G124" s="366" t="s">
        <v>1897</v>
      </c>
      <c r="H124" s="366" t="s">
        <v>2216</v>
      </c>
    </row>
    <row r="125">
      <c r="A125" s="584" t="s">
        <v>2781</v>
      </c>
      <c r="B125" s="361" t="s">
        <v>2739</v>
      </c>
      <c r="C125" s="361">
        <v>9.0</v>
      </c>
      <c r="D125" s="561"/>
      <c r="E125" s="561"/>
      <c r="F125" s="361" t="s">
        <v>2233</v>
      </c>
      <c r="G125" s="361" t="s">
        <v>2782</v>
      </c>
      <c r="H125" s="361" t="s">
        <v>2783</v>
      </c>
    </row>
    <row r="126">
      <c r="A126" s="585" t="s">
        <v>2784</v>
      </c>
      <c r="B126" s="366" t="s">
        <v>2785</v>
      </c>
      <c r="C126" s="366">
        <v>1.0</v>
      </c>
      <c r="D126" s="559"/>
      <c r="E126" s="559"/>
      <c r="F126" s="366" t="s">
        <v>1634</v>
      </c>
      <c r="G126" s="366" t="s">
        <v>1975</v>
      </c>
      <c r="H126" s="366" t="s">
        <v>2065</v>
      </c>
    </row>
    <row r="127">
      <c r="A127" s="584" t="s">
        <v>2786</v>
      </c>
      <c r="B127" s="361" t="s">
        <v>2785</v>
      </c>
      <c r="C127" s="361">
        <v>1.0</v>
      </c>
      <c r="D127" s="561"/>
      <c r="E127" s="561"/>
      <c r="F127" s="361" t="s">
        <v>2083</v>
      </c>
      <c r="G127" s="361" t="s">
        <v>2076</v>
      </c>
      <c r="H127" s="361" t="s">
        <v>2070</v>
      </c>
    </row>
    <row r="128">
      <c r="A128" s="585" t="s">
        <v>2787</v>
      </c>
      <c r="B128" s="366" t="s">
        <v>2785</v>
      </c>
      <c r="C128" s="366">
        <v>1.0</v>
      </c>
      <c r="D128" s="559"/>
      <c r="E128" s="559"/>
      <c r="F128" s="366" t="s">
        <v>2059</v>
      </c>
      <c r="G128" s="366" t="s">
        <v>2073</v>
      </c>
      <c r="H128" s="366" t="s">
        <v>1630</v>
      </c>
    </row>
    <row r="129">
      <c r="A129" s="584" t="s">
        <v>2788</v>
      </c>
      <c r="B129" s="361" t="s">
        <v>2785</v>
      </c>
      <c r="C129" s="361">
        <v>1.0</v>
      </c>
      <c r="D129" s="561"/>
      <c r="E129" s="561"/>
      <c r="F129" s="361" t="s">
        <v>1635</v>
      </c>
      <c r="G129" s="361" t="s">
        <v>2083</v>
      </c>
      <c r="H129" s="361" t="s">
        <v>2083</v>
      </c>
    </row>
    <row r="130">
      <c r="A130" s="585" t="s">
        <v>2789</v>
      </c>
      <c r="B130" s="366" t="s">
        <v>2785</v>
      </c>
      <c r="C130" s="366">
        <v>1.0</v>
      </c>
      <c r="D130" s="559"/>
      <c r="E130" s="559"/>
      <c r="F130" s="366" t="s">
        <v>1523</v>
      </c>
      <c r="G130" s="366" t="s">
        <v>2070</v>
      </c>
      <c r="H130" s="366" t="s">
        <v>2073</v>
      </c>
    </row>
    <row r="131">
      <c r="A131" s="584" t="s">
        <v>2790</v>
      </c>
      <c r="B131" s="361" t="s">
        <v>2785</v>
      </c>
      <c r="C131" s="361">
        <v>1.0</v>
      </c>
      <c r="D131" s="561"/>
      <c r="E131" s="561"/>
      <c r="F131" s="361" t="s">
        <v>1975</v>
      </c>
      <c r="G131" s="361" t="s">
        <v>2083</v>
      </c>
      <c r="H131" s="361" t="s">
        <v>2065</v>
      </c>
    </row>
    <row r="132">
      <c r="A132" s="585" t="s">
        <v>2791</v>
      </c>
      <c r="B132" s="366" t="s">
        <v>2785</v>
      </c>
      <c r="C132" s="366">
        <v>1.0</v>
      </c>
      <c r="D132" s="559"/>
      <c r="E132" s="559"/>
      <c r="F132" s="366" t="s">
        <v>1523</v>
      </c>
      <c r="G132" s="366" t="s">
        <v>2073</v>
      </c>
      <c r="H132" s="366" t="s">
        <v>1634</v>
      </c>
    </row>
    <row r="133">
      <c r="A133" s="584" t="s">
        <v>2792</v>
      </c>
      <c r="B133" s="361" t="s">
        <v>2785</v>
      </c>
      <c r="C133" s="361">
        <v>1.0</v>
      </c>
      <c r="D133" s="561"/>
      <c r="E133" s="561"/>
      <c r="F133" s="361" t="s">
        <v>2065</v>
      </c>
      <c r="G133" s="361" t="s">
        <v>2086</v>
      </c>
      <c r="H133" s="361" t="s">
        <v>1980</v>
      </c>
    </row>
    <row r="134">
      <c r="A134" s="585" t="s">
        <v>2793</v>
      </c>
      <c r="B134" s="366" t="s">
        <v>2785</v>
      </c>
      <c r="C134" s="366">
        <v>1.0</v>
      </c>
      <c r="D134" s="559"/>
      <c r="E134" s="559"/>
      <c r="F134" s="366" t="s">
        <v>2065</v>
      </c>
      <c r="G134" s="366" t="s">
        <v>2070</v>
      </c>
      <c r="H134" s="366" t="s">
        <v>1523</v>
      </c>
    </row>
    <row r="135">
      <c r="A135" s="584" t="s">
        <v>2794</v>
      </c>
      <c r="B135" s="361" t="s">
        <v>2785</v>
      </c>
      <c r="C135" s="361">
        <v>2.0</v>
      </c>
      <c r="D135" s="561"/>
      <c r="E135" s="561"/>
      <c r="F135" s="361" t="s">
        <v>1650</v>
      </c>
      <c r="G135" s="361" t="s">
        <v>2113</v>
      </c>
      <c r="H135" s="361" t="s">
        <v>1630</v>
      </c>
    </row>
    <row r="136">
      <c r="A136" s="585" t="s">
        <v>2795</v>
      </c>
      <c r="B136" s="366" t="s">
        <v>2785</v>
      </c>
      <c r="C136" s="366">
        <v>2.0</v>
      </c>
      <c r="D136" s="559"/>
      <c r="E136" s="559"/>
      <c r="F136" s="366" t="s">
        <v>1637</v>
      </c>
      <c r="G136" s="366" t="s">
        <v>2065</v>
      </c>
      <c r="H136" s="366" t="s">
        <v>1630</v>
      </c>
    </row>
    <row r="137">
      <c r="A137" s="584" t="s">
        <v>2796</v>
      </c>
      <c r="B137" s="361" t="s">
        <v>2785</v>
      </c>
      <c r="C137" s="361">
        <v>2.0</v>
      </c>
      <c r="D137" s="561"/>
      <c r="E137" s="561"/>
      <c r="F137" s="361" t="s">
        <v>1642</v>
      </c>
      <c r="G137" s="361" t="s">
        <v>1649</v>
      </c>
      <c r="H137" s="361" t="s">
        <v>1530</v>
      </c>
    </row>
    <row r="138">
      <c r="A138" s="585" t="s">
        <v>2797</v>
      </c>
      <c r="B138" s="366" t="s">
        <v>2785</v>
      </c>
      <c r="C138" s="366">
        <v>2.0</v>
      </c>
      <c r="D138" s="559"/>
      <c r="E138" s="559"/>
      <c r="F138" s="366" t="s">
        <v>1526</v>
      </c>
      <c r="G138" s="366" t="s">
        <v>1630</v>
      </c>
      <c r="H138" s="366" t="s">
        <v>1980</v>
      </c>
    </row>
    <row r="139">
      <c r="A139" s="584" t="s">
        <v>2798</v>
      </c>
      <c r="B139" s="361" t="s">
        <v>2785</v>
      </c>
      <c r="C139" s="361">
        <v>2.0</v>
      </c>
      <c r="D139" s="561"/>
      <c r="E139" s="561"/>
      <c r="F139" s="361" t="s">
        <v>1634</v>
      </c>
      <c r="G139" s="361" t="s">
        <v>1528</v>
      </c>
      <c r="H139" s="361" t="s">
        <v>1637</v>
      </c>
    </row>
    <row r="140">
      <c r="A140" s="585" t="s">
        <v>2799</v>
      </c>
      <c r="B140" s="366" t="s">
        <v>2785</v>
      </c>
      <c r="C140" s="366">
        <v>2.0</v>
      </c>
      <c r="D140" s="559"/>
      <c r="E140" s="559"/>
      <c r="F140" s="366" t="s">
        <v>2065</v>
      </c>
      <c r="G140" s="366" t="s">
        <v>1652</v>
      </c>
      <c r="H140" s="366" t="s">
        <v>2059</v>
      </c>
    </row>
    <row r="141">
      <c r="A141" s="584" t="s">
        <v>2800</v>
      </c>
      <c r="B141" s="361" t="s">
        <v>2785</v>
      </c>
      <c r="C141" s="361">
        <v>2.0</v>
      </c>
      <c r="D141" s="561"/>
      <c r="E141" s="561"/>
      <c r="F141" s="361" t="s">
        <v>1530</v>
      </c>
      <c r="G141" s="361" t="s">
        <v>2113</v>
      </c>
      <c r="H141" s="361" t="s">
        <v>2070</v>
      </c>
    </row>
    <row r="142">
      <c r="A142" s="585" t="s">
        <v>2801</v>
      </c>
      <c r="B142" s="366" t="s">
        <v>2785</v>
      </c>
      <c r="C142" s="366">
        <v>2.0</v>
      </c>
      <c r="D142" s="559"/>
      <c r="E142" s="559"/>
      <c r="F142" s="366" t="s">
        <v>2065</v>
      </c>
      <c r="G142" s="366" t="s">
        <v>1523</v>
      </c>
      <c r="H142" s="366" t="s">
        <v>2073</v>
      </c>
    </row>
    <row r="143">
      <c r="A143" s="584" t="s">
        <v>2802</v>
      </c>
      <c r="B143" s="361" t="s">
        <v>2785</v>
      </c>
      <c r="C143" s="361">
        <v>2.0</v>
      </c>
      <c r="D143" s="561"/>
      <c r="E143" s="561"/>
      <c r="F143" s="361" t="s">
        <v>1523</v>
      </c>
      <c r="G143" s="361" t="s">
        <v>1975</v>
      </c>
      <c r="H143" s="361" t="s">
        <v>1630</v>
      </c>
    </row>
    <row r="144">
      <c r="A144" s="585" t="s">
        <v>2803</v>
      </c>
      <c r="B144" s="366" t="s">
        <v>2785</v>
      </c>
      <c r="C144" s="366">
        <v>2.0</v>
      </c>
      <c r="D144" s="559"/>
      <c r="E144" s="559"/>
      <c r="F144" s="366" t="s">
        <v>1526</v>
      </c>
      <c r="G144" s="366" t="s">
        <v>1980</v>
      </c>
      <c r="H144" s="366" t="s">
        <v>1523</v>
      </c>
    </row>
    <row r="145">
      <c r="A145" s="584" t="s">
        <v>2804</v>
      </c>
      <c r="B145" s="361" t="s">
        <v>2785</v>
      </c>
      <c r="C145" s="361">
        <v>2.0</v>
      </c>
      <c r="D145" s="561"/>
      <c r="E145" s="561"/>
      <c r="F145" s="361" t="s">
        <v>1656</v>
      </c>
      <c r="G145" s="361" t="s">
        <v>1652</v>
      </c>
      <c r="H145" s="361" t="s">
        <v>1975</v>
      </c>
    </row>
    <row r="146">
      <c r="A146" s="585" t="s">
        <v>2805</v>
      </c>
      <c r="B146" s="366" t="s">
        <v>2785</v>
      </c>
      <c r="C146" s="366">
        <v>3.0</v>
      </c>
      <c r="D146" s="559"/>
      <c r="E146" s="559"/>
      <c r="F146" s="366" t="s">
        <v>2109</v>
      </c>
      <c r="G146" s="366" t="s">
        <v>2113</v>
      </c>
      <c r="H146" s="366" t="s">
        <v>1640</v>
      </c>
    </row>
    <row r="147">
      <c r="A147" s="584" t="s">
        <v>2806</v>
      </c>
      <c r="B147" s="361" t="s">
        <v>2785</v>
      </c>
      <c r="C147" s="361">
        <v>3.0</v>
      </c>
      <c r="D147" s="561"/>
      <c r="E147" s="561"/>
      <c r="F147" s="361" t="s">
        <v>1637</v>
      </c>
      <c r="G147" s="361" t="s">
        <v>1642</v>
      </c>
      <c r="H147" s="361" t="s">
        <v>1652</v>
      </c>
    </row>
    <row r="148">
      <c r="A148" s="585" t="s">
        <v>2807</v>
      </c>
      <c r="B148" s="366" t="s">
        <v>2785</v>
      </c>
      <c r="C148" s="366">
        <v>3.0</v>
      </c>
      <c r="D148" s="559"/>
      <c r="E148" s="559"/>
      <c r="F148" s="366" t="s">
        <v>2113</v>
      </c>
      <c r="G148" s="366" t="s">
        <v>2347</v>
      </c>
      <c r="H148" s="366" t="s">
        <v>2343</v>
      </c>
    </row>
    <row r="149">
      <c r="A149" s="584" t="s">
        <v>2808</v>
      </c>
      <c r="B149" s="361" t="s">
        <v>2785</v>
      </c>
      <c r="C149" s="361">
        <v>3.0</v>
      </c>
      <c r="D149" s="561"/>
      <c r="E149" s="561"/>
      <c r="F149" s="361" t="s">
        <v>1500</v>
      </c>
      <c r="G149" s="361" t="s">
        <v>1646</v>
      </c>
      <c r="H149" s="361" t="s">
        <v>1670</v>
      </c>
    </row>
    <row r="150">
      <c r="A150" s="585" t="s">
        <v>2809</v>
      </c>
      <c r="B150" s="366" t="s">
        <v>2785</v>
      </c>
      <c r="C150" s="366">
        <v>3.0</v>
      </c>
      <c r="D150" s="559"/>
      <c r="E150" s="559"/>
      <c r="F150" s="366" t="s">
        <v>1640</v>
      </c>
      <c r="G150" s="366" t="s">
        <v>1649</v>
      </c>
      <c r="H150" s="366" t="s">
        <v>2109</v>
      </c>
    </row>
    <row r="151">
      <c r="A151" s="584" t="s">
        <v>2810</v>
      </c>
      <c r="B151" s="361" t="s">
        <v>2785</v>
      </c>
      <c r="C151" s="361">
        <v>3.0</v>
      </c>
      <c r="D151" s="561"/>
      <c r="E151" s="561"/>
      <c r="F151" s="361" t="s">
        <v>1528</v>
      </c>
      <c r="G151" s="361" t="s">
        <v>1500</v>
      </c>
      <c r="H151" s="361" t="s">
        <v>1637</v>
      </c>
    </row>
    <row r="152">
      <c r="A152" s="585" t="s">
        <v>2811</v>
      </c>
      <c r="B152" s="366" t="s">
        <v>2785</v>
      </c>
      <c r="C152" s="366">
        <v>3.0</v>
      </c>
      <c r="D152" s="559"/>
      <c r="E152" s="559"/>
      <c r="F152" s="366" t="s">
        <v>1659</v>
      </c>
      <c r="G152" s="366" t="s">
        <v>1532</v>
      </c>
      <c r="H152" s="366" t="s">
        <v>1646</v>
      </c>
    </row>
    <row r="153">
      <c r="A153" s="584" t="s">
        <v>2812</v>
      </c>
      <c r="B153" s="361" t="s">
        <v>2785</v>
      </c>
      <c r="C153" s="361">
        <v>4.0</v>
      </c>
      <c r="D153" s="561"/>
      <c r="E153" s="561"/>
      <c r="F153" s="361" t="s">
        <v>2113</v>
      </c>
      <c r="G153" s="361" t="s">
        <v>1652</v>
      </c>
      <c r="H153" s="361" t="s">
        <v>1679</v>
      </c>
    </row>
    <row r="154">
      <c r="A154" s="585" t="s">
        <v>2813</v>
      </c>
      <c r="B154" s="366" t="s">
        <v>2785</v>
      </c>
      <c r="C154" s="366">
        <v>4.0</v>
      </c>
      <c r="D154" s="559"/>
      <c r="E154" s="559"/>
      <c r="F154" s="366" t="s">
        <v>1530</v>
      </c>
      <c r="G154" s="366" t="s">
        <v>1652</v>
      </c>
      <c r="H154" s="366" t="s">
        <v>1679</v>
      </c>
    </row>
    <row r="155">
      <c r="A155" s="584" t="s">
        <v>2814</v>
      </c>
      <c r="B155" s="361" t="s">
        <v>2785</v>
      </c>
      <c r="C155" s="361">
        <v>4.0</v>
      </c>
      <c r="D155" s="561"/>
      <c r="E155" s="561"/>
      <c r="F155" s="361" t="s">
        <v>1687</v>
      </c>
      <c r="G155" s="361" t="s">
        <v>1666</v>
      </c>
      <c r="H155" s="361" t="s">
        <v>1650</v>
      </c>
    </row>
    <row r="156">
      <c r="A156" s="585" t="s">
        <v>2815</v>
      </c>
      <c r="B156" s="366" t="s">
        <v>2785</v>
      </c>
      <c r="C156" s="366">
        <v>5.0</v>
      </c>
      <c r="D156" s="559"/>
      <c r="E156" s="559"/>
      <c r="F156" s="366" t="s">
        <v>1861</v>
      </c>
      <c r="G156" s="366" t="s">
        <v>1670</v>
      </c>
      <c r="H156" s="366" t="s">
        <v>1536</v>
      </c>
    </row>
    <row r="157">
      <c r="A157" s="584" t="s">
        <v>2816</v>
      </c>
      <c r="B157" s="361" t="s">
        <v>2785</v>
      </c>
      <c r="C157" s="361">
        <v>5.0</v>
      </c>
      <c r="D157" s="561"/>
      <c r="E157" s="561"/>
      <c r="F157" s="361" t="s">
        <v>1657</v>
      </c>
      <c r="G157" s="361" t="s">
        <v>2199</v>
      </c>
      <c r="H157" s="361" t="s">
        <v>1687</v>
      </c>
    </row>
    <row r="158">
      <c r="A158" s="585" t="s">
        <v>2817</v>
      </c>
      <c r="B158" s="366" t="s">
        <v>2785</v>
      </c>
      <c r="C158" s="366">
        <v>5.0</v>
      </c>
      <c r="D158" s="559"/>
      <c r="E158" s="559"/>
      <c r="F158" s="366" t="s">
        <v>1536</v>
      </c>
      <c r="G158" s="366" t="s">
        <v>2136</v>
      </c>
      <c r="H158" s="366" t="s">
        <v>1699</v>
      </c>
    </row>
    <row r="159">
      <c r="A159" s="584" t="s">
        <v>2818</v>
      </c>
      <c r="B159" s="361" t="s">
        <v>2785</v>
      </c>
      <c r="C159" s="361">
        <v>5.0</v>
      </c>
      <c r="D159" s="561"/>
      <c r="E159" s="561"/>
      <c r="F159" s="361" t="s">
        <v>1532</v>
      </c>
      <c r="G159" s="361" t="s">
        <v>1500</v>
      </c>
      <c r="H159" s="361" t="s">
        <v>1575</v>
      </c>
    </row>
    <row r="160">
      <c r="A160" s="585" t="s">
        <v>2819</v>
      </c>
      <c r="B160" s="366" t="s">
        <v>2785</v>
      </c>
      <c r="C160" s="366">
        <v>5.0</v>
      </c>
      <c r="D160" s="559"/>
      <c r="E160" s="559"/>
      <c r="F160" s="366" t="s">
        <v>2184</v>
      </c>
      <c r="G160" s="366" t="s">
        <v>1666</v>
      </c>
      <c r="H160" s="366" t="s">
        <v>1500</v>
      </c>
    </row>
    <row r="161">
      <c r="A161" s="584" t="s">
        <v>2820</v>
      </c>
      <c r="B161" s="361" t="s">
        <v>2785</v>
      </c>
      <c r="C161" s="361">
        <v>6.0</v>
      </c>
      <c r="D161" s="561"/>
      <c r="E161" s="561"/>
      <c r="F161" s="361" t="s">
        <v>1687</v>
      </c>
      <c r="G161" s="361" t="s">
        <v>1681</v>
      </c>
      <c r="H161" s="361" t="s">
        <v>1540</v>
      </c>
    </row>
    <row r="162">
      <c r="A162" s="585" t="s">
        <v>2821</v>
      </c>
      <c r="B162" s="366" t="s">
        <v>2785</v>
      </c>
      <c r="C162" s="366">
        <v>6.0</v>
      </c>
      <c r="D162" s="559"/>
      <c r="E162" s="559"/>
      <c r="F162" s="366" t="s">
        <v>2216</v>
      </c>
      <c r="G162" s="366" t="s">
        <v>2163</v>
      </c>
      <c r="H162" s="366" t="s">
        <v>1679</v>
      </c>
    </row>
    <row r="163">
      <c r="A163" s="584" t="s">
        <v>2822</v>
      </c>
      <c r="B163" s="361" t="s">
        <v>2785</v>
      </c>
      <c r="C163" s="361">
        <v>6.0</v>
      </c>
      <c r="D163" s="561"/>
      <c r="E163" s="561"/>
      <c r="F163" s="361" t="s">
        <v>1711</v>
      </c>
      <c r="G163" s="361" t="s">
        <v>1699</v>
      </c>
      <c r="H163" s="361" t="s">
        <v>2176</v>
      </c>
    </row>
    <row r="164">
      <c r="A164" s="585" t="s">
        <v>2823</v>
      </c>
      <c r="B164" s="366" t="s">
        <v>2785</v>
      </c>
      <c r="C164" s="366">
        <v>6.0</v>
      </c>
      <c r="D164" s="559"/>
      <c r="E164" s="559"/>
      <c r="F164" s="366" t="s">
        <v>1688</v>
      </c>
      <c r="G164" s="366" t="s">
        <v>1679</v>
      </c>
      <c r="H164" s="366" t="s">
        <v>1690</v>
      </c>
    </row>
    <row r="165">
      <c r="A165" s="584" t="s">
        <v>2824</v>
      </c>
      <c r="B165" s="361" t="s">
        <v>2785</v>
      </c>
      <c r="C165" s="361">
        <v>6.0</v>
      </c>
      <c r="D165" s="561"/>
      <c r="E165" s="561"/>
      <c r="F165" s="361" t="s">
        <v>2196</v>
      </c>
      <c r="G165" s="361" t="s">
        <v>1693</v>
      </c>
      <c r="H165" s="361" t="s">
        <v>2207</v>
      </c>
    </row>
    <row r="166">
      <c r="A166" s="585" t="s">
        <v>2825</v>
      </c>
      <c r="B166" s="366" t="s">
        <v>2785</v>
      </c>
      <c r="C166" s="366">
        <v>6.0</v>
      </c>
      <c r="D166" s="559"/>
      <c r="E166" s="559"/>
      <c r="F166" s="366" t="s">
        <v>2016</v>
      </c>
      <c r="G166" s="366" t="s">
        <v>1679</v>
      </c>
      <c r="H166" s="366" t="s">
        <v>1688</v>
      </c>
    </row>
    <row r="167">
      <c r="A167" s="584" t="s">
        <v>2826</v>
      </c>
      <c r="B167" s="361" t="s">
        <v>2785</v>
      </c>
      <c r="C167" s="361">
        <v>7.0</v>
      </c>
      <c r="D167" s="561"/>
      <c r="E167" s="561"/>
      <c r="F167" s="361" t="s">
        <v>2780</v>
      </c>
      <c r="G167" s="361" t="s">
        <v>1720</v>
      </c>
      <c r="H167" s="361" t="s">
        <v>1540</v>
      </c>
    </row>
    <row r="168">
      <c r="A168" s="585" t="s">
        <v>2827</v>
      </c>
      <c r="B168" s="366" t="s">
        <v>2785</v>
      </c>
      <c r="C168" s="366">
        <v>7.0</v>
      </c>
      <c r="D168" s="559"/>
      <c r="E168" s="559"/>
      <c r="F168" s="366" t="s">
        <v>2184</v>
      </c>
      <c r="G168" s="366" t="s">
        <v>1711</v>
      </c>
      <c r="H168" s="366" t="s">
        <v>2233</v>
      </c>
    </row>
    <row r="169">
      <c r="A169" s="584" t="s">
        <v>2828</v>
      </c>
      <c r="B169" s="361" t="s">
        <v>2785</v>
      </c>
      <c r="C169" s="361">
        <v>7.0</v>
      </c>
      <c r="D169" s="561"/>
      <c r="E169" s="561"/>
      <c r="F169" s="361" t="s">
        <v>1720</v>
      </c>
      <c r="G169" s="361" t="s">
        <v>2199</v>
      </c>
      <c r="H169" s="361" t="s">
        <v>2207</v>
      </c>
    </row>
    <row r="170">
      <c r="A170" s="585" t="s">
        <v>2829</v>
      </c>
      <c r="B170" s="366" t="s">
        <v>2785</v>
      </c>
      <c r="C170" s="366">
        <v>7.0</v>
      </c>
      <c r="D170" s="559"/>
      <c r="E170" s="559"/>
      <c r="F170" s="366" t="s">
        <v>1707</v>
      </c>
      <c r="G170" s="366" t="s">
        <v>1720</v>
      </c>
      <c r="H170" s="366" t="s">
        <v>1540</v>
      </c>
    </row>
    <row r="171">
      <c r="A171" s="584" t="s">
        <v>2830</v>
      </c>
      <c r="B171" s="361" t="s">
        <v>2785</v>
      </c>
      <c r="C171" s="361">
        <v>7.0</v>
      </c>
      <c r="D171" s="561"/>
      <c r="E171" s="561"/>
      <c r="F171" s="361" t="s">
        <v>1720</v>
      </c>
      <c r="G171" s="361" t="s">
        <v>2216</v>
      </c>
      <c r="H171" s="361" t="s">
        <v>2203</v>
      </c>
    </row>
    <row r="172">
      <c r="A172" s="585" t="s">
        <v>2831</v>
      </c>
      <c r="B172" s="366" t="s">
        <v>2785</v>
      </c>
      <c r="C172" s="366">
        <v>7.0</v>
      </c>
      <c r="D172" s="559"/>
      <c r="E172" s="559"/>
      <c r="F172" s="366" t="s">
        <v>1897</v>
      </c>
      <c r="G172" s="366" t="s">
        <v>2196</v>
      </c>
      <c r="H172" s="366" t="s">
        <v>1540</v>
      </c>
    </row>
    <row r="173">
      <c r="A173" s="584" t="s">
        <v>2832</v>
      </c>
      <c r="B173" s="361" t="s">
        <v>2785</v>
      </c>
      <c r="C173" s="361">
        <v>7.0</v>
      </c>
      <c r="D173" s="561"/>
      <c r="E173" s="561"/>
      <c r="F173" s="361" t="s">
        <v>2196</v>
      </c>
      <c r="G173" s="361" t="s">
        <v>2780</v>
      </c>
      <c r="H173" s="361" t="s">
        <v>1725</v>
      </c>
    </row>
    <row r="174">
      <c r="A174" s="585" t="s">
        <v>2833</v>
      </c>
      <c r="B174" s="366" t="s">
        <v>2785</v>
      </c>
      <c r="C174" s="366">
        <v>8.0</v>
      </c>
      <c r="D174" s="559"/>
      <c r="E174" s="559"/>
      <c r="F174" s="366" t="s">
        <v>2216</v>
      </c>
      <c r="G174" s="366" t="s">
        <v>2782</v>
      </c>
      <c r="H174" s="366" t="s">
        <v>2834</v>
      </c>
    </row>
    <row r="175">
      <c r="A175" s="584" t="s">
        <v>2835</v>
      </c>
      <c r="B175" s="361" t="s">
        <v>2785</v>
      </c>
      <c r="C175" s="361">
        <v>8.0</v>
      </c>
      <c r="D175" s="561"/>
      <c r="E175" s="561"/>
      <c r="F175" s="361" t="s">
        <v>1707</v>
      </c>
      <c r="G175" s="361" t="s">
        <v>1720</v>
      </c>
      <c r="H175" s="361" t="s">
        <v>1725</v>
      </c>
    </row>
    <row r="176">
      <c r="A176" s="585" t="s">
        <v>2836</v>
      </c>
      <c r="B176" s="366" t="s">
        <v>2785</v>
      </c>
      <c r="C176" s="366">
        <v>9.0</v>
      </c>
      <c r="D176" s="559"/>
      <c r="E176" s="559"/>
      <c r="F176" s="366" t="s">
        <v>2834</v>
      </c>
      <c r="G176" s="366" t="s">
        <v>2837</v>
      </c>
      <c r="H176" s="366" t="s">
        <v>2269</v>
      </c>
    </row>
    <row r="177">
      <c r="A177" s="584" t="s">
        <v>2838</v>
      </c>
      <c r="B177" s="361" t="s">
        <v>2785</v>
      </c>
      <c r="C177" s="361">
        <v>9.0</v>
      </c>
      <c r="D177" s="561"/>
      <c r="E177" s="561"/>
      <c r="F177" s="361" t="s">
        <v>2837</v>
      </c>
      <c r="G177" s="361" t="s">
        <v>2839</v>
      </c>
      <c r="H177" s="361" t="s">
        <v>1897</v>
      </c>
    </row>
    <row r="178">
      <c r="A178" s="585" t="s">
        <v>2840</v>
      </c>
      <c r="B178" s="366" t="s">
        <v>2841</v>
      </c>
      <c r="C178" s="366">
        <v>1.0</v>
      </c>
      <c r="D178" s="559"/>
      <c r="E178" s="559"/>
      <c r="F178" s="366" t="s">
        <v>2059</v>
      </c>
      <c r="G178" s="366" t="s">
        <v>2073</v>
      </c>
      <c r="H178" s="366" t="s">
        <v>2086</v>
      </c>
    </row>
    <row r="179">
      <c r="A179" s="584" t="s">
        <v>2842</v>
      </c>
      <c r="B179" s="361" t="s">
        <v>2841</v>
      </c>
      <c r="C179" s="361">
        <v>1.0</v>
      </c>
      <c r="D179" s="561"/>
      <c r="E179" s="561"/>
      <c r="F179" s="361" t="s">
        <v>1980</v>
      </c>
      <c r="G179" s="361" t="s">
        <v>2059</v>
      </c>
      <c r="H179" s="361" t="s">
        <v>2073</v>
      </c>
    </row>
    <row r="180">
      <c r="A180" s="585" t="s">
        <v>2843</v>
      </c>
      <c r="B180" s="366" t="s">
        <v>2841</v>
      </c>
      <c r="C180" s="366">
        <v>1.0</v>
      </c>
      <c r="D180" s="559"/>
      <c r="E180" s="559"/>
      <c r="F180" s="366" t="s">
        <v>2070</v>
      </c>
      <c r="G180" s="366" t="s">
        <v>1634</v>
      </c>
      <c r="H180" s="366" t="s">
        <v>2065</v>
      </c>
    </row>
    <row r="181">
      <c r="A181" s="584" t="s">
        <v>2844</v>
      </c>
      <c r="B181" s="361" t="s">
        <v>2841</v>
      </c>
      <c r="C181" s="361">
        <v>1.0</v>
      </c>
      <c r="D181" s="561"/>
      <c r="E181" s="561"/>
      <c r="F181" s="361" t="s">
        <v>2073</v>
      </c>
      <c r="G181" s="361" t="s">
        <v>2086</v>
      </c>
      <c r="H181" s="361" t="s">
        <v>1523</v>
      </c>
    </row>
    <row r="182">
      <c r="A182" s="585" t="s">
        <v>2845</v>
      </c>
      <c r="B182" s="366" t="s">
        <v>2841</v>
      </c>
      <c r="C182" s="366">
        <v>2.0</v>
      </c>
      <c r="D182" s="559"/>
      <c r="E182" s="559"/>
      <c r="F182" s="366" t="s">
        <v>1634</v>
      </c>
      <c r="G182" s="366" t="s">
        <v>1630</v>
      </c>
      <c r="H182" s="366" t="s">
        <v>1526</v>
      </c>
    </row>
    <row r="183">
      <c r="A183" s="584" t="s">
        <v>2846</v>
      </c>
      <c r="B183" s="361" t="s">
        <v>2841</v>
      </c>
      <c r="C183" s="361">
        <v>2.0</v>
      </c>
      <c r="D183" s="561"/>
      <c r="E183" s="561"/>
      <c r="F183" s="361" t="s">
        <v>1528</v>
      </c>
      <c r="G183" s="361" t="s">
        <v>2070</v>
      </c>
      <c r="H183" s="361" t="s">
        <v>2083</v>
      </c>
    </row>
    <row r="184">
      <c r="A184" s="585" t="s">
        <v>2847</v>
      </c>
      <c r="B184" s="366" t="s">
        <v>2841</v>
      </c>
      <c r="C184" s="366">
        <v>3.0</v>
      </c>
      <c r="D184" s="559"/>
      <c r="E184" s="559"/>
      <c r="F184" s="366" t="s">
        <v>2136</v>
      </c>
      <c r="G184" s="366" t="s">
        <v>1538</v>
      </c>
      <c r="H184" s="366" t="s">
        <v>2113</v>
      </c>
    </row>
    <row r="185">
      <c r="A185" s="584" t="s">
        <v>2848</v>
      </c>
      <c r="B185" s="361" t="s">
        <v>2841</v>
      </c>
      <c r="C185" s="361">
        <v>3.0</v>
      </c>
      <c r="D185" s="561"/>
      <c r="E185" s="561"/>
      <c r="F185" s="361" t="s">
        <v>1526</v>
      </c>
      <c r="G185" s="361" t="s">
        <v>1665</v>
      </c>
      <c r="H185" s="361" t="s">
        <v>1538</v>
      </c>
    </row>
    <row r="186">
      <c r="A186" s="585" t="s">
        <v>2849</v>
      </c>
      <c r="B186" s="366" t="s">
        <v>2841</v>
      </c>
      <c r="C186" s="366">
        <v>3.0</v>
      </c>
      <c r="D186" s="559"/>
      <c r="E186" s="559"/>
      <c r="F186" s="366" t="s">
        <v>1536</v>
      </c>
      <c r="G186" s="366" t="s">
        <v>1670</v>
      </c>
      <c r="H186" s="366" t="s">
        <v>2113</v>
      </c>
    </row>
    <row r="187">
      <c r="A187" s="584" t="s">
        <v>2850</v>
      </c>
      <c r="B187" s="361" t="s">
        <v>2841</v>
      </c>
      <c r="C187" s="361">
        <v>4.0</v>
      </c>
      <c r="D187" s="561"/>
      <c r="E187" s="561"/>
      <c r="F187" s="361" t="s">
        <v>1650</v>
      </c>
      <c r="G187" s="361" t="s">
        <v>1649</v>
      </c>
      <c r="H187" s="361" t="s">
        <v>1688</v>
      </c>
    </row>
    <row r="188">
      <c r="A188" s="585" t="s">
        <v>2851</v>
      </c>
      <c r="B188" s="366" t="s">
        <v>2841</v>
      </c>
      <c r="C188" s="366">
        <v>4.0</v>
      </c>
      <c r="D188" s="559"/>
      <c r="E188" s="559"/>
      <c r="F188" s="366" t="s">
        <v>1666</v>
      </c>
      <c r="G188" s="366" t="s">
        <v>1526</v>
      </c>
      <c r="H188" s="366" t="s">
        <v>1681</v>
      </c>
    </row>
    <row r="189">
      <c r="A189" s="584" t="s">
        <v>2852</v>
      </c>
      <c r="B189" s="361" t="s">
        <v>2841</v>
      </c>
      <c r="C189" s="361">
        <v>4.0</v>
      </c>
      <c r="D189" s="561"/>
      <c r="E189" s="561"/>
      <c r="F189" s="361" t="s">
        <v>1649</v>
      </c>
      <c r="G189" s="361" t="s">
        <v>1679</v>
      </c>
      <c r="H189" s="361" t="s">
        <v>1657</v>
      </c>
    </row>
    <row r="190">
      <c r="A190" s="585" t="s">
        <v>2853</v>
      </c>
      <c r="B190" s="366" t="s">
        <v>2841</v>
      </c>
      <c r="C190" s="366">
        <v>4.0</v>
      </c>
      <c r="D190" s="559"/>
      <c r="E190" s="559"/>
      <c r="F190" s="366" t="s">
        <v>2134</v>
      </c>
      <c r="G190" s="366" t="s">
        <v>1536</v>
      </c>
      <c r="H190" s="366" t="s">
        <v>2163</v>
      </c>
    </row>
    <row r="191">
      <c r="A191" s="584" t="s">
        <v>2854</v>
      </c>
      <c r="B191" s="361" t="s">
        <v>2841</v>
      </c>
      <c r="C191" s="361">
        <v>3.0</v>
      </c>
      <c r="D191" s="561"/>
      <c r="E191" s="561"/>
      <c r="F191" s="361" t="s">
        <v>2134</v>
      </c>
      <c r="G191" s="361" t="s">
        <v>1534</v>
      </c>
      <c r="H191" s="361" t="s">
        <v>1528</v>
      </c>
    </row>
    <row r="192">
      <c r="A192" s="585" t="s">
        <v>2855</v>
      </c>
      <c r="B192" s="366" t="s">
        <v>2841</v>
      </c>
      <c r="C192" s="366">
        <v>3.0</v>
      </c>
      <c r="D192" s="559"/>
      <c r="E192" s="559"/>
      <c r="F192" s="366" t="s">
        <v>1657</v>
      </c>
      <c r="G192" s="366" t="s">
        <v>1534</v>
      </c>
      <c r="H192" s="366" t="s">
        <v>1526</v>
      </c>
    </row>
    <row r="193">
      <c r="A193" s="584" t="s">
        <v>2856</v>
      </c>
      <c r="B193" s="361" t="s">
        <v>2841</v>
      </c>
      <c r="C193" s="361">
        <v>4.0</v>
      </c>
      <c r="D193" s="561"/>
      <c r="E193" s="561"/>
      <c r="F193" s="361" t="s">
        <v>1534</v>
      </c>
      <c r="G193" s="361" t="s">
        <v>2134</v>
      </c>
      <c r="H193" s="361" t="s">
        <v>1530</v>
      </c>
    </row>
    <row r="194">
      <c r="A194" s="585" t="s">
        <v>2857</v>
      </c>
      <c r="B194" s="366" t="s">
        <v>2841</v>
      </c>
      <c r="C194" s="366">
        <v>4.0</v>
      </c>
      <c r="D194" s="559"/>
      <c r="E194" s="559"/>
      <c r="F194" s="366" t="s">
        <v>1656</v>
      </c>
      <c r="G194" s="366" t="s">
        <v>2131</v>
      </c>
      <c r="H194" s="366" t="s">
        <v>1640</v>
      </c>
    </row>
    <row r="195">
      <c r="A195" s="584" t="s">
        <v>2858</v>
      </c>
      <c r="B195" s="361" t="s">
        <v>2841</v>
      </c>
      <c r="C195" s="361">
        <v>4.0</v>
      </c>
      <c r="D195" s="561"/>
      <c r="E195" s="561"/>
      <c r="F195" s="361" t="s">
        <v>1688</v>
      </c>
      <c r="G195" s="361" t="s">
        <v>1642</v>
      </c>
      <c r="H195" s="361" t="s">
        <v>1656</v>
      </c>
    </row>
    <row r="196">
      <c r="A196" s="585" t="s">
        <v>2859</v>
      </c>
      <c r="B196" s="366" t="s">
        <v>2841</v>
      </c>
      <c r="C196" s="366">
        <v>4.0</v>
      </c>
      <c r="D196" s="559"/>
      <c r="E196" s="559"/>
      <c r="F196" s="366" t="s">
        <v>1652</v>
      </c>
      <c r="G196" s="366" t="s">
        <v>1650</v>
      </c>
      <c r="H196" s="366" t="s">
        <v>2113</v>
      </c>
    </row>
    <row r="197">
      <c r="A197" s="584" t="s">
        <v>2860</v>
      </c>
      <c r="B197" s="361" t="s">
        <v>2841</v>
      </c>
      <c r="C197" s="361">
        <v>5.0</v>
      </c>
      <c r="D197" s="561"/>
      <c r="E197" s="561"/>
      <c r="F197" s="361" t="s">
        <v>1670</v>
      </c>
      <c r="G197" s="361" t="s">
        <v>1540</v>
      </c>
      <c r="H197" s="361" t="s">
        <v>1573</v>
      </c>
    </row>
    <row r="198">
      <c r="A198" s="585" t="s">
        <v>2861</v>
      </c>
      <c r="B198" s="366" t="s">
        <v>2841</v>
      </c>
      <c r="C198" s="366">
        <v>5.0</v>
      </c>
      <c r="D198" s="559"/>
      <c r="E198" s="559"/>
      <c r="F198" s="366" t="s">
        <v>1500</v>
      </c>
      <c r="G198" s="366" t="s">
        <v>2176</v>
      </c>
      <c r="H198" s="366" t="s">
        <v>1690</v>
      </c>
    </row>
    <row r="199">
      <c r="A199" s="584" t="s">
        <v>2862</v>
      </c>
      <c r="B199" s="361" t="s">
        <v>2841</v>
      </c>
      <c r="C199" s="361">
        <v>5.0</v>
      </c>
      <c r="D199" s="561"/>
      <c r="E199" s="561"/>
      <c r="F199" s="361" t="s">
        <v>1687</v>
      </c>
      <c r="G199" s="361" t="s">
        <v>1861</v>
      </c>
      <c r="H199" s="361" t="s">
        <v>2166</v>
      </c>
    </row>
    <row r="200">
      <c r="A200" s="585" t="s">
        <v>2863</v>
      </c>
      <c r="B200" s="366" t="s">
        <v>2841</v>
      </c>
      <c r="C200" s="366">
        <v>5.0</v>
      </c>
      <c r="D200" s="559"/>
      <c r="E200" s="559"/>
      <c r="F200" s="366" t="s">
        <v>2136</v>
      </c>
      <c r="G200" s="366" t="s">
        <v>1536</v>
      </c>
      <c r="H200" s="366" t="s">
        <v>2176</v>
      </c>
    </row>
    <row r="201">
      <c r="A201" s="584" t="s">
        <v>2864</v>
      </c>
      <c r="B201" s="361" t="s">
        <v>2841</v>
      </c>
      <c r="C201" s="361">
        <v>5.0</v>
      </c>
      <c r="D201" s="561"/>
      <c r="E201" s="561"/>
      <c r="F201" s="361" t="s">
        <v>1861</v>
      </c>
      <c r="G201" s="361" t="s">
        <v>1666</v>
      </c>
      <c r="H201" s="361" t="s">
        <v>2159</v>
      </c>
    </row>
    <row r="202">
      <c r="A202" s="585" t="s">
        <v>2865</v>
      </c>
      <c r="B202" s="366" t="s">
        <v>2841</v>
      </c>
      <c r="C202" s="366">
        <v>5.0</v>
      </c>
      <c r="D202" s="559"/>
      <c r="E202" s="559"/>
      <c r="F202" s="366" t="s">
        <v>1657</v>
      </c>
      <c r="G202" s="366" t="s">
        <v>1690</v>
      </c>
      <c r="H202" s="366" t="s">
        <v>2184</v>
      </c>
    </row>
    <row r="203">
      <c r="A203" s="584" t="s">
        <v>2866</v>
      </c>
      <c r="B203" s="361" t="s">
        <v>2841</v>
      </c>
      <c r="C203" s="361">
        <v>5.0</v>
      </c>
      <c r="D203" s="561"/>
      <c r="E203" s="561"/>
      <c r="F203" s="361" t="s">
        <v>2166</v>
      </c>
      <c r="G203" s="361" t="s">
        <v>1670</v>
      </c>
      <c r="H203" s="361" t="s">
        <v>1699</v>
      </c>
    </row>
    <row r="204">
      <c r="A204" s="585" t="s">
        <v>2867</v>
      </c>
      <c r="B204" s="366" t="s">
        <v>2841</v>
      </c>
      <c r="C204" s="366">
        <v>5.0</v>
      </c>
      <c r="D204" s="559"/>
      <c r="E204" s="559"/>
      <c r="F204" s="366" t="s">
        <v>2136</v>
      </c>
      <c r="G204" s="366" t="s">
        <v>1690</v>
      </c>
      <c r="H204" s="366" t="s">
        <v>1687</v>
      </c>
    </row>
    <row r="205">
      <c r="A205" s="584" t="s">
        <v>2868</v>
      </c>
      <c r="B205" s="361" t="s">
        <v>2841</v>
      </c>
      <c r="C205" s="361">
        <v>6.0</v>
      </c>
      <c r="D205" s="561"/>
      <c r="E205" s="561"/>
      <c r="F205" s="361" t="s">
        <v>1679</v>
      </c>
      <c r="G205" s="361" t="s">
        <v>2176</v>
      </c>
      <c r="H205" s="361" t="s">
        <v>2207</v>
      </c>
    </row>
    <row r="206">
      <c r="A206" s="585" t="s">
        <v>2869</v>
      </c>
      <c r="B206" s="366" t="s">
        <v>2841</v>
      </c>
      <c r="C206" s="366">
        <v>6.0</v>
      </c>
      <c r="D206" s="559"/>
      <c r="E206" s="559"/>
      <c r="F206" s="366" t="s">
        <v>1679</v>
      </c>
      <c r="G206" s="366" t="s">
        <v>2166</v>
      </c>
      <c r="H206" s="366" t="s">
        <v>2196</v>
      </c>
    </row>
    <row r="207">
      <c r="A207" s="584" t="s">
        <v>2870</v>
      </c>
      <c r="B207" s="361" t="s">
        <v>2841</v>
      </c>
      <c r="C207" s="361">
        <v>6.0</v>
      </c>
      <c r="D207" s="561"/>
      <c r="E207" s="561"/>
      <c r="F207" s="361" t="s">
        <v>2163</v>
      </c>
      <c r="G207" s="361" t="s">
        <v>1707</v>
      </c>
      <c r="H207" s="361" t="s">
        <v>2016</v>
      </c>
    </row>
    <row r="208">
      <c r="A208" s="585" t="s">
        <v>2871</v>
      </c>
      <c r="B208" s="366" t="s">
        <v>2841</v>
      </c>
      <c r="C208" s="366">
        <v>6.0</v>
      </c>
      <c r="D208" s="559"/>
      <c r="E208" s="559"/>
      <c r="F208" s="366" t="s">
        <v>1575</v>
      </c>
      <c r="G208" s="366" t="s">
        <v>1690</v>
      </c>
      <c r="H208" s="366" t="s">
        <v>1573</v>
      </c>
    </row>
    <row r="209">
      <c r="A209" s="584" t="s">
        <v>2872</v>
      </c>
      <c r="B209" s="361" t="s">
        <v>2841</v>
      </c>
      <c r="C209" s="361">
        <v>6.0</v>
      </c>
      <c r="D209" s="561"/>
      <c r="E209" s="561"/>
      <c r="F209" s="361" t="s">
        <v>1699</v>
      </c>
      <c r="G209" s="361" t="s">
        <v>2216</v>
      </c>
      <c r="H209" s="361" t="s">
        <v>1540</v>
      </c>
    </row>
    <row r="210">
      <c r="A210" s="585" t="s">
        <v>2873</v>
      </c>
      <c r="B210" s="366" t="s">
        <v>2841</v>
      </c>
      <c r="C210" s="366">
        <v>6.0</v>
      </c>
      <c r="D210" s="559"/>
      <c r="E210" s="559"/>
      <c r="F210" s="366" t="s">
        <v>1687</v>
      </c>
      <c r="G210" s="366" t="s">
        <v>2199</v>
      </c>
      <c r="H210" s="366" t="s">
        <v>2207</v>
      </c>
    </row>
    <row r="211">
      <c r="A211" s="584" t="s">
        <v>2874</v>
      </c>
      <c r="B211" s="361" t="s">
        <v>2841</v>
      </c>
      <c r="C211" s="361">
        <v>6.0</v>
      </c>
      <c r="D211" s="561"/>
      <c r="E211" s="561"/>
      <c r="F211" s="361" t="s">
        <v>1688</v>
      </c>
      <c r="G211" s="361" t="s">
        <v>1679</v>
      </c>
      <c r="H211" s="361" t="s">
        <v>1687</v>
      </c>
    </row>
    <row r="212">
      <c r="A212" s="585" t="s">
        <v>2875</v>
      </c>
      <c r="B212" s="366" t="s">
        <v>2841</v>
      </c>
      <c r="C212" s="366">
        <v>6.0</v>
      </c>
      <c r="D212" s="559"/>
      <c r="E212" s="559"/>
      <c r="F212" s="366" t="s">
        <v>2216</v>
      </c>
      <c r="G212" s="366" t="s">
        <v>1711</v>
      </c>
      <c r="H212" s="366" t="s">
        <v>2207</v>
      </c>
    </row>
    <row r="213">
      <c r="A213" s="584" t="s">
        <v>2876</v>
      </c>
      <c r="B213" s="361" t="s">
        <v>2841</v>
      </c>
      <c r="C213" s="361">
        <v>6.0</v>
      </c>
      <c r="D213" s="561"/>
      <c r="E213" s="561"/>
      <c r="F213" s="361" t="s">
        <v>1687</v>
      </c>
      <c r="G213" s="361" t="s">
        <v>1693</v>
      </c>
      <c r="H213" s="361" t="s">
        <v>1688</v>
      </c>
    </row>
    <row r="214">
      <c r="A214" s="585" t="s">
        <v>2877</v>
      </c>
      <c r="B214" s="366" t="s">
        <v>2841</v>
      </c>
      <c r="C214" s="366">
        <v>6.0</v>
      </c>
      <c r="D214" s="559"/>
      <c r="E214" s="559"/>
      <c r="F214" s="366" t="s">
        <v>1573</v>
      </c>
      <c r="G214" s="366" t="s">
        <v>1699</v>
      </c>
      <c r="H214" s="366" t="s">
        <v>1681</v>
      </c>
    </row>
    <row r="215">
      <c r="A215" s="584" t="s">
        <v>2878</v>
      </c>
      <c r="B215" s="361" t="s">
        <v>2841</v>
      </c>
      <c r="C215" s="361">
        <v>6.0</v>
      </c>
      <c r="D215" s="561"/>
      <c r="E215" s="561"/>
      <c r="F215" s="361" t="s">
        <v>1693</v>
      </c>
      <c r="G215" s="361" t="s">
        <v>1711</v>
      </c>
      <c r="H215" s="361" t="s">
        <v>2159</v>
      </c>
    </row>
    <row r="216">
      <c r="A216" s="585" t="s">
        <v>2879</v>
      </c>
      <c r="B216" s="366" t="s">
        <v>2841</v>
      </c>
      <c r="C216" s="366">
        <v>6.0</v>
      </c>
      <c r="D216" s="559"/>
      <c r="E216" s="559"/>
      <c r="F216" s="366" t="s">
        <v>1575</v>
      </c>
      <c r="G216" s="366" t="s">
        <v>2159</v>
      </c>
      <c r="H216" s="366" t="s">
        <v>1711</v>
      </c>
    </row>
    <row r="217">
      <c r="A217" s="584" t="s">
        <v>2880</v>
      </c>
      <c r="B217" s="361" t="s">
        <v>2841</v>
      </c>
      <c r="C217" s="361">
        <v>6.0</v>
      </c>
      <c r="D217" s="561"/>
      <c r="E217" s="561"/>
      <c r="F217" s="361" t="s">
        <v>2176</v>
      </c>
      <c r="G217" s="361" t="s">
        <v>1699</v>
      </c>
      <c r="H217" s="361" t="s">
        <v>2163</v>
      </c>
    </row>
    <row r="218">
      <c r="A218" s="585" t="s">
        <v>2881</v>
      </c>
      <c r="B218" s="366" t="s">
        <v>2841</v>
      </c>
      <c r="C218" s="366">
        <v>6.0</v>
      </c>
      <c r="D218" s="559"/>
      <c r="E218" s="559"/>
      <c r="F218" s="366" t="s">
        <v>2176</v>
      </c>
      <c r="G218" s="366" t="s">
        <v>2026</v>
      </c>
      <c r="H218" s="366" t="s">
        <v>2166</v>
      </c>
    </row>
    <row r="219">
      <c r="A219" s="584" t="s">
        <v>2882</v>
      </c>
      <c r="B219" s="361" t="s">
        <v>2841</v>
      </c>
      <c r="C219" s="361">
        <v>7.0</v>
      </c>
      <c r="D219" s="561"/>
      <c r="E219" s="561"/>
      <c r="F219" s="361" t="s">
        <v>2216</v>
      </c>
      <c r="G219" s="361" t="s">
        <v>2199</v>
      </c>
      <c r="H219" s="361" t="s">
        <v>1725</v>
      </c>
    </row>
    <row r="220">
      <c r="A220" s="585" t="s">
        <v>2883</v>
      </c>
      <c r="B220" s="366" t="s">
        <v>2841</v>
      </c>
      <c r="C220" s="366">
        <v>7.0</v>
      </c>
      <c r="D220" s="559"/>
      <c r="E220" s="559"/>
      <c r="F220" s="366" t="s">
        <v>2207</v>
      </c>
      <c r="G220" s="366" t="s">
        <v>1699</v>
      </c>
      <c r="H220" s="366" t="s">
        <v>2223</v>
      </c>
    </row>
    <row r="221">
      <c r="A221" s="584" t="s">
        <v>2884</v>
      </c>
      <c r="B221" s="361" t="s">
        <v>2841</v>
      </c>
      <c r="C221" s="361">
        <v>7.0</v>
      </c>
      <c r="D221" s="561"/>
      <c r="E221" s="561"/>
      <c r="F221" s="361" t="s">
        <v>1690</v>
      </c>
      <c r="G221" s="361" t="s">
        <v>1711</v>
      </c>
      <c r="H221" s="361" t="s">
        <v>1725</v>
      </c>
    </row>
    <row r="222">
      <c r="A222" s="585" t="s">
        <v>2885</v>
      </c>
      <c r="B222" s="366" t="s">
        <v>2841</v>
      </c>
      <c r="C222" s="366">
        <v>7.0</v>
      </c>
      <c r="D222" s="559"/>
      <c r="E222" s="559"/>
      <c r="F222" s="366" t="s">
        <v>1690</v>
      </c>
      <c r="G222" s="366" t="s">
        <v>2199</v>
      </c>
      <c r="H222" s="366" t="s">
        <v>1699</v>
      </c>
    </row>
    <row r="223">
      <c r="A223" s="584" t="s">
        <v>2886</v>
      </c>
      <c r="B223" s="361" t="s">
        <v>2841</v>
      </c>
      <c r="C223" s="361">
        <v>7.0</v>
      </c>
      <c r="D223" s="561"/>
      <c r="E223" s="561"/>
      <c r="F223" s="361" t="s">
        <v>1707</v>
      </c>
      <c r="G223" s="361" t="s">
        <v>1540</v>
      </c>
      <c r="H223" s="361" t="s">
        <v>2216</v>
      </c>
    </row>
    <row r="224">
      <c r="A224" s="585" t="s">
        <v>2887</v>
      </c>
      <c r="B224" s="366" t="s">
        <v>2841</v>
      </c>
      <c r="C224" s="366">
        <v>7.0</v>
      </c>
      <c r="D224" s="559"/>
      <c r="E224" s="559"/>
      <c r="F224" s="366" t="s">
        <v>2203</v>
      </c>
      <c r="G224" s="366" t="s">
        <v>1707</v>
      </c>
      <c r="H224" s="366" t="s">
        <v>2016</v>
      </c>
    </row>
    <row r="225">
      <c r="A225" s="584" t="s">
        <v>2888</v>
      </c>
      <c r="B225" s="361" t="s">
        <v>2841</v>
      </c>
      <c r="C225" s="361">
        <v>7.0</v>
      </c>
      <c r="D225" s="561"/>
      <c r="E225" s="561"/>
      <c r="F225" s="361" t="s">
        <v>2223</v>
      </c>
      <c r="G225" s="361" t="s">
        <v>2203</v>
      </c>
      <c r="H225" s="361" t="s">
        <v>1575</v>
      </c>
    </row>
    <row r="226">
      <c r="A226" s="585" t="s">
        <v>2889</v>
      </c>
      <c r="B226" s="366" t="s">
        <v>2841</v>
      </c>
      <c r="C226" s="366">
        <v>8.0</v>
      </c>
      <c r="D226" s="559"/>
      <c r="E226" s="559"/>
      <c r="F226" s="366" t="s">
        <v>2216</v>
      </c>
      <c r="G226" s="366" t="s">
        <v>2233</v>
      </c>
      <c r="H226" s="366" t="s">
        <v>2780</v>
      </c>
    </row>
    <row r="227">
      <c r="A227" s="584" t="s">
        <v>2890</v>
      </c>
      <c r="B227" s="361" t="s">
        <v>2841</v>
      </c>
      <c r="C227" s="361">
        <v>8.0</v>
      </c>
      <c r="D227" s="561"/>
      <c r="E227" s="561"/>
      <c r="F227" s="361" t="s">
        <v>2834</v>
      </c>
      <c r="G227" s="361" t="s">
        <v>1725</v>
      </c>
      <c r="H227" s="361" t="s">
        <v>2203</v>
      </c>
    </row>
    <row r="228">
      <c r="A228" s="585" t="s">
        <v>2891</v>
      </c>
      <c r="B228" s="366" t="s">
        <v>2841</v>
      </c>
      <c r="C228" s="366">
        <v>8.0</v>
      </c>
      <c r="D228" s="559"/>
      <c r="E228" s="559"/>
      <c r="F228" s="366" t="s">
        <v>2782</v>
      </c>
      <c r="G228" s="366" t="s">
        <v>1725</v>
      </c>
      <c r="H228" s="366" t="s">
        <v>2216</v>
      </c>
    </row>
    <row r="229">
      <c r="A229" s="584" t="s">
        <v>2892</v>
      </c>
      <c r="B229" s="361" t="s">
        <v>2841</v>
      </c>
      <c r="C229" s="361">
        <v>8.0</v>
      </c>
      <c r="D229" s="561"/>
      <c r="E229" s="561"/>
      <c r="F229" s="361" t="s">
        <v>2216</v>
      </c>
      <c r="G229" s="361" t="s">
        <v>2203</v>
      </c>
      <c r="H229" s="361" t="s">
        <v>2207</v>
      </c>
    </row>
    <row r="230">
      <c r="A230" s="585" t="s">
        <v>2893</v>
      </c>
      <c r="B230" s="366" t="s">
        <v>2841</v>
      </c>
      <c r="C230" s="366">
        <v>9.0</v>
      </c>
      <c r="D230" s="559"/>
      <c r="E230" s="559"/>
      <c r="F230" s="366" t="s">
        <v>2894</v>
      </c>
      <c r="G230" s="366" t="s">
        <v>1720</v>
      </c>
      <c r="H230" s="366" t="s">
        <v>2037</v>
      </c>
    </row>
    <row r="231">
      <c r="A231" s="584" t="s">
        <v>2895</v>
      </c>
      <c r="B231" s="361" t="s">
        <v>2841</v>
      </c>
      <c r="C231" s="361">
        <v>9.0</v>
      </c>
      <c r="D231" s="561"/>
      <c r="E231" s="561"/>
      <c r="F231" s="361" t="s">
        <v>1897</v>
      </c>
      <c r="G231" s="361" t="s">
        <v>2896</v>
      </c>
      <c r="H231" s="361" t="s">
        <v>2897</v>
      </c>
    </row>
    <row r="232">
      <c r="A232" s="585" t="s">
        <v>2898</v>
      </c>
      <c r="B232" s="366" t="s">
        <v>2841</v>
      </c>
      <c r="C232" s="366">
        <v>9.0</v>
      </c>
      <c r="D232" s="559"/>
      <c r="E232" s="559"/>
      <c r="F232" s="366" t="s">
        <v>2780</v>
      </c>
      <c r="G232" s="366" t="s">
        <v>2233</v>
      </c>
      <c r="H232" s="366" t="s">
        <v>2229</v>
      </c>
    </row>
    <row r="233">
      <c r="A233" s="584" t="s">
        <v>2899</v>
      </c>
      <c r="B233" s="361" t="s">
        <v>2841</v>
      </c>
      <c r="C233" s="361">
        <v>9.0</v>
      </c>
      <c r="D233" s="561"/>
      <c r="E233" s="561"/>
      <c r="F233" s="361" t="s">
        <v>2896</v>
      </c>
      <c r="G233" s="361" t="s">
        <v>2239</v>
      </c>
      <c r="H233" s="361" t="s">
        <v>2900</v>
      </c>
    </row>
    <row r="234">
      <c r="A234" s="585" t="s">
        <v>2901</v>
      </c>
      <c r="B234" s="366" t="s">
        <v>2841</v>
      </c>
      <c r="C234" s="366">
        <v>9.0</v>
      </c>
      <c r="D234" s="559"/>
      <c r="E234" s="559"/>
      <c r="F234" s="366" t="s">
        <v>2780</v>
      </c>
      <c r="G234" s="366" t="s">
        <v>2229</v>
      </c>
      <c r="H234" s="366" t="s">
        <v>1720</v>
      </c>
    </row>
    <row r="235">
      <c r="A235" s="584" t="s">
        <v>2902</v>
      </c>
      <c r="B235" s="361" t="s">
        <v>2841</v>
      </c>
      <c r="C235" s="361">
        <v>9.0</v>
      </c>
      <c r="D235" s="561"/>
      <c r="E235" s="561"/>
      <c r="F235" s="361" t="s">
        <v>2780</v>
      </c>
      <c r="G235" s="361" t="s">
        <v>2903</v>
      </c>
      <c r="H235" s="361" t="s">
        <v>2896</v>
      </c>
    </row>
    <row r="236">
      <c r="A236" s="585" t="s">
        <v>2904</v>
      </c>
      <c r="B236" s="366" t="s">
        <v>2841</v>
      </c>
      <c r="C236" s="366">
        <v>9.0</v>
      </c>
      <c r="D236" s="559"/>
      <c r="E236" s="559"/>
      <c r="F236" s="366" t="s">
        <v>2897</v>
      </c>
      <c r="G236" s="366" t="s">
        <v>2037</v>
      </c>
      <c r="H236" s="366" t="s">
        <v>2896</v>
      </c>
    </row>
    <row r="237">
      <c r="A237" s="584" t="s">
        <v>2905</v>
      </c>
      <c r="B237" s="361" t="s">
        <v>2841</v>
      </c>
      <c r="C237" s="361">
        <v>9.0</v>
      </c>
      <c r="D237" s="561"/>
      <c r="E237" s="561"/>
      <c r="F237" s="361" t="s">
        <v>2239</v>
      </c>
      <c r="G237" s="361" t="s">
        <v>1720</v>
      </c>
      <c r="H237" s="361" t="s">
        <v>1725</v>
      </c>
    </row>
    <row r="238">
      <c r="A238" s="585" t="s">
        <v>2906</v>
      </c>
      <c r="B238" s="366" t="s">
        <v>2841</v>
      </c>
      <c r="C238" s="366">
        <v>9.0</v>
      </c>
      <c r="D238" s="559"/>
      <c r="E238" s="559"/>
      <c r="F238" s="366" t="s">
        <v>2897</v>
      </c>
      <c r="G238" s="366" t="s">
        <v>2900</v>
      </c>
      <c r="H238" s="366" t="s">
        <v>2896</v>
      </c>
    </row>
    <row r="239">
      <c r="A239" s="584" t="s">
        <v>2907</v>
      </c>
      <c r="B239" s="361" t="s">
        <v>2841</v>
      </c>
      <c r="C239" s="361">
        <v>9.0</v>
      </c>
      <c r="D239" s="561"/>
      <c r="E239" s="561"/>
      <c r="F239" s="361" t="s">
        <v>2894</v>
      </c>
      <c r="G239" s="361" t="s">
        <v>1725</v>
      </c>
      <c r="H239" s="361" t="s">
        <v>1720</v>
      </c>
    </row>
    <row r="240">
      <c r="A240" s="585" t="s">
        <v>2908</v>
      </c>
      <c r="B240" s="366" t="s">
        <v>2841</v>
      </c>
      <c r="C240" s="366">
        <v>9.0</v>
      </c>
      <c r="D240" s="559"/>
      <c r="E240" s="559"/>
      <c r="F240" s="366" t="s">
        <v>2837</v>
      </c>
      <c r="G240" s="366" t="s">
        <v>2782</v>
      </c>
      <c r="H240" s="366" t="s">
        <v>2239</v>
      </c>
    </row>
    <row r="241">
      <c r="A241" s="584" t="s">
        <v>2909</v>
      </c>
      <c r="B241" s="361" t="s">
        <v>2841</v>
      </c>
      <c r="C241" s="361">
        <v>9.0</v>
      </c>
      <c r="D241" s="561"/>
      <c r="E241" s="561"/>
      <c r="F241" s="361" t="s">
        <v>2897</v>
      </c>
      <c r="G241" s="361" t="s">
        <v>1897</v>
      </c>
      <c r="H241" s="361" t="s">
        <v>2900</v>
      </c>
    </row>
    <row r="242">
      <c r="A242" s="585" t="s">
        <v>2910</v>
      </c>
      <c r="B242" s="366" t="s">
        <v>2841</v>
      </c>
      <c r="C242" s="366">
        <v>9.0</v>
      </c>
      <c r="D242" s="559"/>
      <c r="E242" s="559"/>
      <c r="F242" s="366" t="s">
        <v>2897</v>
      </c>
      <c r="G242" s="366" t="s">
        <v>2037</v>
      </c>
      <c r="H242" s="366" t="s">
        <v>2900</v>
      </c>
    </row>
    <row r="243">
      <c r="A243" s="584" t="s">
        <v>2911</v>
      </c>
      <c r="B243" s="361" t="s">
        <v>2841</v>
      </c>
      <c r="C243" s="361">
        <v>10.0</v>
      </c>
      <c r="D243" s="561"/>
      <c r="E243" s="561"/>
      <c r="F243" s="361" t="s">
        <v>2896</v>
      </c>
      <c r="G243" s="361" t="s">
        <v>2894</v>
      </c>
      <c r="H243" s="361" t="s">
        <v>2233</v>
      </c>
    </row>
    <row r="244">
      <c r="A244" s="585" t="s">
        <v>2912</v>
      </c>
      <c r="B244" s="366" t="s">
        <v>2841</v>
      </c>
      <c r="C244" s="366">
        <v>10.0</v>
      </c>
      <c r="D244" s="559"/>
      <c r="E244" s="559"/>
      <c r="F244" s="366" t="s">
        <v>2896</v>
      </c>
      <c r="G244" s="366" t="s">
        <v>1725</v>
      </c>
      <c r="H244" s="366" t="s">
        <v>2839</v>
      </c>
    </row>
    <row r="245">
      <c r="A245" s="584" t="s">
        <v>2913</v>
      </c>
      <c r="B245" s="361" t="s">
        <v>2841</v>
      </c>
      <c r="C245" s="361">
        <v>10.0</v>
      </c>
      <c r="D245" s="561"/>
      <c r="E245" s="561"/>
      <c r="F245" s="361" t="s">
        <v>2233</v>
      </c>
      <c r="G245" s="361" t="s">
        <v>2783</v>
      </c>
      <c r="H245" s="361" t="s">
        <v>1720</v>
      </c>
    </row>
    <row r="246">
      <c r="A246" s="585" t="s">
        <v>2914</v>
      </c>
      <c r="B246" s="366" t="s">
        <v>2841</v>
      </c>
      <c r="C246" s="366">
        <v>10.0</v>
      </c>
      <c r="D246" s="559"/>
      <c r="E246" s="559"/>
      <c r="F246" s="366" t="s">
        <v>2896</v>
      </c>
      <c r="G246" s="366" t="s">
        <v>2897</v>
      </c>
      <c r="H246" s="366" t="s">
        <v>2782</v>
      </c>
    </row>
    <row r="247">
      <c r="A247" s="584" t="s">
        <v>2915</v>
      </c>
      <c r="B247" s="361" t="s">
        <v>2841</v>
      </c>
      <c r="C247" s="361">
        <v>10.0</v>
      </c>
      <c r="D247" s="561"/>
      <c r="E247" s="561"/>
      <c r="F247" s="361" t="s">
        <v>2783</v>
      </c>
      <c r="G247" s="361" t="s">
        <v>2239</v>
      </c>
      <c r="H247" s="361" t="s">
        <v>2900</v>
      </c>
    </row>
    <row r="248">
      <c r="A248" s="585" t="s">
        <v>2916</v>
      </c>
      <c r="B248" s="366" t="s">
        <v>2841</v>
      </c>
      <c r="C248" s="366">
        <v>10.0</v>
      </c>
      <c r="D248" s="559"/>
      <c r="E248" s="559"/>
      <c r="F248" s="366" t="s">
        <v>2782</v>
      </c>
      <c r="G248" s="366" t="s">
        <v>2839</v>
      </c>
      <c r="H248" s="366" t="s">
        <v>2233</v>
      </c>
    </row>
    <row r="249">
      <c r="A249" s="584" t="s">
        <v>2917</v>
      </c>
      <c r="B249" s="361" t="s">
        <v>2841</v>
      </c>
      <c r="C249" s="361">
        <v>10.0</v>
      </c>
      <c r="D249" s="561"/>
      <c r="E249" s="561"/>
      <c r="F249" s="361" t="s">
        <v>2780</v>
      </c>
      <c r="G249" s="361" t="s">
        <v>2229</v>
      </c>
      <c r="H249" s="361" t="s">
        <v>1720</v>
      </c>
    </row>
    <row r="250">
      <c r="A250" s="585" t="s">
        <v>2918</v>
      </c>
      <c r="B250" s="366" t="s">
        <v>2841</v>
      </c>
      <c r="C250" s="366">
        <v>10.0</v>
      </c>
      <c r="D250" s="559"/>
      <c r="E250" s="559"/>
      <c r="F250" s="366" t="s">
        <v>2903</v>
      </c>
      <c r="G250" s="366" t="s">
        <v>2896</v>
      </c>
      <c r="H250" s="366" t="s">
        <v>2233</v>
      </c>
    </row>
    <row r="251">
      <c r="A251" s="584" t="s">
        <v>2919</v>
      </c>
      <c r="B251" s="361" t="s">
        <v>2841</v>
      </c>
      <c r="C251" s="361">
        <v>10.0</v>
      </c>
      <c r="D251" s="561"/>
      <c r="E251" s="561"/>
      <c r="F251" s="361" t="s">
        <v>2239</v>
      </c>
      <c r="G251" s="361" t="s">
        <v>2834</v>
      </c>
      <c r="H251" s="361" t="s">
        <v>2782</v>
      </c>
    </row>
    <row r="252">
      <c r="A252" s="585" t="s">
        <v>2920</v>
      </c>
      <c r="B252" s="366" t="s">
        <v>2841</v>
      </c>
      <c r="C252" s="366">
        <v>10.0</v>
      </c>
      <c r="D252" s="559"/>
      <c r="E252" s="559"/>
      <c r="F252" s="366" t="s">
        <v>2037</v>
      </c>
      <c r="G252" s="366" t="s">
        <v>1725</v>
      </c>
      <c r="H252" s="366" t="s">
        <v>2900</v>
      </c>
    </row>
    <row r="253">
      <c r="A253" s="584" t="s">
        <v>2921</v>
      </c>
      <c r="B253" s="361" t="s">
        <v>2841</v>
      </c>
      <c r="C253" s="361">
        <v>10.0</v>
      </c>
      <c r="D253" s="561"/>
      <c r="E253" s="561"/>
      <c r="F253" s="361" t="s">
        <v>2269</v>
      </c>
      <c r="G253" s="361" t="s">
        <v>2782</v>
      </c>
      <c r="H253" s="361" t="s">
        <v>1725</v>
      </c>
    </row>
    <row r="254">
      <c r="A254" s="585" t="s">
        <v>2922</v>
      </c>
      <c r="B254" s="366" t="s">
        <v>2841</v>
      </c>
      <c r="C254" s="366">
        <v>10.0</v>
      </c>
      <c r="D254" s="559"/>
      <c r="E254" s="559"/>
      <c r="F254" s="366" t="s">
        <v>1897</v>
      </c>
      <c r="G254" s="366" t="s">
        <v>2239</v>
      </c>
      <c r="H254" s="366" t="s">
        <v>2037</v>
      </c>
    </row>
    <row r="255">
      <c r="A255" s="584" t="s">
        <v>2923</v>
      </c>
      <c r="B255" s="361" t="s">
        <v>2841</v>
      </c>
      <c r="C255" s="361">
        <v>10.0</v>
      </c>
      <c r="D255" s="561"/>
      <c r="E255" s="561"/>
      <c r="F255" s="361" t="s">
        <v>2900</v>
      </c>
      <c r="G255" s="361" t="s">
        <v>2834</v>
      </c>
      <c r="H255" s="361" t="s">
        <v>2839</v>
      </c>
    </row>
    <row r="256">
      <c r="A256" s="585" t="s">
        <v>2924</v>
      </c>
      <c r="B256" s="366" t="s">
        <v>2841</v>
      </c>
      <c r="C256" s="366">
        <v>10.0</v>
      </c>
      <c r="D256" s="559"/>
      <c r="E256" s="559"/>
      <c r="F256" s="366" t="s">
        <v>2239</v>
      </c>
      <c r="G256" s="366" t="s">
        <v>2229</v>
      </c>
      <c r="H256" s="366" t="s">
        <v>2903</v>
      </c>
    </row>
    <row r="257">
      <c r="A257" s="584" t="s">
        <v>2925</v>
      </c>
      <c r="B257" s="361" t="s">
        <v>2841</v>
      </c>
      <c r="C257" s="361">
        <v>10.0</v>
      </c>
      <c r="D257" s="561"/>
      <c r="E257" s="561"/>
      <c r="F257" s="361" t="s">
        <v>2897</v>
      </c>
      <c r="G257" s="361" t="s">
        <v>1725</v>
      </c>
      <c r="H257" s="361" t="s">
        <v>2839</v>
      </c>
    </row>
    <row r="258">
      <c r="A258" s="585" t="s">
        <v>2926</v>
      </c>
      <c r="B258" s="366" t="s">
        <v>2841</v>
      </c>
      <c r="C258" s="366">
        <v>10.0</v>
      </c>
      <c r="D258" s="559"/>
      <c r="E258" s="559"/>
      <c r="F258" s="366" t="s">
        <v>2896</v>
      </c>
      <c r="G258" s="366" t="s">
        <v>2229</v>
      </c>
      <c r="H258" s="366" t="s">
        <v>2239</v>
      </c>
    </row>
    <row r="259">
      <c r="A259" s="584" t="s">
        <v>2927</v>
      </c>
      <c r="B259" s="361" t="s">
        <v>2841</v>
      </c>
      <c r="C259" s="361">
        <v>10.0</v>
      </c>
      <c r="D259" s="561"/>
      <c r="E259" s="561"/>
      <c r="F259" s="361" t="s">
        <v>2782</v>
      </c>
      <c r="G259" s="361" t="s">
        <v>2783</v>
      </c>
      <c r="H259" s="361" t="s">
        <v>2223</v>
      </c>
    </row>
    <row r="260">
      <c r="A260" s="585" t="s">
        <v>2928</v>
      </c>
      <c r="B260" s="366" t="s">
        <v>2929</v>
      </c>
      <c r="C260" s="366">
        <v>1.0</v>
      </c>
      <c r="D260" s="559"/>
      <c r="E260" s="559"/>
      <c r="F260" s="366" t="s">
        <v>2053</v>
      </c>
      <c r="G260" s="366" t="s">
        <v>2083</v>
      </c>
      <c r="H260" s="366" t="s">
        <v>2076</v>
      </c>
    </row>
    <row r="261">
      <c r="A261" s="584" t="s">
        <v>2930</v>
      </c>
      <c r="B261" s="361" t="s">
        <v>2929</v>
      </c>
      <c r="C261" s="361">
        <v>2.0</v>
      </c>
      <c r="D261" s="561"/>
      <c r="E261" s="561"/>
      <c r="F261" s="361" t="s">
        <v>1980</v>
      </c>
      <c r="G261" s="361" t="s">
        <v>1528</v>
      </c>
      <c r="H261" s="361" t="s">
        <v>2083</v>
      </c>
    </row>
    <row r="262">
      <c r="A262" s="585" t="s">
        <v>2931</v>
      </c>
      <c r="B262" s="366" t="s">
        <v>2929</v>
      </c>
      <c r="C262" s="366">
        <v>2.0</v>
      </c>
      <c r="D262" s="559"/>
      <c r="E262" s="559"/>
      <c r="F262" s="366" t="s">
        <v>2083</v>
      </c>
      <c r="G262" s="366" t="s">
        <v>1656</v>
      </c>
      <c r="H262" s="366" t="s">
        <v>1528</v>
      </c>
    </row>
    <row r="263">
      <c r="A263" s="584" t="s">
        <v>2932</v>
      </c>
      <c r="B263" s="361" t="s">
        <v>2929</v>
      </c>
      <c r="C263" s="361">
        <v>3.0</v>
      </c>
      <c r="D263" s="561"/>
      <c r="E263" s="561"/>
      <c r="F263" s="361" t="s">
        <v>1656</v>
      </c>
      <c r="G263" s="361" t="s">
        <v>1528</v>
      </c>
      <c r="H263" s="361" t="s">
        <v>1670</v>
      </c>
    </row>
    <row r="264">
      <c r="A264" s="585" t="s">
        <v>2933</v>
      </c>
      <c r="B264" s="366" t="s">
        <v>2929</v>
      </c>
      <c r="C264" s="366">
        <v>4.0</v>
      </c>
      <c r="D264" s="559"/>
      <c r="E264" s="559"/>
      <c r="F264" s="366" t="s">
        <v>1665</v>
      </c>
      <c r="G264" s="366" t="s">
        <v>1670</v>
      </c>
      <c r="H264" s="366" t="s">
        <v>1687</v>
      </c>
    </row>
    <row r="265">
      <c r="A265" s="584" t="s">
        <v>2934</v>
      </c>
      <c r="B265" s="361" t="s">
        <v>2929</v>
      </c>
      <c r="C265" s="361">
        <v>5.0</v>
      </c>
      <c r="D265" s="561"/>
      <c r="E265" s="561"/>
      <c r="F265" s="361" t="s">
        <v>1670</v>
      </c>
      <c r="G265" s="361" t="s">
        <v>2184</v>
      </c>
      <c r="H265" s="361" t="s">
        <v>2196</v>
      </c>
    </row>
    <row r="266">
      <c r="A266" s="585" t="s">
        <v>2935</v>
      </c>
      <c r="B266" s="366" t="s">
        <v>2929</v>
      </c>
      <c r="C266" s="366">
        <v>5.0</v>
      </c>
      <c r="D266" s="559"/>
      <c r="E266" s="559"/>
      <c r="F266" s="366" t="s">
        <v>1687</v>
      </c>
      <c r="G266" s="366" t="s">
        <v>2196</v>
      </c>
      <c r="H266" s="366" t="s">
        <v>1540</v>
      </c>
    </row>
    <row r="267">
      <c r="A267" s="584" t="s">
        <v>2936</v>
      </c>
      <c r="B267" s="361" t="s">
        <v>2929</v>
      </c>
      <c r="C267" s="361">
        <v>6.0</v>
      </c>
      <c r="D267" s="561"/>
      <c r="E267" s="561"/>
      <c r="F267" s="361" t="s">
        <v>2207</v>
      </c>
      <c r="G267" s="361" t="s">
        <v>2176</v>
      </c>
      <c r="H267" s="361" t="s">
        <v>2199</v>
      </c>
    </row>
    <row r="268">
      <c r="A268" s="585" t="s">
        <v>2937</v>
      </c>
      <c r="B268" s="366" t="s">
        <v>2929</v>
      </c>
      <c r="C268" s="366">
        <v>7.0</v>
      </c>
      <c r="D268" s="559"/>
      <c r="E268" s="559"/>
      <c r="F268" s="366" t="s">
        <v>2196</v>
      </c>
      <c r="G268" s="366" t="s">
        <v>1720</v>
      </c>
      <c r="H268" s="366" t="s">
        <v>2780</v>
      </c>
    </row>
    <row r="269">
      <c r="A269" s="584" t="s">
        <v>2938</v>
      </c>
      <c r="B269" s="361" t="s">
        <v>2929</v>
      </c>
      <c r="C269" s="361">
        <v>9.0</v>
      </c>
      <c r="D269" s="561"/>
      <c r="E269" s="561"/>
      <c r="F269" s="361" t="s">
        <v>2839</v>
      </c>
      <c r="G269" s="361" t="s">
        <v>2897</v>
      </c>
      <c r="H269" s="361" t="s">
        <v>2239</v>
      </c>
    </row>
    <row r="270">
      <c r="A270" s="585" t="s">
        <v>2939</v>
      </c>
      <c r="B270" s="366" t="s">
        <v>2929</v>
      </c>
      <c r="C270" s="366">
        <v>9.0</v>
      </c>
      <c r="D270" s="559"/>
      <c r="E270" s="559"/>
      <c r="F270" s="366" t="s">
        <v>2780</v>
      </c>
      <c r="G270" s="366" t="s">
        <v>1897</v>
      </c>
      <c r="H270" s="366" t="s">
        <v>1720</v>
      </c>
    </row>
    <row r="271">
      <c r="A271" s="584" t="s">
        <v>2940</v>
      </c>
      <c r="B271" s="361" t="s">
        <v>2929</v>
      </c>
      <c r="C271" s="361">
        <v>9.0</v>
      </c>
      <c r="D271" s="561"/>
      <c r="E271" s="561"/>
      <c r="F271" s="361" t="s">
        <v>2223</v>
      </c>
      <c r="G271" s="361" t="s">
        <v>2839</v>
      </c>
      <c r="H271" s="361" t="s">
        <v>2782</v>
      </c>
    </row>
    <row r="272">
      <c r="A272" s="585" t="s">
        <v>2941</v>
      </c>
      <c r="B272" s="366" t="s">
        <v>2942</v>
      </c>
      <c r="C272" s="366">
        <v>1.0</v>
      </c>
      <c r="D272" s="559"/>
      <c r="E272" s="559"/>
      <c r="F272" s="366" t="s">
        <v>2059</v>
      </c>
      <c r="G272" s="366" t="s">
        <v>2070</v>
      </c>
      <c r="H272" s="366" t="s">
        <v>2065</v>
      </c>
    </row>
    <row r="273">
      <c r="A273" s="584" t="s">
        <v>2943</v>
      </c>
      <c r="B273" s="361" t="s">
        <v>2942</v>
      </c>
      <c r="C273" s="361">
        <v>1.0</v>
      </c>
      <c r="D273" s="561"/>
      <c r="E273" s="561"/>
      <c r="F273" s="361" t="s">
        <v>2070</v>
      </c>
      <c r="G273" s="361" t="s">
        <v>2083</v>
      </c>
      <c r="H273" s="361" t="s">
        <v>1635</v>
      </c>
    </row>
    <row r="274">
      <c r="A274" s="585" t="s">
        <v>2944</v>
      </c>
      <c r="B274" s="366" t="s">
        <v>2942</v>
      </c>
      <c r="C274" s="366">
        <v>1.0</v>
      </c>
      <c r="D274" s="559"/>
      <c r="E274" s="559"/>
      <c r="F274" s="366" t="s">
        <v>1975</v>
      </c>
      <c r="G274" s="366" t="s">
        <v>2083</v>
      </c>
      <c r="H274" s="366" t="s">
        <v>2065</v>
      </c>
    </row>
    <row r="275">
      <c r="A275" s="584" t="s">
        <v>2945</v>
      </c>
      <c r="B275" s="361" t="s">
        <v>2942</v>
      </c>
      <c r="C275" s="361">
        <v>1.0</v>
      </c>
      <c r="D275" s="561"/>
      <c r="E275" s="561"/>
      <c r="F275" s="361" t="s">
        <v>2083</v>
      </c>
      <c r="G275" s="361" t="s">
        <v>2070</v>
      </c>
      <c r="H275" s="361" t="s">
        <v>1975</v>
      </c>
    </row>
    <row r="276">
      <c r="A276" s="585" t="s">
        <v>2946</v>
      </c>
      <c r="B276" s="366" t="s">
        <v>2942</v>
      </c>
      <c r="C276" s="366">
        <v>1.0</v>
      </c>
      <c r="D276" s="559"/>
      <c r="E276" s="559"/>
      <c r="F276" s="366" t="s">
        <v>1975</v>
      </c>
      <c r="G276" s="366" t="s">
        <v>2083</v>
      </c>
      <c r="H276" s="366" t="s">
        <v>2070</v>
      </c>
    </row>
    <row r="277">
      <c r="A277" s="584" t="s">
        <v>2947</v>
      </c>
      <c r="B277" s="361" t="s">
        <v>2942</v>
      </c>
      <c r="C277" s="361">
        <v>1.0</v>
      </c>
      <c r="D277" s="561"/>
      <c r="E277" s="561"/>
      <c r="F277" s="361" t="s">
        <v>2059</v>
      </c>
      <c r="G277" s="361" t="s">
        <v>1635</v>
      </c>
      <c r="H277" s="361" t="s">
        <v>1975</v>
      </c>
    </row>
    <row r="278">
      <c r="A278" s="585" t="s">
        <v>2948</v>
      </c>
      <c r="B278" s="366" t="s">
        <v>2942</v>
      </c>
      <c r="C278" s="366">
        <v>2.0</v>
      </c>
      <c r="D278" s="559"/>
      <c r="E278" s="559"/>
      <c r="F278" s="366" t="s">
        <v>1640</v>
      </c>
      <c r="G278" s="366" t="s">
        <v>1635</v>
      </c>
      <c r="H278" s="366" t="s">
        <v>1642</v>
      </c>
    </row>
    <row r="279">
      <c r="A279" s="584" t="s">
        <v>2949</v>
      </c>
      <c r="B279" s="361" t="s">
        <v>2942</v>
      </c>
      <c r="C279" s="361">
        <v>2.0</v>
      </c>
      <c r="D279" s="561"/>
      <c r="E279" s="561"/>
      <c r="F279" s="361" t="s">
        <v>2083</v>
      </c>
      <c r="G279" s="361" t="s">
        <v>1975</v>
      </c>
      <c r="H279" s="361" t="s">
        <v>1642</v>
      </c>
    </row>
    <row r="280">
      <c r="A280" s="585" t="s">
        <v>2950</v>
      </c>
      <c r="B280" s="366" t="s">
        <v>2942</v>
      </c>
      <c r="C280" s="366">
        <v>2.0</v>
      </c>
      <c r="D280" s="559"/>
      <c r="E280" s="559"/>
      <c r="F280" s="366" t="s">
        <v>2059</v>
      </c>
      <c r="G280" s="366" t="s">
        <v>1635</v>
      </c>
      <c r="H280" s="366" t="s">
        <v>1637</v>
      </c>
    </row>
    <row r="281">
      <c r="A281" s="584" t="s">
        <v>2951</v>
      </c>
      <c r="B281" s="361" t="s">
        <v>2942</v>
      </c>
      <c r="C281" s="361">
        <v>2.0</v>
      </c>
      <c r="D281" s="561"/>
      <c r="E281" s="561"/>
      <c r="F281" s="361" t="s">
        <v>1635</v>
      </c>
      <c r="G281" s="361" t="s">
        <v>1975</v>
      </c>
      <c r="H281" s="361" t="s">
        <v>1526</v>
      </c>
    </row>
    <row r="282">
      <c r="A282" s="585" t="s">
        <v>2952</v>
      </c>
      <c r="B282" s="366" t="s">
        <v>2942</v>
      </c>
      <c r="C282" s="366">
        <v>2.0</v>
      </c>
      <c r="D282" s="559"/>
      <c r="E282" s="559"/>
      <c r="F282" s="366" t="s">
        <v>1640</v>
      </c>
      <c r="G282" s="366" t="s">
        <v>1642</v>
      </c>
      <c r="H282" s="366" t="s">
        <v>2083</v>
      </c>
    </row>
    <row r="283">
      <c r="A283" s="584" t="s">
        <v>2953</v>
      </c>
      <c r="B283" s="361" t="s">
        <v>2942</v>
      </c>
      <c r="C283" s="361">
        <v>2.0</v>
      </c>
      <c r="D283" s="561"/>
      <c r="E283" s="561"/>
      <c r="F283" s="361" t="s">
        <v>2070</v>
      </c>
      <c r="G283" s="361" t="s">
        <v>1635</v>
      </c>
      <c r="H283" s="361" t="s">
        <v>1637</v>
      </c>
    </row>
    <row r="284">
      <c r="A284" s="585" t="s">
        <v>2954</v>
      </c>
      <c r="B284" s="366" t="s">
        <v>2942</v>
      </c>
      <c r="C284" s="366">
        <v>2.0</v>
      </c>
      <c r="D284" s="559"/>
      <c r="E284" s="559"/>
      <c r="F284" s="366" t="s">
        <v>2059</v>
      </c>
      <c r="G284" s="366" t="s">
        <v>1640</v>
      </c>
      <c r="H284" s="366" t="s">
        <v>1526</v>
      </c>
    </row>
    <row r="285">
      <c r="A285" s="584" t="s">
        <v>2955</v>
      </c>
      <c r="B285" s="361" t="s">
        <v>2942</v>
      </c>
      <c r="C285" s="361">
        <v>2.0</v>
      </c>
      <c r="D285" s="561"/>
      <c r="E285" s="561"/>
      <c r="F285" s="361" t="s">
        <v>1656</v>
      </c>
      <c r="G285" s="361" t="s">
        <v>1642</v>
      </c>
      <c r="H285" s="361" t="s">
        <v>2070</v>
      </c>
    </row>
    <row r="286">
      <c r="A286" s="585" t="s">
        <v>2956</v>
      </c>
      <c r="B286" s="366" t="s">
        <v>2942</v>
      </c>
      <c r="C286" s="366">
        <v>2.0</v>
      </c>
      <c r="D286" s="559"/>
      <c r="E286" s="559"/>
      <c r="F286" s="366" t="s">
        <v>1526</v>
      </c>
      <c r="G286" s="366" t="s">
        <v>1656</v>
      </c>
      <c r="H286" s="366" t="s">
        <v>2059</v>
      </c>
    </row>
    <row r="287">
      <c r="A287" s="584" t="s">
        <v>2957</v>
      </c>
      <c r="B287" s="361" t="s">
        <v>2942</v>
      </c>
      <c r="C287" s="361">
        <v>2.0</v>
      </c>
      <c r="D287" s="561"/>
      <c r="E287" s="561"/>
      <c r="F287" s="361" t="s">
        <v>1635</v>
      </c>
      <c r="G287" s="361" t="s">
        <v>2083</v>
      </c>
      <c r="H287" s="361" t="s">
        <v>1975</v>
      </c>
    </row>
    <row r="288">
      <c r="A288" s="585" t="s">
        <v>2958</v>
      </c>
      <c r="B288" s="366" t="s">
        <v>2942</v>
      </c>
      <c r="C288" s="366">
        <v>2.0</v>
      </c>
      <c r="D288" s="559"/>
      <c r="E288" s="559"/>
      <c r="F288" s="366" t="s">
        <v>1642</v>
      </c>
      <c r="G288" s="366" t="s">
        <v>2083</v>
      </c>
      <c r="H288" s="366" t="s">
        <v>2070</v>
      </c>
    </row>
    <row r="289">
      <c r="A289" s="584" t="s">
        <v>2959</v>
      </c>
      <c r="B289" s="361" t="s">
        <v>2942</v>
      </c>
      <c r="C289" s="361">
        <v>2.0</v>
      </c>
      <c r="D289" s="561"/>
      <c r="E289" s="561"/>
      <c r="F289" s="361" t="s">
        <v>2070</v>
      </c>
      <c r="G289" s="361" t="s">
        <v>1656</v>
      </c>
      <c r="H289" s="361" t="s">
        <v>2059</v>
      </c>
    </row>
    <row r="290">
      <c r="A290" s="585" t="s">
        <v>2960</v>
      </c>
      <c r="B290" s="366" t="s">
        <v>2942</v>
      </c>
      <c r="C290" s="366">
        <v>2.0</v>
      </c>
      <c r="D290" s="559"/>
      <c r="E290" s="559"/>
      <c r="F290" s="366" t="s">
        <v>1640</v>
      </c>
      <c r="G290" s="366" t="s">
        <v>2083</v>
      </c>
      <c r="H290" s="366" t="s">
        <v>1642</v>
      </c>
    </row>
    <row r="291">
      <c r="A291" s="584" t="s">
        <v>2961</v>
      </c>
      <c r="B291" s="361" t="s">
        <v>2942</v>
      </c>
      <c r="C291" s="361">
        <v>3.0</v>
      </c>
      <c r="D291" s="561"/>
      <c r="E291" s="561"/>
      <c r="F291" s="361" t="s">
        <v>1640</v>
      </c>
      <c r="G291" s="361" t="s">
        <v>1538</v>
      </c>
      <c r="H291" s="361" t="s">
        <v>1670</v>
      </c>
    </row>
    <row r="292">
      <c r="A292" s="585" t="s">
        <v>2962</v>
      </c>
      <c r="B292" s="366" t="s">
        <v>2942</v>
      </c>
      <c r="C292" s="366">
        <v>3.0</v>
      </c>
      <c r="D292" s="559"/>
      <c r="E292" s="559"/>
      <c r="F292" s="366" t="s">
        <v>1642</v>
      </c>
      <c r="G292" s="366" t="s">
        <v>1637</v>
      </c>
      <c r="H292" s="366" t="s">
        <v>1526</v>
      </c>
    </row>
    <row r="293">
      <c r="A293" s="584" t="s">
        <v>2963</v>
      </c>
      <c r="B293" s="361" t="s">
        <v>2942</v>
      </c>
      <c r="C293" s="361">
        <v>3.0</v>
      </c>
      <c r="D293" s="561"/>
      <c r="E293" s="561"/>
      <c r="F293" s="361" t="s">
        <v>1637</v>
      </c>
      <c r="G293" s="361" t="s">
        <v>1665</v>
      </c>
      <c r="H293" s="361" t="s">
        <v>1656</v>
      </c>
    </row>
    <row r="294">
      <c r="A294" s="585" t="s">
        <v>2964</v>
      </c>
      <c r="B294" s="366" t="s">
        <v>2942</v>
      </c>
      <c r="C294" s="366">
        <v>3.0</v>
      </c>
      <c r="D294" s="559"/>
      <c r="E294" s="559"/>
      <c r="F294" s="366" t="s">
        <v>1500</v>
      </c>
      <c r="G294" s="366" t="s">
        <v>1670</v>
      </c>
      <c r="H294" s="366" t="s">
        <v>1642</v>
      </c>
    </row>
    <row r="295">
      <c r="A295" s="584" t="s">
        <v>2965</v>
      </c>
      <c r="B295" s="361" t="s">
        <v>2942</v>
      </c>
      <c r="C295" s="361">
        <v>3.0</v>
      </c>
      <c r="D295" s="561"/>
      <c r="E295" s="561"/>
      <c r="F295" s="361" t="s">
        <v>1538</v>
      </c>
      <c r="G295" s="361" t="s">
        <v>1642</v>
      </c>
      <c r="H295" s="361" t="s">
        <v>1670</v>
      </c>
    </row>
    <row r="296">
      <c r="A296" s="585" t="s">
        <v>2966</v>
      </c>
      <c r="B296" s="366" t="s">
        <v>2942</v>
      </c>
      <c r="C296" s="366">
        <v>3.0</v>
      </c>
      <c r="D296" s="366" t="s">
        <v>2967</v>
      </c>
      <c r="E296" s="366" t="s">
        <v>2968</v>
      </c>
      <c r="F296" s="366" t="s">
        <v>1665</v>
      </c>
      <c r="G296" s="366" t="s">
        <v>1640</v>
      </c>
      <c r="H296" s="366" t="s">
        <v>1526</v>
      </c>
    </row>
    <row r="297">
      <c r="A297" s="584" t="s">
        <v>2969</v>
      </c>
      <c r="B297" s="361" t="s">
        <v>2942</v>
      </c>
      <c r="C297" s="361">
        <v>3.0</v>
      </c>
      <c r="D297" s="561"/>
      <c r="E297" s="561"/>
      <c r="F297" s="361" t="s">
        <v>1665</v>
      </c>
      <c r="G297" s="361" t="s">
        <v>1657</v>
      </c>
      <c r="H297" s="361" t="s">
        <v>1637</v>
      </c>
    </row>
    <row r="298">
      <c r="A298" s="585" t="s">
        <v>2970</v>
      </c>
      <c r="B298" s="366" t="s">
        <v>2942</v>
      </c>
      <c r="C298" s="366">
        <v>3.0</v>
      </c>
      <c r="D298" s="559"/>
      <c r="E298" s="559"/>
      <c r="F298" s="366" t="s">
        <v>1657</v>
      </c>
      <c r="G298" s="366" t="s">
        <v>1640</v>
      </c>
      <c r="H298" s="366" t="s">
        <v>1670</v>
      </c>
    </row>
    <row r="299">
      <c r="A299" s="584" t="s">
        <v>2971</v>
      </c>
      <c r="B299" s="361" t="s">
        <v>2942</v>
      </c>
      <c r="C299" s="361">
        <v>3.0</v>
      </c>
      <c r="D299" s="561"/>
      <c r="E299" s="561"/>
      <c r="F299" s="361" t="s">
        <v>1656</v>
      </c>
      <c r="G299" s="361" t="s">
        <v>1657</v>
      </c>
      <c r="H299" s="361" t="s">
        <v>1640</v>
      </c>
    </row>
    <row r="300">
      <c r="A300" s="585" t="s">
        <v>2972</v>
      </c>
      <c r="B300" s="366" t="s">
        <v>2942</v>
      </c>
      <c r="C300" s="366">
        <v>3.0</v>
      </c>
      <c r="D300" s="559"/>
      <c r="E300" s="559"/>
      <c r="F300" s="366" t="s">
        <v>1500</v>
      </c>
      <c r="G300" s="366" t="s">
        <v>1657</v>
      </c>
      <c r="H300" s="366" t="s">
        <v>1526</v>
      </c>
    </row>
    <row r="301">
      <c r="A301" s="584" t="s">
        <v>2973</v>
      </c>
      <c r="B301" s="361" t="s">
        <v>2942</v>
      </c>
      <c r="C301" s="361">
        <v>3.0</v>
      </c>
      <c r="D301" s="561"/>
      <c r="E301" s="561"/>
      <c r="F301" s="361" t="s">
        <v>1637</v>
      </c>
      <c r="G301" s="361" t="s">
        <v>1642</v>
      </c>
      <c r="H301" s="361" t="s">
        <v>1656</v>
      </c>
    </row>
    <row r="302">
      <c r="A302" s="585" t="s">
        <v>2974</v>
      </c>
      <c r="B302" s="366" t="s">
        <v>2942</v>
      </c>
      <c r="C302" s="366">
        <v>4.0</v>
      </c>
      <c r="D302" s="559"/>
      <c r="E302" s="559"/>
      <c r="F302" s="366" t="s">
        <v>1500</v>
      </c>
      <c r="G302" s="366" t="s">
        <v>1687</v>
      </c>
      <c r="H302" s="366" t="s">
        <v>2166</v>
      </c>
    </row>
    <row r="303">
      <c r="A303" s="584" t="s">
        <v>2975</v>
      </c>
      <c r="B303" s="361" t="s">
        <v>2942</v>
      </c>
      <c r="C303" s="361">
        <v>4.0</v>
      </c>
      <c r="D303" s="561"/>
      <c r="E303" s="561"/>
      <c r="F303" s="361" t="s">
        <v>1687</v>
      </c>
      <c r="G303" s="361" t="s">
        <v>2176</v>
      </c>
      <c r="H303" s="361" t="s">
        <v>1670</v>
      </c>
    </row>
    <row r="304">
      <c r="A304" s="585" t="s">
        <v>2976</v>
      </c>
      <c r="B304" s="366" t="s">
        <v>2942</v>
      </c>
      <c r="C304" s="366">
        <v>4.0</v>
      </c>
      <c r="D304" s="559"/>
      <c r="E304" s="559"/>
      <c r="F304" s="366" t="s">
        <v>1500</v>
      </c>
      <c r="G304" s="366" t="s">
        <v>1538</v>
      </c>
      <c r="H304" s="366" t="s">
        <v>2176</v>
      </c>
    </row>
    <row r="305">
      <c r="A305" s="584" t="s">
        <v>2977</v>
      </c>
      <c r="B305" s="361" t="s">
        <v>2942</v>
      </c>
      <c r="C305" s="361">
        <v>4.0</v>
      </c>
      <c r="D305" s="561"/>
      <c r="E305" s="561"/>
      <c r="F305" s="361" t="s">
        <v>1500</v>
      </c>
      <c r="G305" s="361" t="s">
        <v>1657</v>
      </c>
      <c r="H305" s="361" t="s">
        <v>2176</v>
      </c>
    </row>
    <row r="306">
      <c r="A306" s="585" t="s">
        <v>2978</v>
      </c>
      <c r="B306" s="366" t="s">
        <v>2942</v>
      </c>
      <c r="C306" s="366">
        <v>4.0</v>
      </c>
      <c r="D306" s="559"/>
      <c r="E306" s="559"/>
      <c r="F306" s="366" t="s">
        <v>1538</v>
      </c>
      <c r="G306" s="366" t="s">
        <v>1657</v>
      </c>
      <c r="H306" s="366" t="s">
        <v>1670</v>
      </c>
    </row>
    <row r="307">
      <c r="A307" s="584" t="s">
        <v>2979</v>
      </c>
      <c r="B307" s="361" t="s">
        <v>2942</v>
      </c>
      <c r="C307" s="361">
        <v>4.0</v>
      </c>
      <c r="D307" s="561"/>
      <c r="E307" s="561"/>
      <c r="F307" s="361" t="s">
        <v>1657</v>
      </c>
      <c r="G307" s="361" t="s">
        <v>1500</v>
      </c>
      <c r="H307" s="361" t="s">
        <v>1681</v>
      </c>
    </row>
    <row r="308">
      <c r="A308" s="585" t="s">
        <v>2980</v>
      </c>
      <c r="B308" s="366" t="s">
        <v>2942</v>
      </c>
      <c r="C308" s="366">
        <v>4.0</v>
      </c>
      <c r="D308" s="559"/>
      <c r="E308" s="559"/>
      <c r="F308" s="366" t="s">
        <v>1538</v>
      </c>
      <c r="G308" s="366" t="s">
        <v>1500</v>
      </c>
      <c r="H308" s="366" t="s">
        <v>1687</v>
      </c>
    </row>
    <row r="309">
      <c r="A309" s="584" t="s">
        <v>2981</v>
      </c>
      <c r="B309" s="361" t="s">
        <v>2942</v>
      </c>
      <c r="C309" s="361">
        <v>4.0</v>
      </c>
      <c r="D309" s="561"/>
      <c r="E309" s="561"/>
      <c r="F309" s="361" t="s">
        <v>1665</v>
      </c>
      <c r="G309" s="361" t="s">
        <v>1670</v>
      </c>
      <c r="H309" s="361" t="s">
        <v>2176</v>
      </c>
    </row>
    <row r="310">
      <c r="A310" s="585" t="s">
        <v>2982</v>
      </c>
      <c r="B310" s="366" t="s">
        <v>2942</v>
      </c>
      <c r="C310" s="366">
        <v>4.0</v>
      </c>
      <c r="D310" s="559"/>
      <c r="E310" s="559"/>
      <c r="F310" s="366" t="s">
        <v>1657</v>
      </c>
      <c r="G310" s="366" t="s">
        <v>2166</v>
      </c>
      <c r="H310" s="366" t="s">
        <v>2176</v>
      </c>
    </row>
    <row r="311">
      <c r="A311" s="584" t="s">
        <v>2983</v>
      </c>
      <c r="B311" s="361" t="s">
        <v>2942</v>
      </c>
      <c r="C311" s="361">
        <v>4.0</v>
      </c>
      <c r="D311" s="561"/>
      <c r="E311" s="561"/>
      <c r="F311" s="361" t="s">
        <v>1657</v>
      </c>
      <c r="G311" s="361" t="s">
        <v>1665</v>
      </c>
      <c r="H311" s="361" t="s">
        <v>1687</v>
      </c>
    </row>
    <row r="312">
      <c r="A312" s="585" t="s">
        <v>2984</v>
      </c>
      <c r="B312" s="366" t="s">
        <v>2942</v>
      </c>
      <c r="C312" s="366">
        <v>5.0</v>
      </c>
      <c r="D312" s="559"/>
      <c r="E312" s="559"/>
      <c r="F312" s="366" t="s">
        <v>1670</v>
      </c>
      <c r="G312" s="366" t="s">
        <v>2166</v>
      </c>
      <c r="H312" s="366" t="s">
        <v>1687</v>
      </c>
    </row>
    <row r="313">
      <c r="A313" s="584" t="s">
        <v>2985</v>
      </c>
      <c r="B313" s="361" t="s">
        <v>2942</v>
      </c>
      <c r="C313" s="361">
        <v>5.0</v>
      </c>
      <c r="D313" s="561"/>
      <c r="E313" s="561"/>
      <c r="F313" s="361" t="s">
        <v>2166</v>
      </c>
      <c r="G313" s="361" t="s">
        <v>1670</v>
      </c>
      <c r="H313" s="361" t="s">
        <v>2176</v>
      </c>
    </row>
    <row r="314">
      <c r="A314" s="585" t="s">
        <v>2986</v>
      </c>
      <c r="B314" s="366" t="s">
        <v>2942</v>
      </c>
      <c r="C314" s="366">
        <v>5.0</v>
      </c>
      <c r="D314" s="559"/>
      <c r="E314" s="559"/>
      <c r="F314" s="366" t="s">
        <v>1500</v>
      </c>
      <c r="G314" s="366" t="s">
        <v>2016</v>
      </c>
      <c r="H314" s="366" t="s">
        <v>1665</v>
      </c>
    </row>
    <row r="315">
      <c r="A315" s="584" t="s">
        <v>2987</v>
      </c>
      <c r="B315" s="361" t="s">
        <v>2942</v>
      </c>
      <c r="C315" s="361">
        <v>5.0</v>
      </c>
      <c r="D315" s="561"/>
      <c r="E315" s="561"/>
      <c r="F315" s="361" t="s">
        <v>1540</v>
      </c>
      <c r="G315" s="361" t="s">
        <v>1500</v>
      </c>
      <c r="H315" s="361" t="s">
        <v>1538</v>
      </c>
    </row>
    <row r="316">
      <c r="A316" s="585" t="s">
        <v>2988</v>
      </c>
      <c r="B316" s="366" t="s">
        <v>2942</v>
      </c>
      <c r="C316" s="366">
        <v>5.0</v>
      </c>
      <c r="D316" s="559"/>
      <c r="E316" s="559"/>
      <c r="F316" s="366" t="s">
        <v>1500</v>
      </c>
      <c r="G316" s="366" t="s">
        <v>2184</v>
      </c>
      <c r="H316" s="366" t="s">
        <v>1538</v>
      </c>
    </row>
    <row r="317">
      <c r="A317" s="584" t="s">
        <v>2989</v>
      </c>
      <c r="B317" s="361" t="s">
        <v>2942</v>
      </c>
      <c r="C317" s="361">
        <v>5.0</v>
      </c>
      <c r="D317" s="561"/>
      <c r="E317" s="561"/>
      <c r="F317" s="361" t="s">
        <v>2016</v>
      </c>
      <c r="G317" s="361" t="s">
        <v>1540</v>
      </c>
      <c r="H317" s="361" t="s">
        <v>1538</v>
      </c>
    </row>
    <row r="318">
      <c r="A318" s="585" t="s">
        <v>2990</v>
      </c>
      <c r="B318" s="366" t="s">
        <v>2942</v>
      </c>
      <c r="C318" s="366">
        <v>5.0</v>
      </c>
      <c r="D318" s="559"/>
      <c r="E318" s="559"/>
      <c r="F318" s="366" t="s">
        <v>1657</v>
      </c>
      <c r="G318" s="366" t="s">
        <v>1500</v>
      </c>
      <c r="H318" s="366" t="s">
        <v>2176</v>
      </c>
    </row>
    <row r="319">
      <c r="A319" s="584" t="s">
        <v>2991</v>
      </c>
      <c r="B319" s="361" t="s">
        <v>2942</v>
      </c>
      <c r="C319" s="361">
        <v>5.0</v>
      </c>
      <c r="D319" s="561"/>
      <c r="E319" s="561"/>
      <c r="F319" s="361" t="s">
        <v>1670</v>
      </c>
      <c r="G319" s="361" t="s">
        <v>2184</v>
      </c>
      <c r="H319" s="361" t="s">
        <v>1500</v>
      </c>
    </row>
    <row r="320">
      <c r="A320" s="585" t="s">
        <v>2992</v>
      </c>
      <c r="B320" s="366" t="s">
        <v>2942</v>
      </c>
      <c r="C320" s="366">
        <v>5.0</v>
      </c>
      <c r="D320" s="559"/>
      <c r="E320" s="559"/>
      <c r="F320" s="366" t="s">
        <v>1665</v>
      </c>
      <c r="G320" s="366" t="s">
        <v>1687</v>
      </c>
      <c r="H320" s="366" t="s">
        <v>1500</v>
      </c>
    </row>
    <row r="321">
      <c r="A321" s="584" t="s">
        <v>2993</v>
      </c>
      <c r="B321" s="361" t="s">
        <v>2942</v>
      </c>
      <c r="C321" s="361">
        <v>5.0</v>
      </c>
      <c r="D321" s="561"/>
      <c r="E321" s="561"/>
      <c r="F321" s="361" t="s">
        <v>1665</v>
      </c>
      <c r="G321" s="361" t="s">
        <v>1538</v>
      </c>
      <c r="H321" s="361" t="s">
        <v>1500</v>
      </c>
    </row>
    <row r="322">
      <c r="A322" s="585" t="s">
        <v>2994</v>
      </c>
      <c r="B322" s="366" t="s">
        <v>2942</v>
      </c>
      <c r="C322" s="366">
        <v>5.0</v>
      </c>
      <c r="D322" s="559"/>
      <c r="E322" s="559"/>
      <c r="F322" s="366" t="s">
        <v>1665</v>
      </c>
      <c r="G322" s="366" t="s">
        <v>1500</v>
      </c>
      <c r="H322" s="366" t="s">
        <v>1670</v>
      </c>
    </row>
    <row r="323">
      <c r="A323" s="584" t="s">
        <v>2995</v>
      </c>
      <c r="B323" s="361" t="s">
        <v>2942</v>
      </c>
      <c r="C323" s="361">
        <v>5.0</v>
      </c>
      <c r="D323" s="561"/>
      <c r="E323" s="561"/>
      <c r="F323" s="361" t="s">
        <v>2166</v>
      </c>
      <c r="G323" s="361" t="s">
        <v>2016</v>
      </c>
      <c r="H323" s="361" t="s">
        <v>1687</v>
      </c>
    </row>
    <row r="324">
      <c r="A324" s="585" t="s">
        <v>2996</v>
      </c>
      <c r="B324" s="366" t="s">
        <v>2942</v>
      </c>
      <c r="C324" s="366">
        <v>6.0</v>
      </c>
      <c r="D324" s="559"/>
      <c r="E324" s="559"/>
      <c r="F324" s="366" t="s">
        <v>1687</v>
      </c>
      <c r="G324" s="366" t="s">
        <v>1707</v>
      </c>
      <c r="H324" s="366" t="s">
        <v>2016</v>
      </c>
    </row>
    <row r="325">
      <c r="A325" s="584" t="s">
        <v>2997</v>
      </c>
      <c r="B325" s="361" t="s">
        <v>2942</v>
      </c>
      <c r="C325" s="361">
        <v>6.0</v>
      </c>
      <c r="D325" s="561"/>
      <c r="E325" s="561"/>
      <c r="F325" s="361" t="s">
        <v>1687</v>
      </c>
      <c r="G325" s="361" t="s">
        <v>2166</v>
      </c>
      <c r="H325" s="361" t="s">
        <v>2016</v>
      </c>
    </row>
    <row r="326">
      <c r="A326" s="585" t="s">
        <v>2998</v>
      </c>
      <c r="B326" s="366" t="s">
        <v>2942</v>
      </c>
      <c r="C326" s="366">
        <v>6.0</v>
      </c>
      <c r="D326" s="559"/>
      <c r="E326" s="559"/>
      <c r="F326" s="366" t="s">
        <v>1687</v>
      </c>
      <c r="G326" s="366" t="s">
        <v>1711</v>
      </c>
      <c r="H326" s="366" t="s">
        <v>2184</v>
      </c>
    </row>
    <row r="327">
      <c r="A327" s="584" t="s">
        <v>2999</v>
      </c>
      <c r="B327" s="361" t="s">
        <v>2942</v>
      </c>
      <c r="C327" s="361">
        <v>6.0</v>
      </c>
      <c r="D327" s="561"/>
      <c r="E327" s="561"/>
      <c r="F327" s="361" t="s">
        <v>2176</v>
      </c>
      <c r="G327" s="361" t="s">
        <v>2016</v>
      </c>
      <c r="H327" s="361" t="s">
        <v>2184</v>
      </c>
    </row>
    <row r="328">
      <c r="A328" s="585" t="s">
        <v>3000</v>
      </c>
      <c r="B328" s="366" t="s">
        <v>2942</v>
      </c>
      <c r="C328" s="366">
        <v>6.0</v>
      </c>
      <c r="D328" s="559"/>
      <c r="E328" s="559"/>
      <c r="F328" s="366" t="s">
        <v>2176</v>
      </c>
      <c r="G328" s="366" t="s">
        <v>1687</v>
      </c>
      <c r="H328" s="366" t="s">
        <v>2199</v>
      </c>
    </row>
    <row r="329">
      <c r="A329" s="584" t="s">
        <v>3001</v>
      </c>
      <c r="B329" s="361" t="s">
        <v>2942</v>
      </c>
      <c r="C329" s="361">
        <v>6.0</v>
      </c>
      <c r="D329" s="561"/>
      <c r="E329" s="561"/>
      <c r="F329" s="361" t="s">
        <v>1687</v>
      </c>
      <c r="G329" s="361" t="s">
        <v>2016</v>
      </c>
      <c r="H329" s="361" t="s">
        <v>1711</v>
      </c>
    </row>
    <row r="330">
      <c r="A330" s="585" t="s">
        <v>3002</v>
      </c>
      <c r="B330" s="366" t="s">
        <v>2942</v>
      </c>
      <c r="C330" s="366">
        <v>6.0</v>
      </c>
      <c r="D330" s="559"/>
      <c r="E330" s="559"/>
      <c r="F330" s="366" t="s">
        <v>1687</v>
      </c>
      <c r="G330" s="366" t="s">
        <v>2026</v>
      </c>
      <c r="H330" s="366" t="s">
        <v>1681</v>
      </c>
    </row>
    <row r="331">
      <c r="A331" s="584" t="s">
        <v>3003</v>
      </c>
      <c r="B331" s="361" t="s">
        <v>2942</v>
      </c>
      <c r="C331" s="361">
        <v>6.0</v>
      </c>
      <c r="D331" s="561"/>
      <c r="E331" s="561"/>
      <c r="F331" s="361" t="s">
        <v>1681</v>
      </c>
      <c r="G331" s="361" t="s">
        <v>2176</v>
      </c>
      <c r="H331" s="361" t="s">
        <v>2026</v>
      </c>
    </row>
    <row r="332">
      <c r="A332" s="585" t="s">
        <v>3004</v>
      </c>
      <c r="B332" s="366" t="s">
        <v>2942</v>
      </c>
      <c r="C332" s="366">
        <v>6.0</v>
      </c>
      <c r="D332" s="559"/>
      <c r="E332" s="559"/>
      <c r="F332" s="366" t="s">
        <v>1707</v>
      </c>
      <c r="G332" s="366" t="s">
        <v>1687</v>
      </c>
      <c r="H332" s="366" t="s">
        <v>2184</v>
      </c>
    </row>
    <row r="333">
      <c r="A333" s="584" t="s">
        <v>3005</v>
      </c>
      <c r="B333" s="361" t="s">
        <v>2942</v>
      </c>
      <c r="C333" s="361">
        <v>6.0</v>
      </c>
      <c r="D333" s="561"/>
      <c r="E333" s="561"/>
      <c r="F333" s="361" t="s">
        <v>1687</v>
      </c>
      <c r="G333" s="361" t="s">
        <v>1711</v>
      </c>
      <c r="H333" s="361" t="s">
        <v>2016</v>
      </c>
    </row>
    <row r="334">
      <c r="A334" s="585" t="s">
        <v>3006</v>
      </c>
      <c r="B334" s="366" t="s">
        <v>2942</v>
      </c>
      <c r="C334" s="366">
        <v>6.0</v>
      </c>
      <c r="D334" s="559"/>
      <c r="E334" s="559"/>
      <c r="F334" s="366" t="s">
        <v>2184</v>
      </c>
      <c r="G334" s="366" t="s">
        <v>1707</v>
      </c>
      <c r="H334" s="366" t="s">
        <v>2176</v>
      </c>
    </row>
    <row r="335">
      <c r="A335" s="584" t="s">
        <v>3007</v>
      </c>
      <c r="B335" s="361" t="s">
        <v>2942</v>
      </c>
      <c r="C335" s="361">
        <v>7.0</v>
      </c>
      <c r="D335" s="561"/>
      <c r="E335" s="561"/>
      <c r="F335" s="361" t="s">
        <v>1540</v>
      </c>
      <c r="G335" s="361" t="s">
        <v>1711</v>
      </c>
      <c r="H335" s="361" t="s">
        <v>2184</v>
      </c>
    </row>
    <row r="336">
      <c r="A336" s="585" t="s">
        <v>3008</v>
      </c>
      <c r="B336" s="366" t="s">
        <v>2942</v>
      </c>
      <c r="C336" s="366">
        <v>7.0</v>
      </c>
      <c r="D336" s="559"/>
      <c r="E336" s="559"/>
      <c r="F336" s="366" t="s">
        <v>1540</v>
      </c>
      <c r="G336" s="366" t="s">
        <v>2016</v>
      </c>
      <c r="H336" s="366" t="s">
        <v>1707</v>
      </c>
    </row>
    <row r="337">
      <c r="A337" s="584" t="s">
        <v>3009</v>
      </c>
      <c r="B337" s="361" t="s">
        <v>2942</v>
      </c>
      <c r="C337" s="361">
        <v>7.0</v>
      </c>
      <c r="D337" s="561"/>
      <c r="E337" s="561"/>
      <c r="F337" s="361" t="s">
        <v>1711</v>
      </c>
      <c r="G337" s="361" t="s">
        <v>2184</v>
      </c>
      <c r="H337" s="361" t="s">
        <v>2016</v>
      </c>
    </row>
    <row r="338">
      <c r="A338" s="585" t="s">
        <v>3010</v>
      </c>
      <c r="B338" s="366" t="s">
        <v>2942</v>
      </c>
      <c r="C338" s="366">
        <v>7.0</v>
      </c>
      <c r="D338" s="559"/>
      <c r="E338" s="559"/>
      <c r="F338" s="366" t="s">
        <v>2184</v>
      </c>
      <c r="G338" s="366" t="s">
        <v>1897</v>
      </c>
      <c r="H338" s="366" t="s">
        <v>2203</v>
      </c>
    </row>
    <row r="339">
      <c r="A339" s="584" t="s">
        <v>3011</v>
      </c>
      <c r="B339" s="361" t="s">
        <v>2942</v>
      </c>
      <c r="C339" s="361">
        <v>7.0</v>
      </c>
      <c r="D339" s="561"/>
      <c r="E339" s="561"/>
      <c r="F339" s="361" t="s">
        <v>2184</v>
      </c>
      <c r="G339" s="361" t="s">
        <v>1711</v>
      </c>
      <c r="H339" s="361" t="s">
        <v>1707</v>
      </c>
    </row>
    <row r="340">
      <c r="A340" s="585" t="s">
        <v>3012</v>
      </c>
      <c r="B340" s="366" t="s">
        <v>2942</v>
      </c>
      <c r="C340" s="366">
        <v>8.0</v>
      </c>
      <c r="D340" s="559"/>
      <c r="E340" s="559"/>
      <c r="F340" s="366" t="s">
        <v>1897</v>
      </c>
      <c r="G340" s="366" t="s">
        <v>2223</v>
      </c>
      <c r="H340" s="366" t="s">
        <v>1711</v>
      </c>
    </row>
    <row r="341">
      <c r="A341" s="584" t="s">
        <v>3013</v>
      </c>
      <c r="B341" s="361" t="s">
        <v>2942</v>
      </c>
      <c r="C341" s="361">
        <v>8.0</v>
      </c>
      <c r="D341" s="561"/>
      <c r="E341" s="561"/>
      <c r="F341" s="361" t="s">
        <v>2223</v>
      </c>
      <c r="G341" s="361" t="s">
        <v>1725</v>
      </c>
      <c r="H341" s="361" t="s">
        <v>1711</v>
      </c>
    </row>
    <row r="342">
      <c r="A342" s="585" t="s">
        <v>3014</v>
      </c>
      <c r="B342" s="366" t="s">
        <v>2942</v>
      </c>
      <c r="C342" s="366">
        <v>8.0</v>
      </c>
      <c r="D342" s="559"/>
      <c r="E342" s="559"/>
      <c r="F342" s="366" t="s">
        <v>2026</v>
      </c>
      <c r="G342" s="366" t="s">
        <v>2782</v>
      </c>
      <c r="H342" s="366" t="s">
        <v>1725</v>
      </c>
    </row>
    <row r="343">
      <c r="A343" s="584" t="s">
        <v>3015</v>
      </c>
      <c r="B343" s="361" t="s">
        <v>2942</v>
      </c>
      <c r="C343" s="361">
        <v>8.0</v>
      </c>
      <c r="D343" s="561"/>
      <c r="E343" s="561"/>
      <c r="F343" s="361" t="s">
        <v>2223</v>
      </c>
      <c r="G343" s="361" t="s">
        <v>2780</v>
      </c>
      <c r="H343" s="361" t="s">
        <v>1725</v>
      </c>
    </row>
    <row r="344">
      <c r="A344" s="585" t="s">
        <v>3016</v>
      </c>
      <c r="B344" s="366" t="s">
        <v>2942</v>
      </c>
      <c r="C344" s="366">
        <v>8.0</v>
      </c>
      <c r="D344" s="559"/>
      <c r="E344" s="559"/>
      <c r="F344" s="366" t="s">
        <v>1711</v>
      </c>
      <c r="G344" s="366" t="s">
        <v>1707</v>
      </c>
      <c r="H344" s="366" t="s">
        <v>2026</v>
      </c>
    </row>
    <row r="345">
      <c r="A345" s="584" t="s">
        <v>3017</v>
      </c>
      <c r="B345" s="361" t="s">
        <v>2942</v>
      </c>
      <c r="C345" s="361">
        <v>8.0</v>
      </c>
      <c r="D345" s="561"/>
      <c r="E345" s="561"/>
      <c r="F345" s="361" t="s">
        <v>2782</v>
      </c>
      <c r="G345" s="361" t="s">
        <v>2223</v>
      </c>
      <c r="H345" s="361" t="s">
        <v>2233</v>
      </c>
    </row>
    <row r="346">
      <c r="A346" s="585" t="s">
        <v>3018</v>
      </c>
      <c r="B346" s="366" t="s">
        <v>2942</v>
      </c>
      <c r="C346" s="366">
        <v>9.0</v>
      </c>
      <c r="D346" s="559"/>
      <c r="E346" s="559"/>
      <c r="F346" s="366" t="s">
        <v>2900</v>
      </c>
      <c r="G346" s="366" t="s">
        <v>2223</v>
      </c>
      <c r="H346" s="366" t="s">
        <v>2837</v>
      </c>
    </row>
    <row r="347">
      <c r="A347" s="584" t="s">
        <v>3019</v>
      </c>
      <c r="B347" s="361" t="s">
        <v>3020</v>
      </c>
      <c r="C347" s="361">
        <v>1.0</v>
      </c>
      <c r="D347" s="561"/>
      <c r="E347" s="561"/>
      <c r="F347" s="361" t="s">
        <v>1523</v>
      </c>
      <c r="G347" s="361" t="s">
        <v>26</v>
      </c>
      <c r="H347" s="361" t="s">
        <v>26</v>
      </c>
    </row>
    <row r="348">
      <c r="A348" s="585" t="s">
        <v>3021</v>
      </c>
      <c r="B348" s="366" t="s">
        <v>3020</v>
      </c>
      <c r="C348" s="366">
        <v>1.0</v>
      </c>
      <c r="D348" s="559"/>
      <c r="E348" s="559"/>
      <c r="F348" s="366" t="s">
        <v>1523</v>
      </c>
      <c r="G348" s="366" t="s">
        <v>26</v>
      </c>
      <c r="H348" s="366" t="s">
        <v>26</v>
      </c>
    </row>
    <row r="349">
      <c r="A349" s="584" t="s">
        <v>3022</v>
      </c>
      <c r="B349" s="361" t="s">
        <v>3020</v>
      </c>
      <c r="C349" s="361">
        <v>1.0</v>
      </c>
      <c r="D349" s="561"/>
      <c r="E349" s="561"/>
      <c r="F349" s="361" t="s">
        <v>1523</v>
      </c>
      <c r="G349" s="361" t="s">
        <v>26</v>
      </c>
      <c r="H349" s="361" t="s">
        <v>26</v>
      </c>
    </row>
    <row r="350">
      <c r="A350" s="585" t="s">
        <v>3023</v>
      </c>
      <c r="B350" s="366" t="s">
        <v>3020</v>
      </c>
      <c r="C350" s="366">
        <v>1.0</v>
      </c>
      <c r="D350" s="559"/>
      <c r="E350" s="559"/>
      <c r="F350" s="366" t="s">
        <v>1523</v>
      </c>
      <c r="G350" s="366" t="s">
        <v>26</v>
      </c>
      <c r="H350" s="366" t="s">
        <v>26</v>
      </c>
    </row>
    <row r="351">
      <c r="A351" s="584" t="s">
        <v>3024</v>
      </c>
      <c r="B351" s="361" t="s">
        <v>3020</v>
      </c>
      <c r="C351" s="361">
        <v>1.0</v>
      </c>
      <c r="D351" s="561"/>
      <c r="E351" s="561"/>
      <c r="F351" s="361" t="s">
        <v>1523</v>
      </c>
      <c r="G351" s="361" t="s">
        <v>26</v>
      </c>
      <c r="H351" s="361" t="s">
        <v>26</v>
      </c>
    </row>
    <row r="352">
      <c r="A352" s="585" t="s">
        <v>3025</v>
      </c>
      <c r="B352" s="366" t="s">
        <v>3020</v>
      </c>
      <c r="C352" s="366">
        <v>2.0</v>
      </c>
      <c r="D352" s="559"/>
      <c r="E352" s="559"/>
      <c r="F352" s="366" t="s">
        <v>1523</v>
      </c>
      <c r="G352" s="366" t="s">
        <v>1656</v>
      </c>
      <c r="H352" s="366" t="s">
        <v>26</v>
      </c>
    </row>
    <row r="353">
      <c r="A353" s="584" t="s">
        <v>3026</v>
      </c>
      <c r="B353" s="361" t="s">
        <v>3020</v>
      </c>
      <c r="C353" s="361">
        <v>2.0</v>
      </c>
      <c r="D353" s="561"/>
      <c r="E353" s="561"/>
      <c r="F353" s="361" t="s">
        <v>1523</v>
      </c>
      <c r="G353" s="361" t="s">
        <v>1656</v>
      </c>
      <c r="H353" s="361" t="s">
        <v>26</v>
      </c>
    </row>
    <row r="354">
      <c r="A354" s="585" t="s">
        <v>3027</v>
      </c>
      <c r="B354" s="366" t="s">
        <v>3020</v>
      </c>
      <c r="C354" s="366">
        <v>2.0</v>
      </c>
      <c r="D354" s="559"/>
      <c r="E354" s="559"/>
      <c r="F354" s="366" t="s">
        <v>1523</v>
      </c>
      <c r="G354" s="366" t="s">
        <v>1656</v>
      </c>
      <c r="H354" s="366" t="s">
        <v>26</v>
      </c>
    </row>
    <row r="355">
      <c r="A355" s="584" t="s">
        <v>3028</v>
      </c>
      <c r="B355" s="361" t="s">
        <v>3020</v>
      </c>
      <c r="C355" s="361">
        <v>3.0</v>
      </c>
      <c r="D355" s="561"/>
      <c r="E355" s="561"/>
      <c r="F355" s="361" t="s">
        <v>1670</v>
      </c>
      <c r="G355" s="361" t="s">
        <v>1523</v>
      </c>
      <c r="H355" s="361" t="s">
        <v>1656</v>
      </c>
    </row>
    <row r="356">
      <c r="A356" s="585" t="s">
        <v>3029</v>
      </c>
      <c r="B356" s="366" t="s">
        <v>3020</v>
      </c>
      <c r="C356" s="366">
        <v>3.0</v>
      </c>
      <c r="D356" s="559"/>
      <c r="E356" s="559"/>
      <c r="F356" s="366" t="s">
        <v>1523</v>
      </c>
      <c r="G356" s="366" t="s">
        <v>1656</v>
      </c>
      <c r="H356" s="366" t="s">
        <v>1670</v>
      </c>
    </row>
    <row r="357">
      <c r="A357" s="584" t="s">
        <v>3030</v>
      </c>
      <c r="B357" s="361" t="s">
        <v>3020</v>
      </c>
      <c r="C357" s="361">
        <v>3.0</v>
      </c>
      <c r="D357" s="561"/>
      <c r="E357" s="561"/>
      <c r="F357" s="361" t="s">
        <v>1670</v>
      </c>
      <c r="G357" s="361" t="s">
        <v>1656</v>
      </c>
      <c r="H357" s="361" t="s">
        <v>1523</v>
      </c>
    </row>
    <row r="358">
      <c r="A358" s="585" t="s">
        <v>3031</v>
      </c>
      <c r="B358" s="366" t="s">
        <v>3020</v>
      </c>
      <c r="C358" s="366">
        <v>3.0</v>
      </c>
      <c r="D358" s="559"/>
      <c r="E358" s="559"/>
      <c r="F358" s="366" t="s">
        <v>1523</v>
      </c>
      <c r="G358" s="366" t="s">
        <v>1656</v>
      </c>
      <c r="H358" s="366" t="s">
        <v>1670</v>
      </c>
    </row>
    <row r="359">
      <c r="A359" s="584" t="s">
        <v>3032</v>
      </c>
      <c r="B359" s="361" t="s">
        <v>3020</v>
      </c>
      <c r="C359" s="361">
        <v>3.0</v>
      </c>
      <c r="D359" s="561"/>
      <c r="E359" s="561"/>
      <c r="F359" s="361" t="s">
        <v>1656</v>
      </c>
      <c r="G359" s="361" t="s">
        <v>1523</v>
      </c>
      <c r="H359" s="361" t="s">
        <v>1670</v>
      </c>
    </row>
    <row r="360">
      <c r="A360" s="585" t="s">
        <v>3033</v>
      </c>
      <c r="B360" s="366" t="s">
        <v>3020</v>
      </c>
      <c r="C360" s="366">
        <v>3.0</v>
      </c>
      <c r="D360" s="559"/>
      <c r="E360" s="559"/>
      <c r="F360" s="366" t="s">
        <v>1656</v>
      </c>
      <c r="G360" s="366" t="s">
        <v>1523</v>
      </c>
      <c r="H360" s="366" t="s">
        <v>1670</v>
      </c>
    </row>
    <row r="361">
      <c r="A361" s="584" t="s">
        <v>3034</v>
      </c>
      <c r="B361" s="361" t="s">
        <v>3020</v>
      </c>
      <c r="C361" s="361">
        <v>3.0</v>
      </c>
      <c r="D361" s="561"/>
      <c r="E361" s="561"/>
      <c r="F361" s="361" t="s">
        <v>1523</v>
      </c>
      <c r="G361" s="361" t="s">
        <v>1670</v>
      </c>
      <c r="H361" s="361" t="s">
        <v>1656</v>
      </c>
    </row>
    <row r="362">
      <c r="A362" s="585" t="s">
        <v>3035</v>
      </c>
      <c r="B362" s="366" t="s">
        <v>3020</v>
      </c>
      <c r="C362" s="366">
        <v>3.0</v>
      </c>
      <c r="D362" s="559"/>
      <c r="E362" s="559"/>
      <c r="F362" s="366" t="s">
        <v>1523</v>
      </c>
      <c r="G362" s="366" t="s">
        <v>1670</v>
      </c>
      <c r="H362" s="366" t="s">
        <v>1656</v>
      </c>
    </row>
    <row r="363">
      <c r="A363" s="584" t="s">
        <v>3036</v>
      </c>
      <c r="B363" s="361" t="s">
        <v>3020</v>
      </c>
      <c r="C363" s="361">
        <v>3.0</v>
      </c>
      <c r="D363" s="561"/>
      <c r="E363" s="561"/>
      <c r="F363" s="361" t="s">
        <v>1656</v>
      </c>
      <c r="G363" s="361" t="s">
        <v>1523</v>
      </c>
      <c r="H363" s="361" t="s">
        <v>1670</v>
      </c>
    </row>
    <row r="364">
      <c r="A364" s="585" t="s">
        <v>3037</v>
      </c>
      <c r="B364" s="366" t="s">
        <v>3020</v>
      </c>
      <c r="C364" s="366">
        <v>3.0</v>
      </c>
      <c r="D364" s="559"/>
      <c r="E364" s="559"/>
      <c r="F364" s="366" t="s">
        <v>1656</v>
      </c>
      <c r="G364" s="366" t="s">
        <v>1523</v>
      </c>
      <c r="H364" s="366" t="s">
        <v>1670</v>
      </c>
    </row>
    <row r="365">
      <c r="A365" s="584" t="s">
        <v>3038</v>
      </c>
      <c r="B365" s="361" t="s">
        <v>3020</v>
      </c>
      <c r="C365" s="361">
        <v>3.0</v>
      </c>
      <c r="D365" s="561"/>
      <c r="E365" s="561"/>
      <c r="F365" s="361" t="s">
        <v>1523</v>
      </c>
      <c r="G365" s="361" t="s">
        <v>1670</v>
      </c>
      <c r="H365" s="361" t="s">
        <v>1656</v>
      </c>
    </row>
    <row r="366">
      <c r="A366" s="585" t="s">
        <v>3039</v>
      </c>
      <c r="B366" s="366" t="s">
        <v>3020</v>
      </c>
      <c r="C366" s="366">
        <v>3.0</v>
      </c>
      <c r="D366" s="559"/>
      <c r="E366" s="559"/>
      <c r="F366" s="366" t="s">
        <v>1523</v>
      </c>
      <c r="G366" s="366" t="s">
        <v>1670</v>
      </c>
      <c r="H366" s="366" t="s">
        <v>1656</v>
      </c>
    </row>
    <row r="367">
      <c r="A367" s="584" t="s">
        <v>3040</v>
      </c>
      <c r="B367" s="361" t="s">
        <v>3020</v>
      </c>
      <c r="C367" s="361">
        <v>3.0</v>
      </c>
      <c r="D367" s="561"/>
      <c r="E367" s="561"/>
      <c r="F367" s="361" t="s">
        <v>1523</v>
      </c>
      <c r="G367" s="361" t="s">
        <v>1670</v>
      </c>
      <c r="H367" s="361" t="s">
        <v>1656</v>
      </c>
    </row>
    <row r="368">
      <c r="A368" s="585" t="s">
        <v>3041</v>
      </c>
      <c r="B368" s="366" t="s">
        <v>3020</v>
      </c>
      <c r="C368" s="366">
        <v>4.0</v>
      </c>
      <c r="D368" s="559"/>
      <c r="E368" s="559"/>
      <c r="F368" s="366" t="s">
        <v>1670</v>
      </c>
      <c r="G368" s="366" t="s">
        <v>2176</v>
      </c>
      <c r="H368" s="366" t="s">
        <v>1656</v>
      </c>
    </row>
    <row r="369">
      <c r="A369" s="584" t="s">
        <v>3042</v>
      </c>
      <c r="B369" s="361" t="s">
        <v>3020</v>
      </c>
      <c r="C369" s="361">
        <v>4.0</v>
      </c>
      <c r="D369" s="561"/>
      <c r="E369" s="561"/>
      <c r="F369" s="361" t="s">
        <v>2176</v>
      </c>
      <c r="G369" s="361" t="s">
        <v>1687</v>
      </c>
      <c r="H369" s="361" t="s">
        <v>1656</v>
      </c>
    </row>
    <row r="370">
      <c r="A370" s="585" t="s">
        <v>3043</v>
      </c>
      <c r="B370" s="366" t="s">
        <v>3020</v>
      </c>
      <c r="C370" s="366">
        <v>4.0</v>
      </c>
      <c r="D370" s="559"/>
      <c r="E370" s="559"/>
      <c r="F370" s="366" t="s">
        <v>1687</v>
      </c>
      <c r="G370" s="366" t="s">
        <v>1656</v>
      </c>
      <c r="H370" s="366" t="s">
        <v>1670</v>
      </c>
    </row>
    <row r="371">
      <c r="A371" s="584" t="s">
        <v>3044</v>
      </c>
      <c r="B371" s="361" t="s">
        <v>3020</v>
      </c>
      <c r="C371" s="361">
        <v>4.0</v>
      </c>
      <c r="D371" s="561"/>
      <c r="E371" s="561"/>
      <c r="F371" s="361" t="s">
        <v>2176</v>
      </c>
      <c r="G371" s="361" t="s">
        <v>1670</v>
      </c>
      <c r="H371" s="361" t="s">
        <v>1656</v>
      </c>
    </row>
    <row r="372">
      <c r="A372" s="585" t="s">
        <v>3045</v>
      </c>
      <c r="B372" s="366" t="s">
        <v>3020</v>
      </c>
      <c r="C372" s="366">
        <v>4.0</v>
      </c>
      <c r="D372" s="559"/>
      <c r="E372" s="559"/>
      <c r="F372" s="366" t="s">
        <v>2176</v>
      </c>
      <c r="G372" s="366" t="s">
        <v>1687</v>
      </c>
      <c r="H372" s="366" t="s">
        <v>1670</v>
      </c>
    </row>
    <row r="373">
      <c r="A373" s="584" t="s">
        <v>3046</v>
      </c>
      <c r="B373" s="361" t="s">
        <v>3020</v>
      </c>
      <c r="C373" s="361">
        <v>5.0</v>
      </c>
      <c r="D373" s="561"/>
      <c r="E373" s="561"/>
      <c r="F373" s="361" t="s">
        <v>1670</v>
      </c>
      <c r="G373" s="361" t="s">
        <v>2176</v>
      </c>
      <c r="H373" s="361" t="s">
        <v>1687</v>
      </c>
    </row>
    <row r="374">
      <c r="A374" s="585" t="s">
        <v>3047</v>
      </c>
      <c r="B374" s="366" t="s">
        <v>3020</v>
      </c>
      <c r="C374" s="366">
        <v>5.0</v>
      </c>
      <c r="D374" s="559"/>
      <c r="E374" s="559"/>
      <c r="F374" s="366" t="s">
        <v>2176</v>
      </c>
      <c r="G374" s="366" t="s">
        <v>2196</v>
      </c>
      <c r="H374" s="366" t="s">
        <v>1687</v>
      </c>
    </row>
    <row r="375">
      <c r="A375" s="584" t="s">
        <v>3048</v>
      </c>
      <c r="B375" s="361" t="s">
        <v>3020</v>
      </c>
      <c r="C375" s="361">
        <v>5.0</v>
      </c>
      <c r="D375" s="561"/>
      <c r="E375" s="561"/>
      <c r="F375" s="361" t="s">
        <v>1670</v>
      </c>
      <c r="G375" s="361" t="s">
        <v>2176</v>
      </c>
      <c r="H375" s="361" t="s">
        <v>2199</v>
      </c>
    </row>
    <row r="376">
      <c r="A376" s="585" t="s">
        <v>3049</v>
      </c>
      <c r="B376" s="366" t="s">
        <v>3020</v>
      </c>
      <c r="C376" s="366">
        <v>5.0</v>
      </c>
      <c r="D376" s="559"/>
      <c r="E376" s="559"/>
      <c r="F376" s="366" t="s">
        <v>2196</v>
      </c>
      <c r="G376" s="366" t="s">
        <v>2176</v>
      </c>
      <c r="H376" s="366" t="s">
        <v>2199</v>
      </c>
    </row>
    <row r="377">
      <c r="A377" s="584" t="s">
        <v>3050</v>
      </c>
      <c r="B377" s="361" t="s">
        <v>3020</v>
      </c>
      <c r="C377" s="361">
        <v>5.0</v>
      </c>
      <c r="D377" s="561"/>
      <c r="E377" s="561"/>
      <c r="F377" s="361" t="s">
        <v>1670</v>
      </c>
      <c r="G377" s="361" t="s">
        <v>1540</v>
      </c>
      <c r="H377" s="361" t="s">
        <v>2176</v>
      </c>
    </row>
    <row r="378">
      <c r="A378" s="585" t="s">
        <v>3051</v>
      </c>
      <c r="B378" s="366" t="s">
        <v>3020</v>
      </c>
      <c r="C378" s="366">
        <v>5.0</v>
      </c>
      <c r="D378" s="559"/>
      <c r="E378" s="559"/>
      <c r="F378" s="366" t="s">
        <v>2176</v>
      </c>
      <c r="G378" s="366" t="s">
        <v>1540</v>
      </c>
      <c r="H378" s="366" t="s">
        <v>1687</v>
      </c>
    </row>
    <row r="379">
      <c r="A379" s="584" t="s">
        <v>3052</v>
      </c>
      <c r="B379" s="361" t="s">
        <v>3020</v>
      </c>
      <c r="C379" s="361">
        <v>7.0</v>
      </c>
      <c r="D379" s="561"/>
      <c r="E379" s="561"/>
      <c r="F379" s="361" t="s">
        <v>2207</v>
      </c>
      <c r="G379" s="361" t="s">
        <v>2229</v>
      </c>
      <c r="H379" s="361" t="s">
        <v>2196</v>
      </c>
    </row>
    <row r="380">
      <c r="A380" s="585" t="s">
        <v>3053</v>
      </c>
      <c r="B380" s="366" t="s">
        <v>3020</v>
      </c>
      <c r="C380" s="366">
        <v>8.0</v>
      </c>
      <c r="D380" s="559"/>
      <c r="E380" s="559"/>
      <c r="F380" s="366" t="s">
        <v>2229</v>
      </c>
      <c r="G380" s="366" t="s">
        <v>1725</v>
      </c>
      <c r="H380" s="366" t="s">
        <v>1711</v>
      </c>
    </row>
    <row r="381">
      <c r="A381" s="584" t="s">
        <v>3054</v>
      </c>
      <c r="B381" s="361" t="s">
        <v>3020</v>
      </c>
      <c r="C381" s="361">
        <v>9.0</v>
      </c>
      <c r="D381" s="561"/>
      <c r="E381" s="561"/>
      <c r="F381" s="361" t="s">
        <v>2837</v>
      </c>
      <c r="G381" s="361" t="s">
        <v>2239</v>
      </c>
      <c r="H381" s="361" t="s">
        <v>1897</v>
      </c>
    </row>
    <row r="382">
      <c r="A382" s="585" t="s">
        <v>3055</v>
      </c>
      <c r="B382" s="366" t="s">
        <v>3020</v>
      </c>
      <c r="C382" s="366">
        <v>9.0</v>
      </c>
      <c r="D382" s="559"/>
      <c r="E382" s="559"/>
      <c r="F382" s="366" t="s">
        <v>2837</v>
      </c>
      <c r="G382" s="366" t="s">
        <v>2239</v>
      </c>
      <c r="H382" s="366" t="s">
        <v>1897</v>
      </c>
    </row>
    <row r="383">
      <c r="A383" s="584" t="s">
        <v>3056</v>
      </c>
      <c r="B383" s="361" t="s">
        <v>3020</v>
      </c>
      <c r="C383" s="361">
        <v>9.0</v>
      </c>
      <c r="D383" s="561"/>
      <c r="E383" s="561"/>
      <c r="F383" s="361" t="s">
        <v>2239</v>
      </c>
      <c r="G383" s="361" t="s">
        <v>1725</v>
      </c>
      <c r="H383" s="361" t="s">
        <v>2783</v>
      </c>
    </row>
    <row r="384">
      <c r="A384" s="585" t="s">
        <v>3057</v>
      </c>
      <c r="B384" s="366" t="s">
        <v>3020</v>
      </c>
      <c r="C384" s="366">
        <v>9.0</v>
      </c>
      <c r="D384" s="559"/>
      <c r="E384" s="559"/>
      <c r="F384" s="366" t="s">
        <v>2837</v>
      </c>
      <c r="G384" s="366" t="s">
        <v>2783</v>
      </c>
      <c r="H384" s="366" t="s">
        <v>2239</v>
      </c>
    </row>
    <row r="385">
      <c r="A385" s="584" t="s">
        <v>3058</v>
      </c>
      <c r="B385" s="361" t="s">
        <v>3020</v>
      </c>
      <c r="C385" s="361">
        <v>9.0</v>
      </c>
      <c r="D385" s="561"/>
      <c r="E385" s="561"/>
      <c r="F385" s="361" t="s">
        <v>2223</v>
      </c>
      <c r="G385" s="361" t="s">
        <v>2233</v>
      </c>
      <c r="H385" s="361" t="s">
        <v>2783</v>
      </c>
    </row>
    <row r="386">
      <c r="A386" s="585" t="s">
        <v>3059</v>
      </c>
      <c r="B386" s="366" t="s">
        <v>3020</v>
      </c>
      <c r="C386" s="366">
        <v>9.0</v>
      </c>
      <c r="D386" s="559"/>
      <c r="E386" s="559"/>
      <c r="F386" s="366" t="s">
        <v>1725</v>
      </c>
      <c r="G386" s="366" t="s">
        <v>2229</v>
      </c>
      <c r="H386" s="366" t="s">
        <v>2783</v>
      </c>
    </row>
    <row r="387">
      <c r="A387" s="584" t="s">
        <v>3060</v>
      </c>
      <c r="B387" s="361" t="s">
        <v>3020</v>
      </c>
      <c r="C387" s="361">
        <v>9.0</v>
      </c>
      <c r="D387" s="561"/>
      <c r="E387" s="561"/>
      <c r="F387" s="361" t="s">
        <v>2239</v>
      </c>
      <c r="G387" s="361" t="s">
        <v>2837</v>
      </c>
      <c r="H387" s="361" t="s">
        <v>2233</v>
      </c>
    </row>
    <row r="388">
      <c r="A388" s="585" t="s">
        <v>3061</v>
      </c>
      <c r="B388" s="366" t="s">
        <v>3020</v>
      </c>
      <c r="C388" s="366">
        <v>9.0</v>
      </c>
      <c r="D388" s="559"/>
      <c r="E388" s="559"/>
      <c r="F388" s="366" t="s">
        <v>2233</v>
      </c>
      <c r="G388" s="366" t="s">
        <v>2783</v>
      </c>
      <c r="H388" s="366" t="s">
        <v>2223</v>
      </c>
    </row>
    <row r="389">
      <c r="A389" s="584" t="s">
        <v>3062</v>
      </c>
      <c r="B389" s="361" t="s">
        <v>3020</v>
      </c>
      <c r="C389" s="361">
        <v>9.0</v>
      </c>
      <c r="D389" s="561"/>
      <c r="E389" s="561"/>
      <c r="F389" s="361" t="s">
        <v>1725</v>
      </c>
      <c r="G389" s="361" t="s">
        <v>2229</v>
      </c>
      <c r="H389" s="361" t="s">
        <v>2239</v>
      </c>
    </row>
    <row r="390">
      <c r="A390" s="585" t="s">
        <v>3063</v>
      </c>
      <c r="B390" s="366" t="s">
        <v>3064</v>
      </c>
      <c r="C390" s="366">
        <v>1.0</v>
      </c>
      <c r="D390" s="559"/>
      <c r="E390" s="559"/>
      <c r="F390" s="366" t="s">
        <v>2083</v>
      </c>
      <c r="G390" s="366" t="s">
        <v>1523</v>
      </c>
      <c r="H390" s="366" t="s">
        <v>26</v>
      </c>
    </row>
    <row r="391">
      <c r="A391" s="584" t="s">
        <v>3065</v>
      </c>
      <c r="B391" s="361" t="s">
        <v>3064</v>
      </c>
      <c r="C391" s="361">
        <v>1.0</v>
      </c>
      <c r="D391" s="561"/>
      <c r="E391" s="561"/>
      <c r="F391" s="361" t="s">
        <v>2083</v>
      </c>
      <c r="G391" s="361" t="s">
        <v>1523</v>
      </c>
      <c r="H391" s="361" t="s">
        <v>26</v>
      </c>
    </row>
    <row r="392">
      <c r="A392" s="585" t="s">
        <v>3066</v>
      </c>
      <c r="B392" s="366" t="s">
        <v>3064</v>
      </c>
      <c r="C392" s="366">
        <v>1.0</v>
      </c>
      <c r="D392" s="559"/>
      <c r="E392" s="559"/>
      <c r="F392" s="366" t="s">
        <v>2083</v>
      </c>
      <c r="G392" s="366" t="s">
        <v>1523</v>
      </c>
      <c r="H392" s="366" t="s">
        <v>26</v>
      </c>
    </row>
    <row r="393">
      <c r="A393" s="584" t="s">
        <v>3067</v>
      </c>
      <c r="B393" s="361" t="s">
        <v>3064</v>
      </c>
      <c r="C393" s="361">
        <v>1.0</v>
      </c>
      <c r="D393" s="561"/>
      <c r="E393" s="561"/>
      <c r="F393" s="361" t="s">
        <v>2083</v>
      </c>
      <c r="G393" s="361" t="s">
        <v>1523</v>
      </c>
      <c r="H393" s="361" t="s">
        <v>26</v>
      </c>
    </row>
    <row r="394">
      <c r="A394" s="585" t="s">
        <v>3068</v>
      </c>
      <c r="B394" s="366" t="s">
        <v>3064</v>
      </c>
      <c r="C394" s="366">
        <v>1.0</v>
      </c>
      <c r="D394" s="559"/>
      <c r="E394" s="559"/>
      <c r="F394" s="366" t="s">
        <v>2083</v>
      </c>
      <c r="G394" s="366" t="s">
        <v>1523</v>
      </c>
      <c r="H394" s="366" t="s">
        <v>26</v>
      </c>
    </row>
    <row r="395">
      <c r="A395" s="584" t="s">
        <v>3069</v>
      </c>
      <c r="B395" s="361" t="s">
        <v>3064</v>
      </c>
      <c r="C395" s="361">
        <v>1.0</v>
      </c>
      <c r="D395" s="561"/>
      <c r="E395" s="561"/>
      <c r="F395" s="361" t="s">
        <v>2083</v>
      </c>
      <c r="G395" s="361" t="s">
        <v>1523</v>
      </c>
      <c r="H395" s="361" t="s">
        <v>26</v>
      </c>
    </row>
    <row r="396">
      <c r="A396" s="585" t="s">
        <v>3070</v>
      </c>
      <c r="B396" s="366" t="s">
        <v>3064</v>
      </c>
      <c r="C396" s="366">
        <v>1.0</v>
      </c>
      <c r="D396" s="559"/>
      <c r="E396" s="559"/>
      <c r="F396" s="366" t="s">
        <v>2083</v>
      </c>
      <c r="G396" s="366" t="s">
        <v>1523</v>
      </c>
      <c r="H396" s="366" t="s">
        <v>26</v>
      </c>
    </row>
    <row r="397">
      <c r="A397" s="584" t="s">
        <v>3071</v>
      </c>
      <c r="B397" s="361" t="s">
        <v>3064</v>
      </c>
      <c r="C397" s="361">
        <v>1.0</v>
      </c>
      <c r="D397" s="561"/>
      <c r="E397" s="561"/>
      <c r="F397" s="361" t="s">
        <v>2083</v>
      </c>
      <c r="G397" s="361" t="s">
        <v>1523</v>
      </c>
      <c r="H397" s="361" t="s">
        <v>26</v>
      </c>
    </row>
    <row r="398">
      <c r="A398" s="585" t="s">
        <v>3072</v>
      </c>
      <c r="B398" s="366" t="s">
        <v>3064</v>
      </c>
      <c r="C398" s="366">
        <v>2.0</v>
      </c>
      <c r="D398" s="559"/>
      <c r="E398" s="559"/>
      <c r="F398" s="366" t="s">
        <v>2083</v>
      </c>
      <c r="G398" s="366" t="s">
        <v>1523</v>
      </c>
      <c r="H398" s="366" t="s">
        <v>1656</v>
      </c>
    </row>
    <row r="399">
      <c r="A399" s="584" t="s">
        <v>3073</v>
      </c>
      <c r="B399" s="361" t="s">
        <v>3064</v>
      </c>
      <c r="C399" s="361">
        <v>2.0</v>
      </c>
      <c r="D399" s="561"/>
      <c r="E399" s="561"/>
      <c r="F399" s="361" t="s">
        <v>1656</v>
      </c>
      <c r="G399" s="361" t="s">
        <v>2083</v>
      </c>
      <c r="H399" s="361" t="s">
        <v>1523</v>
      </c>
    </row>
    <row r="400">
      <c r="A400" s="585" t="s">
        <v>3074</v>
      </c>
      <c r="B400" s="366" t="s">
        <v>3064</v>
      </c>
      <c r="C400" s="366">
        <v>2.0</v>
      </c>
      <c r="D400" s="559"/>
      <c r="E400" s="559"/>
      <c r="F400" s="366" t="s">
        <v>1523</v>
      </c>
      <c r="G400" s="366" t="s">
        <v>2083</v>
      </c>
      <c r="H400" s="366" t="s">
        <v>1656</v>
      </c>
    </row>
    <row r="401">
      <c r="A401" s="584" t="s">
        <v>3075</v>
      </c>
      <c r="B401" s="361" t="s">
        <v>3064</v>
      </c>
      <c r="C401" s="361">
        <v>2.0</v>
      </c>
      <c r="D401" s="561"/>
      <c r="E401" s="561"/>
      <c r="F401" s="361" t="s">
        <v>1656</v>
      </c>
      <c r="G401" s="361" t="s">
        <v>2083</v>
      </c>
      <c r="H401" s="361" t="s">
        <v>1523</v>
      </c>
    </row>
    <row r="402">
      <c r="A402" s="585" t="s">
        <v>3076</v>
      </c>
      <c r="B402" s="366" t="s">
        <v>3064</v>
      </c>
      <c r="C402" s="366">
        <v>2.0</v>
      </c>
      <c r="D402" s="559"/>
      <c r="E402" s="559"/>
      <c r="F402" s="366" t="s">
        <v>2083</v>
      </c>
      <c r="G402" s="366" t="s">
        <v>1656</v>
      </c>
      <c r="H402" s="366" t="s">
        <v>1523</v>
      </c>
    </row>
    <row r="403">
      <c r="A403" s="584" t="s">
        <v>3077</v>
      </c>
      <c r="B403" s="361" t="s">
        <v>3064</v>
      </c>
      <c r="C403" s="361">
        <v>2.0</v>
      </c>
      <c r="D403" s="561"/>
      <c r="E403" s="561"/>
      <c r="F403" s="361" t="s">
        <v>1523</v>
      </c>
      <c r="G403" s="361" t="s">
        <v>2083</v>
      </c>
      <c r="H403" s="361" t="s">
        <v>1656</v>
      </c>
    </row>
    <row r="404">
      <c r="A404" s="585" t="s">
        <v>3078</v>
      </c>
      <c r="B404" s="366" t="s">
        <v>3064</v>
      </c>
      <c r="C404" s="366">
        <v>2.0</v>
      </c>
      <c r="D404" s="559"/>
      <c r="E404" s="559"/>
      <c r="F404" s="366" t="s">
        <v>2083</v>
      </c>
      <c r="G404" s="366" t="s">
        <v>1523</v>
      </c>
      <c r="H404" s="366" t="s">
        <v>1656</v>
      </c>
    </row>
    <row r="405">
      <c r="A405" s="584" t="s">
        <v>3079</v>
      </c>
      <c r="B405" s="361" t="s">
        <v>3064</v>
      </c>
      <c r="C405" s="361">
        <v>3.0</v>
      </c>
      <c r="D405" s="561"/>
      <c r="E405" s="561"/>
      <c r="F405" s="361" t="s">
        <v>1523</v>
      </c>
      <c r="G405" s="361" t="s">
        <v>1665</v>
      </c>
      <c r="H405" s="361" t="s">
        <v>1670</v>
      </c>
    </row>
    <row r="406">
      <c r="A406" s="585" t="s">
        <v>3080</v>
      </c>
      <c r="B406" s="366" t="s">
        <v>3064</v>
      </c>
      <c r="C406" s="366">
        <v>3.0</v>
      </c>
      <c r="D406" s="559"/>
      <c r="E406" s="559"/>
      <c r="F406" s="366" t="s">
        <v>2083</v>
      </c>
      <c r="G406" s="366" t="s">
        <v>1523</v>
      </c>
      <c r="H406" s="366" t="s">
        <v>1656</v>
      </c>
    </row>
    <row r="407">
      <c r="A407" s="584" t="s">
        <v>3081</v>
      </c>
      <c r="B407" s="361" t="s">
        <v>3064</v>
      </c>
      <c r="C407" s="361">
        <v>3.0</v>
      </c>
      <c r="D407" s="561"/>
      <c r="E407" s="561"/>
      <c r="F407" s="361" t="s">
        <v>1670</v>
      </c>
      <c r="G407" s="361" t="s">
        <v>1665</v>
      </c>
      <c r="H407" s="361" t="s">
        <v>1656</v>
      </c>
    </row>
    <row r="408">
      <c r="A408" s="585" t="s">
        <v>3082</v>
      </c>
      <c r="B408" s="366" t="s">
        <v>3064</v>
      </c>
      <c r="C408" s="366">
        <v>4.0</v>
      </c>
      <c r="D408" s="559"/>
      <c r="E408" s="559"/>
      <c r="F408" s="366" t="s">
        <v>2176</v>
      </c>
      <c r="G408" s="366" t="s">
        <v>1687</v>
      </c>
      <c r="H408" s="366" t="s">
        <v>1665</v>
      </c>
    </row>
    <row r="409">
      <c r="A409" s="584" t="s">
        <v>3083</v>
      </c>
      <c r="B409" s="361" t="s">
        <v>3064</v>
      </c>
      <c r="C409" s="361">
        <v>4.0</v>
      </c>
      <c r="D409" s="561"/>
      <c r="E409" s="561"/>
      <c r="F409" s="361" t="s">
        <v>1670</v>
      </c>
      <c r="G409" s="361" t="s">
        <v>1687</v>
      </c>
      <c r="H409" s="361" t="s">
        <v>1656</v>
      </c>
    </row>
    <row r="410">
      <c r="A410" s="585" t="s">
        <v>3084</v>
      </c>
      <c r="B410" s="366" t="s">
        <v>3064</v>
      </c>
      <c r="C410" s="366">
        <v>5.0</v>
      </c>
      <c r="D410" s="559"/>
      <c r="E410" s="559"/>
      <c r="F410" s="366" t="s">
        <v>1670</v>
      </c>
      <c r="G410" s="366" t="s">
        <v>1687</v>
      </c>
      <c r="H410" s="366" t="s">
        <v>2196</v>
      </c>
    </row>
    <row r="411">
      <c r="A411" s="584" t="s">
        <v>3085</v>
      </c>
      <c r="B411" s="361" t="s">
        <v>3064</v>
      </c>
      <c r="C411" s="361">
        <v>5.0</v>
      </c>
      <c r="D411" s="561"/>
      <c r="E411" s="561"/>
      <c r="F411" s="361" t="s">
        <v>2199</v>
      </c>
      <c r="G411" s="361" t="s">
        <v>2184</v>
      </c>
      <c r="H411" s="361" t="s">
        <v>2196</v>
      </c>
    </row>
    <row r="412">
      <c r="A412" s="585" t="s">
        <v>3086</v>
      </c>
      <c r="B412" s="366" t="s">
        <v>3064</v>
      </c>
      <c r="C412" s="366">
        <v>5.0</v>
      </c>
      <c r="D412" s="559"/>
      <c r="E412" s="559"/>
      <c r="F412" s="366" t="s">
        <v>1670</v>
      </c>
      <c r="G412" s="366" t="s">
        <v>1687</v>
      </c>
      <c r="H412" s="366" t="s">
        <v>2166</v>
      </c>
    </row>
    <row r="413">
      <c r="A413" s="584" t="s">
        <v>3087</v>
      </c>
      <c r="B413" s="361" t="s">
        <v>3064</v>
      </c>
      <c r="C413" s="361">
        <v>5.0</v>
      </c>
      <c r="D413" s="561"/>
      <c r="E413" s="561"/>
      <c r="F413" s="361" t="s">
        <v>1670</v>
      </c>
      <c r="G413" s="361" t="s">
        <v>1540</v>
      </c>
      <c r="H413" s="361" t="s">
        <v>2196</v>
      </c>
    </row>
    <row r="414">
      <c r="A414" s="585" t="s">
        <v>3088</v>
      </c>
      <c r="B414" s="366" t="s">
        <v>3064</v>
      </c>
      <c r="C414" s="366">
        <v>5.0</v>
      </c>
      <c r="D414" s="559"/>
      <c r="E414" s="559"/>
      <c r="F414" s="366" t="s">
        <v>1687</v>
      </c>
      <c r="G414" s="366" t="s">
        <v>2176</v>
      </c>
      <c r="H414" s="366" t="s">
        <v>2166</v>
      </c>
    </row>
    <row r="415">
      <c r="A415" s="584" t="s">
        <v>3089</v>
      </c>
      <c r="B415" s="361" t="s">
        <v>2655</v>
      </c>
      <c r="C415" s="361">
        <v>1.0</v>
      </c>
      <c r="D415" s="561"/>
      <c r="E415" s="561"/>
      <c r="F415" s="361" t="s">
        <v>2070</v>
      </c>
      <c r="G415" s="361" t="s">
        <v>1975</v>
      </c>
      <c r="H415" s="361" t="s">
        <v>2083</v>
      </c>
    </row>
    <row r="416">
      <c r="A416" s="585" t="s">
        <v>3090</v>
      </c>
      <c r="B416" s="366" t="s">
        <v>2655</v>
      </c>
      <c r="C416" s="366">
        <v>1.0</v>
      </c>
      <c r="D416" s="559"/>
      <c r="E416" s="559"/>
      <c r="F416" s="366" t="s">
        <v>2065</v>
      </c>
      <c r="G416" s="366" t="s">
        <v>1635</v>
      </c>
      <c r="H416" s="366" t="s">
        <v>1975</v>
      </c>
    </row>
    <row r="417">
      <c r="A417" s="584" t="s">
        <v>3091</v>
      </c>
      <c r="B417" s="361" t="s">
        <v>2655</v>
      </c>
      <c r="C417" s="361">
        <v>2.0</v>
      </c>
      <c r="D417" s="561"/>
      <c r="E417" s="561"/>
      <c r="F417" s="361" t="s">
        <v>1640</v>
      </c>
      <c r="G417" s="361" t="s">
        <v>1635</v>
      </c>
      <c r="H417" s="361" t="s">
        <v>2065</v>
      </c>
    </row>
    <row r="418">
      <c r="A418" s="585" t="s">
        <v>3092</v>
      </c>
      <c r="B418" s="366" t="s">
        <v>2655</v>
      </c>
      <c r="C418" s="366">
        <v>3.0</v>
      </c>
      <c r="D418" s="559"/>
      <c r="E418" s="559"/>
      <c r="F418" s="366" t="s">
        <v>1665</v>
      </c>
      <c r="G418" s="366" t="s">
        <v>1500</v>
      </c>
      <c r="H418" s="366" t="s">
        <v>1657</v>
      </c>
    </row>
    <row r="419">
      <c r="A419" s="584" t="s">
        <v>3093</v>
      </c>
      <c r="B419" s="361" t="s">
        <v>2655</v>
      </c>
      <c r="C419" s="361">
        <v>3.0</v>
      </c>
      <c r="D419" s="561"/>
      <c r="E419" s="561"/>
      <c r="F419" s="361" t="s">
        <v>1637</v>
      </c>
      <c r="G419" s="361" t="s">
        <v>1975</v>
      </c>
      <c r="H419" s="361" t="s">
        <v>1640</v>
      </c>
    </row>
    <row r="420">
      <c r="A420" s="585" t="s">
        <v>3094</v>
      </c>
      <c r="B420" s="366" t="s">
        <v>2655</v>
      </c>
      <c r="C420" s="366">
        <v>3.0</v>
      </c>
      <c r="D420" s="559"/>
      <c r="E420" s="559"/>
      <c r="F420" s="366" t="s">
        <v>2083</v>
      </c>
      <c r="G420" s="366" t="s">
        <v>1975</v>
      </c>
      <c r="H420" s="366" t="s">
        <v>1665</v>
      </c>
    </row>
    <row r="421">
      <c r="A421" s="584" t="s">
        <v>3095</v>
      </c>
      <c r="B421" s="361" t="s">
        <v>2655</v>
      </c>
      <c r="C421" s="361">
        <v>3.0</v>
      </c>
      <c r="D421" s="561"/>
      <c r="E421" s="561"/>
      <c r="F421" s="361" t="s">
        <v>2113</v>
      </c>
      <c r="G421" s="361" t="s">
        <v>2070</v>
      </c>
      <c r="H421" s="361" t="s">
        <v>1500</v>
      </c>
    </row>
    <row r="422">
      <c r="A422" s="585" t="s">
        <v>3096</v>
      </c>
      <c r="B422" s="366" t="s">
        <v>2655</v>
      </c>
      <c r="C422" s="366">
        <v>4.0</v>
      </c>
      <c r="D422" s="559"/>
      <c r="E422" s="559"/>
      <c r="F422" s="366" t="s">
        <v>2166</v>
      </c>
      <c r="G422" s="366" t="s">
        <v>1534</v>
      </c>
      <c r="H422" s="366" t="s">
        <v>1573</v>
      </c>
    </row>
    <row r="423">
      <c r="A423" s="584" t="s">
        <v>3097</v>
      </c>
      <c r="B423" s="361" t="s">
        <v>2655</v>
      </c>
      <c r="C423" s="361">
        <v>4.0</v>
      </c>
      <c r="D423" s="561"/>
      <c r="E423" s="561"/>
      <c r="F423" s="361" t="s">
        <v>2166</v>
      </c>
      <c r="G423" s="361" t="s">
        <v>1657</v>
      </c>
      <c r="H423" s="361" t="s">
        <v>1637</v>
      </c>
    </row>
    <row r="424">
      <c r="A424" s="585" t="s">
        <v>3098</v>
      </c>
      <c r="B424" s="366" t="s">
        <v>2655</v>
      </c>
      <c r="C424" s="366">
        <v>4.0</v>
      </c>
      <c r="D424" s="559"/>
      <c r="E424" s="559"/>
      <c r="F424" s="366" t="s">
        <v>1640</v>
      </c>
      <c r="G424" s="366" t="s">
        <v>1665</v>
      </c>
      <c r="H424" s="366" t="s">
        <v>1534</v>
      </c>
    </row>
    <row r="425">
      <c r="A425" s="584" t="s">
        <v>3099</v>
      </c>
      <c r="B425" s="361" t="s">
        <v>2655</v>
      </c>
      <c r="C425" s="361">
        <v>4.0</v>
      </c>
      <c r="D425" s="561"/>
      <c r="E425" s="561"/>
      <c r="F425" s="361" t="s">
        <v>2113</v>
      </c>
      <c r="G425" s="361" t="s">
        <v>2166</v>
      </c>
      <c r="H425" s="361" t="s">
        <v>1534</v>
      </c>
    </row>
    <row r="426">
      <c r="A426" s="585" t="s">
        <v>3100</v>
      </c>
      <c r="B426" s="366" t="s">
        <v>2655</v>
      </c>
      <c r="C426" s="366">
        <v>4.0</v>
      </c>
      <c r="D426" s="559"/>
      <c r="E426" s="559"/>
      <c r="F426" s="366" t="s">
        <v>2166</v>
      </c>
      <c r="G426" s="366" t="s">
        <v>2113</v>
      </c>
      <c r="H426" s="366" t="s">
        <v>1640</v>
      </c>
    </row>
    <row r="427">
      <c r="A427" s="584" t="s">
        <v>3101</v>
      </c>
      <c r="B427" s="361" t="s">
        <v>2655</v>
      </c>
      <c r="C427" s="361">
        <v>4.0</v>
      </c>
      <c r="D427" s="561"/>
      <c r="E427" s="561"/>
      <c r="F427" s="361" t="s">
        <v>2113</v>
      </c>
      <c r="G427" s="361" t="s">
        <v>1637</v>
      </c>
      <c r="H427" s="361" t="s">
        <v>1665</v>
      </c>
    </row>
    <row r="428">
      <c r="A428" s="585" t="s">
        <v>3102</v>
      </c>
      <c r="B428" s="366" t="s">
        <v>2655</v>
      </c>
      <c r="C428" s="366">
        <v>5.0</v>
      </c>
      <c r="D428" s="559"/>
      <c r="E428" s="559"/>
      <c r="F428" s="366" t="s">
        <v>2016</v>
      </c>
      <c r="G428" s="366" t="s">
        <v>2113</v>
      </c>
      <c r="H428" s="366" t="s">
        <v>2184</v>
      </c>
    </row>
    <row r="429">
      <c r="A429" s="584" t="s">
        <v>3103</v>
      </c>
      <c r="B429" s="361" t="s">
        <v>2655</v>
      </c>
      <c r="C429" s="361">
        <v>5.0</v>
      </c>
      <c r="D429" s="561"/>
      <c r="E429" s="561"/>
      <c r="F429" s="361" t="s">
        <v>1500</v>
      </c>
      <c r="G429" s="361" t="s">
        <v>2184</v>
      </c>
      <c r="H429" s="361" t="s">
        <v>1665</v>
      </c>
    </row>
    <row r="430">
      <c r="A430" s="585" t="s">
        <v>3104</v>
      </c>
      <c r="B430" s="366" t="s">
        <v>2655</v>
      </c>
      <c r="C430" s="366">
        <v>5.0</v>
      </c>
      <c r="D430" s="559"/>
      <c r="E430" s="559"/>
      <c r="F430" s="366" t="s">
        <v>1657</v>
      </c>
      <c r="G430" s="366" t="s">
        <v>1573</v>
      </c>
      <c r="H430" s="366" t="s">
        <v>2166</v>
      </c>
    </row>
    <row r="431">
      <c r="A431" s="584" t="s">
        <v>3105</v>
      </c>
      <c r="B431" s="361" t="s">
        <v>2655</v>
      </c>
      <c r="C431" s="361">
        <v>5.0</v>
      </c>
      <c r="D431" s="561"/>
      <c r="E431" s="561"/>
      <c r="F431" s="361" t="s">
        <v>1665</v>
      </c>
      <c r="G431" s="361" t="s">
        <v>1500</v>
      </c>
      <c r="H431" s="361" t="s">
        <v>2184</v>
      </c>
    </row>
    <row r="432">
      <c r="A432" s="585" t="s">
        <v>3106</v>
      </c>
      <c r="B432" s="366" t="s">
        <v>2655</v>
      </c>
      <c r="C432" s="366">
        <v>5.0</v>
      </c>
      <c r="D432" s="559"/>
      <c r="E432" s="559"/>
      <c r="F432" s="366" t="s">
        <v>1657</v>
      </c>
      <c r="G432" s="366" t="s">
        <v>1573</v>
      </c>
      <c r="H432" s="366" t="s">
        <v>2016</v>
      </c>
    </row>
    <row r="433">
      <c r="A433" s="584" t="s">
        <v>3107</v>
      </c>
      <c r="B433" s="361" t="s">
        <v>2655</v>
      </c>
      <c r="C433" s="361">
        <v>5.0</v>
      </c>
      <c r="D433" s="561"/>
      <c r="E433" s="561"/>
      <c r="F433" s="361" t="s">
        <v>1657</v>
      </c>
      <c r="G433" s="361" t="s">
        <v>1534</v>
      </c>
      <c r="H433" s="361" t="s">
        <v>2016</v>
      </c>
    </row>
    <row r="434">
      <c r="A434" s="585" t="s">
        <v>3108</v>
      </c>
      <c r="B434" s="366" t="s">
        <v>2655</v>
      </c>
      <c r="C434" s="366">
        <v>5.0</v>
      </c>
      <c r="D434" s="559"/>
      <c r="E434" s="559"/>
      <c r="F434" s="366" t="s">
        <v>1657</v>
      </c>
      <c r="G434" s="366" t="s">
        <v>1573</v>
      </c>
      <c r="H434" s="366" t="s">
        <v>2016</v>
      </c>
    </row>
    <row r="435">
      <c r="A435" s="584" t="s">
        <v>3109</v>
      </c>
      <c r="B435" s="361" t="s">
        <v>2655</v>
      </c>
      <c r="C435" s="361">
        <v>5.0</v>
      </c>
      <c r="D435" s="561"/>
      <c r="E435" s="561"/>
      <c r="F435" s="361" t="s">
        <v>2016</v>
      </c>
      <c r="G435" s="361" t="s">
        <v>1500</v>
      </c>
      <c r="H435" s="361" t="s">
        <v>1657</v>
      </c>
    </row>
    <row r="436">
      <c r="A436" s="585" t="s">
        <v>3110</v>
      </c>
      <c r="B436" s="366" t="s">
        <v>2655</v>
      </c>
      <c r="C436" s="366">
        <v>5.0</v>
      </c>
      <c r="D436" s="559"/>
      <c r="E436" s="559"/>
      <c r="F436" s="366" t="s">
        <v>1534</v>
      </c>
      <c r="G436" s="366" t="s">
        <v>2184</v>
      </c>
      <c r="H436" s="366" t="s">
        <v>2113</v>
      </c>
    </row>
    <row r="437">
      <c r="A437" s="584" t="s">
        <v>3111</v>
      </c>
      <c r="B437" s="361" t="s">
        <v>2655</v>
      </c>
      <c r="C437" s="361">
        <v>5.0</v>
      </c>
      <c r="D437" s="561"/>
      <c r="E437" s="561"/>
      <c r="F437" s="361" t="s">
        <v>2184</v>
      </c>
      <c r="G437" s="361" t="s">
        <v>1657</v>
      </c>
      <c r="H437" s="361" t="s">
        <v>1534</v>
      </c>
    </row>
    <row r="438">
      <c r="A438" s="585" t="s">
        <v>3112</v>
      </c>
      <c r="B438" s="366" t="s">
        <v>2655</v>
      </c>
      <c r="C438" s="366">
        <v>6.0</v>
      </c>
      <c r="D438" s="559"/>
      <c r="E438" s="559"/>
      <c r="F438" s="366" t="s">
        <v>2184</v>
      </c>
      <c r="G438" s="366" t="s">
        <v>1573</v>
      </c>
      <c r="H438" s="366" t="s">
        <v>1707</v>
      </c>
    </row>
    <row r="439">
      <c r="A439" s="584" t="s">
        <v>3113</v>
      </c>
      <c r="B439" s="361" t="s">
        <v>2655</v>
      </c>
      <c r="C439" s="361">
        <v>6.0</v>
      </c>
      <c r="D439" s="561"/>
      <c r="E439" s="561"/>
      <c r="F439" s="361" t="s">
        <v>2016</v>
      </c>
      <c r="G439" s="361" t="s">
        <v>2207</v>
      </c>
      <c r="H439" s="361" t="s">
        <v>1573</v>
      </c>
    </row>
    <row r="440">
      <c r="A440" s="585" t="s">
        <v>3114</v>
      </c>
      <c r="B440" s="366" t="s">
        <v>2655</v>
      </c>
      <c r="C440" s="366">
        <v>6.0</v>
      </c>
      <c r="D440" s="559"/>
      <c r="E440" s="559"/>
      <c r="F440" s="366" t="s">
        <v>2207</v>
      </c>
      <c r="G440" s="366" t="s">
        <v>1711</v>
      </c>
      <c r="H440" s="366" t="s">
        <v>2026</v>
      </c>
    </row>
    <row r="441">
      <c r="A441" s="584" t="s">
        <v>3115</v>
      </c>
      <c r="B441" s="361" t="s">
        <v>2655</v>
      </c>
      <c r="C441" s="361">
        <v>6.0</v>
      </c>
      <c r="D441" s="561"/>
      <c r="E441" s="561"/>
      <c r="F441" s="361" t="s">
        <v>2026</v>
      </c>
      <c r="G441" s="361" t="s">
        <v>1707</v>
      </c>
      <c r="H441" s="361" t="s">
        <v>2207</v>
      </c>
    </row>
    <row r="442">
      <c r="A442" s="585" t="s">
        <v>3116</v>
      </c>
      <c r="B442" s="366" t="s">
        <v>2655</v>
      </c>
      <c r="C442" s="366">
        <v>6.0</v>
      </c>
      <c r="D442" s="559"/>
      <c r="E442" s="559"/>
      <c r="F442" s="366" t="s">
        <v>1707</v>
      </c>
      <c r="G442" s="366" t="s">
        <v>2016</v>
      </c>
      <c r="H442" s="366" t="s">
        <v>1711</v>
      </c>
    </row>
    <row r="443">
      <c r="A443" s="584" t="s">
        <v>3117</v>
      </c>
      <c r="B443" s="361" t="s">
        <v>2655</v>
      </c>
      <c r="C443" s="361">
        <v>6.0</v>
      </c>
      <c r="D443" s="561"/>
      <c r="E443" s="561"/>
      <c r="F443" s="361" t="s">
        <v>1573</v>
      </c>
      <c r="G443" s="361" t="s">
        <v>2166</v>
      </c>
      <c r="H443" s="361" t="s">
        <v>2026</v>
      </c>
    </row>
    <row r="444">
      <c r="A444" s="585" t="s">
        <v>3118</v>
      </c>
      <c r="B444" s="366" t="s">
        <v>2655</v>
      </c>
      <c r="C444" s="366">
        <v>6.0</v>
      </c>
      <c r="D444" s="559"/>
      <c r="E444" s="559"/>
      <c r="F444" s="366" t="s">
        <v>2166</v>
      </c>
      <c r="G444" s="366" t="s">
        <v>2016</v>
      </c>
      <c r="H444" s="366" t="s">
        <v>2026</v>
      </c>
    </row>
    <row r="445">
      <c r="A445" s="584" t="s">
        <v>3119</v>
      </c>
      <c r="B445" s="361" t="s">
        <v>2655</v>
      </c>
      <c r="C445" s="361">
        <v>7.0</v>
      </c>
      <c r="D445" s="561"/>
      <c r="E445" s="561"/>
      <c r="F445" s="361" t="s">
        <v>2780</v>
      </c>
      <c r="G445" s="361" t="s">
        <v>2026</v>
      </c>
      <c r="H445" s="361" t="s">
        <v>2016</v>
      </c>
    </row>
    <row r="446">
      <c r="A446" s="585" t="s">
        <v>3120</v>
      </c>
      <c r="B446" s="366" t="s">
        <v>2655</v>
      </c>
      <c r="C446" s="366">
        <v>7.0</v>
      </c>
      <c r="D446" s="559"/>
      <c r="E446" s="559"/>
      <c r="F446" s="366" t="s">
        <v>2026</v>
      </c>
      <c r="G446" s="366" t="s">
        <v>2184</v>
      </c>
      <c r="H446" s="366" t="s">
        <v>1711</v>
      </c>
    </row>
    <row r="447">
      <c r="A447" s="584" t="s">
        <v>3121</v>
      </c>
      <c r="B447" s="361" t="s">
        <v>2655</v>
      </c>
      <c r="C447" s="361">
        <v>7.0</v>
      </c>
      <c r="D447" s="561"/>
      <c r="E447" s="561"/>
      <c r="F447" s="361" t="s">
        <v>2016</v>
      </c>
      <c r="G447" s="361" t="s">
        <v>2207</v>
      </c>
      <c r="H447" s="361" t="s">
        <v>2780</v>
      </c>
    </row>
    <row r="448">
      <c r="A448" s="585" t="s">
        <v>3122</v>
      </c>
      <c r="B448" s="366" t="s">
        <v>2655</v>
      </c>
      <c r="C448" s="366">
        <v>7.0</v>
      </c>
      <c r="D448" s="559"/>
      <c r="E448" s="559"/>
      <c r="F448" s="366" t="s">
        <v>2026</v>
      </c>
      <c r="G448" s="366" t="s">
        <v>2780</v>
      </c>
      <c r="H448" s="366" t="s">
        <v>2184</v>
      </c>
    </row>
    <row r="449">
      <c r="A449" s="584" t="s">
        <v>3123</v>
      </c>
      <c r="B449" s="361" t="s">
        <v>2655</v>
      </c>
      <c r="C449" s="361">
        <v>7.0</v>
      </c>
      <c r="D449" s="561"/>
      <c r="E449" s="561"/>
      <c r="F449" s="361" t="s">
        <v>2780</v>
      </c>
      <c r="G449" s="361" t="s">
        <v>2184</v>
      </c>
      <c r="H449" s="361" t="s">
        <v>2207</v>
      </c>
    </row>
    <row r="450">
      <c r="A450" s="585" t="s">
        <v>3124</v>
      </c>
      <c r="B450" s="366" t="s">
        <v>2655</v>
      </c>
      <c r="C450" s="366">
        <v>7.0</v>
      </c>
      <c r="D450" s="559"/>
      <c r="E450" s="559"/>
      <c r="F450" s="366" t="s">
        <v>2780</v>
      </c>
      <c r="G450" s="366" t="s">
        <v>2184</v>
      </c>
      <c r="H450" s="366" t="s">
        <v>1711</v>
      </c>
    </row>
    <row r="451">
      <c r="A451" s="584" t="s">
        <v>3125</v>
      </c>
      <c r="B451" s="361" t="s">
        <v>2655</v>
      </c>
      <c r="C451" s="361">
        <v>8.0</v>
      </c>
      <c r="D451" s="561"/>
      <c r="E451" s="561"/>
      <c r="F451" s="361" t="s">
        <v>2207</v>
      </c>
      <c r="G451" s="361" t="s">
        <v>1707</v>
      </c>
      <c r="H451" s="361" t="s">
        <v>2026</v>
      </c>
    </row>
    <row r="452">
      <c r="A452" s="585" t="s">
        <v>3126</v>
      </c>
      <c r="B452" s="366" t="s">
        <v>2655</v>
      </c>
      <c r="C452" s="366">
        <v>8.0</v>
      </c>
      <c r="D452" s="559"/>
      <c r="E452" s="559"/>
      <c r="F452" s="366" t="s">
        <v>2026</v>
      </c>
      <c r="G452" s="366" t="s">
        <v>2780</v>
      </c>
      <c r="H452" s="366" t="s">
        <v>1711</v>
      </c>
    </row>
    <row r="453">
      <c r="A453" s="584" t="s">
        <v>3127</v>
      </c>
      <c r="B453" s="361" t="s">
        <v>2655</v>
      </c>
      <c r="C453" s="361">
        <v>8.0</v>
      </c>
      <c r="D453" s="561"/>
      <c r="E453" s="561"/>
      <c r="F453" s="361" t="s">
        <v>2026</v>
      </c>
      <c r="G453" s="361" t="s">
        <v>1707</v>
      </c>
      <c r="H453" s="361" t="s">
        <v>2780</v>
      </c>
    </row>
    <row r="454">
      <c r="A454" s="585" t="s">
        <v>3128</v>
      </c>
      <c r="B454" s="366" t="s">
        <v>2655</v>
      </c>
      <c r="C454" s="366">
        <v>9.0</v>
      </c>
      <c r="D454" s="559"/>
      <c r="E454" s="559"/>
      <c r="F454" s="366" t="s">
        <v>2900</v>
      </c>
      <c r="G454" s="366" t="s">
        <v>2837</v>
      </c>
      <c r="H454" s="366" t="s">
        <v>2780</v>
      </c>
    </row>
    <row r="455">
      <c r="A455" s="584" t="s">
        <v>3129</v>
      </c>
      <c r="B455" s="361" t="s">
        <v>2655</v>
      </c>
      <c r="C455" s="361">
        <v>9.0</v>
      </c>
      <c r="D455" s="561"/>
      <c r="E455" s="561"/>
      <c r="F455" s="361" t="s">
        <v>2900</v>
      </c>
      <c r="G455" s="361" t="s">
        <v>2239</v>
      </c>
      <c r="H455" s="361" t="s">
        <v>2780</v>
      </c>
    </row>
    <row r="456">
      <c r="A456" s="585" t="s">
        <v>3130</v>
      </c>
      <c r="B456" s="366" t="s">
        <v>2655</v>
      </c>
      <c r="C456" s="366">
        <v>9.0</v>
      </c>
      <c r="D456" s="559"/>
      <c r="E456" s="559"/>
      <c r="F456" s="366" t="s">
        <v>2239</v>
      </c>
      <c r="G456" s="366" t="s">
        <v>2900</v>
      </c>
      <c r="H456" s="366" t="s">
        <v>2780</v>
      </c>
    </row>
    <row r="457">
      <c r="A457" s="584" t="s">
        <v>3131</v>
      </c>
      <c r="B457" s="361" t="s">
        <v>2655</v>
      </c>
      <c r="C457" s="361">
        <v>9.0</v>
      </c>
      <c r="D457" s="561"/>
      <c r="E457" s="561"/>
      <c r="F457" s="361" t="s">
        <v>2837</v>
      </c>
      <c r="G457" s="361" t="s">
        <v>2900</v>
      </c>
      <c r="H457" s="361" t="s">
        <v>2780</v>
      </c>
    </row>
    <row r="458">
      <c r="A458" s="585" t="s">
        <v>3132</v>
      </c>
      <c r="B458" s="366" t="s">
        <v>2655</v>
      </c>
      <c r="C458" s="366">
        <v>10.0</v>
      </c>
      <c r="D458" s="559"/>
      <c r="E458" s="559"/>
      <c r="F458" s="366" t="s">
        <v>2837</v>
      </c>
      <c r="G458" s="366" t="s">
        <v>2900</v>
      </c>
      <c r="H458" s="366" t="s">
        <v>2239</v>
      </c>
    </row>
    <row r="459">
      <c r="A459" s="584" t="s">
        <v>3133</v>
      </c>
      <c r="B459" s="361" t="s">
        <v>2655</v>
      </c>
      <c r="C459" s="361">
        <v>10.0</v>
      </c>
      <c r="D459" s="561"/>
      <c r="E459" s="561"/>
      <c r="F459" s="361" t="s">
        <v>2837</v>
      </c>
      <c r="G459" s="361" t="s">
        <v>2900</v>
      </c>
      <c r="H459" s="361" t="s">
        <v>2239</v>
      </c>
    </row>
    <row r="460">
      <c r="A460" s="585" t="s">
        <v>3134</v>
      </c>
      <c r="B460" s="366" t="s">
        <v>3135</v>
      </c>
      <c r="C460" s="366">
        <v>1.0</v>
      </c>
      <c r="D460" s="559"/>
      <c r="E460" s="559"/>
      <c r="F460" s="366" t="s">
        <v>2059</v>
      </c>
      <c r="G460" s="366" t="s">
        <v>26</v>
      </c>
      <c r="H460" s="366" t="s">
        <v>26</v>
      </c>
    </row>
    <row r="461">
      <c r="A461" s="584" t="s">
        <v>3136</v>
      </c>
      <c r="B461" s="361" t="s">
        <v>3135</v>
      </c>
      <c r="C461" s="361">
        <v>1.0</v>
      </c>
      <c r="D461" s="561"/>
      <c r="E461" s="561"/>
      <c r="F461" s="361" t="s">
        <v>2059</v>
      </c>
      <c r="G461" s="361" t="s">
        <v>26</v>
      </c>
      <c r="H461" s="361" t="s">
        <v>26</v>
      </c>
    </row>
    <row r="462">
      <c r="A462" s="585" t="s">
        <v>3137</v>
      </c>
      <c r="B462" s="366" t="s">
        <v>3135</v>
      </c>
      <c r="C462" s="366">
        <v>1.0</v>
      </c>
      <c r="D462" s="559"/>
      <c r="E462" s="559"/>
      <c r="F462" s="366" t="s">
        <v>2059</v>
      </c>
      <c r="G462" s="366" t="s">
        <v>26</v>
      </c>
      <c r="H462" s="366" t="s">
        <v>26</v>
      </c>
    </row>
    <row r="463">
      <c r="A463" s="584" t="s">
        <v>3138</v>
      </c>
      <c r="B463" s="361" t="s">
        <v>3135</v>
      </c>
      <c r="C463" s="361">
        <v>2.0</v>
      </c>
      <c r="D463" s="561"/>
      <c r="E463" s="561"/>
      <c r="F463" s="361" t="s">
        <v>2059</v>
      </c>
      <c r="G463" s="361" t="s">
        <v>1656</v>
      </c>
      <c r="H463" s="361" t="s">
        <v>26</v>
      </c>
    </row>
    <row r="464">
      <c r="A464" s="585" t="s">
        <v>3139</v>
      </c>
      <c r="B464" s="366" t="s">
        <v>3135</v>
      </c>
      <c r="C464" s="366">
        <v>2.0</v>
      </c>
      <c r="D464" s="559"/>
      <c r="E464" s="559"/>
      <c r="F464" s="366" t="s">
        <v>2059</v>
      </c>
      <c r="G464" s="366" t="s">
        <v>1656</v>
      </c>
      <c r="H464" s="366" t="s">
        <v>26</v>
      </c>
    </row>
    <row r="465">
      <c r="A465" s="584" t="s">
        <v>3140</v>
      </c>
      <c r="B465" s="361" t="s">
        <v>3135</v>
      </c>
      <c r="C465" s="361">
        <v>3.0</v>
      </c>
      <c r="D465" s="561"/>
      <c r="E465" s="561"/>
      <c r="F465" s="361" t="s">
        <v>2136</v>
      </c>
      <c r="G465" s="361" t="s">
        <v>1656</v>
      </c>
      <c r="H465" s="361" t="s">
        <v>1538</v>
      </c>
    </row>
    <row r="466">
      <c r="A466" s="585" t="s">
        <v>3141</v>
      </c>
      <c r="B466" s="366" t="s">
        <v>3135</v>
      </c>
      <c r="C466" s="366">
        <v>3.0</v>
      </c>
      <c r="D466" s="559"/>
      <c r="E466" s="559"/>
      <c r="F466" s="366" t="s">
        <v>2136</v>
      </c>
      <c r="G466" s="366" t="s">
        <v>1670</v>
      </c>
      <c r="H466" s="366" t="s">
        <v>1656</v>
      </c>
    </row>
    <row r="467">
      <c r="A467" s="584" t="s">
        <v>3142</v>
      </c>
      <c r="B467" s="361" t="s">
        <v>3135</v>
      </c>
      <c r="C467" s="361">
        <v>5.0</v>
      </c>
      <c r="D467" s="561"/>
      <c r="E467" s="561"/>
      <c r="F467" s="361" t="s">
        <v>2176</v>
      </c>
      <c r="G467" s="361" t="s">
        <v>1538</v>
      </c>
      <c r="H467" s="361" t="s">
        <v>1573</v>
      </c>
    </row>
    <row r="468">
      <c r="A468" s="585" t="s">
        <v>3143</v>
      </c>
      <c r="B468" s="366" t="s">
        <v>3144</v>
      </c>
      <c r="C468" s="366">
        <v>1.0</v>
      </c>
      <c r="D468" s="559"/>
      <c r="E468" s="559"/>
      <c r="F468" s="366" t="s">
        <v>1523</v>
      </c>
      <c r="G468" s="366" t="s">
        <v>3145</v>
      </c>
      <c r="H468" s="366" t="s">
        <v>26</v>
      </c>
    </row>
    <row r="469">
      <c r="A469" s="584" t="s">
        <v>3146</v>
      </c>
      <c r="B469" s="361" t="s">
        <v>3144</v>
      </c>
      <c r="C469" s="361">
        <v>1.0</v>
      </c>
      <c r="D469" s="561"/>
      <c r="E469" s="561"/>
      <c r="F469" s="361" t="s">
        <v>1523</v>
      </c>
      <c r="G469" s="361" t="s">
        <v>3145</v>
      </c>
      <c r="H469" s="361" t="s">
        <v>26</v>
      </c>
    </row>
    <row r="470">
      <c r="A470" s="585" t="s">
        <v>3147</v>
      </c>
      <c r="B470" s="366" t="s">
        <v>3144</v>
      </c>
      <c r="C470" s="366">
        <v>1.0</v>
      </c>
      <c r="D470" s="559"/>
      <c r="E470" s="559"/>
      <c r="F470" s="366" t="s">
        <v>1523</v>
      </c>
      <c r="G470" s="366" t="s">
        <v>3145</v>
      </c>
      <c r="H470" s="366" t="s">
        <v>26</v>
      </c>
    </row>
    <row r="471">
      <c r="A471" s="584" t="s">
        <v>3148</v>
      </c>
      <c r="B471" s="361" t="s">
        <v>3144</v>
      </c>
      <c r="C471" s="361">
        <v>1.0</v>
      </c>
      <c r="D471" s="561"/>
      <c r="E471" s="561"/>
      <c r="F471" s="361" t="s">
        <v>1523</v>
      </c>
      <c r="G471" s="361" t="s">
        <v>3145</v>
      </c>
      <c r="H471" s="361" t="s">
        <v>26</v>
      </c>
    </row>
    <row r="472">
      <c r="A472" s="585" t="s">
        <v>3149</v>
      </c>
      <c r="B472" s="366" t="s">
        <v>3144</v>
      </c>
      <c r="C472" s="366">
        <v>1.0</v>
      </c>
      <c r="D472" s="559"/>
      <c r="E472" s="559"/>
      <c r="F472" s="366" t="s">
        <v>1523</v>
      </c>
      <c r="G472" s="366" t="s">
        <v>3145</v>
      </c>
      <c r="H472" s="366" t="s">
        <v>26</v>
      </c>
    </row>
    <row r="473">
      <c r="A473" s="584" t="s">
        <v>3150</v>
      </c>
      <c r="B473" s="361" t="s">
        <v>3144</v>
      </c>
      <c r="C473" s="361">
        <v>1.0</v>
      </c>
      <c r="D473" s="561"/>
      <c r="E473" s="561"/>
      <c r="F473" s="361" t="s">
        <v>1523</v>
      </c>
      <c r="G473" s="361" t="s">
        <v>3145</v>
      </c>
      <c r="H473" s="361" t="s">
        <v>26</v>
      </c>
    </row>
    <row r="474">
      <c r="A474" s="585" t="s">
        <v>3151</v>
      </c>
      <c r="B474" s="366" t="s">
        <v>3144</v>
      </c>
      <c r="C474" s="366">
        <v>1.0</v>
      </c>
      <c r="D474" s="559"/>
      <c r="E474" s="559"/>
      <c r="F474" s="366" t="s">
        <v>1523</v>
      </c>
      <c r="G474" s="366" t="s">
        <v>3145</v>
      </c>
      <c r="H474" s="366" t="s">
        <v>26</v>
      </c>
    </row>
    <row r="475">
      <c r="A475" s="584" t="s">
        <v>3152</v>
      </c>
      <c r="B475" s="361" t="s">
        <v>3144</v>
      </c>
      <c r="C475" s="361">
        <v>1.0</v>
      </c>
      <c r="D475" s="561"/>
      <c r="E475" s="561"/>
      <c r="F475" s="361" t="s">
        <v>1523</v>
      </c>
      <c r="G475" s="361" t="s">
        <v>3145</v>
      </c>
      <c r="H475" s="361" t="s">
        <v>26</v>
      </c>
    </row>
    <row r="476">
      <c r="A476" s="585" t="s">
        <v>3153</v>
      </c>
      <c r="B476" s="366" t="s">
        <v>3144</v>
      </c>
      <c r="C476" s="366">
        <v>1.0</v>
      </c>
      <c r="D476" s="559"/>
      <c r="E476" s="559"/>
      <c r="F476" s="366" t="s">
        <v>1523</v>
      </c>
      <c r="G476" s="366" t="s">
        <v>3145</v>
      </c>
      <c r="H476" s="366" t="s">
        <v>26</v>
      </c>
    </row>
    <row r="477">
      <c r="A477" s="584" t="s">
        <v>3154</v>
      </c>
      <c r="B477" s="361" t="s">
        <v>3144</v>
      </c>
      <c r="C477" s="361">
        <v>1.0</v>
      </c>
      <c r="D477" s="561"/>
      <c r="E477" s="561"/>
      <c r="F477" s="361" t="s">
        <v>1523</v>
      </c>
      <c r="G477" s="361" t="s">
        <v>3145</v>
      </c>
      <c r="H477" s="361" t="s">
        <v>26</v>
      </c>
    </row>
    <row r="478">
      <c r="A478" s="585" t="s">
        <v>3155</v>
      </c>
      <c r="B478" s="366" t="s">
        <v>3144</v>
      </c>
      <c r="C478" s="366">
        <v>2.0</v>
      </c>
      <c r="D478" s="559"/>
      <c r="E478" s="559"/>
      <c r="F478" s="366" t="s">
        <v>1523</v>
      </c>
      <c r="G478" s="366" t="s">
        <v>3145</v>
      </c>
      <c r="H478" s="366" t="s">
        <v>26</v>
      </c>
    </row>
    <row r="479">
      <c r="A479" s="584" t="s">
        <v>3156</v>
      </c>
      <c r="B479" s="361" t="s">
        <v>3144</v>
      </c>
      <c r="C479" s="361">
        <v>2.0</v>
      </c>
      <c r="D479" s="561"/>
      <c r="E479" s="561"/>
      <c r="F479" s="361" t="s">
        <v>1523</v>
      </c>
      <c r="G479" s="361" t="s">
        <v>3145</v>
      </c>
      <c r="H479" s="361" t="s">
        <v>26</v>
      </c>
    </row>
    <row r="480">
      <c r="A480" s="585" t="s">
        <v>3157</v>
      </c>
      <c r="B480" s="366" t="s">
        <v>3144</v>
      </c>
      <c r="C480" s="366">
        <v>2.0</v>
      </c>
      <c r="D480" s="559"/>
      <c r="E480" s="559"/>
      <c r="F480" s="366" t="s">
        <v>1523</v>
      </c>
      <c r="G480" s="366" t="s">
        <v>3145</v>
      </c>
      <c r="H480" s="366" t="s">
        <v>26</v>
      </c>
    </row>
    <row r="481">
      <c r="A481" s="584" t="s">
        <v>3158</v>
      </c>
      <c r="B481" s="361" t="s">
        <v>3144</v>
      </c>
      <c r="C481" s="361">
        <v>2.0</v>
      </c>
      <c r="D481" s="561"/>
      <c r="E481" s="561"/>
      <c r="F481" s="361" t="s">
        <v>1523</v>
      </c>
      <c r="G481" s="361" t="s">
        <v>3145</v>
      </c>
      <c r="H481" s="361" t="s">
        <v>26</v>
      </c>
    </row>
    <row r="482">
      <c r="A482" s="585" t="s">
        <v>3159</v>
      </c>
      <c r="B482" s="366" t="s">
        <v>3144</v>
      </c>
      <c r="C482" s="366">
        <v>2.0</v>
      </c>
      <c r="D482" s="559"/>
      <c r="E482" s="559"/>
      <c r="F482" s="366" t="s">
        <v>1523</v>
      </c>
      <c r="G482" s="366" t="s">
        <v>3145</v>
      </c>
      <c r="H482" s="366" t="s">
        <v>26</v>
      </c>
    </row>
    <row r="483">
      <c r="A483" s="584" t="s">
        <v>3160</v>
      </c>
      <c r="B483" s="361" t="s">
        <v>3144</v>
      </c>
      <c r="C483" s="361">
        <v>3.0</v>
      </c>
      <c r="D483" s="561"/>
      <c r="E483" s="561"/>
      <c r="F483" s="361" t="s">
        <v>1523</v>
      </c>
      <c r="G483" s="361" t="s">
        <v>3145</v>
      </c>
      <c r="H483" s="361" t="s">
        <v>26</v>
      </c>
    </row>
    <row r="484">
      <c r="A484" s="585" t="s">
        <v>3161</v>
      </c>
      <c r="B484" s="366" t="s">
        <v>3144</v>
      </c>
      <c r="C484" s="366">
        <v>3.0</v>
      </c>
      <c r="D484" s="559"/>
      <c r="E484" s="559"/>
      <c r="F484" s="366" t="s">
        <v>1523</v>
      </c>
      <c r="G484" s="366" t="s">
        <v>3145</v>
      </c>
      <c r="H484" s="366" t="s">
        <v>26</v>
      </c>
    </row>
    <row r="485">
      <c r="A485" s="584" t="s">
        <v>3162</v>
      </c>
      <c r="B485" s="361" t="s">
        <v>3144</v>
      </c>
      <c r="C485" s="361">
        <v>3.0</v>
      </c>
      <c r="D485" s="561"/>
      <c r="E485" s="561"/>
      <c r="F485" s="361" t="s">
        <v>1523</v>
      </c>
      <c r="G485" s="361" t="s">
        <v>3145</v>
      </c>
      <c r="H485" s="361" t="s">
        <v>26</v>
      </c>
    </row>
    <row r="486">
      <c r="A486" s="585" t="s">
        <v>3163</v>
      </c>
      <c r="B486" s="366" t="s">
        <v>3144</v>
      </c>
      <c r="C486" s="366">
        <v>4.0</v>
      </c>
      <c r="D486" s="559"/>
      <c r="E486" s="559"/>
      <c r="F486" s="366" t="s">
        <v>2166</v>
      </c>
      <c r="G486" s="366" t="s">
        <v>3145</v>
      </c>
      <c r="H486" s="366" t="s">
        <v>26</v>
      </c>
    </row>
    <row r="487">
      <c r="A487" s="584" t="s">
        <v>3164</v>
      </c>
      <c r="B487" s="361" t="s">
        <v>3144</v>
      </c>
      <c r="C487" s="361">
        <v>4.0</v>
      </c>
      <c r="D487" s="561"/>
      <c r="E487" s="561"/>
      <c r="F487" s="361" t="s">
        <v>2166</v>
      </c>
      <c r="G487" s="361" t="s">
        <v>3145</v>
      </c>
      <c r="H487" s="361" t="s">
        <v>26</v>
      </c>
    </row>
    <row r="488">
      <c r="A488" s="585" t="s">
        <v>3165</v>
      </c>
      <c r="B488" s="366" t="s">
        <v>3144</v>
      </c>
      <c r="C488" s="366">
        <v>4.0</v>
      </c>
      <c r="D488" s="559"/>
      <c r="E488" s="559"/>
      <c r="F488" s="366" t="s">
        <v>2166</v>
      </c>
      <c r="G488" s="366" t="s">
        <v>3145</v>
      </c>
      <c r="H488" s="366" t="s">
        <v>26</v>
      </c>
    </row>
    <row r="489">
      <c r="A489" s="584" t="s">
        <v>3166</v>
      </c>
      <c r="B489" s="361" t="s">
        <v>3144</v>
      </c>
      <c r="C489" s="361">
        <v>5.0</v>
      </c>
      <c r="D489" s="561"/>
      <c r="E489" s="561"/>
      <c r="F489" s="361" t="s">
        <v>2166</v>
      </c>
      <c r="G489" s="361" t="s">
        <v>3145</v>
      </c>
      <c r="H489" s="361" t="s">
        <v>26</v>
      </c>
    </row>
    <row r="490">
      <c r="A490" s="585" t="s">
        <v>3167</v>
      </c>
      <c r="B490" s="366" t="s">
        <v>3144</v>
      </c>
      <c r="C490" s="366">
        <v>5.0</v>
      </c>
      <c r="D490" s="559"/>
      <c r="E490" s="559"/>
      <c r="F490" s="366" t="s">
        <v>2166</v>
      </c>
      <c r="G490" s="366" t="s">
        <v>3145</v>
      </c>
      <c r="H490" s="366" t="s">
        <v>26</v>
      </c>
    </row>
    <row r="491">
      <c r="A491" s="584" t="s">
        <v>3168</v>
      </c>
      <c r="B491" s="361" t="s">
        <v>3144</v>
      </c>
      <c r="C491" s="361">
        <v>5.0</v>
      </c>
      <c r="D491" s="561"/>
      <c r="E491" s="561"/>
      <c r="F491" s="361" t="s">
        <v>2166</v>
      </c>
      <c r="G491" s="361" t="s">
        <v>3145</v>
      </c>
      <c r="H491" s="361" t="s">
        <v>26</v>
      </c>
    </row>
    <row r="492">
      <c r="A492" s="585" t="s">
        <v>3169</v>
      </c>
      <c r="B492" s="366" t="s">
        <v>3144</v>
      </c>
      <c r="C492" s="366">
        <v>6.0</v>
      </c>
      <c r="D492" s="559"/>
      <c r="E492" s="559"/>
      <c r="F492" s="366" t="s">
        <v>1707</v>
      </c>
      <c r="G492" s="366" t="s">
        <v>2026</v>
      </c>
      <c r="H492" s="366" t="s">
        <v>3145</v>
      </c>
    </row>
    <row r="493">
      <c r="A493" s="584" t="s">
        <v>3170</v>
      </c>
      <c r="B493" s="361" t="s">
        <v>3144</v>
      </c>
      <c r="C493" s="361">
        <v>6.0</v>
      </c>
      <c r="D493" s="561"/>
      <c r="E493" s="561"/>
      <c r="F493" s="361" t="s">
        <v>2026</v>
      </c>
      <c r="G493" s="361" t="s">
        <v>1707</v>
      </c>
      <c r="H493" s="361" t="s">
        <v>3145</v>
      </c>
    </row>
    <row r="494">
      <c r="A494" s="585" t="s">
        <v>3171</v>
      </c>
      <c r="B494" s="366" t="s">
        <v>3144</v>
      </c>
      <c r="C494" s="366">
        <v>7.0</v>
      </c>
      <c r="D494" s="559"/>
      <c r="E494" s="559"/>
      <c r="F494" s="366" t="s">
        <v>2233</v>
      </c>
      <c r="G494" s="366" t="s">
        <v>2026</v>
      </c>
      <c r="H494" s="366" t="s">
        <v>3145</v>
      </c>
    </row>
    <row r="495">
      <c r="A495" s="584" t="s">
        <v>1519</v>
      </c>
      <c r="B495" s="361" t="s">
        <v>3144</v>
      </c>
      <c r="C495" s="361">
        <v>7.0</v>
      </c>
      <c r="D495" s="361" t="s">
        <v>1517</v>
      </c>
      <c r="E495" s="561"/>
      <c r="F495" s="361" t="s">
        <v>2780</v>
      </c>
      <c r="G495" s="361" t="s">
        <v>2207</v>
      </c>
      <c r="H495" s="361" t="s">
        <v>3145</v>
      </c>
    </row>
    <row r="496">
      <c r="A496" s="585" t="s">
        <v>3172</v>
      </c>
      <c r="B496" s="366" t="s">
        <v>3144</v>
      </c>
      <c r="C496" s="366">
        <v>7.0</v>
      </c>
      <c r="D496" s="559"/>
      <c r="E496" s="559"/>
      <c r="F496" s="366" t="s">
        <v>2207</v>
      </c>
      <c r="G496" s="366" t="s">
        <v>1711</v>
      </c>
      <c r="H496" s="366" t="s">
        <v>3145</v>
      </c>
    </row>
    <row r="497">
      <c r="A497" s="584" t="s">
        <v>3173</v>
      </c>
      <c r="B497" s="361" t="s">
        <v>3144</v>
      </c>
      <c r="C497" s="361">
        <v>8.0</v>
      </c>
      <c r="D497" s="561"/>
      <c r="E497" s="561"/>
      <c r="F497" s="361" t="s">
        <v>2233</v>
      </c>
      <c r="G497" s="361" t="s">
        <v>2207</v>
      </c>
      <c r="H497" s="361" t="s">
        <v>3145</v>
      </c>
    </row>
    <row r="498">
      <c r="A498" s="585" t="s">
        <v>3174</v>
      </c>
      <c r="B498" s="366" t="s">
        <v>3144</v>
      </c>
      <c r="C498" s="366">
        <v>9.0</v>
      </c>
      <c r="D498" s="559"/>
      <c r="E498" s="559"/>
      <c r="F498" s="366" t="s">
        <v>2233</v>
      </c>
      <c r="G498" s="366" t="s">
        <v>2837</v>
      </c>
      <c r="H498" s="366" t="s">
        <v>3145</v>
      </c>
    </row>
    <row r="499">
      <c r="A499" s="584" t="s">
        <v>3175</v>
      </c>
      <c r="B499" s="361" t="s">
        <v>3144</v>
      </c>
      <c r="C499" s="361">
        <v>9.0</v>
      </c>
      <c r="D499" s="561"/>
      <c r="E499" s="561"/>
      <c r="F499" s="361" t="s">
        <v>2233</v>
      </c>
      <c r="G499" s="361" t="s">
        <v>2783</v>
      </c>
      <c r="H499" s="361" t="s">
        <v>3145</v>
      </c>
    </row>
    <row r="500">
      <c r="A500" s="585" t="s">
        <v>3176</v>
      </c>
      <c r="B500" s="366" t="s">
        <v>3144</v>
      </c>
      <c r="C500" s="366">
        <v>9.0</v>
      </c>
      <c r="D500" s="559"/>
      <c r="E500" s="559"/>
      <c r="F500" s="366" t="s">
        <v>2783</v>
      </c>
      <c r="G500" s="366" t="s">
        <v>2233</v>
      </c>
      <c r="H500" s="366" t="s">
        <v>3145</v>
      </c>
    </row>
    <row r="501">
      <c r="A501" s="584" t="s">
        <v>3177</v>
      </c>
      <c r="B501" s="361" t="s">
        <v>2785</v>
      </c>
      <c r="C501" s="361">
        <v>5.0</v>
      </c>
      <c r="D501" s="561"/>
      <c r="E501" s="561"/>
    </row>
    <row r="502">
      <c r="A502" s="587"/>
      <c r="B502" s="588"/>
      <c r="C502" s="588"/>
      <c r="D502" s="588"/>
      <c r="E502" s="588"/>
      <c r="F502" s="588"/>
      <c r="G502" s="588"/>
      <c r="H502" s="588"/>
    </row>
    <row r="503">
      <c r="A503" s="587"/>
      <c r="B503" s="588"/>
      <c r="C503" s="588"/>
      <c r="D503" s="588"/>
      <c r="E503" s="588"/>
      <c r="F503" s="588"/>
      <c r="G503" s="588"/>
      <c r="H503" s="588"/>
    </row>
    <row r="504">
      <c r="A504" s="587"/>
      <c r="B504" s="588"/>
      <c r="C504" s="588"/>
      <c r="D504" s="588"/>
      <c r="E504" s="588"/>
      <c r="F504" s="588"/>
      <c r="G504" s="588"/>
      <c r="H504" s="588"/>
    </row>
    <row r="505">
      <c r="A505" s="587"/>
      <c r="B505" s="588"/>
      <c r="C505" s="588"/>
      <c r="D505" s="588"/>
      <c r="E505" s="588"/>
      <c r="F505" s="588"/>
      <c r="G505" s="588"/>
      <c r="H505" s="588"/>
    </row>
    <row r="506">
      <c r="A506" s="587"/>
      <c r="B506" s="588"/>
      <c r="C506" s="588"/>
      <c r="D506" s="588"/>
      <c r="E506" s="588"/>
      <c r="F506" s="588"/>
      <c r="G506" s="588"/>
      <c r="H506" s="588"/>
    </row>
    <row r="507">
      <c r="A507" s="587"/>
      <c r="B507" s="588"/>
      <c r="C507" s="588"/>
      <c r="D507" s="588"/>
      <c r="E507" s="588"/>
      <c r="F507" s="588"/>
      <c r="G507" s="588"/>
      <c r="H507" s="588"/>
    </row>
    <row r="508">
      <c r="A508" s="587"/>
      <c r="B508" s="588"/>
      <c r="C508" s="588"/>
      <c r="D508" s="588"/>
      <c r="E508" s="588"/>
      <c r="F508" s="588"/>
      <c r="G508" s="588"/>
      <c r="H508" s="588"/>
    </row>
    <row r="509">
      <c r="A509" s="587"/>
      <c r="B509" s="588"/>
      <c r="C509" s="588"/>
      <c r="D509" s="588"/>
      <c r="E509" s="588"/>
      <c r="F509" s="588"/>
      <c r="G509" s="588"/>
      <c r="H509" s="588"/>
    </row>
    <row r="510">
      <c r="A510" s="587"/>
      <c r="B510" s="588"/>
      <c r="C510" s="588"/>
      <c r="D510" s="588"/>
      <c r="E510" s="588"/>
      <c r="F510" s="588"/>
      <c r="G510" s="588"/>
      <c r="H510" s="588"/>
    </row>
    <row r="511">
      <c r="A511" s="587"/>
      <c r="B511" s="588"/>
      <c r="C511" s="588"/>
      <c r="D511" s="588"/>
      <c r="E511" s="588"/>
      <c r="F511" s="588"/>
      <c r="G511" s="588"/>
      <c r="H511" s="588"/>
    </row>
    <row r="512">
      <c r="A512" s="587"/>
      <c r="B512" s="588"/>
      <c r="C512" s="588"/>
      <c r="D512" s="588"/>
      <c r="E512" s="588"/>
      <c r="F512" s="588"/>
      <c r="G512" s="588"/>
      <c r="H512" s="588"/>
    </row>
    <row r="513">
      <c r="A513" s="587"/>
      <c r="B513" s="588"/>
      <c r="C513" s="588"/>
      <c r="D513" s="588"/>
      <c r="E513" s="588"/>
      <c r="F513" s="588"/>
      <c r="G513" s="588"/>
      <c r="H513" s="588"/>
    </row>
    <row r="514">
      <c r="A514" s="587"/>
      <c r="B514" s="588"/>
      <c r="C514" s="588"/>
      <c r="D514" s="588"/>
      <c r="E514" s="588"/>
      <c r="F514" s="588"/>
      <c r="G514" s="588"/>
      <c r="H514" s="588"/>
    </row>
    <row r="515">
      <c r="A515" s="587"/>
      <c r="B515" s="588"/>
      <c r="C515" s="588"/>
      <c r="D515" s="588"/>
      <c r="E515" s="588"/>
      <c r="F515" s="588"/>
      <c r="G515" s="588"/>
      <c r="H515" s="588"/>
    </row>
    <row r="516">
      <c r="A516" s="587"/>
      <c r="B516" s="588"/>
      <c r="C516" s="588"/>
      <c r="D516" s="588"/>
      <c r="E516" s="588"/>
      <c r="F516" s="588"/>
      <c r="G516" s="588"/>
      <c r="H516" s="588"/>
    </row>
    <row r="517">
      <c r="A517" s="587"/>
      <c r="B517" s="588"/>
      <c r="C517" s="588"/>
      <c r="D517" s="588"/>
      <c r="E517" s="588"/>
      <c r="F517" s="588"/>
      <c r="G517" s="588"/>
      <c r="H517" s="588"/>
    </row>
    <row r="518">
      <c r="A518" s="587"/>
      <c r="B518" s="588"/>
      <c r="C518" s="588"/>
      <c r="D518" s="588"/>
      <c r="E518" s="588"/>
      <c r="F518" s="588"/>
      <c r="G518" s="588"/>
      <c r="H518" s="588"/>
    </row>
    <row r="519">
      <c r="A519" s="587"/>
      <c r="B519" s="588"/>
      <c r="C519" s="588"/>
      <c r="D519" s="588"/>
      <c r="E519" s="588"/>
      <c r="F519" s="588"/>
      <c r="G519" s="588"/>
      <c r="H519" s="588"/>
    </row>
    <row r="520">
      <c r="A520" s="587"/>
      <c r="B520" s="588"/>
      <c r="C520" s="588"/>
      <c r="D520" s="588"/>
      <c r="E520" s="588"/>
      <c r="F520" s="588"/>
      <c r="G520" s="588"/>
      <c r="H520" s="588"/>
    </row>
    <row r="521">
      <c r="A521" s="587"/>
      <c r="B521" s="588"/>
      <c r="C521" s="588"/>
      <c r="D521" s="588"/>
      <c r="E521" s="588"/>
      <c r="F521" s="588"/>
      <c r="G521" s="588"/>
      <c r="H521" s="588"/>
    </row>
    <row r="522">
      <c r="A522" s="587"/>
      <c r="B522" s="588"/>
      <c r="C522" s="588"/>
      <c r="D522" s="588"/>
      <c r="E522" s="588"/>
      <c r="F522" s="588"/>
      <c r="G522" s="588"/>
      <c r="H522" s="588"/>
    </row>
    <row r="523">
      <c r="A523" s="587"/>
      <c r="B523" s="588"/>
      <c r="C523" s="588"/>
      <c r="D523" s="588"/>
      <c r="E523" s="588"/>
      <c r="F523" s="588"/>
      <c r="G523" s="588"/>
      <c r="H523" s="588"/>
    </row>
    <row r="524">
      <c r="A524" s="587"/>
      <c r="B524" s="588"/>
      <c r="C524" s="588"/>
      <c r="D524" s="588"/>
      <c r="E524" s="588"/>
      <c r="F524" s="588"/>
      <c r="G524" s="588"/>
      <c r="H524" s="588"/>
    </row>
    <row r="525">
      <c r="A525" s="587"/>
      <c r="B525" s="588"/>
      <c r="C525" s="588"/>
      <c r="D525" s="588"/>
      <c r="E525" s="588"/>
      <c r="F525" s="588"/>
      <c r="G525" s="588"/>
      <c r="H525" s="588"/>
    </row>
    <row r="526">
      <c r="A526" s="587"/>
      <c r="B526" s="588"/>
      <c r="C526" s="588"/>
      <c r="D526" s="588"/>
      <c r="E526" s="588"/>
      <c r="F526" s="588"/>
      <c r="G526" s="588"/>
      <c r="H526" s="588"/>
    </row>
    <row r="527">
      <c r="A527" s="587"/>
      <c r="B527" s="588"/>
      <c r="C527" s="588"/>
      <c r="D527" s="588"/>
      <c r="E527" s="588"/>
      <c r="F527" s="588"/>
      <c r="G527" s="588"/>
      <c r="H527" s="588"/>
    </row>
    <row r="528">
      <c r="A528" s="587"/>
      <c r="B528" s="588"/>
      <c r="C528" s="588"/>
      <c r="D528" s="588"/>
      <c r="E528" s="588"/>
      <c r="F528" s="588"/>
      <c r="G528" s="588"/>
      <c r="H528" s="588"/>
    </row>
    <row r="529">
      <c r="A529" s="587"/>
      <c r="B529" s="588"/>
      <c r="C529" s="588"/>
      <c r="D529" s="588"/>
      <c r="E529" s="588"/>
      <c r="F529" s="588"/>
      <c r="G529" s="588"/>
      <c r="H529" s="588"/>
    </row>
    <row r="530">
      <c r="A530" s="587"/>
      <c r="B530" s="588"/>
      <c r="C530" s="588"/>
      <c r="D530" s="588"/>
      <c r="E530" s="588"/>
      <c r="F530" s="588"/>
      <c r="G530" s="588"/>
      <c r="H530" s="588"/>
    </row>
    <row r="531">
      <c r="A531" s="587"/>
      <c r="B531" s="588"/>
      <c r="C531" s="588"/>
      <c r="D531" s="588"/>
      <c r="E531" s="588"/>
      <c r="F531" s="588"/>
      <c r="G531" s="588"/>
      <c r="H531" s="588"/>
    </row>
    <row r="532">
      <c r="A532" s="587"/>
      <c r="B532" s="588"/>
      <c r="C532" s="588"/>
      <c r="D532" s="588"/>
      <c r="E532" s="588"/>
      <c r="F532" s="588"/>
      <c r="G532" s="588"/>
      <c r="H532" s="588"/>
    </row>
    <row r="533">
      <c r="A533" s="587"/>
      <c r="B533" s="588"/>
      <c r="C533" s="588"/>
      <c r="D533" s="588"/>
      <c r="E533" s="588"/>
      <c r="F533" s="588"/>
      <c r="G533" s="588"/>
      <c r="H533" s="588"/>
    </row>
    <row r="534">
      <c r="A534" s="587"/>
      <c r="B534" s="588"/>
      <c r="C534" s="588"/>
      <c r="D534" s="588"/>
      <c r="E534" s="588"/>
      <c r="F534" s="588"/>
      <c r="G534" s="588"/>
      <c r="H534" s="588"/>
    </row>
    <row r="535">
      <c r="A535" s="587"/>
      <c r="B535" s="588"/>
      <c r="C535" s="588"/>
      <c r="D535" s="588"/>
      <c r="E535" s="588"/>
      <c r="F535" s="588"/>
      <c r="G535" s="588"/>
      <c r="H535" s="588"/>
    </row>
    <row r="536">
      <c r="A536" s="587"/>
      <c r="B536" s="588"/>
      <c r="C536" s="588"/>
      <c r="D536" s="588"/>
      <c r="E536" s="588"/>
      <c r="F536" s="588"/>
      <c r="G536" s="588"/>
      <c r="H536" s="588"/>
    </row>
    <row r="537">
      <c r="A537" s="587"/>
      <c r="B537" s="588"/>
      <c r="C537" s="588"/>
      <c r="D537" s="588"/>
      <c r="E537" s="588"/>
      <c r="F537" s="588"/>
      <c r="G537" s="588"/>
      <c r="H537" s="588"/>
    </row>
    <row r="538">
      <c r="A538" s="587"/>
      <c r="B538" s="588"/>
      <c r="C538" s="588"/>
      <c r="D538" s="588"/>
      <c r="E538" s="588"/>
      <c r="F538" s="588"/>
      <c r="G538" s="588"/>
      <c r="H538" s="588"/>
    </row>
    <row r="539">
      <c r="A539" s="587"/>
      <c r="B539" s="588"/>
      <c r="C539" s="588"/>
      <c r="D539" s="588"/>
      <c r="E539" s="588"/>
      <c r="F539" s="588"/>
      <c r="G539" s="588"/>
      <c r="H539" s="588"/>
    </row>
    <row r="540">
      <c r="A540" s="587"/>
      <c r="B540" s="588"/>
      <c r="C540" s="588"/>
      <c r="D540" s="588"/>
      <c r="E540" s="588"/>
      <c r="F540" s="588"/>
      <c r="G540" s="588"/>
      <c r="H540" s="588"/>
    </row>
    <row r="541">
      <c r="A541" s="587"/>
      <c r="B541" s="588"/>
      <c r="C541" s="588"/>
      <c r="D541" s="588"/>
      <c r="E541" s="588"/>
      <c r="F541" s="588"/>
      <c r="G541" s="588"/>
      <c r="H541" s="588"/>
    </row>
    <row r="542">
      <c r="A542" s="587"/>
      <c r="B542" s="588"/>
      <c r="C542" s="588"/>
      <c r="D542" s="588"/>
      <c r="E542" s="588"/>
      <c r="F542" s="588"/>
      <c r="G542" s="588"/>
      <c r="H542" s="588"/>
    </row>
    <row r="543">
      <c r="A543" s="587"/>
      <c r="B543" s="588"/>
      <c r="C543" s="588"/>
      <c r="D543" s="588"/>
      <c r="E543" s="588"/>
      <c r="F543" s="588"/>
      <c r="G543" s="588"/>
      <c r="H543" s="588"/>
    </row>
    <row r="544">
      <c r="A544" s="587"/>
      <c r="B544" s="588"/>
      <c r="C544" s="588"/>
      <c r="D544" s="588"/>
      <c r="E544" s="588"/>
      <c r="F544" s="588"/>
      <c r="G544" s="588"/>
      <c r="H544" s="588"/>
    </row>
    <row r="545">
      <c r="A545" s="587"/>
      <c r="B545" s="588"/>
      <c r="C545" s="588"/>
      <c r="D545" s="588"/>
      <c r="E545" s="588"/>
      <c r="F545" s="588"/>
      <c r="G545" s="588"/>
      <c r="H545" s="588"/>
    </row>
    <row r="546">
      <c r="A546" s="587"/>
      <c r="B546" s="588"/>
      <c r="C546" s="588"/>
      <c r="D546" s="588"/>
      <c r="E546" s="588"/>
      <c r="F546" s="588"/>
      <c r="G546" s="588"/>
      <c r="H546" s="588"/>
    </row>
    <row r="547">
      <c r="A547" s="587"/>
      <c r="B547" s="588"/>
      <c r="C547" s="588"/>
      <c r="D547" s="588"/>
      <c r="E547" s="588"/>
      <c r="F547" s="588"/>
      <c r="G547" s="588"/>
      <c r="H547" s="588"/>
    </row>
    <row r="548">
      <c r="A548" s="587"/>
      <c r="B548" s="588"/>
      <c r="C548" s="588"/>
      <c r="D548" s="588"/>
      <c r="E548" s="588"/>
      <c r="F548" s="588"/>
      <c r="G548" s="588"/>
      <c r="H548" s="588"/>
    </row>
    <row r="549">
      <c r="A549" s="587"/>
      <c r="B549" s="588"/>
      <c r="C549" s="588"/>
      <c r="D549" s="588"/>
      <c r="E549" s="588"/>
      <c r="F549" s="588"/>
      <c r="G549" s="588"/>
      <c r="H549" s="588"/>
    </row>
    <row r="550">
      <c r="A550" s="587"/>
      <c r="B550" s="588"/>
      <c r="C550" s="588"/>
      <c r="D550" s="588"/>
      <c r="E550" s="588"/>
      <c r="F550" s="588"/>
      <c r="G550" s="588"/>
      <c r="H550" s="588"/>
    </row>
    <row r="551">
      <c r="A551" s="587"/>
      <c r="B551" s="588"/>
      <c r="C551" s="588"/>
      <c r="D551" s="588"/>
      <c r="E551" s="588"/>
      <c r="F551" s="588"/>
      <c r="G551" s="588"/>
      <c r="H551" s="588"/>
    </row>
    <row r="552">
      <c r="A552" s="587"/>
      <c r="B552" s="588"/>
      <c r="C552" s="588"/>
      <c r="D552" s="588"/>
      <c r="E552" s="588"/>
      <c r="F552" s="588"/>
      <c r="G552" s="588"/>
      <c r="H552" s="588"/>
    </row>
    <row r="553">
      <c r="A553" s="587"/>
      <c r="B553" s="588"/>
      <c r="C553" s="588"/>
      <c r="D553" s="588"/>
      <c r="E553" s="588"/>
      <c r="F553" s="588"/>
      <c r="G553" s="588"/>
      <c r="H553" s="588"/>
    </row>
    <row r="554">
      <c r="A554" s="587"/>
      <c r="B554" s="588"/>
      <c r="C554" s="588"/>
      <c r="D554" s="588"/>
      <c r="E554" s="588"/>
      <c r="F554" s="588"/>
      <c r="G554" s="588"/>
      <c r="H554" s="588"/>
    </row>
    <row r="555">
      <c r="A555" s="587"/>
      <c r="B555" s="588"/>
      <c r="C555" s="588"/>
      <c r="D555" s="588"/>
      <c r="E555" s="588"/>
      <c r="F555" s="588"/>
      <c r="G555" s="588"/>
      <c r="H555" s="588"/>
    </row>
    <row r="556">
      <c r="A556" s="587"/>
      <c r="B556" s="588"/>
      <c r="C556" s="588"/>
      <c r="D556" s="588"/>
      <c r="E556" s="588"/>
      <c r="F556" s="588"/>
      <c r="G556" s="588"/>
      <c r="H556" s="588"/>
    </row>
    <row r="557">
      <c r="A557" s="587"/>
      <c r="B557" s="588"/>
      <c r="C557" s="588"/>
      <c r="D557" s="588"/>
      <c r="E557" s="588"/>
      <c r="F557" s="588"/>
      <c r="G557" s="588"/>
      <c r="H557" s="588"/>
    </row>
    <row r="558">
      <c r="A558" s="587"/>
      <c r="B558" s="588"/>
      <c r="C558" s="588"/>
      <c r="D558" s="588"/>
      <c r="E558" s="588"/>
      <c r="F558" s="588"/>
      <c r="G558" s="588"/>
      <c r="H558" s="588"/>
    </row>
    <row r="559">
      <c r="A559" s="587"/>
      <c r="B559" s="588"/>
      <c r="C559" s="588"/>
      <c r="D559" s="588"/>
      <c r="E559" s="588"/>
      <c r="F559" s="588"/>
      <c r="G559" s="588"/>
      <c r="H559" s="588"/>
    </row>
    <row r="560">
      <c r="A560" s="587"/>
      <c r="B560" s="588"/>
      <c r="C560" s="588"/>
      <c r="D560" s="588"/>
      <c r="E560" s="588"/>
      <c r="F560" s="588"/>
      <c r="G560" s="588"/>
      <c r="H560" s="588"/>
    </row>
    <row r="561">
      <c r="A561" s="587"/>
      <c r="B561" s="588"/>
      <c r="C561" s="588"/>
      <c r="D561" s="588"/>
      <c r="E561" s="588"/>
      <c r="F561" s="588"/>
      <c r="G561" s="588"/>
      <c r="H561" s="588"/>
    </row>
    <row r="562">
      <c r="A562" s="587"/>
      <c r="B562" s="588"/>
      <c r="C562" s="588"/>
      <c r="D562" s="588"/>
      <c r="E562" s="588"/>
      <c r="F562" s="588"/>
      <c r="G562" s="588"/>
      <c r="H562" s="588"/>
    </row>
    <row r="563">
      <c r="A563" s="587"/>
      <c r="B563" s="588"/>
      <c r="C563" s="588"/>
      <c r="D563" s="588"/>
      <c r="E563" s="588"/>
      <c r="F563" s="588"/>
      <c r="G563" s="588"/>
      <c r="H563" s="588"/>
    </row>
    <row r="564">
      <c r="A564" s="587"/>
      <c r="B564" s="588"/>
      <c r="C564" s="588"/>
      <c r="D564" s="588"/>
      <c r="E564" s="588"/>
      <c r="F564" s="588"/>
      <c r="G564" s="588"/>
      <c r="H564" s="588"/>
    </row>
    <row r="565">
      <c r="A565" s="587"/>
      <c r="B565" s="588"/>
      <c r="C565" s="588"/>
      <c r="D565" s="588"/>
      <c r="E565" s="588"/>
      <c r="F565" s="588"/>
      <c r="G565" s="588"/>
      <c r="H565" s="588"/>
    </row>
    <row r="566">
      <c r="A566" s="587"/>
      <c r="B566" s="588"/>
      <c r="C566" s="588"/>
      <c r="D566" s="588"/>
      <c r="E566" s="588"/>
      <c r="F566" s="588"/>
      <c r="G566" s="588"/>
      <c r="H566" s="588"/>
    </row>
    <row r="567">
      <c r="A567" s="587"/>
      <c r="B567" s="588"/>
      <c r="C567" s="588"/>
      <c r="D567" s="588"/>
      <c r="E567" s="588"/>
      <c r="F567" s="588"/>
      <c r="G567" s="588"/>
      <c r="H567" s="588"/>
    </row>
    <row r="568">
      <c r="A568" s="587"/>
      <c r="B568" s="588"/>
      <c r="C568" s="588"/>
      <c r="D568" s="588"/>
      <c r="E568" s="588"/>
      <c r="F568" s="588"/>
      <c r="G568" s="588"/>
      <c r="H568" s="588"/>
    </row>
    <row r="569">
      <c r="A569" s="587"/>
      <c r="B569" s="588"/>
      <c r="C569" s="588"/>
      <c r="D569" s="588"/>
      <c r="E569" s="588"/>
      <c r="F569" s="588"/>
      <c r="G569" s="588"/>
      <c r="H569" s="588"/>
    </row>
    <row r="570">
      <c r="A570" s="587"/>
      <c r="B570" s="588"/>
      <c r="C570" s="588"/>
      <c r="D570" s="588"/>
      <c r="E570" s="588"/>
      <c r="F570" s="588"/>
      <c r="G570" s="588"/>
      <c r="H570" s="588"/>
    </row>
    <row r="571">
      <c r="A571" s="587"/>
      <c r="B571" s="588"/>
      <c r="C571" s="588"/>
      <c r="D571" s="588"/>
      <c r="E571" s="588"/>
      <c r="F571" s="588"/>
      <c r="G571" s="588"/>
      <c r="H571" s="588"/>
    </row>
    <row r="572">
      <c r="A572" s="587"/>
      <c r="B572" s="588"/>
      <c r="C572" s="588"/>
      <c r="D572" s="588"/>
      <c r="E572" s="588"/>
      <c r="F572" s="588"/>
      <c r="G572" s="588"/>
      <c r="H572" s="588"/>
    </row>
    <row r="573">
      <c r="A573" s="587"/>
      <c r="B573" s="588"/>
      <c r="C573" s="588"/>
      <c r="D573" s="588"/>
      <c r="E573" s="588"/>
      <c r="F573" s="588"/>
      <c r="G573" s="588"/>
      <c r="H573" s="588"/>
    </row>
    <row r="574">
      <c r="A574" s="587"/>
      <c r="B574" s="588"/>
      <c r="C574" s="588"/>
      <c r="D574" s="588"/>
      <c r="E574" s="588"/>
      <c r="F574" s="588"/>
      <c r="G574" s="588"/>
      <c r="H574" s="588"/>
    </row>
    <row r="575">
      <c r="A575" s="587"/>
      <c r="B575" s="588"/>
      <c r="C575" s="588"/>
      <c r="D575" s="588"/>
      <c r="E575" s="588"/>
      <c r="F575" s="588"/>
      <c r="G575" s="588"/>
      <c r="H575" s="588"/>
    </row>
    <row r="576">
      <c r="A576" s="587"/>
      <c r="B576" s="588"/>
      <c r="C576" s="588"/>
      <c r="D576" s="588"/>
      <c r="E576" s="588"/>
      <c r="F576" s="588"/>
      <c r="G576" s="588"/>
      <c r="H576" s="588"/>
    </row>
    <row r="577">
      <c r="A577" s="587"/>
      <c r="B577" s="588"/>
      <c r="C577" s="588"/>
      <c r="D577" s="588"/>
      <c r="E577" s="588"/>
      <c r="F577" s="588"/>
      <c r="G577" s="588"/>
      <c r="H577" s="588"/>
    </row>
    <row r="578">
      <c r="A578" s="587"/>
      <c r="B578" s="588"/>
      <c r="C578" s="588"/>
      <c r="D578" s="588"/>
      <c r="E578" s="588"/>
      <c r="F578" s="588"/>
      <c r="G578" s="588"/>
      <c r="H578" s="588"/>
    </row>
    <row r="579">
      <c r="A579" s="587"/>
      <c r="B579" s="588"/>
      <c r="C579" s="588"/>
      <c r="D579" s="588"/>
      <c r="E579" s="588"/>
      <c r="F579" s="588"/>
      <c r="G579" s="588"/>
      <c r="H579" s="588"/>
    </row>
    <row r="580">
      <c r="A580" s="587"/>
      <c r="B580" s="588"/>
      <c r="C580" s="588"/>
      <c r="D580" s="588"/>
      <c r="E580" s="588"/>
      <c r="F580" s="588"/>
      <c r="G580" s="588"/>
      <c r="H580" s="588"/>
    </row>
    <row r="581">
      <c r="A581" s="587"/>
      <c r="B581" s="588"/>
      <c r="C581" s="588"/>
      <c r="D581" s="588"/>
      <c r="E581" s="588"/>
      <c r="F581" s="588"/>
      <c r="G581" s="588"/>
      <c r="H581" s="588"/>
    </row>
    <row r="582">
      <c r="A582" s="587"/>
      <c r="B582" s="588"/>
      <c r="C582" s="588"/>
      <c r="D582" s="588"/>
      <c r="E582" s="588"/>
      <c r="F582" s="588"/>
      <c r="G582" s="588"/>
      <c r="H582" s="588"/>
    </row>
    <row r="583">
      <c r="A583" s="587"/>
      <c r="B583" s="588"/>
      <c r="C583" s="588"/>
      <c r="D583" s="588"/>
      <c r="E583" s="588"/>
      <c r="F583" s="588"/>
      <c r="G583" s="588"/>
      <c r="H583" s="588"/>
    </row>
    <row r="584">
      <c r="A584" s="587"/>
      <c r="B584" s="588"/>
      <c r="C584" s="588"/>
      <c r="D584" s="588"/>
      <c r="E584" s="588"/>
      <c r="F584" s="588"/>
      <c r="G584" s="588"/>
      <c r="H584" s="588"/>
    </row>
    <row r="585">
      <c r="A585" s="587"/>
      <c r="B585" s="588"/>
      <c r="C585" s="588"/>
      <c r="D585" s="588"/>
      <c r="E585" s="588"/>
      <c r="F585" s="588"/>
      <c r="G585" s="588"/>
      <c r="H585" s="588"/>
    </row>
    <row r="586">
      <c r="A586" s="587"/>
      <c r="B586" s="588"/>
      <c r="C586" s="588"/>
      <c r="D586" s="588"/>
      <c r="E586" s="588"/>
      <c r="F586" s="588"/>
      <c r="G586" s="588"/>
      <c r="H586" s="588"/>
    </row>
    <row r="587">
      <c r="A587" s="587"/>
      <c r="B587" s="588"/>
      <c r="C587" s="588"/>
      <c r="D587" s="588"/>
      <c r="E587" s="588"/>
      <c r="F587" s="588"/>
      <c r="G587" s="588"/>
      <c r="H587" s="588"/>
    </row>
    <row r="588">
      <c r="A588" s="587"/>
      <c r="B588" s="588"/>
      <c r="C588" s="588"/>
      <c r="D588" s="588"/>
      <c r="E588" s="588"/>
      <c r="F588" s="588"/>
      <c r="G588" s="588"/>
      <c r="H588" s="588"/>
    </row>
    <row r="589">
      <c r="A589" s="587"/>
      <c r="B589" s="588"/>
      <c r="C589" s="588"/>
      <c r="D589" s="588"/>
      <c r="E589" s="588"/>
      <c r="F589" s="588"/>
      <c r="G589" s="588"/>
      <c r="H589" s="588"/>
    </row>
    <row r="590">
      <c r="A590" s="587"/>
      <c r="B590" s="588"/>
      <c r="C590" s="588"/>
      <c r="D590" s="588"/>
      <c r="E590" s="588"/>
      <c r="F590" s="588"/>
      <c r="G590" s="588"/>
      <c r="H590" s="588"/>
    </row>
    <row r="591">
      <c r="A591" s="587"/>
      <c r="B591" s="588"/>
      <c r="C591" s="588"/>
      <c r="D591" s="588"/>
      <c r="E591" s="588"/>
      <c r="F591" s="588"/>
      <c r="G591" s="588"/>
      <c r="H591" s="588"/>
    </row>
    <row r="592">
      <c r="A592" s="587"/>
      <c r="B592" s="588"/>
      <c r="C592" s="588"/>
      <c r="D592" s="588"/>
      <c r="E592" s="588"/>
      <c r="F592" s="588"/>
      <c r="G592" s="588"/>
      <c r="H592" s="588"/>
    </row>
    <row r="593">
      <c r="A593" s="587"/>
      <c r="B593" s="588"/>
      <c r="C593" s="588"/>
      <c r="D593" s="588"/>
      <c r="E593" s="588"/>
      <c r="F593" s="588"/>
      <c r="G593" s="588"/>
      <c r="H593" s="588"/>
    </row>
    <row r="594">
      <c r="A594" s="587"/>
      <c r="B594" s="588"/>
      <c r="C594" s="588"/>
      <c r="D594" s="588"/>
      <c r="E594" s="588"/>
      <c r="F594" s="588"/>
      <c r="G594" s="588"/>
      <c r="H594" s="588"/>
    </row>
    <row r="595">
      <c r="A595" s="587"/>
      <c r="B595" s="588"/>
      <c r="C595" s="588"/>
      <c r="D595" s="588"/>
      <c r="E595" s="588"/>
      <c r="F595" s="588"/>
      <c r="G595" s="588"/>
      <c r="H595" s="588"/>
    </row>
    <row r="596">
      <c r="A596" s="587"/>
      <c r="B596" s="588"/>
      <c r="C596" s="588"/>
      <c r="D596" s="588"/>
      <c r="E596" s="588"/>
      <c r="F596" s="588"/>
      <c r="G596" s="588"/>
      <c r="H596" s="588"/>
    </row>
    <row r="597">
      <c r="A597" s="587"/>
      <c r="B597" s="588"/>
      <c r="C597" s="588"/>
      <c r="D597" s="588"/>
      <c r="E597" s="588"/>
      <c r="F597" s="588"/>
      <c r="G597" s="588"/>
      <c r="H597" s="588"/>
    </row>
    <row r="598">
      <c r="A598" s="587"/>
      <c r="B598" s="588"/>
      <c r="C598" s="588"/>
      <c r="D598" s="588"/>
      <c r="E598" s="588"/>
      <c r="F598" s="588"/>
      <c r="G598" s="588"/>
      <c r="H598" s="588"/>
    </row>
    <row r="599">
      <c r="A599" s="587"/>
      <c r="B599" s="588"/>
      <c r="C599" s="588"/>
      <c r="D599" s="588"/>
      <c r="E599" s="588"/>
      <c r="F599" s="588"/>
      <c r="G599" s="588"/>
      <c r="H599" s="588"/>
    </row>
    <row r="600">
      <c r="A600" s="587"/>
      <c r="B600" s="588"/>
      <c r="C600" s="588"/>
      <c r="D600" s="588"/>
      <c r="E600" s="588"/>
      <c r="F600" s="588"/>
      <c r="G600" s="588"/>
      <c r="H600" s="588"/>
    </row>
    <row r="601">
      <c r="A601" s="587"/>
      <c r="B601" s="588"/>
      <c r="C601" s="588"/>
      <c r="D601" s="588"/>
      <c r="E601" s="588"/>
      <c r="F601" s="588"/>
      <c r="G601" s="588"/>
      <c r="H601" s="588"/>
    </row>
    <row r="602">
      <c r="A602" s="587"/>
      <c r="B602" s="588"/>
      <c r="C602" s="588"/>
      <c r="D602" s="588"/>
      <c r="E602" s="588"/>
      <c r="F602" s="588"/>
      <c r="G602" s="588"/>
      <c r="H602" s="588"/>
    </row>
    <row r="603">
      <c r="A603" s="587"/>
      <c r="B603" s="588"/>
      <c r="C603" s="588"/>
      <c r="D603" s="588"/>
      <c r="E603" s="588"/>
      <c r="F603" s="588"/>
      <c r="G603" s="588"/>
      <c r="H603" s="588"/>
    </row>
    <row r="604">
      <c r="A604" s="587"/>
      <c r="B604" s="588"/>
      <c r="C604" s="588"/>
      <c r="D604" s="588"/>
      <c r="E604" s="588"/>
      <c r="F604" s="588"/>
      <c r="G604" s="588"/>
      <c r="H604" s="588"/>
    </row>
    <row r="605">
      <c r="A605" s="587"/>
      <c r="B605" s="588"/>
      <c r="C605" s="588"/>
      <c r="D605" s="588"/>
      <c r="E605" s="588"/>
      <c r="F605" s="588"/>
      <c r="G605" s="588"/>
      <c r="H605" s="588"/>
    </row>
    <row r="606">
      <c r="A606" s="587"/>
      <c r="B606" s="588"/>
      <c r="C606" s="588"/>
      <c r="D606" s="588"/>
      <c r="E606" s="588"/>
      <c r="F606" s="588"/>
      <c r="G606" s="588"/>
      <c r="H606" s="588"/>
    </row>
    <row r="607">
      <c r="A607" s="587"/>
      <c r="B607" s="588"/>
      <c r="C607" s="588"/>
      <c r="D607" s="588"/>
      <c r="E607" s="588"/>
      <c r="F607" s="588"/>
      <c r="G607" s="588"/>
      <c r="H607" s="588"/>
    </row>
    <row r="608">
      <c r="A608" s="587"/>
      <c r="B608" s="588"/>
      <c r="C608" s="588"/>
      <c r="D608" s="588"/>
      <c r="E608" s="588"/>
      <c r="F608" s="588"/>
      <c r="G608" s="588"/>
      <c r="H608" s="588"/>
    </row>
    <row r="609">
      <c r="A609" s="587"/>
      <c r="B609" s="588"/>
      <c r="C609" s="588"/>
      <c r="D609" s="588"/>
      <c r="E609" s="588"/>
      <c r="F609" s="588"/>
      <c r="G609" s="588"/>
      <c r="H609" s="588"/>
    </row>
    <row r="610">
      <c r="A610" s="587"/>
      <c r="B610" s="588"/>
      <c r="C610" s="588"/>
      <c r="D610" s="588"/>
      <c r="E610" s="588"/>
      <c r="F610" s="588"/>
      <c r="G610" s="588"/>
      <c r="H610" s="588"/>
    </row>
    <row r="611">
      <c r="A611" s="587"/>
      <c r="B611" s="588"/>
      <c r="C611" s="588"/>
      <c r="D611" s="588"/>
      <c r="E611" s="588"/>
      <c r="F611" s="588"/>
      <c r="G611" s="588"/>
      <c r="H611" s="588"/>
    </row>
    <row r="612">
      <c r="A612" s="587"/>
      <c r="B612" s="588"/>
      <c r="C612" s="588"/>
      <c r="D612" s="588"/>
      <c r="E612" s="588"/>
      <c r="F612" s="588"/>
      <c r="G612" s="588"/>
      <c r="H612" s="588"/>
    </row>
    <row r="613">
      <c r="A613" s="587"/>
      <c r="B613" s="588"/>
      <c r="C613" s="588"/>
      <c r="D613" s="588"/>
      <c r="E613" s="588"/>
      <c r="F613" s="588"/>
      <c r="G613" s="588"/>
      <c r="H613" s="588"/>
    </row>
    <row r="614">
      <c r="A614" s="587"/>
      <c r="B614" s="588"/>
      <c r="C614" s="588"/>
      <c r="D614" s="588"/>
      <c r="E614" s="588"/>
      <c r="F614" s="588"/>
      <c r="G614" s="588"/>
      <c r="H614" s="588"/>
    </row>
    <row r="615">
      <c r="A615" s="587"/>
      <c r="B615" s="588"/>
      <c r="C615" s="588"/>
      <c r="D615" s="588"/>
      <c r="E615" s="588"/>
      <c r="F615" s="588"/>
      <c r="G615" s="588"/>
      <c r="H615" s="588"/>
    </row>
    <row r="616">
      <c r="A616" s="587"/>
      <c r="B616" s="588"/>
      <c r="C616" s="588"/>
      <c r="D616" s="588"/>
      <c r="E616" s="588"/>
      <c r="F616" s="588"/>
      <c r="G616" s="588"/>
      <c r="H616" s="588"/>
    </row>
    <row r="617">
      <c r="A617" s="587"/>
      <c r="B617" s="588"/>
      <c r="C617" s="588"/>
      <c r="D617" s="588"/>
      <c r="E617" s="588"/>
      <c r="F617" s="588"/>
      <c r="G617" s="588"/>
      <c r="H617" s="588"/>
    </row>
    <row r="618">
      <c r="A618" s="587"/>
      <c r="B618" s="588"/>
      <c r="C618" s="588"/>
      <c r="D618" s="588"/>
      <c r="E618" s="588"/>
      <c r="F618" s="588"/>
      <c r="G618" s="588"/>
      <c r="H618" s="588"/>
    </row>
    <row r="619">
      <c r="A619" s="587"/>
      <c r="B619" s="588"/>
      <c r="C619" s="588"/>
      <c r="D619" s="588"/>
      <c r="E619" s="588"/>
      <c r="F619" s="588"/>
      <c r="G619" s="588"/>
      <c r="H619" s="588"/>
    </row>
    <row r="620">
      <c r="A620" s="587"/>
      <c r="B620" s="588"/>
      <c r="C620" s="588"/>
      <c r="D620" s="588"/>
      <c r="E620" s="588"/>
      <c r="F620" s="588"/>
      <c r="G620" s="588"/>
      <c r="H620" s="588"/>
    </row>
    <row r="621">
      <c r="A621" s="587"/>
      <c r="B621" s="588"/>
      <c r="C621" s="588"/>
      <c r="D621" s="588"/>
      <c r="E621" s="588"/>
      <c r="F621" s="588"/>
      <c r="G621" s="588"/>
      <c r="H621" s="588"/>
    </row>
    <row r="622">
      <c r="A622" s="587"/>
      <c r="B622" s="588"/>
      <c r="C622" s="588"/>
      <c r="D622" s="588"/>
      <c r="E622" s="588"/>
      <c r="F622" s="588"/>
      <c r="G622" s="588"/>
      <c r="H622" s="588"/>
    </row>
    <row r="623">
      <c r="A623" s="587"/>
      <c r="B623" s="588"/>
      <c r="C623" s="588"/>
      <c r="D623" s="588"/>
      <c r="E623" s="588"/>
      <c r="F623" s="588"/>
      <c r="G623" s="588"/>
      <c r="H623" s="588"/>
    </row>
    <row r="624">
      <c r="A624" s="587"/>
      <c r="B624" s="588"/>
      <c r="C624" s="588"/>
      <c r="D624" s="588"/>
      <c r="E624" s="588"/>
      <c r="F624" s="588"/>
      <c r="G624" s="588"/>
      <c r="H624" s="588"/>
    </row>
    <row r="625">
      <c r="A625" s="587"/>
      <c r="B625" s="588"/>
      <c r="C625" s="588"/>
      <c r="D625" s="588"/>
      <c r="E625" s="588"/>
      <c r="F625" s="588"/>
      <c r="G625" s="588"/>
      <c r="H625" s="588"/>
    </row>
    <row r="626">
      <c r="A626" s="587"/>
      <c r="B626" s="588"/>
      <c r="C626" s="588"/>
      <c r="D626" s="588"/>
      <c r="E626" s="588"/>
      <c r="F626" s="588"/>
      <c r="G626" s="588"/>
      <c r="H626" s="588"/>
    </row>
    <row r="627">
      <c r="A627" s="587"/>
      <c r="B627" s="588"/>
      <c r="C627" s="588"/>
      <c r="D627" s="588"/>
      <c r="E627" s="588"/>
      <c r="F627" s="588"/>
      <c r="G627" s="588"/>
      <c r="H627" s="588"/>
    </row>
    <row r="628">
      <c r="A628" s="587"/>
      <c r="B628" s="588"/>
      <c r="C628" s="588"/>
      <c r="D628" s="588"/>
      <c r="E628" s="588"/>
      <c r="F628" s="588"/>
      <c r="G628" s="588"/>
      <c r="H628" s="588"/>
    </row>
    <row r="629">
      <c r="A629" s="587"/>
      <c r="B629" s="588"/>
      <c r="C629" s="588"/>
      <c r="D629" s="588"/>
      <c r="E629" s="588"/>
      <c r="F629" s="588"/>
      <c r="G629" s="588"/>
      <c r="H629" s="588"/>
    </row>
    <row r="630">
      <c r="A630" s="587"/>
      <c r="B630" s="588"/>
      <c r="C630" s="588"/>
      <c r="D630" s="588"/>
      <c r="E630" s="588"/>
      <c r="F630" s="588"/>
      <c r="G630" s="588"/>
      <c r="H630" s="588"/>
    </row>
    <row r="631">
      <c r="A631" s="587"/>
      <c r="B631" s="588"/>
      <c r="C631" s="588"/>
      <c r="D631" s="588"/>
      <c r="E631" s="588"/>
      <c r="F631" s="588"/>
      <c r="G631" s="588"/>
      <c r="H631" s="588"/>
    </row>
    <row r="632">
      <c r="A632" s="587"/>
      <c r="B632" s="588"/>
      <c r="C632" s="588"/>
      <c r="D632" s="588"/>
      <c r="E632" s="588"/>
      <c r="F632" s="588"/>
      <c r="G632" s="588"/>
      <c r="H632" s="588"/>
    </row>
    <row r="633">
      <c r="A633" s="587"/>
      <c r="B633" s="588"/>
      <c r="C633" s="588"/>
      <c r="D633" s="588"/>
      <c r="E633" s="588"/>
      <c r="F633" s="588"/>
      <c r="G633" s="588"/>
      <c r="H633" s="588"/>
    </row>
    <row r="634">
      <c r="A634" s="587"/>
      <c r="B634" s="588"/>
      <c r="C634" s="588"/>
      <c r="D634" s="588"/>
      <c r="E634" s="588"/>
      <c r="F634" s="588"/>
      <c r="G634" s="588"/>
      <c r="H634" s="588"/>
    </row>
    <row r="635">
      <c r="A635" s="587"/>
      <c r="B635" s="588"/>
      <c r="C635" s="588"/>
      <c r="D635" s="588"/>
      <c r="E635" s="588"/>
      <c r="F635" s="588"/>
      <c r="G635" s="588"/>
      <c r="H635" s="588"/>
    </row>
    <row r="636">
      <c r="A636" s="587"/>
      <c r="B636" s="588"/>
      <c r="C636" s="588"/>
      <c r="D636" s="588"/>
      <c r="E636" s="588"/>
      <c r="F636" s="588"/>
      <c r="G636" s="588"/>
      <c r="H636" s="588"/>
    </row>
    <row r="637">
      <c r="A637" s="587"/>
      <c r="B637" s="588"/>
      <c r="C637" s="588"/>
      <c r="D637" s="588"/>
      <c r="E637" s="588"/>
      <c r="F637" s="588"/>
      <c r="G637" s="588"/>
      <c r="H637" s="588"/>
    </row>
    <row r="638">
      <c r="A638" s="587"/>
      <c r="B638" s="588"/>
      <c r="C638" s="588"/>
      <c r="D638" s="588"/>
      <c r="E638" s="588"/>
      <c r="F638" s="588"/>
      <c r="G638" s="588"/>
      <c r="H638" s="588"/>
    </row>
    <row r="639">
      <c r="A639" s="587"/>
      <c r="B639" s="588"/>
      <c r="C639" s="588"/>
      <c r="D639" s="588"/>
      <c r="E639" s="588"/>
      <c r="F639" s="588"/>
      <c r="G639" s="588"/>
      <c r="H639" s="588"/>
    </row>
    <row r="640">
      <c r="A640" s="587"/>
      <c r="B640" s="588"/>
      <c r="C640" s="588"/>
      <c r="D640" s="588"/>
      <c r="E640" s="588"/>
      <c r="F640" s="588"/>
      <c r="G640" s="588"/>
      <c r="H640" s="588"/>
    </row>
    <row r="641">
      <c r="A641" s="587"/>
      <c r="B641" s="588"/>
      <c r="C641" s="588"/>
      <c r="D641" s="588"/>
      <c r="E641" s="588"/>
      <c r="F641" s="588"/>
      <c r="G641" s="588"/>
      <c r="H641" s="588"/>
    </row>
    <row r="642">
      <c r="A642" s="587"/>
      <c r="B642" s="588"/>
      <c r="C642" s="588"/>
      <c r="D642" s="588"/>
      <c r="E642" s="588"/>
      <c r="F642" s="588"/>
      <c r="G642" s="588"/>
      <c r="H642" s="588"/>
    </row>
    <row r="643">
      <c r="A643" s="587"/>
      <c r="B643" s="588"/>
      <c r="C643" s="588"/>
      <c r="D643" s="588"/>
      <c r="E643" s="588"/>
      <c r="F643" s="588"/>
      <c r="G643" s="588"/>
      <c r="H643" s="588"/>
    </row>
    <row r="644">
      <c r="A644" s="587"/>
      <c r="B644" s="588"/>
      <c r="C644" s="588"/>
      <c r="D644" s="588"/>
      <c r="E644" s="588"/>
      <c r="F644" s="588"/>
      <c r="G644" s="588"/>
      <c r="H644" s="588"/>
    </row>
    <row r="645">
      <c r="A645" s="587"/>
      <c r="B645" s="588"/>
      <c r="C645" s="588"/>
      <c r="D645" s="588"/>
      <c r="E645" s="588"/>
      <c r="F645" s="588"/>
      <c r="G645" s="588"/>
      <c r="H645" s="588"/>
    </row>
    <row r="646">
      <c r="A646" s="587"/>
      <c r="B646" s="588"/>
      <c r="C646" s="588"/>
      <c r="D646" s="588"/>
      <c r="E646" s="588"/>
      <c r="F646" s="588"/>
      <c r="G646" s="588"/>
      <c r="H646" s="588"/>
    </row>
    <row r="647">
      <c r="A647" s="587"/>
      <c r="B647" s="588"/>
      <c r="C647" s="588"/>
      <c r="D647" s="588"/>
      <c r="E647" s="588"/>
      <c r="F647" s="588"/>
      <c r="G647" s="588"/>
      <c r="H647" s="588"/>
    </row>
    <row r="648">
      <c r="A648" s="587"/>
      <c r="B648" s="588"/>
      <c r="C648" s="588"/>
      <c r="D648" s="588"/>
      <c r="E648" s="588"/>
      <c r="F648" s="588"/>
      <c r="G648" s="588"/>
      <c r="H648" s="588"/>
    </row>
    <row r="649">
      <c r="A649" s="587"/>
      <c r="B649" s="588"/>
      <c r="C649" s="588"/>
      <c r="D649" s="588"/>
      <c r="E649" s="588"/>
      <c r="F649" s="588"/>
      <c r="G649" s="588"/>
      <c r="H649" s="588"/>
    </row>
    <row r="650">
      <c r="A650" s="587"/>
      <c r="B650" s="588"/>
      <c r="C650" s="588"/>
      <c r="D650" s="588"/>
      <c r="E650" s="588"/>
      <c r="F650" s="588"/>
      <c r="G650" s="588"/>
      <c r="H650" s="588"/>
    </row>
    <row r="651">
      <c r="A651" s="587"/>
      <c r="B651" s="588"/>
      <c r="C651" s="588"/>
      <c r="D651" s="588"/>
      <c r="E651" s="588"/>
      <c r="F651" s="588"/>
      <c r="G651" s="588"/>
      <c r="H651" s="588"/>
    </row>
    <row r="652">
      <c r="A652" s="587"/>
      <c r="B652" s="588"/>
      <c r="C652" s="588"/>
      <c r="D652" s="588"/>
      <c r="E652" s="588"/>
      <c r="F652" s="588"/>
      <c r="G652" s="588"/>
      <c r="H652" s="588"/>
    </row>
    <row r="653">
      <c r="A653" s="587"/>
      <c r="B653" s="588"/>
      <c r="C653" s="588"/>
      <c r="D653" s="588"/>
      <c r="E653" s="588"/>
      <c r="F653" s="588"/>
      <c r="G653" s="588"/>
      <c r="H653" s="588"/>
    </row>
    <row r="654">
      <c r="A654" s="587"/>
      <c r="B654" s="588"/>
      <c r="C654" s="588"/>
      <c r="D654" s="588"/>
      <c r="E654" s="588"/>
      <c r="F654" s="588"/>
      <c r="G654" s="588"/>
      <c r="H654" s="588"/>
    </row>
    <row r="655">
      <c r="A655" s="587"/>
      <c r="B655" s="588"/>
      <c r="C655" s="588"/>
      <c r="D655" s="588"/>
      <c r="E655" s="588"/>
      <c r="F655" s="588"/>
      <c r="G655" s="588"/>
      <c r="H655" s="588"/>
    </row>
    <row r="656">
      <c r="A656" s="587"/>
      <c r="B656" s="588"/>
      <c r="C656" s="588"/>
      <c r="D656" s="588"/>
      <c r="E656" s="588"/>
      <c r="F656" s="588"/>
      <c r="G656" s="588"/>
      <c r="H656" s="588"/>
    </row>
    <row r="657">
      <c r="A657" s="587"/>
      <c r="B657" s="588"/>
      <c r="C657" s="588"/>
      <c r="D657" s="588"/>
      <c r="E657" s="588"/>
      <c r="F657" s="588"/>
      <c r="G657" s="588"/>
      <c r="H657" s="588"/>
    </row>
    <row r="658">
      <c r="A658" s="587"/>
      <c r="B658" s="588"/>
      <c r="C658" s="588"/>
      <c r="D658" s="588"/>
      <c r="E658" s="588"/>
      <c r="F658" s="588"/>
      <c r="G658" s="588"/>
      <c r="H658" s="588"/>
    </row>
    <row r="659">
      <c r="A659" s="587"/>
      <c r="B659" s="588"/>
      <c r="C659" s="588"/>
      <c r="D659" s="588"/>
      <c r="E659" s="588"/>
      <c r="F659" s="588"/>
      <c r="G659" s="588"/>
      <c r="H659" s="588"/>
    </row>
    <row r="660">
      <c r="A660" s="587"/>
      <c r="B660" s="588"/>
      <c r="C660" s="588"/>
      <c r="D660" s="588"/>
      <c r="E660" s="588"/>
      <c r="F660" s="588"/>
      <c r="G660" s="588"/>
      <c r="H660" s="588"/>
    </row>
    <row r="661">
      <c r="A661" s="587"/>
      <c r="B661" s="588"/>
      <c r="C661" s="588"/>
      <c r="D661" s="588"/>
      <c r="E661" s="588"/>
      <c r="F661" s="588"/>
      <c r="G661" s="588"/>
      <c r="H661" s="588"/>
    </row>
    <row r="662">
      <c r="A662" s="587"/>
      <c r="B662" s="588"/>
      <c r="C662" s="588"/>
      <c r="D662" s="588"/>
      <c r="E662" s="588"/>
      <c r="F662" s="588"/>
      <c r="G662" s="588"/>
      <c r="H662" s="588"/>
    </row>
    <row r="663">
      <c r="A663" s="587"/>
      <c r="B663" s="588"/>
      <c r="C663" s="588"/>
      <c r="D663" s="588"/>
      <c r="E663" s="588"/>
      <c r="F663" s="588"/>
      <c r="G663" s="588"/>
      <c r="H663" s="588"/>
    </row>
    <row r="664">
      <c r="A664" s="587"/>
      <c r="B664" s="588"/>
      <c r="C664" s="588"/>
      <c r="D664" s="588"/>
      <c r="E664" s="588"/>
      <c r="F664" s="588"/>
      <c r="G664" s="588"/>
      <c r="H664" s="588"/>
    </row>
    <row r="665">
      <c r="A665" s="587"/>
      <c r="B665" s="588"/>
      <c r="C665" s="588"/>
      <c r="D665" s="588"/>
      <c r="E665" s="588"/>
      <c r="F665" s="588"/>
      <c r="G665" s="588"/>
      <c r="H665" s="588"/>
    </row>
    <row r="666">
      <c r="A666" s="587"/>
      <c r="B666" s="588"/>
      <c r="C666" s="588"/>
      <c r="D666" s="588"/>
      <c r="E666" s="588"/>
      <c r="F666" s="588"/>
      <c r="G666" s="588"/>
      <c r="H666" s="588"/>
    </row>
    <row r="667">
      <c r="A667" s="587"/>
      <c r="B667" s="588"/>
      <c r="C667" s="588"/>
      <c r="D667" s="588"/>
      <c r="E667" s="588"/>
      <c r="F667" s="588"/>
      <c r="G667" s="588"/>
      <c r="H667" s="588"/>
    </row>
    <row r="668">
      <c r="A668" s="587"/>
      <c r="B668" s="588"/>
      <c r="C668" s="588"/>
      <c r="D668" s="588"/>
      <c r="E668" s="588"/>
      <c r="F668" s="588"/>
      <c r="G668" s="588"/>
      <c r="H668" s="588"/>
    </row>
    <row r="669">
      <c r="A669" s="587"/>
      <c r="B669" s="588"/>
      <c r="C669" s="588"/>
      <c r="D669" s="588"/>
      <c r="E669" s="588"/>
      <c r="F669" s="588"/>
      <c r="G669" s="588"/>
      <c r="H669" s="588"/>
    </row>
    <row r="670">
      <c r="A670" s="587"/>
      <c r="B670" s="588"/>
      <c r="C670" s="588"/>
      <c r="D670" s="588"/>
      <c r="E670" s="588"/>
      <c r="F670" s="588"/>
      <c r="G670" s="588"/>
      <c r="H670" s="588"/>
    </row>
    <row r="671">
      <c r="A671" s="587"/>
      <c r="B671" s="588"/>
      <c r="C671" s="588"/>
      <c r="D671" s="588"/>
      <c r="E671" s="588"/>
      <c r="F671" s="588"/>
      <c r="G671" s="588"/>
      <c r="H671" s="588"/>
    </row>
    <row r="672">
      <c r="A672" s="587"/>
      <c r="B672" s="588"/>
      <c r="C672" s="588"/>
      <c r="D672" s="588"/>
      <c r="E672" s="588"/>
      <c r="F672" s="588"/>
      <c r="G672" s="588"/>
      <c r="H672" s="588"/>
    </row>
    <row r="673">
      <c r="A673" s="587"/>
      <c r="B673" s="588"/>
      <c r="C673" s="588"/>
      <c r="D673" s="588"/>
      <c r="E673" s="588"/>
      <c r="F673" s="588"/>
      <c r="G673" s="588"/>
      <c r="H673" s="588"/>
    </row>
    <row r="674">
      <c r="A674" s="587"/>
      <c r="B674" s="588"/>
      <c r="C674" s="588"/>
      <c r="D674" s="588"/>
      <c r="E674" s="588"/>
      <c r="F674" s="588"/>
      <c r="G674" s="588"/>
      <c r="H674" s="588"/>
    </row>
    <row r="675">
      <c r="A675" s="587"/>
      <c r="B675" s="588"/>
      <c r="C675" s="588"/>
      <c r="D675" s="588"/>
      <c r="E675" s="588"/>
      <c r="F675" s="588"/>
      <c r="G675" s="588"/>
      <c r="H675" s="588"/>
    </row>
    <row r="676">
      <c r="A676" s="587"/>
      <c r="B676" s="588"/>
      <c r="C676" s="588"/>
      <c r="D676" s="588"/>
      <c r="E676" s="588"/>
      <c r="F676" s="588"/>
      <c r="G676" s="588"/>
      <c r="H676" s="588"/>
    </row>
    <row r="677">
      <c r="A677" s="587"/>
      <c r="B677" s="588"/>
      <c r="C677" s="588"/>
      <c r="D677" s="588"/>
      <c r="E677" s="588"/>
      <c r="F677" s="588"/>
      <c r="G677" s="588"/>
      <c r="H677" s="588"/>
    </row>
    <row r="678">
      <c r="A678" s="587"/>
      <c r="B678" s="588"/>
      <c r="C678" s="588"/>
      <c r="D678" s="588"/>
      <c r="E678" s="588"/>
      <c r="F678" s="588"/>
      <c r="G678" s="588"/>
      <c r="H678" s="588"/>
    </row>
    <row r="679">
      <c r="A679" s="587"/>
      <c r="B679" s="588"/>
      <c r="C679" s="588"/>
      <c r="D679" s="588"/>
      <c r="E679" s="588"/>
      <c r="F679" s="588"/>
      <c r="G679" s="588"/>
      <c r="H679" s="588"/>
    </row>
    <row r="680">
      <c r="A680" s="587"/>
      <c r="B680" s="588"/>
      <c r="C680" s="588"/>
      <c r="D680" s="588"/>
      <c r="E680" s="588"/>
      <c r="F680" s="588"/>
      <c r="G680" s="588"/>
      <c r="H680" s="588"/>
    </row>
    <row r="681">
      <c r="A681" s="587"/>
      <c r="B681" s="588"/>
      <c r="C681" s="588"/>
      <c r="D681" s="588"/>
      <c r="E681" s="588"/>
      <c r="F681" s="588"/>
      <c r="G681" s="588"/>
      <c r="H681" s="588"/>
    </row>
    <row r="682">
      <c r="A682" s="587"/>
      <c r="B682" s="588"/>
      <c r="C682" s="588"/>
      <c r="D682" s="588"/>
      <c r="E682" s="588"/>
      <c r="F682" s="588"/>
      <c r="G682" s="588"/>
      <c r="H682" s="588"/>
    </row>
    <row r="683">
      <c r="A683" s="587"/>
      <c r="B683" s="588"/>
      <c r="C683" s="588"/>
      <c r="D683" s="588"/>
      <c r="E683" s="588"/>
      <c r="F683" s="588"/>
      <c r="G683" s="588"/>
      <c r="H683" s="588"/>
    </row>
    <row r="684">
      <c r="A684" s="587"/>
      <c r="B684" s="588"/>
      <c r="C684" s="588"/>
      <c r="D684" s="588"/>
      <c r="E684" s="588"/>
      <c r="F684" s="588"/>
      <c r="G684" s="588"/>
      <c r="H684" s="588"/>
    </row>
    <row r="685">
      <c r="A685" s="587"/>
      <c r="B685" s="588"/>
      <c r="C685" s="588"/>
      <c r="D685" s="588"/>
      <c r="E685" s="588"/>
      <c r="F685" s="588"/>
      <c r="G685" s="588"/>
      <c r="H685" s="588"/>
    </row>
    <row r="686">
      <c r="A686" s="587"/>
      <c r="B686" s="588"/>
      <c r="C686" s="588"/>
      <c r="D686" s="588"/>
      <c r="E686" s="588"/>
      <c r="F686" s="588"/>
      <c r="G686" s="588"/>
      <c r="H686" s="588"/>
    </row>
    <row r="687">
      <c r="A687" s="587"/>
      <c r="B687" s="588"/>
      <c r="C687" s="588"/>
      <c r="D687" s="588"/>
      <c r="E687" s="588"/>
      <c r="F687" s="588"/>
      <c r="G687" s="588"/>
      <c r="H687" s="588"/>
    </row>
    <row r="688">
      <c r="A688" s="587"/>
      <c r="B688" s="588"/>
      <c r="C688" s="588"/>
      <c r="D688" s="588"/>
      <c r="E688" s="588"/>
      <c r="F688" s="588"/>
      <c r="G688" s="588"/>
      <c r="H688" s="588"/>
    </row>
    <row r="689">
      <c r="A689" s="587"/>
      <c r="B689" s="588"/>
      <c r="C689" s="588"/>
      <c r="D689" s="588"/>
      <c r="E689" s="588"/>
      <c r="F689" s="588"/>
      <c r="G689" s="588"/>
      <c r="H689" s="588"/>
    </row>
    <row r="690">
      <c r="A690" s="587"/>
      <c r="B690" s="588"/>
      <c r="C690" s="588"/>
      <c r="D690" s="588"/>
      <c r="E690" s="588"/>
      <c r="F690" s="588"/>
      <c r="G690" s="588"/>
      <c r="H690" s="588"/>
    </row>
    <row r="691">
      <c r="A691" s="587"/>
      <c r="B691" s="588"/>
      <c r="C691" s="588"/>
      <c r="D691" s="588"/>
      <c r="E691" s="588"/>
      <c r="F691" s="588"/>
      <c r="G691" s="588"/>
      <c r="H691" s="588"/>
    </row>
    <row r="692">
      <c r="A692" s="587"/>
      <c r="B692" s="588"/>
      <c r="C692" s="588"/>
      <c r="D692" s="588"/>
      <c r="E692" s="588"/>
      <c r="F692" s="588"/>
      <c r="G692" s="588"/>
      <c r="H692" s="588"/>
    </row>
    <row r="693">
      <c r="A693" s="587"/>
      <c r="B693" s="588"/>
      <c r="C693" s="588"/>
      <c r="D693" s="588"/>
      <c r="E693" s="588"/>
      <c r="F693" s="588"/>
      <c r="G693" s="588"/>
      <c r="H693" s="588"/>
    </row>
    <row r="694">
      <c r="A694" s="587"/>
      <c r="B694" s="588"/>
      <c r="C694" s="588"/>
      <c r="D694" s="588"/>
      <c r="E694" s="588"/>
      <c r="F694" s="588"/>
      <c r="G694" s="588"/>
      <c r="H694" s="588"/>
    </row>
    <row r="695">
      <c r="A695" s="587"/>
      <c r="B695" s="588"/>
      <c r="C695" s="588"/>
      <c r="D695" s="588"/>
      <c r="E695" s="588"/>
      <c r="F695" s="588"/>
      <c r="G695" s="588"/>
      <c r="H695" s="588"/>
    </row>
    <row r="696">
      <c r="A696" s="587"/>
      <c r="B696" s="588"/>
      <c r="C696" s="588"/>
      <c r="D696" s="588"/>
      <c r="E696" s="588"/>
      <c r="F696" s="588"/>
      <c r="G696" s="588"/>
      <c r="H696" s="588"/>
    </row>
    <row r="697">
      <c r="A697" s="587"/>
      <c r="B697" s="588"/>
      <c r="C697" s="588"/>
      <c r="D697" s="588"/>
      <c r="E697" s="588"/>
      <c r="F697" s="588"/>
      <c r="G697" s="588"/>
      <c r="H697" s="588"/>
    </row>
    <row r="698">
      <c r="A698" s="587"/>
      <c r="B698" s="588"/>
      <c r="C698" s="588"/>
      <c r="D698" s="588"/>
      <c r="E698" s="588"/>
      <c r="F698" s="588"/>
      <c r="G698" s="588"/>
      <c r="H698" s="588"/>
    </row>
    <row r="699">
      <c r="A699" s="587"/>
      <c r="B699" s="588"/>
      <c r="C699" s="588"/>
      <c r="D699" s="588"/>
      <c r="E699" s="588"/>
      <c r="F699" s="588"/>
      <c r="G699" s="588"/>
      <c r="H699" s="588"/>
    </row>
    <row r="700">
      <c r="A700" s="587"/>
      <c r="B700" s="588"/>
      <c r="C700" s="588"/>
      <c r="D700" s="588"/>
      <c r="E700" s="588"/>
      <c r="F700" s="588"/>
      <c r="G700" s="588"/>
      <c r="H700" s="588"/>
    </row>
    <row r="701">
      <c r="A701" s="587"/>
      <c r="B701" s="588"/>
      <c r="C701" s="588"/>
      <c r="D701" s="588"/>
      <c r="E701" s="588"/>
      <c r="F701" s="588"/>
      <c r="G701" s="588"/>
      <c r="H701" s="588"/>
    </row>
    <row r="702">
      <c r="A702" s="587"/>
      <c r="B702" s="588"/>
      <c r="C702" s="588"/>
      <c r="D702" s="588"/>
      <c r="E702" s="588"/>
      <c r="F702" s="588"/>
      <c r="G702" s="588"/>
      <c r="H702" s="588"/>
    </row>
    <row r="703">
      <c r="A703" s="587"/>
      <c r="B703" s="588"/>
      <c r="C703" s="588"/>
      <c r="D703" s="588"/>
      <c r="E703" s="588"/>
      <c r="F703" s="588"/>
      <c r="G703" s="588"/>
      <c r="H703" s="588"/>
    </row>
    <row r="704">
      <c r="A704" s="587"/>
      <c r="B704" s="588"/>
      <c r="C704" s="588"/>
      <c r="D704" s="588"/>
      <c r="E704" s="588"/>
      <c r="F704" s="588"/>
      <c r="G704" s="588"/>
      <c r="H704" s="588"/>
    </row>
    <row r="705">
      <c r="A705" s="587"/>
      <c r="B705" s="588"/>
      <c r="C705" s="588"/>
      <c r="D705" s="588"/>
      <c r="E705" s="588"/>
      <c r="F705" s="588"/>
      <c r="G705" s="588"/>
      <c r="H705" s="588"/>
    </row>
    <row r="706">
      <c r="A706" s="587"/>
      <c r="B706" s="588"/>
      <c r="C706" s="588"/>
      <c r="D706" s="588"/>
      <c r="E706" s="588"/>
      <c r="F706" s="588"/>
      <c r="G706" s="588"/>
      <c r="H706" s="588"/>
    </row>
    <row r="707">
      <c r="A707" s="587"/>
      <c r="B707" s="588"/>
      <c r="C707" s="588"/>
      <c r="D707" s="588"/>
      <c r="E707" s="588"/>
      <c r="F707" s="588"/>
      <c r="G707" s="588"/>
      <c r="H707" s="588"/>
    </row>
    <row r="708">
      <c r="A708" s="587"/>
      <c r="B708" s="588"/>
      <c r="C708" s="588"/>
      <c r="D708" s="588"/>
      <c r="E708" s="588"/>
      <c r="F708" s="588"/>
      <c r="G708" s="588"/>
      <c r="H708" s="588"/>
    </row>
    <row r="709">
      <c r="A709" s="587"/>
      <c r="B709" s="588"/>
      <c r="C709" s="588"/>
      <c r="D709" s="588"/>
      <c r="E709" s="588"/>
      <c r="F709" s="588"/>
      <c r="G709" s="588"/>
      <c r="H709" s="588"/>
    </row>
    <row r="710">
      <c r="A710" s="587"/>
      <c r="B710" s="588"/>
      <c r="C710" s="588"/>
      <c r="D710" s="588"/>
      <c r="E710" s="588"/>
      <c r="F710" s="588"/>
      <c r="G710" s="588"/>
      <c r="H710" s="588"/>
    </row>
    <row r="711">
      <c r="A711" s="587"/>
      <c r="B711" s="588"/>
      <c r="C711" s="588"/>
      <c r="D711" s="588"/>
      <c r="E711" s="588"/>
      <c r="F711" s="588"/>
      <c r="G711" s="588"/>
      <c r="H711" s="588"/>
    </row>
    <row r="712">
      <c r="A712" s="587"/>
      <c r="B712" s="588"/>
      <c r="C712" s="588"/>
      <c r="D712" s="588"/>
      <c r="E712" s="588"/>
      <c r="F712" s="588"/>
      <c r="G712" s="588"/>
      <c r="H712" s="588"/>
    </row>
    <row r="713">
      <c r="A713" s="587"/>
      <c r="B713" s="588"/>
      <c r="C713" s="588"/>
      <c r="D713" s="588"/>
      <c r="E713" s="588"/>
      <c r="F713" s="588"/>
      <c r="G713" s="588"/>
      <c r="H713" s="588"/>
    </row>
    <row r="714">
      <c r="A714" s="587"/>
      <c r="B714" s="588"/>
      <c r="C714" s="588"/>
      <c r="D714" s="588"/>
      <c r="E714" s="588"/>
      <c r="F714" s="588"/>
      <c r="G714" s="588"/>
      <c r="H714" s="588"/>
    </row>
    <row r="715">
      <c r="A715" s="587"/>
      <c r="B715" s="588"/>
      <c r="C715" s="588"/>
      <c r="D715" s="588"/>
      <c r="E715" s="588"/>
      <c r="F715" s="588"/>
      <c r="G715" s="588"/>
      <c r="H715" s="588"/>
    </row>
    <row r="716">
      <c r="A716" s="587"/>
      <c r="B716" s="588"/>
      <c r="C716" s="588"/>
      <c r="D716" s="588"/>
      <c r="E716" s="588"/>
      <c r="F716" s="588"/>
      <c r="G716" s="588"/>
      <c r="H716" s="588"/>
    </row>
    <row r="717">
      <c r="A717" s="587"/>
      <c r="B717" s="588"/>
      <c r="C717" s="588"/>
      <c r="D717" s="588"/>
      <c r="E717" s="588"/>
      <c r="F717" s="588"/>
      <c r="G717" s="588"/>
      <c r="H717" s="588"/>
    </row>
    <row r="718">
      <c r="A718" s="587"/>
      <c r="B718" s="588"/>
      <c r="C718" s="588"/>
      <c r="D718" s="588"/>
      <c r="E718" s="588"/>
      <c r="F718" s="588"/>
      <c r="G718" s="588"/>
      <c r="H718" s="588"/>
    </row>
    <row r="719">
      <c r="A719" s="587"/>
      <c r="B719" s="588"/>
      <c r="C719" s="588"/>
      <c r="D719" s="588"/>
      <c r="E719" s="588"/>
      <c r="F719" s="588"/>
      <c r="G719" s="588"/>
      <c r="H719" s="588"/>
    </row>
    <row r="720">
      <c r="A720" s="587"/>
      <c r="B720" s="588"/>
      <c r="C720" s="588"/>
      <c r="D720" s="588"/>
      <c r="E720" s="588"/>
      <c r="F720" s="588"/>
      <c r="G720" s="588"/>
      <c r="H720" s="588"/>
    </row>
    <row r="721">
      <c r="A721" s="587"/>
      <c r="B721" s="588"/>
      <c r="C721" s="588"/>
      <c r="D721" s="588"/>
      <c r="E721" s="588"/>
      <c r="F721" s="588"/>
      <c r="G721" s="588"/>
      <c r="H721" s="588"/>
    </row>
    <row r="722">
      <c r="A722" s="587"/>
      <c r="B722" s="588"/>
      <c r="C722" s="588"/>
      <c r="D722" s="588"/>
      <c r="E722" s="588"/>
      <c r="F722" s="588"/>
      <c r="G722" s="588"/>
      <c r="H722" s="588"/>
    </row>
    <row r="723">
      <c r="A723" s="587"/>
      <c r="B723" s="588"/>
      <c r="C723" s="588"/>
      <c r="D723" s="588"/>
      <c r="E723" s="588"/>
      <c r="F723" s="588"/>
      <c r="G723" s="588"/>
      <c r="H723" s="588"/>
    </row>
    <row r="724">
      <c r="A724" s="587"/>
      <c r="B724" s="588"/>
      <c r="C724" s="588"/>
      <c r="D724" s="588"/>
      <c r="E724" s="588"/>
      <c r="F724" s="588"/>
      <c r="G724" s="588"/>
      <c r="H724" s="588"/>
    </row>
    <row r="725">
      <c r="A725" s="587"/>
      <c r="B725" s="588"/>
      <c r="C725" s="588"/>
      <c r="D725" s="588"/>
      <c r="E725" s="588"/>
      <c r="F725" s="588"/>
      <c r="G725" s="588"/>
      <c r="H725" s="588"/>
    </row>
    <row r="726">
      <c r="A726" s="587"/>
      <c r="B726" s="588"/>
      <c r="C726" s="588"/>
      <c r="D726" s="588"/>
      <c r="E726" s="588"/>
      <c r="F726" s="588"/>
      <c r="G726" s="588"/>
      <c r="H726" s="588"/>
    </row>
    <row r="727">
      <c r="A727" s="587"/>
      <c r="B727" s="588"/>
      <c r="C727" s="588"/>
      <c r="D727" s="588"/>
      <c r="E727" s="588"/>
      <c r="F727" s="588"/>
      <c r="G727" s="588"/>
      <c r="H727" s="588"/>
    </row>
    <row r="728">
      <c r="A728" s="587"/>
      <c r="B728" s="588"/>
      <c r="C728" s="588"/>
      <c r="D728" s="588"/>
      <c r="E728" s="588"/>
      <c r="F728" s="588"/>
      <c r="G728" s="588"/>
      <c r="H728" s="588"/>
    </row>
    <row r="729">
      <c r="A729" s="587"/>
      <c r="B729" s="588"/>
      <c r="C729" s="588"/>
      <c r="D729" s="588"/>
      <c r="E729" s="588"/>
      <c r="F729" s="588"/>
      <c r="G729" s="588"/>
      <c r="H729" s="588"/>
    </row>
    <row r="730">
      <c r="A730" s="587"/>
      <c r="B730" s="588"/>
      <c r="C730" s="588"/>
      <c r="D730" s="588"/>
      <c r="E730" s="588"/>
      <c r="F730" s="588"/>
      <c r="G730" s="588"/>
      <c r="H730" s="588"/>
    </row>
    <row r="731">
      <c r="A731" s="587"/>
      <c r="B731" s="588"/>
      <c r="C731" s="588"/>
      <c r="D731" s="588"/>
      <c r="E731" s="588"/>
      <c r="F731" s="588"/>
      <c r="G731" s="588"/>
      <c r="H731" s="588"/>
    </row>
    <row r="732">
      <c r="A732" s="587"/>
      <c r="B732" s="588"/>
      <c r="C732" s="588"/>
      <c r="D732" s="588"/>
      <c r="E732" s="588"/>
      <c r="F732" s="588"/>
      <c r="G732" s="588"/>
      <c r="H732" s="588"/>
    </row>
    <row r="733">
      <c r="A733" s="587"/>
      <c r="B733" s="588"/>
      <c r="C733" s="588"/>
      <c r="D733" s="588"/>
      <c r="E733" s="588"/>
      <c r="F733" s="588"/>
      <c r="G733" s="588"/>
      <c r="H733" s="588"/>
    </row>
    <row r="734">
      <c r="A734" s="587"/>
      <c r="B734" s="588"/>
      <c r="C734" s="588"/>
      <c r="D734" s="588"/>
      <c r="E734" s="588"/>
      <c r="F734" s="588"/>
      <c r="G734" s="588"/>
      <c r="H734" s="588"/>
    </row>
    <row r="735">
      <c r="A735" s="587"/>
      <c r="B735" s="588"/>
      <c r="C735" s="588"/>
      <c r="D735" s="588"/>
      <c r="E735" s="588"/>
      <c r="F735" s="588"/>
      <c r="G735" s="588"/>
      <c r="H735" s="588"/>
    </row>
    <row r="736">
      <c r="A736" s="587"/>
      <c r="B736" s="588"/>
      <c r="C736" s="588"/>
      <c r="D736" s="588"/>
      <c r="E736" s="588"/>
      <c r="F736" s="588"/>
      <c r="G736" s="588"/>
      <c r="H736" s="588"/>
    </row>
    <row r="737">
      <c r="A737" s="587"/>
      <c r="B737" s="588"/>
      <c r="C737" s="588"/>
      <c r="D737" s="588"/>
      <c r="E737" s="588"/>
      <c r="F737" s="588"/>
      <c r="G737" s="588"/>
      <c r="H737" s="588"/>
    </row>
    <row r="738">
      <c r="A738" s="587"/>
      <c r="B738" s="588"/>
      <c r="C738" s="588"/>
      <c r="D738" s="588"/>
      <c r="E738" s="588"/>
      <c r="F738" s="588"/>
      <c r="G738" s="588"/>
      <c r="H738" s="588"/>
    </row>
    <row r="739">
      <c r="A739" s="587"/>
      <c r="B739" s="588"/>
      <c r="C739" s="588"/>
      <c r="D739" s="588"/>
      <c r="E739" s="588"/>
      <c r="F739" s="588"/>
      <c r="G739" s="588"/>
      <c r="H739" s="588"/>
    </row>
    <row r="740">
      <c r="A740" s="587"/>
      <c r="B740" s="588"/>
      <c r="C740" s="588"/>
      <c r="D740" s="588"/>
      <c r="E740" s="588"/>
      <c r="F740" s="588"/>
      <c r="G740" s="588"/>
      <c r="H740" s="588"/>
    </row>
    <row r="741">
      <c r="A741" s="587"/>
      <c r="B741" s="588"/>
      <c r="C741" s="588"/>
      <c r="D741" s="588"/>
      <c r="E741" s="588"/>
      <c r="F741" s="588"/>
      <c r="G741" s="588"/>
      <c r="H741" s="588"/>
    </row>
    <row r="742">
      <c r="A742" s="587"/>
      <c r="B742" s="588"/>
      <c r="C742" s="588"/>
      <c r="D742" s="588"/>
      <c r="E742" s="588"/>
      <c r="F742" s="588"/>
      <c r="G742" s="588"/>
      <c r="H742" s="588"/>
    </row>
    <row r="743">
      <c r="A743" s="587"/>
      <c r="B743" s="588"/>
      <c r="C743" s="588"/>
      <c r="D743" s="588"/>
      <c r="E743" s="588"/>
      <c r="F743" s="588"/>
      <c r="G743" s="588"/>
      <c r="H743" s="588"/>
    </row>
    <row r="744">
      <c r="A744" s="587"/>
      <c r="B744" s="588"/>
      <c r="C744" s="588"/>
      <c r="D744" s="588"/>
      <c r="E744" s="588"/>
      <c r="F744" s="588"/>
      <c r="G744" s="588"/>
      <c r="H744" s="588"/>
    </row>
    <row r="745">
      <c r="A745" s="587"/>
      <c r="B745" s="588"/>
      <c r="C745" s="588"/>
      <c r="D745" s="588"/>
      <c r="E745" s="588"/>
      <c r="F745" s="588"/>
      <c r="G745" s="588"/>
      <c r="H745" s="588"/>
    </row>
    <row r="746">
      <c r="A746" s="587"/>
      <c r="B746" s="588"/>
      <c r="C746" s="588"/>
      <c r="D746" s="588"/>
      <c r="E746" s="588"/>
      <c r="F746" s="588"/>
      <c r="G746" s="588"/>
      <c r="H746" s="588"/>
    </row>
    <row r="747">
      <c r="A747" s="587"/>
      <c r="B747" s="588"/>
      <c r="C747" s="588"/>
      <c r="D747" s="588"/>
      <c r="E747" s="588"/>
      <c r="F747" s="588"/>
      <c r="G747" s="588"/>
      <c r="H747" s="588"/>
    </row>
    <row r="748">
      <c r="A748" s="587"/>
      <c r="B748" s="588"/>
      <c r="C748" s="588"/>
      <c r="D748" s="588"/>
      <c r="E748" s="588"/>
      <c r="F748" s="588"/>
      <c r="G748" s="588"/>
      <c r="H748" s="588"/>
    </row>
    <row r="749">
      <c r="A749" s="587"/>
      <c r="B749" s="588"/>
      <c r="C749" s="588"/>
      <c r="D749" s="588"/>
      <c r="E749" s="588"/>
      <c r="F749" s="588"/>
      <c r="G749" s="588"/>
      <c r="H749" s="588"/>
    </row>
    <row r="750">
      <c r="A750" s="587"/>
      <c r="B750" s="588"/>
      <c r="C750" s="588"/>
      <c r="D750" s="588"/>
      <c r="E750" s="588"/>
      <c r="F750" s="588"/>
      <c r="G750" s="588"/>
      <c r="H750" s="588"/>
    </row>
    <row r="751">
      <c r="A751" s="587"/>
      <c r="B751" s="588"/>
      <c r="C751" s="588"/>
      <c r="D751" s="588"/>
      <c r="E751" s="588"/>
      <c r="F751" s="588"/>
      <c r="G751" s="588"/>
      <c r="H751" s="588"/>
    </row>
    <row r="752">
      <c r="A752" s="587"/>
      <c r="B752" s="588"/>
      <c r="C752" s="588"/>
      <c r="D752" s="588"/>
      <c r="E752" s="588"/>
      <c r="F752" s="588"/>
      <c r="G752" s="588"/>
      <c r="H752" s="588"/>
    </row>
    <row r="753">
      <c r="A753" s="587"/>
      <c r="B753" s="588"/>
      <c r="C753" s="588"/>
      <c r="D753" s="588"/>
      <c r="E753" s="588"/>
      <c r="F753" s="588"/>
      <c r="G753" s="588"/>
      <c r="H753" s="588"/>
    </row>
    <row r="754">
      <c r="A754" s="587"/>
      <c r="B754" s="588"/>
      <c r="C754" s="588"/>
      <c r="D754" s="588"/>
      <c r="E754" s="588"/>
      <c r="F754" s="588"/>
      <c r="G754" s="588"/>
      <c r="H754" s="588"/>
    </row>
    <row r="755">
      <c r="A755" s="587"/>
      <c r="B755" s="588"/>
      <c r="C755" s="588"/>
      <c r="D755" s="588"/>
      <c r="E755" s="588"/>
      <c r="F755" s="588"/>
      <c r="G755" s="588"/>
      <c r="H755" s="588"/>
    </row>
    <row r="756">
      <c r="A756" s="587"/>
      <c r="B756" s="588"/>
      <c r="C756" s="588"/>
      <c r="D756" s="588"/>
      <c r="E756" s="588"/>
      <c r="F756" s="588"/>
      <c r="G756" s="588"/>
      <c r="H756" s="588"/>
    </row>
    <row r="757">
      <c r="A757" s="587"/>
      <c r="B757" s="588"/>
      <c r="C757" s="588"/>
      <c r="D757" s="588"/>
      <c r="E757" s="588"/>
      <c r="F757" s="588"/>
      <c r="G757" s="588"/>
      <c r="H757" s="588"/>
    </row>
    <row r="758">
      <c r="A758" s="587"/>
      <c r="B758" s="588"/>
      <c r="C758" s="588"/>
      <c r="D758" s="588"/>
      <c r="E758" s="588"/>
      <c r="F758" s="588"/>
      <c r="G758" s="588"/>
      <c r="H758" s="588"/>
    </row>
    <row r="759">
      <c r="A759" s="587"/>
      <c r="B759" s="588"/>
      <c r="C759" s="588"/>
      <c r="D759" s="588"/>
      <c r="E759" s="588"/>
      <c r="F759" s="588"/>
      <c r="G759" s="588"/>
      <c r="H759" s="588"/>
    </row>
    <row r="760">
      <c r="A760" s="587"/>
      <c r="B760" s="588"/>
      <c r="C760" s="588"/>
      <c r="D760" s="588"/>
      <c r="E760" s="588"/>
      <c r="F760" s="588"/>
      <c r="G760" s="588"/>
      <c r="H760" s="588"/>
    </row>
    <row r="761">
      <c r="A761" s="587"/>
      <c r="B761" s="588"/>
      <c r="C761" s="588"/>
      <c r="D761" s="588"/>
      <c r="E761" s="588"/>
      <c r="F761" s="588"/>
      <c r="G761" s="588"/>
      <c r="H761" s="588"/>
    </row>
    <row r="762">
      <c r="A762" s="587"/>
      <c r="B762" s="588"/>
      <c r="C762" s="588"/>
      <c r="D762" s="588"/>
      <c r="E762" s="588"/>
      <c r="F762" s="588"/>
      <c r="G762" s="588"/>
      <c r="H762" s="588"/>
    </row>
    <row r="763">
      <c r="A763" s="587"/>
      <c r="B763" s="588"/>
      <c r="C763" s="588"/>
      <c r="D763" s="588"/>
      <c r="E763" s="588"/>
      <c r="F763" s="588"/>
      <c r="G763" s="588"/>
      <c r="H763" s="588"/>
    </row>
    <row r="764">
      <c r="A764" s="587"/>
      <c r="B764" s="588"/>
      <c r="C764" s="588"/>
      <c r="D764" s="588"/>
      <c r="E764" s="588"/>
      <c r="F764" s="588"/>
      <c r="G764" s="588"/>
      <c r="H764" s="588"/>
    </row>
    <row r="765">
      <c r="A765" s="587"/>
      <c r="B765" s="588"/>
      <c r="C765" s="588"/>
      <c r="D765" s="588"/>
      <c r="E765" s="588"/>
      <c r="F765" s="588"/>
      <c r="G765" s="588"/>
      <c r="H765" s="588"/>
    </row>
    <row r="766">
      <c r="A766" s="587"/>
      <c r="B766" s="588"/>
      <c r="C766" s="588"/>
      <c r="D766" s="588"/>
      <c r="E766" s="588"/>
      <c r="F766" s="588"/>
      <c r="G766" s="588"/>
      <c r="H766" s="588"/>
    </row>
    <row r="767">
      <c r="A767" s="587"/>
      <c r="B767" s="588"/>
      <c r="C767" s="588"/>
      <c r="D767" s="588"/>
      <c r="E767" s="588"/>
      <c r="F767" s="588"/>
      <c r="G767" s="588"/>
      <c r="H767" s="588"/>
    </row>
    <row r="768">
      <c r="A768" s="587"/>
      <c r="B768" s="588"/>
      <c r="C768" s="588"/>
      <c r="D768" s="588"/>
      <c r="E768" s="588"/>
      <c r="F768" s="588"/>
      <c r="G768" s="588"/>
      <c r="H768" s="588"/>
    </row>
    <row r="769">
      <c r="A769" s="587"/>
      <c r="B769" s="588"/>
      <c r="C769" s="588"/>
      <c r="D769" s="588"/>
      <c r="E769" s="588"/>
      <c r="F769" s="588"/>
      <c r="G769" s="588"/>
      <c r="H769" s="588"/>
    </row>
    <row r="770">
      <c r="A770" s="587"/>
      <c r="B770" s="588"/>
      <c r="C770" s="588"/>
      <c r="D770" s="588"/>
      <c r="E770" s="588"/>
      <c r="F770" s="588"/>
      <c r="G770" s="588"/>
      <c r="H770" s="588"/>
    </row>
    <row r="771">
      <c r="A771" s="587"/>
      <c r="B771" s="588"/>
      <c r="C771" s="588"/>
      <c r="D771" s="588"/>
      <c r="E771" s="588"/>
      <c r="F771" s="588"/>
      <c r="G771" s="588"/>
      <c r="H771" s="588"/>
    </row>
    <row r="772">
      <c r="A772" s="587"/>
      <c r="B772" s="588"/>
      <c r="C772" s="588"/>
      <c r="D772" s="588"/>
      <c r="E772" s="588"/>
      <c r="F772" s="588"/>
      <c r="G772" s="588"/>
      <c r="H772" s="588"/>
    </row>
    <row r="773">
      <c r="A773" s="587"/>
      <c r="B773" s="588"/>
      <c r="C773" s="588"/>
      <c r="D773" s="588"/>
      <c r="E773" s="588"/>
      <c r="F773" s="588"/>
      <c r="G773" s="588"/>
      <c r="H773" s="588"/>
    </row>
    <row r="774">
      <c r="A774" s="587"/>
      <c r="B774" s="588"/>
      <c r="C774" s="588"/>
      <c r="D774" s="588"/>
      <c r="E774" s="588"/>
      <c r="F774" s="588"/>
      <c r="G774" s="588"/>
      <c r="H774" s="588"/>
    </row>
    <row r="775">
      <c r="A775" s="587"/>
      <c r="B775" s="588"/>
      <c r="C775" s="588"/>
      <c r="D775" s="588"/>
      <c r="E775" s="588"/>
      <c r="F775" s="588"/>
      <c r="G775" s="588"/>
      <c r="H775" s="588"/>
    </row>
    <row r="776">
      <c r="A776" s="587"/>
      <c r="B776" s="588"/>
      <c r="C776" s="588"/>
      <c r="D776" s="588"/>
      <c r="E776" s="588"/>
      <c r="F776" s="588"/>
      <c r="G776" s="588"/>
      <c r="H776" s="588"/>
    </row>
    <row r="777">
      <c r="A777" s="587"/>
      <c r="B777" s="588"/>
      <c r="C777" s="588"/>
      <c r="D777" s="588"/>
      <c r="E777" s="588"/>
      <c r="F777" s="588"/>
      <c r="G777" s="588"/>
      <c r="H777" s="588"/>
    </row>
    <row r="778">
      <c r="A778" s="587"/>
      <c r="B778" s="588"/>
      <c r="C778" s="588"/>
      <c r="D778" s="588"/>
      <c r="E778" s="588"/>
      <c r="F778" s="588"/>
      <c r="G778" s="588"/>
      <c r="H778" s="588"/>
    </row>
    <row r="779">
      <c r="A779" s="587"/>
      <c r="B779" s="588"/>
      <c r="C779" s="588"/>
      <c r="D779" s="588"/>
      <c r="E779" s="588"/>
      <c r="F779" s="588"/>
      <c r="G779" s="588"/>
      <c r="H779" s="588"/>
    </row>
    <row r="780">
      <c r="A780" s="587"/>
      <c r="B780" s="588"/>
      <c r="C780" s="588"/>
      <c r="D780" s="588"/>
      <c r="E780" s="588"/>
      <c r="F780" s="588"/>
      <c r="G780" s="588"/>
      <c r="H780" s="588"/>
    </row>
    <row r="781">
      <c r="A781" s="587"/>
      <c r="B781" s="588"/>
      <c r="C781" s="588"/>
      <c r="D781" s="588"/>
      <c r="E781" s="588"/>
      <c r="F781" s="588"/>
      <c r="G781" s="588"/>
      <c r="H781" s="588"/>
    </row>
    <row r="782">
      <c r="A782" s="587"/>
      <c r="B782" s="588"/>
      <c r="C782" s="588"/>
      <c r="D782" s="588"/>
      <c r="E782" s="588"/>
      <c r="F782" s="588"/>
      <c r="G782" s="588"/>
      <c r="H782" s="588"/>
    </row>
    <row r="783">
      <c r="A783" s="587"/>
      <c r="B783" s="588"/>
      <c r="C783" s="588"/>
      <c r="D783" s="588"/>
      <c r="E783" s="588"/>
      <c r="F783" s="588"/>
      <c r="G783" s="588"/>
      <c r="H783" s="588"/>
    </row>
    <row r="784">
      <c r="A784" s="587"/>
      <c r="B784" s="588"/>
      <c r="C784" s="588"/>
      <c r="D784" s="588"/>
      <c r="E784" s="588"/>
      <c r="F784" s="588"/>
      <c r="G784" s="588"/>
      <c r="H784" s="588"/>
    </row>
    <row r="785">
      <c r="A785" s="587"/>
      <c r="B785" s="588"/>
      <c r="C785" s="588"/>
      <c r="D785" s="588"/>
      <c r="E785" s="588"/>
      <c r="F785" s="588"/>
      <c r="G785" s="588"/>
      <c r="H785" s="588"/>
    </row>
    <row r="786">
      <c r="A786" s="587"/>
      <c r="B786" s="588"/>
      <c r="C786" s="588"/>
      <c r="D786" s="588"/>
      <c r="E786" s="588"/>
      <c r="F786" s="588"/>
      <c r="G786" s="588"/>
      <c r="H786" s="588"/>
    </row>
    <row r="787">
      <c r="A787" s="587"/>
      <c r="B787" s="588"/>
      <c r="C787" s="588"/>
      <c r="D787" s="588"/>
      <c r="E787" s="588"/>
      <c r="F787" s="588"/>
      <c r="G787" s="588"/>
      <c r="H787" s="588"/>
    </row>
    <row r="788">
      <c r="A788" s="587"/>
      <c r="B788" s="588"/>
      <c r="C788" s="588"/>
      <c r="D788" s="588"/>
      <c r="E788" s="588"/>
      <c r="F788" s="588"/>
      <c r="G788" s="588"/>
      <c r="H788" s="588"/>
    </row>
    <row r="789">
      <c r="A789" s="587"/>
      <c r="B789" s="588"/>
      <c r="C789" s="588"/>
      <c r="D789" s="588"/>
      <c r="E789" s="588"/>
      <c r="F789" s="588"/>
      <c r="G789" s="588"/>
      <c r="H789" s="588"/>
    </row>
    <row r="790">
      <c r="A790" s="587"/>
      <c r="B790" s="588"/>
      <c r="C790" s="588"/>
      <c r="D790" s="588"/>
      <c r="E790" s="588"/>
      <c r="F790" s="588"/>
      <c r="G790" s="588"/>
      <c r="H790" s="588"/>
    </row>
    <row r="791">
      <c r="A791" s="587"/>
      <c r="B791" s="588"/>
      <c r="C791" s="588"/>
      <c r="D791" s="588"/>
      <c r="E791" s="588"/>
      <c r="F791" s="588"/>
      <c r="G791" s="588"/>
      <c r="H791" s="588"/>
    </row>
    <row r="792">
      <c r="A792" s="587"/>
      <c r="B792" s="588"/>
      <c r="C792" s="588"/>
      <c r="D792" s="588"/>
      <c r="E792" s="588"/>
      <c r="F792" s="588"/>
      <c r="G792" s="588"/>
      <c r="H792" s="588"/>
    </row>
    <row r="793">
      <c r="A793" s="587"/>
      <c r="B793" s="588"/>
      <c r="C793" s="588"/>
      <c r="D793" s="588"/>
      <c r="E793" s="588"/>
      <c r="F793" s="588"/>
      <c r="G793" s="588"/>
      <c r="H793" s="588"/>
    </row>
    <row r="794">
      <c r="A794" s="587"/>
      <c r="B794" s="588"/>
      <c r="C794" s="588"/>
      <c r="D794" s="588"/>
      <c r="E794" s="588"/>
      <c r="F794" s="588"/>
      <c r="G794" s="588"/>
      <c r="H794" s="588"/>
    </row>
    <row r="795">
      <c r="A795" s="587"/>
      <c r="B795" s="588"/>
      <c r="C795" s="588"/>
      <c r="D795" s="588"/>
      <c r="E795" s="588"/>
      <c r="F795" s="588"/>
      <c r="G795" s="588"/>
      <c r="H795" s="588"/>
    </row>
    <row r="796">
      <c r="A796" s="587"/>
      <c r="B796" s="588"/>
      <c r="C796" s="588"/>
      <c r="D796" s="588"/>
      <c r="E796" s="588"/>
      <c r="F796" s="588"/>
      <c r="G796" s="588"/>
      <c r="H796" s="588"/>
    </row>
    <row r="797">
      <c r="A797" s="587"/>
      <c r="B797" s="588"/>
      <c r="C797" s="588"/>
      <c r="D797" s="588"/>
      <c r="E797" s="588"/>
      <c r="F797" s="588"/>
      <c r="G797" s="588"/>
      <c r="H797" s="588"/>
    </row>
    <row r="798">
      <c r="A798" s="587"/>
      <c r="B798" s="588"/>
      <c r="C798" s="588"/>
      <c r="D798" s="588"/>
      <c r="E798" s="588"/>
      <c r="F798" s="588"/>
      <c r="G798" s="588"/>
      <c r="H798" s="588"/>
    </row>
    <row r="799">
      <c r="A799" s="587"/>
      <c r="B799" s="588"/>
      <c r="C799" s="588"/>
      <c r="D799" s="588"/>
      <c r="E799" s="588"/>
      <c r="F799" s="588"/>
      <c r="G799" s="588"/>
      <c r="H799" s="588"/>
    </row>
    <row r="800">
      <c r="A800" s="587"/>
      <c r="B800" s="588"/>
      <c r="C800" s="588"/>
      <c r="D800" s="588"/>
      <c r="E800" s="588"/>
      <c r="F800" s="588"/>
      <c r="G800" s="588"/>
      <c r="H800" s="588"/>
    </row>
    <row r="801">
      <c r="A801" s="587"/>
      <c r="B801" s="588"/>
      <c r="C801" s="588"/>
      <c r="D801" s="588"/>
      <c r="E801" s="588"/>
      <c r="F801" s="588"/>
      <c r="G801" s="588"/>
      <c r="H801" s="588"/>
    </row>
    <row r="802">
      <c r="A802" s="587"/>
      <c r="B802" s="588"/>
      <c r="C802" s="588"/>
      <c r="D802" s="588"/>
      <c r="E802" s="588"/>
      <c r="F802" s="588"/>
      <c r="G802" s="588"/>
      <c r="H802" s="588"/>
    </row>
    <row r="803">
      <c r="A803" s="587"/>
      <c r="B803" s="588"/>
      <c r="C803" s="588"/>
      <c r="D803" s="588"/>
      <c r="E803" s="588"/>
      <c r="F803" s="588"/>
      <c r="G803" s="588"/>
      <c r="H803" s="588"/>
    </row>
    <row r="804">
      <c r="A804" s="587"/>
      <c r="B804" s="588"/>
      <c r="C804" s="588"/>
      <c r="D804" s="588"/>
      <c r="E804" s="588"/>
      <c r="F804" s="588"/>
      <c r="G804" s="588"/>
      <c r="H804" s="588"/>
    </row>
    <row r="805">
      <c r="A805" s="587"/>
      <c r="B805" s="588"/>
      <c r="C805" s="588"/>
      <c r="D805" s="588"/>
      <c r="E805" s="588"/>
      <c r="F805" s="588"/>
      <c r="G805" s="588"/>
      <c r="H805" s="588"/>
    </row>
    <row r="806">
      <c r="A806" s="587"/>
      <c r="B806" s="588"/>
      <c r="C806" s="588"/>
      <c r="D806" s="588"/>
      <c r="E806" s="588"/>
      <c r="F806" s="588"/>
      <c r="G806" s="588"/>
      <c r="H806" s="588"/>
    </row>
    <row r="807">
      <c r="A807" s="587"/>
      <c r="B807" s="588"/>
      <c r="C807" s="588"/>
      <c r="D807" s="588"/>
      <c r="E807" s="588"/>
      <c r="F807" s="588"/>
      <c r="G807" s="588"/>
      <c r="H807" s="588"/>
    </row>
    <row r="808">
      <c r="A808" s="587"/>
      <c r="B808" s="588"/>
      <c r="C808" s="588"/>
      <c r="D808" s="588"/>
      <c r="E808" s="588"/>
      <c r="F808" s="588"/>
      <c r="G808" s="588"/>
      <c r="H808" s="588"/>
    </row>
    <row r="809">
      <c r="A809" s="587"/>
      <c r="B809" s="588"/>
      <c r="C809" s="588"/>
      <c r="D809" s="588"/>
      <c r="E809" s="588"/>
      <c r="F809" s="588"/>
      <c r="G809" s="588"/>
      <c r="H809" s="588"/>
    </row>
    <row r="810">
      <c r="A810" s="587"/>
      <c r="B810" s="588"/>
      <c r="C810" s="588"/>
      <c r="D810" s="588"/>
      <c r="E810" s="588"/>
      <c r="F810" s="588"/>
      <c r="G810" s="588"/>
      <c r="H810" s="588"/>
    </row>
    <row r="811">
      <c r="A811" s="587"/>
      <c r="B811" s="588"/>
      <c r="C811" s="588"/>
      <c r="D811" s="588"/>
      <c r="E811" s="588"/>
      <c r="F811" s="588"/>
      <c r="G811" s="588"/>
      <c r="H811" s="588"/>
    </row>
    <row r="812">
      <c r="A812" s="587"/>
      <c r="B812" s="588"/>
      <c r="C812" s="588"/>
      <c r="D812" s="588"/>
      <c r="E812" s="588"/>
      <c r="F812" s="588"/>
      <c r="G812" s="588"/>
      <c r="H812" s="588"/>
    </row>
    <row r="813">
      <c r="A813" s="587"/>
      <c r="B813" s="588"/>
      <c r="C813" s="588"/>
      <c r="D813" s="588"/>
      <c r="E813" s="588"/>
      <c r="F813" s="588"/>
      <c r="G813" s="588"/>
      <c r="H813" s="588"/>
    </row>
    <row r="814">
      <c r="A814" s="587"/>
      <c r="B814" s="588"/>
      <c r="C814" s="588"/>
      <c r="D814" s="588"/>
      <c r="E814" s="588"/>
      <c r="F814" s="588"/>
      <c r="G814" s="588"/>
      <c r="H814" s="588"/>
    </row>
    <row r="815">
      <c r="A815" s="587"/>
      <c r="B815" s="588"/>
      <c r="C815" s="588"/>
      <c r="D815" s="588"/>
      <c r="E815" s="588"/>
      <c r="F815" s="588"/>
      <c r="G815" s="588"/>
      <c r="H815" s="588"/>
    </row>
    <row r="816">
      <c r="A816" s="587"/>
      <c r="B816" s="588"/>
      <c r="C816" s="588"/>
      <c r="D816" s="588"/>
      <c r="E816" s="588"/>
      <c r="F816" s="588"/>
      <c r="G816" s="588"/>
      <c r="H816" s="588"/>
    </row>
    <row r="817">
      <c r="A817" s="587"/>
      <c r="B817" s="588"/>
      <c r="C817" s="588"/>
      <c r="D817" s="588"/>
      <c r="E817" s="588"/>
      <c r="F817" s="588"/>
      <c r="G817" s="588"/>
      <c r="H817" s="588"/>
    </row>
    <row r="818">
      <c r="A818" s="587"/>
      <c r="B818" s="588"/>
      <c r="C818" s="588"/>
      <c r="D818" s="588"/>
      <c r="E818" s="588"/>
      <c r="F818" s="588"/>
      <c r="G818" s="588"/>
      <c r="H818" s="588"/>
    </row>
    <row r="819">
      <c r="A819" s="587"/>
      <c r="B819" s="588"/>
      <c r="C819" s="588"/>
      <c r="D819" s="588"/>
      <c r="E819" s="588"/>
      <c r="F819" s="588"/>
      <c r="G819" s="588"/>
      <c r="H819" s="588"/>
    </row>
    <row r="820">
      <c r="A820" s="587"/>
      <c r="B820" s="588"/>
      <c r="C820" s="588"/>
      <c r="D820" s="588"/>
      <c r="E820" s="588"/>
      <c r="F820" s="588"/>
      <c r="G820" s="588"/>
      <c r="H820" s="588"/>
    </row>
    <row r="821">
      <c r="A821" s="587"/>
      <c r="B821" s="588"/>
      <c r="C821" s="588"/>
      <c r="D821" s="588"/>
      <c r="E821" s="588"/>
      <c r="F821" s="588"/>
      <c r="G821" s="588"/>
      <c r="H821" s="588"/>
    </row>
    <row r="822">
      <c r="A822" s="587"/>
      <c r="B822" s="588"/>
      <c r="C822" s="588"/>
      <c r="D822" s="588"/>
      <c r="E822" s="588"/>
      <c r="F822" s="588"/>
      <c r="G822" s="588"/>
      <c r="H822" s="588"/>
    </row>
    <row r="823">
      <c r="A823" s="587"/>
      <c r="B823" s="588"/>
      <c r="C823" s="588"/>
      <c r="D823" s="588"/>
      <c r="E823" s="588"/>
      <c r="F823" s="588"/>
      <c r="G823" s="588"/>
      <c r="H823" s="588"/>
    </row>
    <row r="824">
      <c r="A824" s="587"/>
      <c r="B824" s="588"/>
      <c r="C824" s="588"/>
      <c r="D824" s="588"/>
      <c r="E824" s="588"/>
      <c r="F824" s="588"/>
      <c r="G824" s="588"/>
      <c r="H824" s="588"/>
    </row>
    <row r="825">
      <c r="A825" s="587"/>
      <c r="B825" s="588"/>
      <c r="C825" s="588"/>
      <c r="D825" s="588"/>
      <c r="E825" s="588"/>
      <c r="F825" s="588"/>
      <c r="G825" s="588"/>
      <c r="H825" s="588"/>
    </row>
    <row r="826">
      <c r="A826" s="587"/>
      <c r="B826" s="588"/>
      <c r="C826" s="588"/>
      <c r="D826" s="588"/>
      <c r="E826" s="588"/>
      <c r="F826" s="588"/>
      <c r="G826" s="588"/>
      <c r="H826" s="588"/>
    </row>
    <row r="827">
      <c r="A827" s="587"/>
      <c r="B827" s="588"/>
      <c r="C827" s="588"/>
      <c r="D827" s="588"/>
      <c r="E827" s="588"/>
      <c r="F827" s="588"/>
      <c r="G827" s="588"/>
      <c r="H827" s="588"/>
    </row>
    <row r="828">
      <c r="A828" s="587"/>
      <c r="B828" s="588"/>
      <c r="C828" s="588"/>
      <c r="D828" s="588"/>
      <c r="E828" s="588"/>
      <c r="F828" s="588"/>
      <c r="G828" s="588"/>
      <c r="H828" s="588"/>
    </row>
    <row r="829">
      <c r="A829" s="587"/>
      <c r="B829" s="588"/>
      <c r="C829" s="588"/>
      <c r="D829" s="588"/>
      <c r="E829" s="588"/>
      <c r="F829" s="588"/>
      <c r="G829" s="588"/>
      <c r="H829" s="588"/>
    </row>
    <row r="830">
      <c r="A830" s="587"/>
      <c r="B830" s="588"/>
      <c r="C830" s="588"/>
      <c r="D830" s="588"/>
      <c r="E830" s="588"/>
      <c r="F830" s="588"/>
      <c r="G830" s="588"/>
      <c r="H830" s="588"/>
    </row>
    <row r="831">
      <c r="A831" s="587"/>
      <c r="B831" s="588"/>
      <c r="C831" s="588"/>
      <c r="D831" s="588"/>
      <c r="E831" s="588"/>
      <c r="F831" s="588"/>
      <c r="G831" s="588"/>
      <c r="H831" s="588"/>
    </row>
    <row r="832">
      <c r="A832" s="587"/>
      <c r="B832" s="588"/>
      <c r="C832" s="588"/>
      <c r="D832" s="588"/>
      <c r="E832" s="588"/>
      <c r="F832" s="588"/>
      <c r="G832" s="588"/>
      <c r="H832" s="588"/>
    </row>
    <row r="833">
      <c r="A833" s="587"/>
      <c r="B833" s="588"/>
      <c r="C833" s="588"/>
      <c r="D833" s="588"/>
      <c r="E833" s="588"/>
      <c r="F833" s="588"/>
      <c r="G833" s="588"/>
      <c r="H833" s="588"/>
    </row>
    <row r="834">
      <c r="A834" s="587"/>
      <c r="B834" s="588"/>
      <c r="C834" s="588"/>
      <c r="D834" s="588"/>
      <c r="E834" s="588"/>
      <c r="F834" s="588"/>
      <c r="G834" s="588"/>
      <c r="H834" s="588"/>
    </row>
    <row r="835">
      <c r="A835" s="587"/>
      <c r="B835" s="588"/>
      <c r="C835" s="588"/>
      <c r="D835" s="588"/>
      <c r="E835" s="588"/>
      <c r="F835" s="588"/>
      <c r="G835" s="588"/>
      <c r="H835" s="588"/>
    </row>
    <row r="836">
      <c r="A836" s="587"/>
      <c r="B836" s="588"/>
      <c r="C836" s="588"/>
      <c r="D836" s="588"/>
      <c r="E836" s="588"/>
      <c r="F836" s="588"/>
      <c r="G836" s="588"/>
      <c r="H836" s="588"/>
    </row>
    <row r="837">
      <c r="A837" s="587"/>
      <c r="B837" s="588"/>
      <c r="C837" s="588"/>
      <c r="D837" s="588"/>
      <c r="E837" s="588"/>
      <c r="F837" s="588"/>
      <c r="G837" s="588"/>
      <c r="H837" s="588"/>
    </row>
    <row r="838">
      <c r="A838" s="587"/>
      <c r="B838" s="588"/>
      <c r="C838" s="588"/>
      <c r="D838" s="588"/>
      <c r="E838" s="588"/>
      <c r="F838" s="588"/>
      <c r="G838" s="588"/>
      <c r="H838" s="588"/>
    </row>
    <row r="839">
      <c r="A839" s="587"/>
      <c r="B839" s="588"/>
      <c r="C839" s="588"/>
      <c r="D839" s="588"/>
      <c r="E839" s="588"/>
      <c r="F839" s="588"/>
      <c r="G839" s="588"/>
      <c r="H839" s="588"/>
    </row>
    <row r="840">
      <c r="A840" s="587"/>
      <c r="B840" s="588"/>
      <c r="C840" s="588"/>
      <c r="D840" s="588"/>
      <c r="E840" s="588"/>
      <c r="F840" s="588"/>
      <c r="G840" s="588"/>
      <c r="H840" s="588"/>
    </row>
    <row r="841">
      <c r="A841" s="587"/>
      <c r="B841" s="588"/>
      <c r="C841" s="588"/>
      <c r="D841" s="588"/>
      <c r="E841" s="588"/>
      <c r="F841" s="588"/>
      <c r="G841" s="588"/>
      <c r="H841" s="588"/>
    </row>
    <row r="842">
      <c r="A842" s="587"/>
      <c r="B842" s="588"/>
      <c r="C842" s="588"/>
      <c r="D842" s="588"/>
      <c r="E842" s="588"/>
      <c r="F842" s="588"/>
      <c r="G842" s="588"/>
      <c r="H842" s="588"/>
    </row>
    <row r="843">
      <c r="A843" s="587"/>
      <c r="B843" s="588"/>
      <c r="C843" s="588"/>
      <c r="D843" s="588"/>
      <c r="E843" s="588"/>
      <c r="F843" s="588"/>
      <c r="G843" s="588"/>
      <c r="H843" s="588"/>
    </row>
    <row r="844">
      <c r="A844" s="587"/>
      <c r="B844" s="588"/>
      <c r="C844" s="588"/>
      <c r="D844" s="588"/>
      <c r="E844" s="588"/>
      <c r="F844" s="588"/>
      <c r="G844" s="588"/>
      <c r="H844" s="588"/>
    </row>
    <row r="845">
      <c r="A845" s="587"/>
      <c r="B845" s="588"/>
      <c r="C845" s="588"/>
      <c r="D845" s="588"/>
      <c r="E845" s="588"/>
      <c r="F845" s="588"/>
      <c r="G845" s="588"/>
      <c r="H845" s="588"/>
    </row>
    <row r="846">
      <c r="A846" s="587"/>
      <c r="B846" s="588"/>
      <c r="C846" s="588"/>
      <c r="D846" s="588"/>
      <c r="E846" s="588"/>
      <c r="F846" s="588"/>
      <c r="G846" s="588"/>
      <c r="H846" s="588"/>
    </row>
    <row r="847">
      <c r="A847" s="587"/>
      <c r="B847" s="588"/>
      <c r="C847" s="588"/>
      <c r="D847" s="588"/>
      <c r="E847" s="588"/>
      <c r="F847" s="588"/>
      <c r="G847" s="588"/>
      <c r="H847" s="588"/>
    </row>
    <row r="848">
      <c r="A848" s="587"/>
      <c r="B848" s="588"/>
      <c r="C848" s="588"/>
      <c r="D848" s="588"/>
      <c r="E848" s="588"/>
      <c r="F848" s="588"/>
      <c r="G848" s="588"/>
      <c r="H848" s="588"/>
    </row>
    <row r="849">
      <c r="A849" s="587"/>
      <c r="B849" s="588"/>
      <c r="C849" s="588"/>
      <c r="D849" s="588"/>
      <c r="E849" s="588"/>
      <c r="F849" s="588"/>
      <c r="G849" s="588"/>
      <c r="H849" s="588"/>
    </row>
    <row r="850">
      <c r="A850" s="587"/>
      <c r="B850" s="588"/>
      <c r="C850" s="588"/>
      <c r="D850" s="588"/>
      <c r="E850" s="588"/>
      <c r="F850" s="588"/>
      <c r="G850" s="588"/>
      <c r="H850" s="588"/>
    </row>
    <row r="851">
      <c r="A851" s="587"/>
      <c r="B851" s="588"/>
      <c r="C851" s="588"/>
      <c r="D851" s="588"/>
      <c r="E851" s="588"/>
      <c r="F851" s="588"/>
      <c r="G851" s="588"/>
      <c r="H851" s="588"/>
    </row>
    <row r="852">
      <c r="A852" s="587"/>
      <c r="B852" s="588"/>
      <c r="C852" s="588"/>
      <c r="D852" s="588"/>
      <c r="E852" s="588"/>
      <c r="F852" s="588"/>
      <c r="G852" s="588"/>
      <c r="H852" s="588"/>
    </row>
    <row r="853">
      <c r="A853" s="587"/>
      <c r="B853" s="588"/>
      <c r="C853" s="588"/>
      <c r="D853" s="588"/>
      <c r="E853" s="588"/>
      <c r="F853" s="588"/>
      <c r="G853" s="588"/>
      <c r="H853" s="588"/>
    </row>
    <row r="854">
      <c r="A854" s="587"/>
      <c r="B854" s="588"/>
      <c r="C854" s="588"/>
      <c r="D854" s="588"/>
      <c r="E854" s="588"/>
      <c r="F854" s="588"/>
      <c r="G854" s="588"/>
      <c r="H854" s="588"/>
    </row>
    <row r="855">
      <c r="A855" s="587"/>
      <c r="B855" s="588"/>
      <c r="C855" s="588"/>
      <c r="D855" s="588"/>
      <c r="E855" s="588"/>
      <c r="F855" s="588"/>
      <c r="G855" s="588"/>
      <c r="H855" s="588"/>
    </row>
    <row r="856">
      <c r="A856" s="587"/>
      <c r="B856" s="588"/>
      <c r="C856" s="588"/>
      <c r="D856" s="588"/>
      <c r="E856" s="588"/>
      <c r="F856" s="588"/>
      <c r="G856" s="588"/>
      <c r="H856" s="588"/>
    </row>
    <row r="857">
      <c r="A857" s="587"/>
      <c r="B857" s="588"/>
      <c r="C857" s="588"/>
      <c r="D857" s="588"/>
      <c r="E857" s="588"/>
      <c r="F857" s="588"/>
      <c r="G857" s="588"/>
      <c r="H857" s="588"/>
    </row>
    <row r="858">
      <c r="A858" s="587"/>
      <c r="B858" s="588"/>
      <c r="C858" s="588"/>
      <c r="D858" s="588"/>
      <c r="E858" s="588"/>
      <c r="F858" s="588"/>
      <c r="G858" s="588"/>
      <c r="H858" s="588"/>
    </row>
    <row r="859">
      <c r="A859" s="587"/>
      <c r="B859" s="588"/>
      <c r="C859" s="588"/>
      <c r="D859" s="588"/>
      <c r="E859" s="588"/>
      <c r="F859" s="588"/>
      <c r="G859" s="588"/>
      <c r="H859" s="588"/>
    </row>
    <row r="860">
      <c r="A860" s="587"/>
      <c r="B860" s="588"/>
      <c r="C860" s="588"/>
      <c r="D860" s="588"/>
      <c r="E860" s="588"/>
      <c r="F860" s="588"/>
      <c r="G860" s="588"/>
      <c r="H860" s="588"/>
    </row>
    <row r="861">
      <c r="A861" s="587"/>
      <c r="B861" s="588"/>
      <c r="C861" s="588"/>
      <c r="D861" s="588"/>
      <c r="E861" s="588"/>
      <c r="F861" s="588"/>
      <c r="G861" s="588"/>
      <c r="H861" s="588"/>
    </row>
    <row r="862">
      <c r="A862" s="587"/>
      <c r="B862" s="588"/>
      <c r="C862" s="588"/>
      <c r="D862" s="588"/>
      <c r="E862" s="588"/>
      <c r="F862" s="588"/>
      <c r="G862" s="588"/>
      <c r="H862" s="588"/>
    </row>
    <row r="863">
      <c r="A863" s="587"/>
      <c r="B863" s="588"/>
      <c r="C863" s="588"/>
      <c r="D863" s="588"/>
      <c r="E863" s="588"/>
      <c r="F863" s="588"/>
      <c r="G863" s="588"/>
      <c r="H863" s="588"/>
    </row>
    <row r="864">
      <c r="A864" s="587"/>
      <c r="B864" s="588"/>
      <c r="C864" s="588"/>
      <c r="D864" s="588"/>
      <c r="E864" s="588"/>
      <c r="F864" s="588"/>
      <c r="G864" s="588"/>
      <c r="H864" s="588"/>
    </row>
    <row r="865">
      <c r="A865" s="587"/>
      <c r="B865" s="588"/>
      <c r="C865" s="588"/>
      <c r="D865" s="588"/>
      <c r="E865" s="588"/>
      <c r="F865" s="588"/>
      <c r="G865" s="588"/>
      <c r="H865" s="588"/>
    </row>
    <row r="866">
      <c r="A866" s="587"/>
      <c r="B866" s="588"/>
      <c r="C866" s="588"/>
      <c r="D866" s="588"/>
      <c r="E866" s="588"/>
      <c r="F866" s="588"/>
      <c r="G866" s="588"/>
      <c r="H866" s="588"/>
    </row>
    <row r="867">
      <c r="A867" s="587"/>
      <c r="B867" s="588"/>
      <c r="C867" s="588"/>
      <c r="D867" s="588"/>
      <c r="E867" s="588"/>
      <c r="F867" s="588"/>
      <c r="G867" s="588"/>
      <c r="H867" s="588"/>
    </row>
    <row r="868">
      <c r="A868" s="587"/>
      <c r="B868" s="588"/>
      <c r="C868" s="588"/>
      <c r="D868" s="588"/>
      <c r="E868" s="588"/>
      <c r="F868" s="588"/>
      <c r="G868" s="588"/>
      <c r="H868" s="588"/>
    </row>
    <row r="869">
      <c r="A869" s="587"/>
      <c r="B869" s="588"/>
      <c r="C869" s="588"/>
      <c r="D869" s="588"/>
      <c r="E869" s="588"/>
      <c r="F869" s="588"/>
      <c r="G869" s="588"/>
      <c r="H869" s="588"/>
    </row>
    <row r="870">
      <c r="A870" s="587"/>
      <c r="B870" s="588"/>
      <c r="C870" s="588"/>
      <c r="D870" s="588"/>
      <c r="E870" s="588"/>
      <c r="F870" s="588"/>
      <c r="G870" s="588"/>
      <c r="H870" s="588"/>
    </row>
    <row r="871">
      <c r="A871" s="587"/>
      <c r="B871" s="588"/>
      <c r="C871" s="588"/>
      <c r="D871" s="588"/>
      <c r="E871" s="588"/>
      <c r="F871" s="588"/>
      <c r="G871" s="588"/>
      <c r="H871" s="588"/>
    </row>
    <row r="872">
      <c r="A872" s="587"/>
      <c r="B872" s="588"/>
      <c r="C872" s="588"/>
      <c r="D872" s="588"/>
      <c r="E872" s="588"/>
      <c r="F872" s="588"/>
      <c r="G872" s="588"/>
      <c r="H872" s="588"/>
    </row>
    <row r="873">
      <c r="A873" s="587"/>
      <c r="B873" s="588"/>
      <c r="C873" s="588"/>
      <c r="D873" s="588"/>
      <c r="E873" s="588"/>
      <c r="F873" s="588"/>
      <c r="G873" s="588"/>
      <c r="H873" s="588"/>
    </row>
    <row r="874">
      <c r="A874" s="587"/>
      <c r="B874" s="588"/>
      <c r="C874" s="588"/>
      <c r="D874" s="588"/>
      <c r="E874" s="588"/>
      <c r="F874" s="588"/>
      <c r="G874" s="588"/>
      <c r="H874" s="588"/>
    </row>
    <row r="875">
      <c r="A875" s="587"/>
      <c r="B875" s="588"/>
      <c r="C875" s="588"/>
      <c r="D875" s="588"/>
      <c r="E875" s="588"/>
      <c r="F875" s="588"/>
      <c r="G875" s="588"/>
      <c r="H875" s="588"/>
    </row>
    <row r="876">
      <c r="A876" s="587"/>
      <c r="B876" s="588"/>
      <c r="C876" s="588"/>
      <c r="D876" s="588"/>
      <c r="E876" s="588"/>
      <c r="F876" s="588"/>
      <c r="G876" s="588"/>
      <c r="H876" s="588"/>
    </row>
    <row r="877">
      <c r="A877" s="587"/>
      <c r="B877" s="588"/>
      <c r="C877" s="588"/>
      <c r="D877" s="588"/>
      <c r="E877" s="588"/>
      <c r="F877" s="588"/>
      <c r="G877" s="588"/>
      <c r="H877" s="588"/>
    </row>
    <row r="878">
      <c r="A878" s="587"/>
      <c r="B878" s="588"/>
      <c r="C878" s="588"/>
      <c r="D878" s="588"/>
      <c r="E878" s="588"/>
      <c r="F878" s="588"/>
      <c r="G878" s="588"/>
      <c r="H878" s="588"/>
    </row>
    <row r="879">
      <c r="A879" s="587"/>
      <c r="B879" s="588"/>
      <c r="C879" s="588"/>
      <c r="D879" s="588"/>
      <c r="E879" s="588"/>
      <c r="F879" s="588"/>
      <c r="G879" s="588"/>
      <c r="H879" s="588"/>
    </row>
    <row r="880">
      <c r="A880" s="587"/>
      <c r="B880" s="588"/>
      <c r="C880" s="588"/>
      <c r="D880" s="588"/>
      <c r="E880" s="588"/>
      <c r="F880" s="588"/>
      <c r="G880" s="588"/>
      <c r="H880" s="588"/>
    </row>
    <row r="881">
      <c r="A881" s="587"/>
      <c r="B881" s="588"/>
      <c r="C881" s="588"/>
      <c r="D881" s="588"/>
      <c r="E881" s="588"/>
      <c r="F881" s="588"/>
      <c r="G881" s="588"/>
      <c r="H881" s="588"/>
    </row>
    <row r="882">
      <c r="A882" s="587"/>
      <c r="B882" s="588"/>
      <c r="C882" s="588"/>
      <c r="D882" s="588"/>
      <c r="E882" s="588"/>
      <c r="F882" s="588"/>
      <c r="G882" s="588"/>
      <c r="H882" s="588"/>
    </row>
    <row r="883">
      <c r="A883" s="587"/>
      <c r="B883" s="588"/>
      <c r="C883" s="588"/>
      <c r="D883" s="588"/>
      <c r="E883" s="588"/>
      <c r="F883" s="588"/>
      <c r="G883" s="588"/>
      <c r="H883" s="588"/>
    </row>
    <row r="884">
      <c r="A884" s="587"/>
      <c r="B884" s="588"/>
      <c r="C884" s="588"/>
      <c r="D884" s="588"/>
      <c r="E884" s="588"/>
      <c r="F884" s="588"/>
      <c r="G884" s="588"/>
      <c r="H884" s="588"/>
    </row>
    <row r="885">
      <c r="A885" s="587"/>
      <c r="B885" s="588"/>
      <c r="C885" s="588"/>
      <c r="D885" s="588"/>
      <c r="E885" s="588"/>
      <c r="F885" s="588"/>
      <c r="G885" s="588"/>
      <c r="H885" s="588"/>
    </row>
    <row r="886">
      <c r="A886" s="587"/>
      <c r="B886" s="588"/>
      <c r="C886" s="588"/>
      <c r="D886" s="588"/>
      <c r="E886" s="588"/>
      <c r="F886" s="588"/>
      <c r="G886" s="588"/>
      <c r="H886" s="588"/>
    </row>
    <row r="887">
      <c r="A887" s="587"/>
      <c r="B887" s="588"/>
      <c r="C887" s="588"/>
      <c r="D887" s="588"/>
      <c r="E887" s="588"/>
      <c r="F887" s="588"/>
      <c r="G887" s="588"/>
      <c r="H887" s="588"/>
    </row>
    <row r="888">
      <c r="A888" s="587"/>
      <c r="B888" s="588"/>
      <c r="C888" s="588"/>
      <c r="D888" s="588"/>
      <c r="E888" s="588"/>
      <c r="F888" s="588"/>
      <c r="G888" s="588"/>
      <c r="H888" s="588"/>
    </row>
    <row r="889">
      <c r="A889" s="587"/>
      <c r="B889" s="588"/>
      <c r="C889" s="588"/>
      <c r="D889" s="588"/>
      <c r="E889" s="588"/>
      <c r="F889" s="588"/>
      <c r="G889" s="588"/>
      <c r="H889" s="588"/>
    </row>
    <row r="890">
      <c r="A890" s="587"/>
      <c r="B890" s="588"/>
      <c r="C890" s="588"/>
      <c r="D890" s="588"/>
      <c r="E890" s="588"/>
      <c r="F890" s="588"/>
      <c r="G890" s="588"/>
      <c r="H890" s="588"/>
    </row>
    <row r="891">
      <c r="A891" s="587"/>
      <c r="B891" s="588"/>
      <c r="C891" s="588"/>
      <c r="D891" s="588"/>
      <c r="E891" s="588"/>
      <c r="F891" s="588"/>
      <c r="G891" s="588"/>
      <c r="H891" s="588"/>
    </row>
    <row r="892">
      <c r="A892" s="587"/>
      <c r="B892" s="588"/>
      <c r="C892" s="588"/>
      <c r="D892" s="588"/>
      <c r="E892" s="588"/>
      <c r="F892" s="588"/>
      <c r="G892" s="588"/>
      <c r="H892" s="588"/>
    </row>
    <row r="893">
      <c r="A893" s="587"/>
      <c r="B893" s="588"/>
      <c r="C893" s="588"/>
      <c r="D893" s="588"/>
      <c r="E893" s="588"/>
      <c r="F893" s="588"/>
      <c r="G893" s="588"/>
      <c r="H893" s="588"/>
    </row>
    <row r="894">
      <c r="A894" s="587"/>
      <c r="B894" s="588"/>
      <c r="C894" s="588"/>
      <c r="D894" s="588"/>
      <c r="E894" s="588"/>
      <c r="F894" s="588"/>
      <c r="G894" s="588"/>
      <c r="H894" s="588"/>
    </row>
    <row r="895">
      <c r="A895" s="587"/>
      <c r="B895" s="588"/>
      <c r="C895" s="588"/>
      <c r="D895" s="588"/>
      <c r="E895" s="588"/>
      <c r="F895" s="588"/>
      <c r="G895" s="588"/>
      <c r="H895" s="588"/>
    </row>
    <row r="896">
      <c r="A896" s="587"/>
      <c r="B896" s="588"/>
      <c r="C896" s="588"/>
      <c r="D896" s="588"/>
      <c r="E896" s="588"/>
      <c r="F896" s="588"/>
      <c r="G896" s="588"/>
      <c r="H896" s="588"/>
    </row>
    <row r="897">
      <c r="A897" s="587"/>
      <c r="B897" s="588"/>
      <c r="C897" s="588"/>
      <c r="D897" s="588"/>
      <c r="E897" s="588"/>
      <c r="F897" s="588"/>
      <c r="G897" s="588"/>
      <c r="H897" s="588"/>
    </row>
    <row r="898">
      <c r="A898" s="587"/>
      <c r="B898" s="588"/>
      <c r="C898" s="588"/>
      <c r="D898" s="588"/>
      <c r="E898" s="588"/>
      <c r="F898" s="588"/>
      <c r="G898" s="588"/>
      <c r="H898" s="588"/>
    </row>
    <row r="899">
      <c r="A899" s="587"/>
      <c r="B899" s="588"/>
      <c r="C899" s="588"/>
      <c r="D899" s="588"/>
      <c r="E899" s="588"/>
      <c r="F899" s="588"/>
      <c r="G899" s="588"/>
      <c r="H899" s="588"/>
    </row>
    <row r="900">
      <c r="A900" s="587"/>
      <c r="B900" s="588"/>
      <c r="C900" s="588"/>
      <c r="D900" s="588"/>
      <c r="E900" s="588"/>
      <c r="F900" s="588"/>
      <c r="G900" s="588"/>
      <c r="H900" s="588"/>
    </row>
    <row r="901">
      <c r="A901" s="587"/>
      <c r="B901" s="588"/>
      <c r="C901" s="588"/>
      <c r="D901" s="588"/>
      <c r="E901" s="588"/>
      <c r="F901" s="588"/>
      <c r="G901" s="588"/>
      <c r="H901" s="588"/>
    </row>
    <row r="902">
      <c r="A902" s="587"/>
      <c r="B902" s="588"/>
      <c r="C902" s="588"/>
      <c r="D902" s="588"/>
      <c r="E902" s="588"/>
      <c r="F902" s="588"/>
      <c r="G902" s="588"/>
      <c r="H902" s="588"/>
    </row>
    <row r="903">
      <c r="A903" s="587"/>
      <c r="B903" s="588"/>
      <c r="C903" s="588"/>
      <c r="D903" s="588"/>
      <c r="E903" s="588"/>
      <c r="F903" s="588"/>
      <c r="G903" s="588"/>
      <c r="H903" s="588"/>
    </row>
    <row r="904">
      <c r="A904" s="587"/>
      <c r="B904" s="588"/>
      <c r="C904" s="588"/>
      <c r="D904" s="588"/>
      <c r="E904" s="588"/>
      <c r="F904" s="588"/>
      <c r="G904" s="588"/>
      <c r="H904" s="588"/>
    </row>
    <row r="905">
      <c r="A905" s="587"/>
      <c r="B905" s="588"/>
      <c r="C905" s="588"/>
      <c r="D905" s="588"/>
      <c r="E905" s="588"/>
      <c r="F905" s="588"/>
      <c r="G905" s="588"/>
      <c r="H905" s="588"/>
    </row>
    <row r="906">
      <c r="A906" s="587"/>
      <c r="B906" s="588"/>
      <c r="C906" s="588"/>
      <c r="D906" s="588"/>
      <c r="E906" s="588"/>
      <c r="F906" s="588"/>
      <c r="G906" s="588"/>
      <c r="H906" s="588"/>
    </row>
    <row r="907">
      <c r="A907" s="587"/>
      <c r="B907" s="588"/>
      <c r="C907" s="588"/>
      <c r="D907" s="588"/>
      <c r="E907" s="588"/>
      <c r="F907" s="588"/>
      <c r="G907" s="588"/>
      <c r="H907" s="588"/>
    </row>
    <row r="908">
      <c r="A908" s="587"/>
      <c r="B908" s="588"/>
      <c r="C908" s="588"/>
      <c r="D908" s="588"/>
      <c r="E908" s="588"/>
      <c r="F908" s="588"/>
      <c r="G908" s="588"/>
      <c r="H908" s="588"/>
    </row>
    <row r="909">
      <c r="A909" s="587"/>
      <c r="B909" s="588"/>
      <c r="C909" s="588"/>
      <c r="D909" s="588"/>
      <c r="E909" s="588"/>
      <c r="F909" s="588"/>
      <c r="G909" s="588"/>
      <c r="H909" s="588"/>
    </row>
    <row r="910">
      <c r="A910" s="587"/>
      <c r="B910" s="588"/>
      <c r="C910" s="588"/>
      <c r="D910" s="588"/>
      <c r="E910" s="588"/>
      <c r="F910" s="588"/>
      <c r="G910" s="588"/>
      <c r="H910" s="588"/>
    </row>
    <row r="911">
      <c r="A911" s="587"/>
      <c r="B911" s="588"/>
      <c r="C911" s="588"/>
      <c r="D911" s="588"/>
      <c r="E911" s="588"/>
      <c r="F911" s="588"/>
      <c r="G911" s="588"/>
      <c r="H911" s="588"/>
    </row>
    <row r="912">
      <c r="A912" s="587"/>
      <c r="B912" s="588"/>
      <c r="C912" s="588"/>
      <c r="D912" s="588"/>
      <c r="E912" s="588"/>
      <c r="F912" s="588"/>
      <c r="G912" s="588"/>
      <c r="H912" s="588"/>
    </row>
    <row r="913">
      <c r="A913" s="587"/>
      <c r="B913" s="588"/>
      <c r="C913" s="588"/>
      <c r="D913" s="588"/>
      <c r="E913" s="588"/>
      <c r="F913" s="588"/>
      <c r="G913" s="588"/>
      <c r="H913" s="588"/>
    </row>
    <row r="914">
      <c r="A914" s="587"/>
      <c r="B914" s="588"/>
      <c r="C914" s="588"/>
      <c r="D914" s="588"/>
      <c r="E914" s="588"/>
      <c r="F914" s="588"/>
      <c r="G914" s="588"/>
      <c r="H914" s="588"/>
    </row>
    <row r="915">
      <c r="A915" s="587"/>
      <c r="B915" s="588"/>
      <c r="C915" s="588"/>
      <c r="D915" s="588"/>
      <c r="E915" s="588"/>
      <c r="F915" s="588"/>
      <c r="G915" s="588"/>
      <c r="H915" s="588"/>
    </row>
    <row r="916">
      <c r="A916" s="587"/>
      <c r="B916" s="588"/>
      <c r="C916" s="588"/>
      <c r="D916" s="588"/>
      <c r="E916" s="588"/>
      <c r="F916" s="588"/>
      <c r="G916" s="588"/>
      <c r="H916" s="588"/>
    </row>
    <row r="917">
      <c r="A917" s="587"/>
      <c r="B917" s="588"/>
      <c r="C917" s="588"/>
      <c r="D917" s="588"/>
      <c r="E917" s="588"/>
      <c r="F917" s="588"/>
      <c r="G917" s="588"/>
      <c r="H917" s="588"/>
    </row>
    <row r="918">
      <c r="A918" s="587"/>
      <c r="B918" s="588"/>
      <c r="C918" s="588"/>
      <c r="D918" s="588"/>
      <c r="E918" s="588"/>
      <c r="F918" s="588"/>
      <c r="G918" s="588"/>
      <c r="H918" s="588"/>
    </row>
    <row r="919">
      <c r="A919" s="587"/>
      <c r="B919" s="588"/>
      <c r="C919" s="588"/>
      <c r="D919" s="588"/>
      <c r="E919" s="588"/>
      <c r="F919" s="588"/>
      <c r="G919" s="588"/>
      <c r="H919" s="588"/>
    </row>
    <row r="920">
      <c r="A920" s="587"/>
      <c r="B920" s="588"/>
      <c r="C920" s="588"/>
      <c r="D920" s="588"/>
      <c r="E920" s="588"/>
      <c r="F920" s="588"/>
      <c r="G920" s="588"/>
      <c r="H920" s="588"/>
    </row>
    <row r="921">
      <c r="A921" s="587"/>
      <c r="B921" s="588"/>
      <c r="C921" s="588"/>
      <c r="D921" s="588"/>
      <c r="E921" s="588"/>
      <c r="F921" s="588"/>
      <c r="G921" s="588"/>
      <c r="H921" s="588"/>
    </row>
    <row r="922">
      <c r="A922" s="587"/>
      <c r="B922" s="588"/>
      <c r="C922" s="588"/>
      <c r="D922" s="588"/>
      <c r="E922" s="588"/>
      <c r="F922" s="588"/>
      <c r="G922" s="588"/>
      <c r="H922" s="588"/>
    </row>
    <row r="923">
      <c r="A923" s="587"/>
      <c r="B923" s="588"/>
      <c r="C923" s="588"/>
      <c r="D923" s="588"/>
      <c r="E923" s="588"/>
      <c r="F923" s="588"/>
      <c r="G923" s="588"/>
      <c r="H923" s="588"/>
    </row>
    <row r="924">
      <c r="A924" s="587"/>
      <c r="B924" s="588"/>
      <c r="C924" s="588"/>
      <c r="D924" s="588"/>
      <c r="E924" s="588"/>
      <c r="F924" s="588"/>
      <c r="G924" s="588"/>
      <c r="H924" s="588"/>
    </row>
    <row r="925">
      <c r="A925" s="587"/>
      <c r="B925" s="588"/>
      <c r="C925" s="588"/>
      <c r="D925" s="588"/>
      <c r="E925" s="588"/>
      <c r="F925" s="588"/>
      <c r="G925" s="588"/>
      <c r="H925" s="588"/>
    </row>
    <row r="926">
      <c r="A926" s="587"/>
      <c r="B926" s="588"/>
      <c r="C926" s="588"/>
      <c r="D926" s="588"/>
      <c r="E926" s="588"/>
      <c r="F926" s="588"/>
      <c r="G926" s="588"/>
      <c r="H926" s="588"/>
    </row>
    <row r="927">
      <c r="A927" s="587"/>
      <c r="B927" s="588"/>
      <c r="C927" s="588"/>
      <c r="D927" s="588"/>
      <c r="E927" s="588"/>
      <c r="F927" s="588"/>
      <c r="G927" s="588"/>
      <c r="H927" s="588"/>
    </row>
    <row r="928">
      <c r="A928" s="587"/>
      <c r="B928" s="588"/>
      <c r="C928" s="588"/>
      <c r="D928" s="588"/>
      <c r="E928" s="588"/>
      <c r="F928" s="588"/>
      <c r="G928" s="588"/>
      <c r="H928" s="588"/>
    </row>
    <row r="929">
      <c r="A929" s="587"/>
      <c r="B929" s="588"/>
      <c r="C929" s="588"/>
      <c r="D929" s="588"/>
      <c r="E929" s="588"/>
      <c r="F929" s="588"/>
      <c r="G929" s="588"/>
      <c r="H929" s="588"/>
    </row>
    <row r="930">
      <c r="A930" s="587"/>
      <c r="B930" s="588"/>
      <c r="C930" s="588"/>
      <c r="D930" s="588"/>
      <c r="E930" s="588"/>
      <c r="F930" s="588"/>
      <c r="G930" s="588"/>
      <c r="H930" s="588"/>
    </row>
    <row r="931">
      <c r="A931" s="587"/>
      <c r="B931" s="588"/>
      <c r="C931" s="588"/>
      <c r="D931" s="588"/>
      <c r="E931" s="588"/>
      <c r="F931" s="588"/>
      <c r="G931" s="588"/>
      <c r="H931" s="588"/>
    </row>
    <row r="932">
      <c r="A932" s="587"/>
      <c r="B932" s="588"/>
      <c r="C932" s="588"/>
      <c r="D932" s="588"/>
      <c r="E932" s="588"/>
      <c r="F932" s="588"/>
      <c r="G932" s="588"/>
      <c r="H932" s="588"/>
    </row>
    <row r="933">
      <c r="A933" s="587"/>
      <c r="B933" s="588"/>
      <c r="C933" s="588"/>
      <c r="D933" s="588"/>
      <c r="E933" s="588"/>
      <c r="F933" s="588"/>
      <c r="G933" s="588"/>
      <c r="H933" s="588"/>
    </row>
    <row r="934">
      <c r="A934" s="587"/>
      <c r="B934" s="588"/>
      <c r="C934" s="588"/>
      <c r="D934" s="588"/>
      <c r="E934" s="588"/>
      <c r="F934" s="588"/>
      <c r="G934" s="588"/>
      <c r="H934" s="588"/>
    </row>
    <row r="935">
      <c r="A935" s="587"/>
      <c r="B935" s="588"/>
      <c r="C935" s="588"/>
      <c r="D935" s="588"/>
      <c r="E935" s="588"/>
      <c r="F935" s="588"/>
      <c r="G935" s="588"/>
      <c r="H935" s="588"/>
    </row>
    <row r="936">
      <c r="A936" s="587"/>
      <c r="B936" s="588"/>
      <c r="C936" s="588"/>
      <c r="D936" s="588"/>
      <c r="E936" s="588"/>
      <c r="F936" s="588"/>
      <c r="G936" s="588"/>
      <c r="H936" s="588"/>
    </row>
    <row r="937">
      <c r="A937" s="587"/>
      <c r="B937" s="588"/>
      <c r="C937" s="588"/>
      <c r="D937" s="588"/>
      <c r="E937" s="588"/>
      <c r="F937" s="588"/>
      <c r="G937" s="588"/>
      <c r="H937" s="588"/>
    </row>
    <row r="938">
      <c r="A938" s="587"/>
      <c r="B938" s="588"/>
      <c r="C938" s="588"/>
      <c r="D938" s="588"/>
      <c r="E938" s="588"/>
      <c r="F938" s="588"/>
      <c r="G938" s="588"/>
      <c r="H938" s="588"/>
    </row>
    <row r="939">
      <c r="A939" s="587"/>
      <c r="B939" s="588"/>
      <c r="C939" s="588"/>
      <c r="D939" s="588"/>
      <c r="E939" s="588"/>
      <c r="F939" s="588"/>
      <c r="G939" s="588"/>
      <c r="H939" s="588"/>
    </row>
    <row r="940">
      <c r="A940" s="587"/>
      <c r="B940" s="588"/>
      <c r="C940" s="588"/>
      <c r="D940" s="588"/>
      <c r="E940" s="588"/>
      <c r="F940" s="588"/>
      <c r="G940" s="588"/>
      <c r="H940" s="588"/>
    </row>
    <row r="941">
      <c r="A941" s="587"/>
      <c r="B941" s="588"/>
      <c r="C941" s="588"/>
      <c r="D941" s="588"/>
      <c r="E941" s="588"/>
      <c r="F941" s="588"/>
      <c r="G941" s="588"/>
      <c r="H941" s="588"/>
    </row>
    <row r="942">
      <c r="A942" s="587"/>
      <c r="B942" s="588"/>
      <c r="C942" s="588"/>
      <c r="D942" s="588"/>
      <c r="E942" s="588"/>
      <c r="F942" s="588"/>
      <c r="G942" s="588"/>
      <c r="H942" s="588"/>
    </row>
    <row r="943">
      <c r="A943" s="587"/>
      <c r="B943" s="588"/>
      <c r="C943" s="588"/>
      <c r="D943" s="588"/>
      <c r="E943" s="588"/>
      <c r="F943" s="588"/>
      <c r="G943" s="588"/>
      <c r="H943" s="588"/>
    </row>
    <row r="944">
      <c r="A944" s="587"/>
      <c r="B944" s="588"/>
      <c r="C944" s="588"/>
      <c r="D944" s="588"/>
      <c r="E944" s="588"/>
      <c r="F944" s="588"/>
      <c r="G944" s="588"/>
      <c r="H944" s="588"/>
    </row>
    <row r="945">
      <c r="A945" s="587"/>
      <c r="B945" s="588"/>
      <c r="C945" s="588"/>
      <c r="D945" s="588"/>
      <c r="E945" s="588"/>
      <c r="F945" s="588"/>
      <c r="G945" s="588"/>
      <c r="H945" s="588"/>
    </row>
    <row r="946">
      <c r="A946" s="587"/>
      <c r="B946" s="588"/>
      <c r="C946" s="588"/>
      <c r="D946" s="588"/>
      <c r="E946" s="588"/>
      <c r="F946" s="588"/>
      <c r="G946" s="588"/>
      <c r="H946" s="588"/>
    </row>
    <row r="947">
      <c r="A947" s="587"/>
      <c r="B947" s="588"/>
      <c r="C947" s="588"/>
      <c r="D947" s="588"/>
      <c r="E947" s="588"/>
      <c r="F947" s="588"/>
      <c r="G947" s="588"/>
      <c r="H947" s="588"/>
    </row>
    <row r="948">
      <c r="A948" s="587"/>
      <c r="B948" s="588"/>
      <c r="C948" s="588"/>
      <c r="D948" s="588"/>
      <c r="E948" s="588"/>
      <c r="F948" s="588"/>
      <c r="G948" s="588"/>
      <c r="H948" s="588"/>
    </row>
    <row r="949">
      <c r="A949" s="587"/>
      <c r="B949" s="588"/>
      <c r="C949" s="588"/>
      <c r="D949" s="588"/>
      <c r="E949" s="588"/>
      <c r="F949" s="588"/>
      <c r="G949" s="588"/>
      <c r="H949" s="588"/>
    </row>
    <row r="950">
      <c r="A950" s="587"/>
      <c r="B950" s="588"/>
      <c r="C950" s="588"/>
      <c r="D950" s="588"/>
      <c r="E950" s="588"/>
      <c r="F950" s="588"/>
      <c r="G950" s="588"/>
      <c r="H950" s="588"/>
    </row>
    <row r="951">
      <c r="A951" s="587"/>
      <c r="B951" s="588"/>
      <c r="C951" s="588"/>
      <c r="D951" s="588"/>
      <c r="E951" s="588"/>
      <c r="F951" s="588"/>
      <c r="G951" s="588"/>
      <c r="H951" s="588"/>
    </row>
    <row r="952">
      <c r="A952" s="587"/>
      <c r="B952" s="588"/>
      <c r="C952" s="588"/>
      <c r="D952" s="588"/>
      <c r="E952" s="588"/>
      <c r="F952" s="588"/>
      <c r="G952" s="588"/>
      <c r="H952" s="588"/>
    </row>
    <row r="953">
      <c r="A953" s="587"/>
      <c r="B953" s="588"/>
      <c r="C953" s="588"/>
      <c r="D953" s="588"/>
      <c r="E953" s="588"/>
      <c r="F953" s="588"/>
      <c r="G953" s="588"/>
      <c r="H953" s="588"/>
    </row>
    <row r="954">
      <c r="A954" s="587"/>
      <c r="B954" s="588"/>
      <c r="C954" s="588"/>
      <c r="D954" s="588"/>
      <c r="E954" s="588"/>
      <c r="F954" s="588"/>
      <c r="G954" s="588"/>
      <c r="H954" s="588"/>
    </row>
    <row r="955">
      <c r="A955" s="587"/>
      <c r="B955" s="588"/>
      <c r="C955" s="588"/>
      <c r="D955" s="588"/>
      <c r="E955" s="588"/>
      <c r="F955" s="588"/>
      <c r="G955" s="588"/>
      <c r="H955" s="588"/>
    </row>
    <row r="956">
      <c r="A956" s="587"/>
      <c r="B956" s="588"/>
      <c r="C956" s="588"/>
      <c r="D956" s="588"/>
      <c r="E956" s="588"/>
      <c r="F956" s="588"/>
      <c r="G956" s="588"/>
      <c r="H956" s="588"/>
    </row>
    <row r="957">
      <c r="A957" s="587"/>
      <c r="B957" s="588"/>
      <c r="C957" s="588"/>
      <c r="D957" s="588"/>
      <c r="E957" s="588"/>
      <c r="F957" s="588"/>
      <c r="G957" s="588"/>
      <c r="H957" s="588"/>
    </row>
    <row r="958">
      <c r="A958" s="587"/>
      <c r="B958" s="588"/>
      <c r="C958" s="588"/>
      <c r="D958" s="588"/>
      <c r="E958" s="588"/>
      <c r="F958" s="588"/>
      <c r="G958" s="588"/>
      <c r="H958" s="588"/>
    </row>
    <row r="959">
      <c r="A959" s="587"/>
      <c r="B959" s="588"/>
      <c r="C959" s="588"/>
      <c r="D959" s="588"/>
      <c r="E959" s="588"/>
      <c r="F959" s="588"/>
      <c r="G959" s="588"/>
      <c r="H959" s="588"/>
    </row>
    <row r="960">
      <c r="A960" s="587"/>
      <c r="B960" s="588"/>
      <c r="C960" s="588"/>
      <c r="D960" s="588"/>
      <c r="E960" s="588"/>
      <c r="F960" s="588"/>
      <c r="G960" s="588"/>
      <c r="H960" s="588"/>
    </row>
    <row r="961">
      <c r="A961" s="587"/>
      <c r="B961" s="588"/>
      <c r="C961" s="588"/>
      <c r="D961" s="588"/>
      <c r="E961" s="588"/>
      <c r="F961" s="588"/>
      <c r="G961" s="588"/>
      <c r="H961" s="588"/>
    </row>
    <row r="962">
      <c r="A962" s="587"/>
      <c r="B962" s="588"/>
      <c r="C962" s="588"/>
      <c r="D962" s="588"/>
      <c r="E962" s="588"/>
      <c r="F962" s="588"/>
      <c r="G962" s="588"/>
      <c r="H962" s="588"/>
    </row>
    <row r="963">
      <c r="A963" s="587"/>
      <c r="B963" s="588"/>
      <c r="C963" s="588"/>
      <c r="D963" s="588"/>
      <c r="E963" s="588"/>
      <c r="F963" s="588"/>
      <c r="G963" s="588"/>
      <c r="H963" s="588"/>
    </row>
    <row r="964">
      <c r="A964" s="587"/>
      <c r="B964" s="588"/>
      <c r="C964" s="588"/>
      <c r="D964" s="588"/>
      <c r="E964" s="588"/>
      <c r="F964" s="588"/>
      <c r="G964" s="588"/>
      <c r="H964" s="588"/>
    </row>
    <row r="965">
      <c r="A965" s="587"/>
      <c r="B965" s="588"/>
      <c r="C965" s="588"/>
      <c r="D965" s="588"/>
      <c r="E965" s="588"/>
      <c r="F965" s="588"/>
      <c r="G965" s="588"/>
      <c r="H965" s="588"/>
    </row>
    <row r="966">
      <c r="A966" s="587"/>
      <c r="B966" s="588"/>
      <c r="C966" s="588"/>
      <c r="D966" s="588"/>
      <c r="E966" s="588"/>
      <c r="F966" s="588"/>
      <c r="G966" s="588"/>
      <c r="H966" s="588"/>
    </row>
    <row r="967">
      <c r="A967" s="587"/>
      <c r="B967" s="588"/>
      <c r="C967" s="588"/>
      <c r="D967" s="588"/>
      <c r="E967" s="588"/>
      <c r="F967" s="588"/>
      <c r="G967" s="588"/>
      <c r="H967" s="588"/>
    </row>
    <row r="968">
      <c r="A968" s="587"/>
      <c r="B968" s="588"/>
      <c r="C968" s="588"/>
      <c r="D968" s="588"/>
      <c r="E968" s="588"/>
      <c r="F968" s="588"/>
      <c r="G968" s="588"/>
      <c r="H968" s="588"/>
    </row>
    <row r="969">
      <c r="A969" s="587"/>
      <c r="B969" s="588"/>
      <c r="C969" s="588"/>
      <c r="D969" s="588"/>
      <c r="E969" s="588"/>
      <c r="F969" s="588"/>
      <c r="G969" s="588"/>
      <c r="H969" s="588"/>
    </row>
    <row r="970">
      <c r="A970" s="587"/>
      <c r="B970" s="588"/>
      <c r="C970" s="588"/>
      <c r="D970" s="588"/>
      <c r="E970" s="588"/>
      <c r="F970" s="588"/>
      <c r="G970" s="588"/>
      <c r="H970" s="588"/>
    </row>
    <row r="971">
      <c r="A971" s="587"/>
      <c r="B971" s="588"/>
      <c r="C971" s="588"/>
      <c r="D971" s="588"/>
      <c r="E971" s="588"/>
      <c r="F971" s="588"/>
      <c r="G971" s="588"/>
      <c r="H971" s="588"/>
    </row>
    <row r="972">
      <c r="A972" s="587"/>
      <c r="B972" s="588"/>
      <c r="C972" s="588"/>
      <c r="D972" s="588"/>
      <c r="E972" s="588"/>
      <c r="F972" s="588"/>
      <c r="G972" s="588"/>
      <c r="H972" s="588"/>
    </row>
    <row r="973">
      <c r="A973" s="587"/>
      <c r="B973" s="588"/>
      <c r="C973" s="588"/>
      <c r="D973" s="588"/>
      <c r="E973" s="588"/>
      <c r="F973" s="588"/>
      <c r="G973" s="588"/>
      <c r="H973" s="588"/>
    </row>
    <row r="974">
      <c r="A974" s="587"/>
      <c r="B974" s="588"/>
      <c r="C974" s="588"/>
      <c r="D974" s="588"/>
      <c r="E974" s="588"/>
      <c r="F974" s="588"/>
      <c r="G974" s="588"/>
      <c r="H974" s="588"/>
    </row>
    <row r="975">
      <c r="A975" s="587"/>
      <c r="B975" s="588"/>
      <c r="C975" s="588"/>
      <c r="D975" s="588"/>
      <c r="E975" s="588"/>
      <c r="F975" s="588"/>
      <c r="G975" s="588"/>
      <c r="H975" s="588"/>
    </row>
    <row r="976">
      <c r="A976" s="587"/>
      <c r="B976" s="588"/>
      <c r="C976" s="588"/>
      <c r="D976" s="588"/>
      <c r="E976" s="588"/>
      <c r="F976" s="588"/>
      <c r="G976" s="588"/>
      <c r="H976" s="588"/>
    </row>
    <row r="977">
      <c r="A977" s="587"/>
      <c r="B977" s="588"/>
      <c r="C977" s="588"/>
      <c r="D977" s="588"/>
      <c r="E977" s="588"/>
      <c r="F977" s="588"/>
      <c r="G977" s="588"/>
      <c r="H977" s="588"/>
    </row>
    <row r="978">
      <c r="A978" s="587"/>
      <c r="B978" s="588"/>
      <c r="C978" s="588"/>
      <c r="D978" s="588"/>
      <c r="E978" s="588"/>
      <c r="F978" s="588"/>
      <c r="G978" s="588"/>
      <c r="H978" s="588"/>
    </row>
    <row r="979">
      <c r="A979" s="587"/>
      <c r="B979" s="588"/>
      <c r="C979" s="588"/>
      <c r="D979" s="588"/>
      <c r="E979" s="588"/>
      <c r="F979" s="588"/>
      <c r="G979" s="588"/>
      <c r="H979" s="588"/>
    </row>
    <row r="980">
      <c r="A980" s="587"/>
      <c r="B980" s="588"/>
      <c r="C980" s="588"/>
      <c r="D980" s="588"/>
      <c r="E980" s="588"/>
      <c r="F980" s="588"/>
      <c r="G980" s="588"/>
      <c r="H980" s="588"/>
    </row>
    <row r="981">
      <c r="A981" s="587"/>
      <c r="B981" s="588"/>
      <c r="C981" s="588"/>
      <c r="D981" s="588"/>
      <c r="E981" s="588"/>
      <c r="F981" s="588"/>
      <c r="G981" s="588"/>
      <c r="H981" s="588"/>
    </row>
    <row r="982">
      <c r="A982" s="587"/>
      <c r="B982" s="588"/>
      <c r="C982" s="588"/>
      <c r="D982" s="588"/>
      <c r="E982" s="588"/>
      <c r="F982" s="588"/>
      <c r="G982" s="588"/>
      <c r="H982" s="588"/>
    </row>
    <row r="983">
      <c r="A983" s="587"/>
      <c r="B983" s="588"/>
      <c r="C983" s="588"/>
      <c r="D983" s="588"/>
      <c r="E983" s="588"/>
      <c r="F983" s="588"/>
      <c r="G983" s="588"/>
      <c r="H983" s="588"/>
    </row>
    <row r="984">
      <c r="A984" s="587"/>
      <c r="B984" s="588"/>
      <c r="C984" s="588"/>
      <c r="D984" s="588"/>
      <c r="E984" s="588"/>
      <c r="F984" s="588"/>
      <c r="G984" s="588"/>
      <c r="H984" s="588"/>
    </row>
    <row r="985">
      <c r="A985" s="587"/>
      <c r="B985" s="588"/>
      <c r="C985" s="588"/>
      <c r="D985" s="588"/>
      <c r="E985" s="588"/>
      <c r="F985" s="588"/>
      <c r="G985" s="588"/>
      <c r="H985" s="588"/>
    </row>
    <row r="986">
      <c r="A986" s="587"/>
      <c r="B986" s="588"/>
      <c r="C986" s="588"/>
      <c r="D986" s="588"/>
      <c r="E986" s="588"/>
      <c r="F986" s="588"/>
      <c r="G986" s="588"/>
      <c r="H986" s="588"/>
    </row>
    <row r="987">
      <c r="A987" s="587"/>
      <c r="B987" s="588"/>
      <c r="C987" s="588"/>
      <c r="D987" s="588"/>
      <c r="E987" s="588"/>
      <c r="F987" s="588"/>
      <c r="G987" s="588"/>
      <c r="H987" s="588"/>
    </row>
    <row r="988">
      <c r="A988" s="587"/>
      <c r="B988" s="588"/>
      <c r="C988" s="588"/>
      <c r="D988" s="588"/>
      <c r="E988" s="588"/>
      <c r="F988" s="588"/>
      <c r="G988" s="588"/>
      <c r="H988" s="588"/>
    </row>
    <row r="989">
      <c r="A989" s="587"/>
      <c r="B989" s="588"/>
      <c r="C989" s="588"/>
      <c r="D989" s="588"/>
      <c r="E989" s="588"/>
      <c r="F989" s="588"/>
      <c r="G989" s="588"/>
      <c r="H989" s="588"/>
    </row>
    <row r="990">
      <c r="A990" s="587"/>
      <c r="B990" s="588"/>
      <c r="C990" s="588"/>
      <c r="D990" s="588"/>
      <c r="E990" s="588"/>
      <c r="F990" s="588"/>
      <c r="G990" s="588"/>
      <c r="H990" s="588"/>
    </row>
    <row r="991">
      <c r="A991" s="587"/>
      <c r="B991" s="588"/>
      <c r="C991" s="588"/>
      <c r="D991" s="588"/>
      <c r="E991" s="588"/>
      <c r="F991" s="588"/>
      <c r="G991" s="588"/>
      <c r="H991" s="588"/>
    </row>
    <row r="992">
      <c r="A992" s="587"/>
      <c r="B992" s="588"/>
      <c r="C992" s="588"/>
      <c r="D992" s="588"/>
      <c r="E992" s="588"/>
      <c r="F992" s="588"/>
      <c r="G992" s="588"/>
      <c r="H992" s="588"/>
    </row>
    <row r="993">
      <c r="A993" s="587"/>
      <c r="B993" s="588"/>
      <c r="C993" s="588"/>
      <c r="D993" s="588"/>
      <c r="E993" s="588"/>
      <c r="F993" s="588"/>
      <c r="G993" s="588"/>
      <c r="H993" s="588"/>
    </row>
    <row r="994">
      <c r="A994" s="587"/>
      <c r="B994" s="588"/>
      <c r="C994" s="588"/>
      <c r="D994" s="588"/>
      <c r="E994" s="588"/>
      <c r="F994" s="588"/>
      <c r="G994" s="588"/>
      <c r="H994" s="588"/>
    </row>
    <row r="995">
      <c r="A995" s="587"/>
      <c r="B995" s="588"/>
      <c r="C995" s="588"/>
      <c r="D995" s="588"/>
      <c r="E995" s="588"/>
      <c r="F995" s="588"/>
      <c r="G995" s="588"/>
      <c r="H995" s="588"/>
    </row>
    <row r="996">
      <c r="A996" s="587"/>
      <c r="B996" s="588"/>
      <c r="C996" s="588"/>
      <c r="D996" s="588"/>
      <c r="E996" s="588"/>
      <c r="F996" s="588"/>
      <c r="G996" s="588"/>
      <c r="H996" s="588"/>
    </row>
    <row r="997">
      <c r="A997" s="587"/>
      <c r="B997" s="588"/>
      <c r="C997" s="588"/>
      <c r="D997" s="588"/>
      <c r="E997" s="588"/>
      <c r="F997" s="588"/>
      <c r="G997" s="588"/>
      <c r="H997" s="588"/>
    </row>
    <row r="998">
      <c r="A998" s="587"/>
      <c r="B998" s="588"/>
      <c r="C998" s="588"/>
      <c r="D998" s="588"/>
      <c r="E998" s="588"/>
      <c r="F998" s="588"/>
      <c r="G998" s="588"/>
      <c r="H998" s="588"/>
    </row>
    <row r="999">
      <c r="A999" s="587"/>
      <c r="B999" s="588"/>
      <c r="C999" s="588"/>
      <c r="D999" s="588"/>
      <c r="E999" s="588"/>
      <c r="F999" s="588"/>
      <c r="G999" s="588"/>
      <c r="H999" s="588"/>
    </row>
    <row r="1000">
      <c r="A1000" s="587"/>
      <c r="B1000" s="588"/>
      <c r="C1000" s="588"/>
      <c r="D1000" s="588"/>
      <c r="E1000" s="588"/>
      <c r="F1000" s="588"/>
      <c r="G1000" s="588"/>
      <c r="H1000" s="588"/>
    </row>
  </sheetData>
  <mergeCells count="4">
    <mergeCell ref="A1:A2"/>
    <mergeCell ref="B1:B2"/>
    <mergeCell ref="C1:C2"/>
    <mergeCell ref="D1:H1"/>
  </mergeCells>
  <hyperlinks>
    <hyperlink display="Панцирная пластина Дредноута" location="'Энциклопедия материалов'!A93" ref="D80"/>
    <hyperlink display="Глаз Антимагии" location="'Энциклопедия материалов'!A94" ref="F80"/>
    <hyperlink display="Глазной стебель бехолдера" location="'Энциклопедия материалов'!A97" ref="D116"/>
    <hyperlink display="Глаз Антимагии" location="'Энциклопедия материалов'!A94" ref="F116"/>
    <hyperlink display="Печень чудовища" location="'Энциклопедия материалов'!A35" ref="G116"/>
    <hyperlink display="Зачарованная шкура" location="'Энциклопедия материалов'!A48" ref="H116"/>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s>
  <sheetData>
    <row r="1">
      <c r="A1" s="589" t="s">
        <v>3178</v>
      </c>
      <c r="B1" s="590" t="s">
        <v>3179</v>
      </c>
      <c r="C1" s="591"/>
      <c r="D1" s="591"/>
      <c r="E1" s="591"/>
      <c r="F1" s="591"/>
      <c r="G1" s="591"/>
      <c r="H1" s="591"/>
      <c r="I1" s="591"/>
      <c r="J1" s="591"/>
      <c r="K1" s="591"/>
      <c r="L1" s="591"/>
      <c r="M1" s="591"/>
      <c r="N1" s="591"/>
      <c r="O1" s="591"/>
      <c r="P1" s="591"/>
      <c r="Q1" s="592"/>
    </row>
    <row r="2">
      <c r="A2" s="593"/>
      <c r="B2" s="120"/>
      <c r="C2" s="120"/>
      <c r="D2" s="120"/>
      <c r="E2" s="120"/>
      <c r="F2" s="120"/>
      <c r="G2" s="120"/>
      <c r="H2" s="120"/>
      <c r="I2" s="120"/>
      <c r="J2" s="120"/>
      <c r="K2" s="120"/>
      <c r="L2" s="120"/>
      <c r="M2" s="120"/>
      <c r="N2" s="120"/>
      <c r="O2" s="120"/>
      <c r="P2" s="120"/>
      <c r="Q2" s="369"/>
    </row>
    <row r="3">
      <c r="A3" s="594" t="s">
        <v>3180</v>
      </c>
      <c r="B3" s="595">
        <f t="shared" ref="B3:Q3" si="1">B4*10%</f>
        <v>0.5</v>
      </c>
      <c r="C3" s="595">
        <f t="shared" si="1"/>
        <v>0.6</v>
      </c>
      <c r="D3" s="595">
        <f t="shared" si="1"/>
        <v>0.7</v>
      </c>
      <c r="E3" s="595">
        <f t="shared" si="1"/>
        <v>0.8</v>
      </c>
      <c r="F3" s="595">
        <f t="shared" si="1"/>
        <v>0.9</v>
      </c>
      <c r="G3" s="595">
        <f t="shared" si="1"/>
        <v>1</v>
      </c>
      <c r="H3" s="595">
        <f t="shared" si="1"/>
        <v>1.1</v>
      </c>
      <c r="I3" s="595">
        <f t="shared" si="1"/>
        <v>1.2</v>
      </c>
      <c r="J3" s="595">
        <f t="shared" si="1"/>
        <v>1.3</v>
      </c>
      <c r="K3" s="595">
        <f t="shared" si="1"/>
        <v>1.4</v>
      </c>
      <c r="L3" s="595">
        <f t="shared" si="1"/>
        <v>1.5</v>
      </c>
      <c r="M3" s="595">
        <f t="shared" si="1"/>
        <v>1.6</v>
      </c>
      <c r="N3" s="595">
        <f t="shared" si="1"/>
        <v>1.7</v>
      </c>
      <c r="O3" s="595">
        <f t="shared" si="1"/>
        <v>1.8</v>
      </c>
      <c r="P3" s="595">
        <f t="shared" si="1"/>
        <v>1.9</v>
      </c>
      <c r="Q3" s="596">
        <f t="shared" si="1"/>
        <v>2</v>
      </c>
    </row>
    <row r="4">
      <c r="A4" s="597">
        <v>0.0</v>
      </c>
      <c r="B4" s="598">
        <v>5.0</v>
      </c>
      <c r="C4" s="599">
        <v>6.0</v>
      </c>
      <c r="D4" s="599">
        <v>7.0</v>
      </c>
      <c r="E4" s="599">
        <v>8.0</v>
      </c>
      <c r="F4" s="599">
        <v>9.0</v>
      </c>
      <c r="G4" s="599">
        <v>10.0</v>
      </c>
      <c r="H4" s="599">
        <v>11.0</v>
      </c>
      <c r="I4" s="599">
        <v>12.0</v>
      </c>
      <c r="J4" s="599">
        <v>13.0</v>
      </c>
      <c r="K4" s="599">
        <v>14.0</v>
      </c>
      <c r="L4" s="599">
        <v>15.0</v>
      </c>
      <c r="M4" s="599">
        <v>16.0</v>
      </c>
      <c r="N4" s="599">
        <v>17.0</v>
      </c>
      <c r="O4" s="599">
        <v>18.0</v>
      </c>
      <c r="P4" s="599">
        <v>19.0</v>
      </c>
      <c r="Q4" s="600">
        <v>20.0</v>
      </c>
    </row>
    <row r="5">
      <c r="A5" s="601">
        <v>1.0</v>
      </c>
      <c r="B5" s="602">
        <f t="shared" ref="B5:Q5" si="2">B4+B$3</f>
        <v>5.5</v>
      </c>
      <c r="C5" s="505">
        <f t="shared" si="2"/>
        <v>6.6</v>
      </c>
      <c r="D5" s="505">
        <f t="shared" si="2"/>
        <v>7.7</v>
      </c>
      <c r="E5" s="505">
        <f t="shared" si="2"/>
        <v>8.8</v>
      </c>
      <c r="F5" s="505">
        <f t="shared" si="2"/>
        <v>9.9</v>
      </c>
      <c r="G5" s="505">
        <f t="shared" si="2"/>
        <v>11</v>
      </c>
      <c r="H5" s="505">
        <f t="shared" si="2"/>
        <v>12.1</v>
      </c>
      <c r="I5" s="505">
        <f t="shared" si="2"/>
        <v>13.2</v>
      </c>
      <c r="J5" s="505">
        <f t="shared" si="2"/>
        <v>14.3</v>
      </c>
      <c r="K5" s="505">
        <f t="shared" si="2"/>
        <v>15.4</v>
      </c>
      <c r="L5" s="505">
        <f t="shared" si="2"/>
        <v>16.5</v>
      </c>
      <c r="M5" s="505">
        <f t="shared" si="2"/>
        <v>17.6</v>
      </c>
      <c r="N5" s="505">
        <f t="shared" si="2"/>
        <v>18.7</v>
      </c>
      <c r="O5" s="505">
        <f t="shared" si="2"/>
        <v>19.8</v>
      </c>
      <c r="P5" s="505">
        <f t="shared" si="2"/>
        <v>20.9</v>
      </c>
      <c r="Q5" s="603">
        <f t="shared" si="2"/>
        <v>22</v>
      </c>
    </row>
    <row r="6">
      <c r="A6" s="604">
        <v>2.0</v>
      </c>
      <c r="B6" s="605">
        <f t="shared" ref="B6:Q6" si="3">B5+B$3</f>
        <v>6</v>
      </c>
      <c r="C6" s="497">
        <f t="shared" si="3"/>
        <v>7.2</v>
      </c>
      <c r="D6" s="497">
        <f t="shared" si="3"/>
        <v>8.4</v>
      </c>
      <c r="E6" s="497">
        <f t="shared" si="3"/>
        <v>9.6</v>
      </c>
      <c r="F6" s="497">
        <f t="shared" si="3"/>
        <v>10.8</v>
      </c>
      <c r="G6" s="497">
        <f t="shared" si="3"/>
        <v>12</v>
      </c>
      <c r="H6" s="497">
        <f t="shared" si="3"/>
        <v>13.2</v>
      </c>
      <c r="I6" s="497">
        <f t="shared" si="3"/>
        <v>14.4</v>
      </c>
      <c r="J6" s="497">
        <f t="shared" si="3"/>
        <v>15.6</v>
      </c>
      <c r="K6" s="497">
        <f t="shared" si="3"/>
        <v>16.8</v>
      </c>
      <c r="L6" s="497">
        <f t="shared" si="3"/>
        <v>18</v>
      </c>
      <c r="M6" s="497">
        <f t="shared" si="3"/>
        <v>19.2</v>
      </c>
      <c r="N6" s="497">
        <f t="shared" si="3"/>
        <v>20.4</v>
      </c>
      <c r="O6" s="497">
        <f t="shared" si="3"/>
        <v>21.6</v>
      </c>
      <c r="P6" s="497">
        <f t="shared" si="3"/>
        <v>22.8</v>
      </c>
      <c r="Q6" s="606">
        <f t="shared" si="3"/>
        <v>24</v>
      </c>
    </row>
    <row r="7">
      <c r="A7" s="601">
        <v>3.0</v>
      </c>
      <c r="B7" s="602">
        <f t="shared" ref="B7:Q7" si="4">B6+B$3</f>
        <v>6.5</v>
      </c>
      <c r="C7" s="505">
        <f t="shared" si="4"/>
        <v>7.8</v>
      </c>
      <c r="D7" s="505">
        <f t="shared" si="4"/>
        <v>9.1</v>
      </c>
      <c r="E7" s="505">
        <f t="shared" si="4"/>
        <v>10.4</v>
      </c>
      <c r="F7" s="505">
        <f t="shared" si="4"/>
        <v>11.7</v>
      </c>
      <c r="G7" s="505">
        <f t="shared" si="4"/>
        <v>13</v>
      </c>
      <c r="H7" s="505">
        <f t="shared" si="4"/>
        <v>14.3</v>
      </c>
      <c r="I7" s="505">
        <f t="shared" si="4"/>
        <v>15.6</v>
      </c>
      <c r="J7" s="505">
        <f t="shared" si="4"/>
        <v>16.9</v>
      </c>
      <c r="K7" s="505">
        <f t="shared" si="4"/>
        <v>18.2</v>
      </c>
      <c r="L7" s="505">
        <f t="shared" si="4"/>
        <v>19.5</v>
      </c>
      <c r="M7" s="505">
        <f t="shared" si="4"/>
        <v>20.8</v>
      </c>
      <c r="N7" s="505">
        <f t="shared" si="4"/>
        <v>22.1</v>
      </c>
      <c r="O7" s="505">
        <f t="shared" si="4"/>
        <v>23.4</v>
      </c>
      <c r="P7" s="505">
        <f t="shared" si="4"/>
        <v>24.7</v>
      </c>
      <c r="Q7" s="603">
        <f t="shared" si="4"/>
        <v>26</v>
      </c>
    </row>
    <row r="8">
      <c r="A8" s="604">
        <v>4.0</v>
      </c>
      <c r="B8" s="605">
        <f t="shared" ref="B8:Q8" si="5">B7+B$3</f>
        <v>7</v>
      </c>
      <c r="C8" s="497">
        <f t="shared" si="5"/>
        <v>8.4</v>
      </c>
      <c r="D8" s="497">
        <f t="shared" si="5"/>
        <v>9.8</v>
      </c>
      <c r="E8" s="497">
        <f t="shared" si="5"/>
        <v>11.2</v>
      </c>
      <c r="F8" s="497">
        <f t="shared" si="5"/>
        <v>12.6</v>
      </c>
      <c r="G8" s="497">
        <f t="shared" si="5"/>
        <v>14</v>
      </c>
      <c r="H8" s="497">
        <f t="shared" si="5"/>
        <v>15.4</v>
      </c>
      <c r="I8" s="497">
        <f t="shared" si="5"/>
        <v>16.8</v>
      </c>
      <c r="J8" s="497">
        <f t="shared" si="5"/>
        <v>18.2</v>
      </c>
      <c r="K8" s="497">
        <f t="shared" si="5"/>
        <v>19.6</v>
      </c>
      <c r="L8" s="497">
        <f t="shared" si="5"/>
        <v>21</v>
      </c>
      <c r="M8" s="497">
        <f t="shared" si="5"/>
        <v>22.4</v>
      </c>
      <c r="N8" s="497">
        <f t="shared" si="5"/>
        <v>23.8</v>
      </c>
      <c r="O8" s="497">
        <f t="shared" si="5"/>
        <v>25.2</v>
      </c>
      <c r="P8" s="497">
        <f t="shared" si="5"/>
        <v>26.6</v>
      </c>
      <c r="Q8" s="606">
        <f t="shared" si="5"/>
        <v>28</v>
      </c>
    </row>
    <row r="9">
      <c r="A9" s="601">
        <v>5.0</v>
      </c>
      <c r="B9" s="602">
        <f t="shared" ref="B9:Q9" si="6">B8+B$3</f>
        <v>7.5</v>
      </c>
      <c r="C9" s="505">
        <f t="shared" si="6"/>
        <v>9</v>
      </c>
      <c r="D9" s="505">
        <f t="shared" si="6"/>
        <v>10.5</v>
      </c>
      <c r="E9" s="505">
        <f t="shared" si="6"/>
        <v>12</v>
      </c>
      <c r="F9" s="505">
        <f t="shared" si="6"/>
        <v>13.5</v>
      </c>
      <c r="G9" s="505">
        <f t="shared" si="6"/>
        <v>15</v>
      </c>
      <c r="H9" s="505">
        <f t="shared" si="6"/>
        <v>16.5</v>
      </c>
      <c r="I9" s="505">
        <f t="shared" si="6"/>
        <v>18</v>
      </c>
      <c r="J9" s="505">
        <f t="shared" si="6"/>
        <v>19.5</v>
      </c>
      <c r="K9" s="505">
        <f t="shared" si="6"/>
        <v>21</v>
      </c>
      <c r="L9" s="505">
        <f t="shared" si="6"/>
        <v>22.5</v>
      </c>
      <c r="M9" s="505">
        <f t="shared" si="6"/>
        <v>24</v>
      </c>
      <c r="N9" s="505">
        <f t="shared" si="6"/>
        <v>25.5</v>
      </c>
      <c r="O9" s="505">
        <f t="shared" si="6"/>
        <v>27</v>
      </c>
      <c r="P9" s="505">
        <f t="shared" si="6"/>
        <v>28.5</v>
      </c>
      <c r="Q9" s="603">
        <f t="shared" si="6"/>
        <v>30</v>
      </c>
    </row>
    <row r="10">
      <c r="A10" s="604">
        <v>6.0</v>
      </c>
      <c r="B10" s="605">
        <f t="shared" ref="B10:Q10" si="7">B9+B$3</f>
        <v>8</v>
      </c>
      <c r="C10" s="497">
        <f t="shared" si="7"/>
        <v>9.6</v>
      </c>
      <c r="D10" s="497">
        <f t="shared" si="7"/>
        <v>11.2</v>
      </c>
      <c r="E10" s="497">
        <f t="shared" si="7"/>
        <v>12.8</v>
      </c>
      <c r="F10" s="497">
        <f t="shared" si="7"/>
        <v>14.4</v>
      </c>
      <c r="G10" s="497">
        <f t="shared" si="7"/>
        <v>16</v>
      </c>
      <c r="H10" s="497">
        <f t="shared" si="7"/>
        <v>17.6</v>
      </c>
      <c r="I10" s="497">
        <f t="shared" si="7"/>
        <v>19.2</v>
      </c>
      <c r="J10" s="497">
        <f t="shared" si="7"/>
        <v>20.8</v>
      </c>
      <c r="K10" s="497">
        <f t="shared" si="7"/>
        <v>22.4</v>
      </c>
      <c r="L10" s="497">
        <f t="shared" si="7"/>
        <v>24</v>
      </c>
      <c r="M10" s="497">
        <f t="shared" si="7"/>
        <v>25.6</v>
      </c>
      <c r="N10" s="497">
        <f t="shared" si="7"/>
        <v>27.2</v>
      </c>
      <c r="O10" s="497">
        <f t="shared" si="7"/>
        <v>28.8</v>
      </c>
      <c r="P10" s="497">
        <f t="shared" si="7"/>
        <v>30.4</v>
      </c>
      <c r="Q10" s="606">
        <f t="shared" si="7"/>
        <v>32</v>
      </c>
    </row>
    <row r="11">
      <c r="A11" s="601">
        <v>7.0</v>
      </c>
      <c r="B11" s="607">
        <f t="shared" ref="B11:Q11" si="8">B10+B$3*2</f>
        <v>9</v>
      </c>
      <c r="C11" s="507">
        <f t="shared" si="8"/>
        <v>10.8</v>
      </c>
      <c r="D11" s="507">
        <f t="shared" si="8"/>
        <v>12.6</v>
      </c>
      <c r="E11" s="507">
        <f t="shared" si="8"/>
        <v>14.4</v>
      </c>
      <c r="F11" s="507">
        <f t="shared" si="8"/>
        <v>16.2</v>
      </c>
      <c r="G11" s="507">
        <f t="shared" si="8"/>
        <v>18</v>
      </c>
      <c r="H11" s="507">
        <f t="shared" si="8"/>
        <v>19.8</v>
      </c>
      <c r="I11" s="507">
        <f t="shared" si="8"/>
        <v>21.6</v>
      </c>
      <c r="J11" s="507">
        <f t="shared" si="8"/>
        <v>23.4</v>
      </c>
      <c r="K11" s="507">
        <f t="shared" si="8"/>
        <v>25.2</v>
      </c>
      <c r="L11" s="507">
        <f t="shared" si="8"/>
        <v>27</v>
      </c>
      <c r="M11" s="507">
        <f t="shared" si="8"/>
        <v>28.8</v>
      </c>
      <c r="N11" s="507">
        <f t="shared" si="8"/>
        <v>30.6</v>
      </c>
      <c r="O11" s="507">
        <f t="shared" si="8"/>
        <v>32.4</v>
      </c>
      <c r="P11" s="507">
        <f t="shared" si="8"/>
        <v>34.2</v>
      </c>
      <c r="Q11" s="608">
        <f t="shared" si="8"/>
        <v>36</v>
      </c>
    </row>
    <row r="12">
      <c r="A12" s="604">
        <v>8.0</v>
      </c>
      <c r="B12" s="609">
        <f t="shared" ref="B12:Q12" si="9">B11+B$3*2</f>
        <v>10</v>
      </c>
      <c r="C12" s="519">
        <f t="shared" si="9"/>
        <v>12</v>
      </c>
      <c r="D12" s="519">
        <f t="shared" si="9"/>
        <v>14</v>
      </c>
      <c r="E12" s="519">
        <f t="shared" si="9"/>
        <v>16</v>
      </c>
      <c r="F12" s="519">
        <f t="shared" si="9"/>
        <v>18</v>
      </c>
      <c r="G12" s="519">
        <f t="shared" si="9"/>
        <v>20</v>
      </c>
      <c r="H12" s="519">
        <f t="shared" si="9"/>
        <v>22</v>
      </c>
      <c r="I12" s="519">
        <f t="shared" si="9"/>
        <v>24</v>
      </c>
      <c r="J12" s="519">
        <f t="shared" si="9"/>
        <v>26</v>
      </c>
      <c r="K12" s="519">
        <f t="shared" si="9"/>
        <v>28</v>
      </c>
      <c r="L12" s="519">
        <f t="shared" si="9"/>
        <v>30</v>
      </c>
      <c r="M12" s="519">
        <f t="shared" si="9"/>
        <v>32</v>
      </c>
      <c r="N12" s="519">
        <f t="shared" si="9"/>
        <v>34</v>
      </c>
      <c r="O12" s="519">
        <f t="shared" si="9"/>
        <v>36</v>
      </c>
      <c r="P12" s="519">
        <f t="shared" si="9"/>
        <v>38</v>
      </c>
      <c r="Q12" s="610">
        <f t="shared" si="9"/>
        <v>40</v>
      </c>
    </row>
    <row r="13">
      <c r="A13" s="601">
        <v>9.0</v>
      </c>
      <c r="B13" s="602">
        <f t="shared" ref="B13:Q13" si="10">B12+B$3</f>
        <v>10.5</v>
      </c>
      <c r="C13" s="602">
        <f t="shared" si="10"/>
        <v>12.6</v>
      </c>
      <c r="D13" s="602">
        <f t="shared" si="10"/>
        <v>14.7</v>
      </c>
      <c r="E13" s="602">
        <f t="shared" si="10"/>
        <v>16.8</v>
      </c>
      <c r="F13" s="602">
        <f t="shared" si="10"/>
        <v>18.9</v>
      </c>
      <c r="G13" s="602">
        <f t="shared" si="10"/>
        <v>21</v>
      </c>
      <c r="H13" s="602">
        <f t="shared" si="10"/>
        <v>23.1</v>
      </c>
      <c r="I13" s="602">
        <f t="shared" si="10"/>
        <v>25.2</v>
      </c>
      <c r="J13" s="602">
        <f t="shared" si="10"/>
        <v>27.3</v>
      </c>
      <c r="K13" s="602">
        <f t="shared" si="10"/>
        <v>29.4</v>
      </c>
      <c r="L13" s="602">
        <f t="shared" si="10"/>
        <v>31.5</v>
      </c>
      <c r="M13" s="602">
        <f t="shared" si="10"/>
        <v>33.6</v>
      </c>
      <c r="N13" s="602">
        <f t="shared" si="10"/>
        <v>35.7</v>
      </c>
      <c r="O13" s="602">
        <f t="shared" si="10"/>
        <v>37.8</v>
      </c>
      <c r="P13" s="602">
        <f t="shared" si="10"/>
        <v>39.9</v>
      </c>
      <c r="Q13" s="602">
        <f t="shared" si="10"/>
        <v>42</v>
      </c>
    </row>
    <row r="14">
      <c r="A14" s="604">
        <v>10.0</v>
      </c>
      <c r="B14" s="605">
        <f t="shared" ref="B14:Q14" si="11">B13+B$3</f>
        <v>11</v>
      </c>
      <c r="C14" s="605">
        <f t="shared" si="11"/>
        <v>13.2</v>
      </c>
      <c r="D14" s="605">
        <f t="shared" si="11"/>
        <v>15.4</v>
      </c>
      <c r="E14" s="605">
        <f t="shared" si="11"/>
        <v>17.6</v>
      </c>
      <c r="F14" s="605">
        <f t="shared" si="11"/>
        <v>19.8</v>
      </c>
      <c r="G14" s="605">
        <f t="shared" si="11"/>
        <v>22</v>
      </c>
      <c r="H14" s="605">
        <f t="shared" si="11"/>
        <v>24.2</v>
      </c>
      <c r="I14" s="605">
        <f t="shared" si="11"/>
        <v>26.4</v>
      </c>
      <c r="J14" s="605">
        <f t="shared" si="11"/>
        <v>28.6</v>
      </c>
      <c r="K14" s="605">
        <f t="shared" si="11"/>
        <v>30.8</v>
      </c>
      <c r="L14" s="605">
        <f t="shared" si="11"/>
        <v>33</v>
      </c>
      <c r="M14" s="605">
        <f t="shared" si="11"/>
        <v>35.2</v>
      </c>
      <c r="N14" s="605">
        <f t="shared" si="11"/>
        <v>37.4</v>
      </c>
      <c r="O14" s="605">
        <f t="shared" si="11"/>
        <v>39.6</v>
      </c>
      <c r="P14" s="605">
        <f t="shared" si="11"/>
        <v>41.8</v>
      </c>
      <c r="Q14" s="605">
        <f t="shared" si="11"/>
        <v>44</v>
      </c>
    </row>
    <row r="15">
      <c r="A15" s="601">
        <v>11.0</v>
      </c>
      <c r="B15" s="602">
        <f t="shared" ref="B15:Q15" si="12">B14+B$3</f>
        <v>11.5</v>
      </c>
      <c r="C15" s="602">
        <f t="shared" si="12"/>
        <v>13.8</v>
      </c>
      <c r="D15" s="602">
        <f t="shared" si="12"/>
        <v>16.1</v>
      </c>
      <c r="E15" s="602">
        <f t="shared" si="12"/>
        <v>18.4</v>
      </c>
      <c r="F15" s="602">
        <f t="shared" si="12"/>
        <v>20.7</v>
      </c>
      <c r="G15" s="602">
        <f t="shared" si="12"/>
        <v>23</v>
      </c>
      <c r="H15" s="602">
        <f t="shared" si="12"/>
        <v>25.3</v>
      </c>
      <c r="I15" s="602">
        <f t="shared" si="12"/>
        <v>27.6</v>
      </c>
      <c r="J15" s="602">
        <f t="shared" si="12"/>
        <v>29.9</v>
      </c>
      <c r="K15" s="602">
        <f t="shared" si="12"/>
        <v>32.2</v>
      </c>
      <c r="L15" s="602">
        <f t="shared" si="12"/>
        <v>34.5</v>
      </c>
      <c r="M15" s="602">
        <f t="shared" si="12"/>
        <v>36.8</v>
      </c>
      <c r="N15" s="602">
        <f t="shared" si="12"/>
        <v>39.1</v>
      </c>
      <c r="O15" s="602">
        <f t="shared" si="12"/>
        <v>41.4</v>
      </c>
      <c r="P15" s="602">
        <f t="shared" si="12"/>
        <v>43.7</v>
      </c>
      <c r="Q15" s="602">
        <f t="shared" si="12"/>
        <v>46</v>
      </c>
    </row>
    <row r="16">
      <c r="A16" s="604">
        <v>12.0</v>
      </c>
      <c r="B16" s="605">
        <f t="shared" ref="B16:Q16" si="13">B15+B$3</f>
        <v>12</v>
      </c>
      <c r="C16" s="605">
        <f t="shared" si="13"/>
        <v>14.4</v>
      </c>
      <c r="D16" s="605">
        <f t="shared" si="13"/>
        <v>16.8</v>
      </c>
      <c r="E16" s="605">
        <f t="shared" si="13"/>
        <v>19.2</v>
      </c>
      <c r="F16" s="605">
        <f t="shared" si="13"/>
        <v>21.6</v>
      </c>
      <c r="G16" s="605">
        <f t="shared" si="13"/>
        <v>24</v>
      </c>
      <c r="H16" s="605">
        <f t="shared" si="13"/>
        <v>26.4</v>
      </c>
      <c r="I16" s="605">
        <f t="shared" si="13"/>
        <v>28.8</v>
      </c>
      <c r="J16" s="605">
        <f t="shared" si="13"/>
        <v>31.2</v>
      </c>
      <c r="K16" s="605">
        <f t="shared" si="13"/>
        <v>33.6</v>
      </c>
      <c r="L16" s="605">
        <f t="shared" si="13"/>
        <v>36</v>
      </c>
      <c r="M16" s="605">
        <f t="shared" si="13"/>
        <v>38.4</v>
      </c>
      <c r="N16" s="605">
        <f t="shared" si="13"/>
        <v>40.8</v>
      </c>
      <c r="O16" s="605">
        <f t="shared" si="13"/>
        <v>43.2</v>
      </c>
      <c r="P16" s="605">
        <f t="shared" si="13"/>
        <v>45.6</v>
      </c>
      <c r="Q16" s="605">
        <f t="shared" si="13"/>
        <v>48</v>
      </c>
    </row>
    <row r="17">
      <c r="A17" s="601">
        <v>13.0</v>
      </c>
      <c r="B17" s="602">
        <f t="shared" ref="B17:Q17" si="14">B16+B$3</f>
        <v>12.5</v>
      </c>
      <c r="C17" s="602">
        <f t="shared" si="14"/>
        <v>15</v>
      </c>
      <c r="D17" s="602">
        <f t="shared" si="14"/>
        <v>17.5</v>
      </c>
      <c r="E17" s="602">
        <f t="shared" si="14"/>
        <v>20</v>
      </c>
      <c r="F17" s="602">
        <f t="shared" si="14"/>
        <v>22.5</v>
      </c>
      <c r="G17" s="602">
        <f t="shared" si="14"/>
        <v>25</v>
      </c>
      <c r="H17" s="602">
        <f t="shared" si="14"/>
        <v>27.5</v>
      </c>
      <c r="I17" s="602">
        <f t="shared" si="14"/>
        <v>30</v>
      </c>
      <c r="J17" s="602">
        <f t="shared" si="14"/>
        <v>32.5</v>
      </c>
      <c r="K17" s="602">
        <f t="shared" si="14"/>
        <v>35</v>
      </c>
      <c r="L17" s="602">
        <f t="shared" si="14"/>
        <v>37.5</v>
      </c>
      <c r="M17" s="602">
        <f t="shared" si="14"/>
        <v>40</v>
      </c>
      <c r="N17" s="602">
        <f t="shared" si="14"/>
        <v>42.5</v>
      </c>
      <c r="O17" s="602">
        <f t="shared" si="14"/>
        <v>45</v>
      </c>
      <c r="P17" s="602">
        <f t="shared" si="14"/>
        <v>47.5</v>
      </c>
      <c r="Q17" s="602">
        <f t="shared" si="14"/>
        <v>50</v>
      </c>
    </row>
    <row r="18">
      <c r="A18" s="604">
        <v>14.0</v>
      </c>
      <c r="B18" s="605">
        <f t="shared" ref="B18:Q18" si="15">B17+B$3</f>
        <v>13</v>
      </c>
      <c r="C18" s="605">
        <f t="shared" si="15"/>
        <v>15.6</v>
      </c>
      <c r="D18" s="605">
        <f t="shared" si="15"/>
        <v>18.2</v>
      </c>
      <c r="E18" s="605">
        <f t="shared" si="15"/>
        <v>20.8</v>
      </c>
      <c r="F18" s="605">
        <f t="shared" si="15"/>
        <v>23.4</v>
      </c>
      <c r="G18" s="605">
        <f t="shared" si="15"/>
        <v>26</v>
      </c>
      <c r="H18" s="605">
        <f t="shared" si="15"/>
        <v>28.6</v>
      </c>
      <c r="I18" s="605">
        <f t="shared" si="15"/>
        <v>31.2</v>
      </c>
      <c r="J18" s="605">
        <f t="shared" si="15"/>
        <v>33.8</v>
      </c>
      <c r="K18" s="605">
        <f t="shared" si="15"/>
        <v>36.4</v>
      </c>
      <c r="L18" s="605">
        <f t="shared" si="15"/>
        <v>39</v>
      </c>
      <c r="M18" s="605">
        <f t="shared" si="15"/>
        <v>41.6</v>
      </c>
      <c r="N18" s="605">
        <f t="shared" si="15"/>
        <v>44.2</v>
      </c>
      <c r="O18" s="605">
        <f t="shared" si="15"/>
        <v>46.8</v>
      </c>
      <c r="P18" s="605">
        <f t="shared" si="15"/>
        <v>49.4</v>
      </c>
      <c r="Q18" s="605">
        <f t="shared" si="15"/>
        <v>52</v>
      </c>
    </row>
    <row r="19">
      <c r="A19" s="601">
        <v>15.0</v>
      </c>
      <c r="B19" s="607">
        <f t="shared" ref="B19:Q19" si="16">B18+B$3*2</f>
        <v>14</v>
      </c>
      <c r="C19" s="607">
        <f t="shared" si="16"/>
        <v>16.8</v>
      </c>
      <c r="D19" s="607">
        <f t="shared" si="16"/>
        <v>19.6</v>
      </c>
      <c r="E19" s="607">
        <f t="shared" si="16"/>
        <v>22.4</v>
      </c>
      <c r="F19" s="607">
        <f t="shared" si="16"/>
        <v>25.2</v>
      </c>
      <c r="G19" s="607">
        <f t="shared" si="16"/>
        <v>28</v>
      </c>
      <c r="H19" s="607">
        <f t="shared" si="16"/>
        <v>30.8</v>
      </c>
      <c r="I19" s="607">
        <f t="shared" si="16"/>
        <v>33.6</v>
      </c>
      <c r="J19" s="607">
        <f t="shared" si="16"/>
        <v>36.4</v>
      </c>
      <c r="K19" s="607">
        <f t="shared" si="16"/>
        <v>39.2</v>
      </c>
      <c r="L19" s="607">
        <f t="shared" si="16"/>
        <v>42</v>
      </c>
      <c r="M19" s="607">
        <f t="shared" si="16"/>
        <v>44.8</v>
      </c>
      <c r="N19" s="607">
        <f t="shared" si="16"/>
        <v>47.6</v>
      </c>
      <c r="O19" s="607">
        <f t="shared" si="16"/>
        <v>50.4</v>
      </c>
      <c r="P19" s="607">
        <f t="shared" si="16"/>
        <v>53.2</v>
      </c>
      <c r="Q19" s="607">
        <f t="shared" si="16"/>
        <v>56</v>
      </c>
    </row>
    <row r="20">
      <c r="A20" s="611">
        <v>16.0</v>
      </c>
      <c r="B20" s="609">
        <f t="shared" ref="B20:Q20" si="17">B19+B$3*2</f>
        <v>15</v>
      </c>
      <c r="C20" s="609">
        <f t="shared" si="17"/>
        <v>18</v>
      </c>
      <c r="D20" s="609">
        <f t="shared" si="17"/>
        <v>21</v>
      </c>
      <c r="E20" s="609">
        <f t="shared" si="17"/>
        <v>24</v>
      </c>
      <c r="F20" s="609">
        <f t="shared" si="17"/>
        <v>27</v>
      </c>
      <c r="G20" s="609">
        <f t="shared" si="17"/>
        <v>30</v>
      </c>
      <c r="H20" s="609">
        <f t="shared" si="17"/>
        <v>33</v>
      </c>
      <c r="I20" s="609">
        <f t="shared" si="17"/>
        <v>36</v>
      </c>
      <c r="J20" s="609">
        <f t="shared" si="17"/>
        <v>39</v>
      </c>
      <c r="K20" s="609">
        <f t="shared" si="17"/>
        <v>42</v>
      </c>
      <c r="L20" s="609">
        <f t="shared" si="17"/>
        <v>45</v>
      </c>
      <c r="M20" s="609">
        <f t="shared" si="17"/>
        <v>48</v>
      </c>
      <c r="N20" s="609">
        <f t="shared" si="17"/>
        <v>51</v>
      </c>
      <c r="O20" s="609">
        <f t="shared" si="17"/>
        <v>54</v>
      </c>
      <c r="P20" s="609">
        <f t="shared" si="17"/>
        <v>57</v>
      </c>
      <c r="Q20" s="609">
        <f t="shared" si="17"/>
        <v>60</v>
      </c>
    </row>
  </sheetData>
  <mergeCells count="2">
    <mergeCell ref="A1:A2"/>
    <mergeCell ref="B1:Q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2" width="30.5"/>
    <col customWidth="1" min="3" max="5" width="20.13"/>
    <col customWidth="1" min="6" max="6" width="15.38"/>
    <col customWidth="1" min="7" max="7" width="10.5"/>
    <col customWidth="1" min="8" max="8" width="5.38"/>
    <col customWidth="1" min="9" max="9" width="25.75"/>
    <col customWidth="1" min="10" max="12" width="19.13"/>
    <col hidden="1" min="13" max="13" width="12.63"/>
    <col customWidth="1" min="14" max="14" width="25.13"/>
  </cols>
  <sheetData>
    <row r="1">
      <c r="A1" s="612" t="s">
        <v>3181</v>
      </c>
      <c r="B1" s="613" t="s">
        <v>167</v>
      </c>
      <c r="C1" s="612" t="s">
        <v>3182</v>
      </c>
      <c r="D1" s="612" t="s">
        <v>1739</v>
      </c>
      <c r="E1" s="612" t="s">
        <v>3183</v>
      </c>
      <c r="F1" s="612" t="s">
        <v>3184</v>
      </c>
      <c r="G1" s="612" t="s">
        <v>1911</v>
      </c>
      <c r="H1" s="612" t="s">
        <v>171</v>
      </c>
      <c r="I1" s="612" t="s">
        <v>3185</v>
      </c>
      <c r="J1" s="612" t="s">
        <v>3186</v>
      </c>
      <c r="K1" s="612" t="s">
        <v>3187</v>
      </c>
      <c r="L1" s="612" t="s">
        <v>3188</v>
      </c>
      <c r="M1" s="612" t="s">
        <v>3189</v>
      </c>
      <c r="N1" s="613" t="s">
        <v>3190</v>
      </c>
      <c r="O1" s="612" t="s">
        <v>3191</v>
      </c>
      <c r="P1" s="612" t="s">
        <v>3192</v>
      </c>
      <c r="Q1" s="612" t="s">
        <v>738</v>
      </c>
      <c r="R1" s="612" t="s">
        <v>741</v>
      </c>
    </row>
    <row r="2">
      <c r="A2" s="614">
        <f t="array" ref="A2:A605">ROW(A2:A605)-1</f>
        <v>1</v>
      </c>
      <c r="B2" s="615" t="s">
        <v>3193</v>
      </c>
      <c r="C2" s="614" t="s">
        <v>3194</v>
      </c>
      <c r="D2" s="614" t="s">
        <v>1913</v>
      </c>
      <c r="E2" s="614"/>
      <c r="F2" s="614" t="s">
        <v>3195</v>
      </c>
      <c r="G2" s="614" t="s">
        <v>3196</v>
      </c>
      <c r="H2" s="614">
        <v>7.0</v>
      </c>
      <c r="I2" s="614" t="s">
        <v>3197</v>
      </c>
      <c r="J2" s="614" t="s">
        <v>3198</v>
      </c>
      <c r="K2" s="614" t="str">
        <f>IFERROR(__xludf.DUMMYFUNCTION("LET(
  r, C2,
  t, J2,
  cons, LOWER(TO_TEXT(O2))=""true"",
  base, SWITCH(r,
    ""Обычный"", ""1d6"",
    ""Необычный"", ""1d6"",
    ""Редкий"", ""1d6"",
    ""Очень редкий"", ""1d8"",
    ""Легендарный"", ""2d6"",
    """"
  ),
  n, VALUE(REGEXEXTRA"&amp;"CT(base, ""^\d+"")),
  s, VALUE(REGEXEXTRACT(base, ""d(\d+)$"")),
  mode, SWITCH(t,
    ""Невыгодные"", ""ADV"",
    ""Выгодные"", ""DIS"",
    ""Нормальные"", ""NORM"",
    ""Удачные"", ""MIN"",
    ""Провальные"", ""MAX"",
    ""Невозможные"", ""NO"",
"&amp;"    ""Запрещённые"", ""NO"",
    ""NORM""
  ),
  dice, IF(mode=""ADV"",
          (n+1)&amp;""d""&amp;s&amp;""kh""&amp;n,
        IF(mode=""DIS"",
          (n+1)&amp;""d""&amp;s&amp;""kl""&amp;n,
          base
        )
  ),
  rollPrice, SWITCH(r,
    ""Обычный"", ""(""&amp;dice&amp;""+1)*1"&amp;"0 зм"",
    ""Необычный"", dice&amp;""*100 зм"",
    ""Редкий"", dice&amp;""*1000 зм"",
    ""Очень редкий"", ""(""&amp;dice&amp;""+1)*5000 зм"",
    ""Легендарный"", dice&amp;""*25000 зм"",
    """"
  ),
  minPrice, SWITCH(r,
    ""Обычный"", ""20 зм"",
    ""Необычный"", "&amp;"""100 зм"",
    ""Редкий"", ""1000 зм"",
    ""Очень редкий"", ""10000 зм"",
    ""Легендарный"", ""50000 зм"",
    """"
  ),
  maxPrice, SWITCH(r,
    ""Обычный"", ""70 зм"",
    ""Необычный"", ""600 зм"",
    ""Редкий"", ""6000 зм"",
    ""Очень редкий"&amp;""", ""45000 зм"",
    ""Легендарный"", ""300000 зм"",
    """"
  ),
  price, IF(mode=""NO"", ""—"",
          IF(mode=""MIN"", minPrice,
            IF(mode=""MAX"", maxPrice,
              rollPrice
            )
          )
  ),
  IF(price=""—"", ""—"&amp;""",
    IF(NOT(cons), price,
      LET(
        mult, IFERROR(VALUE(REGEXEXTRACT(price, ""\*(\d+)\s*зм$"")), ),
        fixed, IFERROR(VALUE(REGEXEXTRACT(price, ""^(\d+)\s*зм$"")), ),
        IF(mult&lt;&gt;"""", REGEXREPLACE(price, ""\*(\d+)\s*зм$"", ""*""&amp;(m"&amp;"ult/2)&amp;"" зм""),
          IF(fixed&lt;&gt;"""", (fixed/2)&amp;"" зм"",
            REGEXREPLACE(price, ""\s*зм$"", """")&amp;""/2 зм""
          )
        )
      )
    )
  )
)"),"(1d8+1)*5000 зм")</f>
        <v>(1d8+1)*5000 зм</v>
      </c>
      <c r="L2" s="616" t="str">
        <f t="shared" ref="L2:L352" si="1">SWITCH(H2,10,"Мажор",9,"Минор",8,"Мажор",7,"Минор",6,"Мажор",5,"Минор",4,"Мажор",3,"Минор",2,"Мажор",1,"Минор",)</f>
        <v>Минор</v>
      </c>
      <c r="M2" s="614">
        <v>1.0</v>
      </c>
      <c r="N2" s="615">
        <v>0.0</v>
      </c>
      <c r="O2" s="616" t="b">
        <v>0</v>
      </c>
      <c r="P2" s="614">
        <v>1.0</v>
      </c>
      <c r="Q2" s="617" t="s">
        <v>3199</v>
      </c>
      <c r="R2" s="616">
        <f t="shared" ref="R2:R533" si="2">LET(
    r, C2,
    t, J2,
    q, L2,
    base, SWITCH(r,
        "Обычный", IF(q="Минор", 150, 300),
        "Необычный", IF(q="Минор", 500, 1000),
        "Редкий", IF(q="Минор", 2500, 5000),
        "Очень редкий", IF(q="Минор", 7500, 15000),
        "Легендарный", IF(q="Минор", 25000, 50000),
        ""
    ),
    k, SWITCH(t,
        "Нормальные", 1,
        "Невыгодные", 1.1,
        "Провальные", 1.2,
        "Выгодные", 0.9,
        "Удачные", 0.8,
        "Запрещённые", 1.5,
        "Невозможные", 4,
        1
    ),
    IF(t="Запрещённые",
        ROUND(base*k*2, 0),
        ROUND(base*k, 0)
    )
)</f>
        <v>7500</v>
      </c>
    </row>
    <row r="3">
      <c r="A3" s="614">
        <v>2.0</v>
      </c>
      <c r="B3" s="615" t="s">
        <v>3200</v>
      </c>
      <c r="C3" s="614" t="s">
        <v>3194</v>
      </c>
      <c r="D3" s="614" t="s">
        <v>1913</v>
      </c>
      <c r="E3" s="614"/>
      <c r="F3" s="614" t="s">
        <v>3201</v>
      </c>
      <c r="G3" s="618" t="s">
        <v>3202</v>
      </c>
      <c r="H3" s="614">
        <v>7.0</v>
      </c>
      <c r="I3" s="614" t="s">
        <v>3203</v>
      </c>
      <c r="J3" s="614" t="s">
        <v>3204</v>
      </c>
      <c r="K3" s="614" t="str">
        <f>IFERROR(__xludf.DUMMYFUNCTION("LET(
  r, C3,
  t, J3,
  cons, LOWER(TO_TEXT(O3))=""true"",
  base, SWITCH(r,
    ""Обычный"", ""1d6"",
    ""Необычный"", ""1d6"",
    ""Редкий"", ""1d6"",
    ""Очень редкий"", ""1d8"",
    ""Легендарный"", ""2d6"",
    """"
  ),
  n, VALUE(REGEXEXTRA"&amp;"CT(base, ""^\d+"")),
  s, VALUE(REGEXEXTRACT(base, ""d(\d+)$"")),
  mode, SWITCH(t,
    ""Невыгодные"", ""ADV"",
    ""Выгодные"", ""DIS"",
    ""Нормальные"", ""NORM"",
    ""Удачные"", ""MIN"",
    ""Провальные"", ""MAX"",
    ""Невозможные"", ""NO"",
"&amp;"    ""Запрещённые"", ""NO"",
    ""NORM""
  ),
  dice, IF(mode=""ADV"",
          (n+1)&amp;""d""&amp;s&amp;""kh""&amp;n,
        IF(mode=""DIS"",
          (n+1)&amp;""d""&amp;s&amp;""kl""&amp;n,
          base
        )
  ),
  rollPrice, SWITCH(r,
    ""Обычный"", ""(""&amp;dice&amp;""+1)*1"&amp;"0 зм"",
    ""Необычный"", dice&amp;""*100 зм"",
    ""Редкий"", dice&amp;""*1000 зм"",
    ""Очень редкий"", ""(""&amp;dice&amp;""+1)*5000 зм"",
    ""Легендарный"", dice&amp;""*25000 зм"",
    """"
  ),
  minPrice, SWITCH(r,
    ""Обычный"", ""20 зм"",
    ""Необычный"", "&amp;"""100 зм"",
    ""Редкий"", ""1000 зм"",
    ""Очень редкий"", ""10000 зм"",
    ""Легендарный"", ""50000 зм"",
    """"
  ),
  maxPrice, SWITCH(r,
    ""Обычный"", ""70 зм"",
    ""Необычный"", ""600 зм"",
    ""Редкий"", ""6000 зм"",
    ""Очень редкий"&amp;""", ""45000 зм"",
    ""Легендарный"", ""300000 зм"",
    """"
  ),
  price, IF(mode=""NO"", ""—"",
          IF(mode=""MIN"", minPrice,
            IF(mode=""MAX"", maxPrice,
              rollPrice
            )
          )
  ),
  IF(price=""—"", ""—"&amp;""",
    IF(NOT(cons), price,
      LET(
        mult, IFERROR(VALUE(REGEXEXTRACT(price, ""\*(\d+)\s*зм$"")), ),
        fixed, IFERROR(VALUE(REGEXEXTRACT(price, ""^(\d+)\s*зм$"")), ),
        IF(mult&lt;&gt;"""", REGEXREPLACE(price, ""\*(\d+)\s*зм$"", ""*""&amp;(m"&amp;"ult/2)&amp;"" зм""),
          IF(fixed&lt;&gt;"""", (fixed/2)&amp;"" зм"",
            REGEXREPLACE(price, ""\s*зм$"", """")&amp;""/2 зм""
          )
        )
      )
    )
  )
)"),"(2d8kl1+1)*5000 зм")</f>
        <v>(2d8kl1+1)*5000 зм</v>
      </c>
      <c r="L3" s="616" t="str">
        <f t="shared" si="1"/>
        <v>Минор</v>
      </c>
      <c r="M3" s="614">
        <v>1.0</v>
      </c>
      <c r="N3" s="615">
        <v>0.0</v>
      </c>
      <c r="O3" s="616" t="b">
        <v>0</v>
      </c>
      <c r="P3" s="614">
        <v>1.0</v>
      </c>
      <c r="Q3" s="617" t="s">
        <v>3205</v>
      </c>
      <c r="R3" s="616">
        <f t="shared" si="2"/>
        <v>6750</v>
      </c>
    </row>
    <row r="4">
      <c r="A4" s="614">
        <v>3.0</v>
      </c>
      <c r="B4" s="615" t="s">
        <v>3206</v>
      </c>
      <c r="C4" s="614" t="s">
        <v>3194</v>
      </c>
      <c r="D4" s="614" t="s">
        <v>1913</v>
      </c>
      <c r="E4" s="614"/>
      <c r="F4" s="614" t="s">
        <v>3201</v>
      </c>
      <c r="G4" s="614" t="s">
        <v>3207</v>
      </c>
      <c r="H4" s="614">
        <v>7.0</v>
      </c>
      <c r="I4" s="614" t="s">
        <v>3208</v>
      </c>
      <c r="J4" s="614" t="s">
        <v>3198</v>
      </c>
      <c r="K4" s="614" t="str">
        <f>IFERROR(__xludf.DUMMYFUNCTION("LET(
  r, C4,
  t, J4,
  cons, LOWER(TO_TEXT(O4))=""true"",
  base, SWITCH(r,
    ""Обычный"", ""1d6"",
    ""Необычный"", ""1d6"",
    ""Редкий"", ""1d6"",
    ""Очень редкий"", ""1d8"",
    ""Легендарный"", ""2d6"",
    """"
  ),
  n, VALUE(REGEXEXTRA"&amp;"CT(base, ""^\d+"")),
  s, VALUE(REGEXEXTRACT(base, ""d(\d+)$"")),
  mode, SWITCH(t,
    ""Невыгодные"", ""ADV"",
    ""Выгодные"", ""DIS"",
    ""Нормальные"", ""NORM"",
    ""Удачные"", ""MIN"",
    ""Провальные"", ""MAX"",
    ""Невозможные"", ""NO"",
"&amp;"    ""Запрещённые"", ""NO"",
    ""NORM""
  ),
  dice, IF(mode=""ADV"",
          (n+1)&amp;""d""&amp;s&amp;""kh""&amp;n,
        IF(mode=""DIS"",
          (n+1)&amp;""d""&amp;s&amp;""kl""&amp;n,
          base
        )
  ),
  rollPrice, SWITCH(r,
    ""Обычный"", ""(""&amp;dice&amp;""+1)*1"&amp;"0 зм"",
    ""Необычный"", dice&amp;""*100 зм"",
    ""Редкий"", dice&amp;""*1000 зм"",
    ""Очень редкий"", ""(""&amp;dice&amp;""+1)*5000 зм"",
    ""Легендарный"", dice&amp;""*25000 зм"",
    """"
  ),
  minPrice, SWITCH(r,
    ""Обычный"", ""20 зм"",
    ""Необычный"", "&amp;"""100 зм"",
    ""Редкий"", ""1000 зм"",
    ""Очень редкий"", ""10000 зм"",
    ""Легендарный"", ""50000 зм"",
    """"
  ),
  maxPrice, SWITCH(r,
    ""Обычный"", ""70 зм"",
    ""Необычный"", ""600 зм"",
    ""Редкий"", ""6000 зм"",
    ""Очень редкий"&amp;""", ""45000 зм"",
    ""Легендарный"", ""300000 зм"",
    """"
  ),
  price, IF(mode=""NO"", ""—"",
          IF(mode=""MIN"", minPrice,
            IF(mode=""MAX"", maxPrice,
              rollPrice
            )
          )
  ),
  IF(price=""—"", ""—"&amp;""",
    IF(NOT(cons), price,
      LET(
        mult, IFERROR(VALUE(REGEXEXTRACT(price, ""\*(\d+)\s*зм$"")), ),
        fixed, IFERROR(VALUE(REGEXEXTRACT(price, ""^(\d+)\s*зм$"")), ),
        IF(mult&lt;&gt;"""", REGEXREPLACE(price, ""\*(\d+)\s*зм$"", ""*""&amp;(m"&amp;"ult/2)&amp;"" зм""),
          IF(fixed&lt;&gt;"""", (fixed/2)&amp;"" зм"",
            REGEXREPLACE(price, ""\s*зм$"", """")&amp;""/2 зм""
          )
        )
      )
    )
  )
)"),"(1d8+1)*5000 зм")</f>
        <v>(1d8+1)*5000 зм</v>
      </c>
      <c r="L4" s="616" t="str">
        <f t="shared" si="1"/>
        <v>Минор</v>
      </c>
      <c r="M4" s="614">
        <v>1.0</v>
      </c>
      <c r="N4" s="615">
        <v>0.0</v>
      </c>
      <c r="O4" s="616" t="b">
        <v>0</v>
      </c>
      <c r="P4" s="614">
        <v>1.0</v>
      </c>
      <c r="Q4" s="617" t="s">
        <v>3209</v>
      </c>
      <c r="R4" s="616">
        <f t="shared" si="2"/>
        <v>7500</v>
      </c>
    </row>
    <row r="5">
      <c r="A5" s="614">
        <v>4.0</v>
      </c>
      <c r="B5" s="615" t="s">
        <v>3210</v>
      </c>
      <c r="C5" s="614" t="s">
        <v>3194</v>
      </c>
      <c r="D5" s="614" t="s">
        <v>1913</v>
      </c>
      <c r="E5" s="614"/>
      <c r="F5" s="614" t="s">
        <v>3195</v>
      </c>
      <c r="G5" s="614" t="s">
        <v>3202</v>
      </c>
      <c r="H5" s="614">
        <v>7.0</v>
      </c>
      <c r="I5" s="614" t="s">
        <v>3197</v>
      </c>
      <c r="J5" s="614" t="s">
        <v>3198</v>
      </c>
      <c r="K5" s="614" t="str">
        <f>IFERROR(__xludf.DUMMYFUNCTION("LET(
  r, C5,
  t, J5,
  cons, LOWER(TO_TEXT(O5))=""true"",
  base, SWITCH(r,
    ""Обычный"", ""1d6"",
    ""Необычный"", ""1d6"",
    ""Редкий"", ""1d6"",
    ""Очень редкий"", ""1d8"",
    ""Легендарный"", ""2d6"",
    """"
  ),
  n, VALUE(REGEXEXTRA"&amp;"CT(base, ""^\d+"")),
  s, VALUE(REGEXEXTRACT(base, ""d(\d+)$"")),
  mode, SWITCH(t,
    ""Невыгодные"", ""ADV"",
    ""Выгодные"", ""DIS"",
    ""Нормальные"", ""NORM"",
    ""Удачные"", ""MIN"",
    ""Провальные"", ""MAX"",
    ""Невозможные"", ""NO"",
"&amp;"    ""Запрещённые"", ""NO"",
    ""NORM""
  ),
  dice, IF(mode=""ADV"",
          (n+1)&amp;""d""&amp;s&amp;""kh""&amp;n,
        IF(mode=""DIS"",
          (n+1)&amp;""d""&amp;s&amp;""kl""&amp;n,
          base
        )
  ),
  rollPrice, SWITCH(r,
    ""Обычный"", ""(""&amp;dice&amp;""+1)*1"&amp;"0 зм"",
    ""Необычный"", dice&amp;""*100 зм"",
    ""Редкий"", dice&amp;""*1000 зм"",
    ""Очень редкий"", ""(""&amp;dice&amp;""+1)*5000 зм"",
    ""Легендарный"", dice&amp;""*25000 зм"",
    """"
  ),
  minPrice, SWITCH(r,
    ""Обычный"", ""20 зм"",
    ""Необычный"", "&amp;"""100 зм"",
    ""Редкий"", ""1000 зм"",
    ""Очень редкий"", ""10000 зм"",
    ""Легендарный"", ""50000 зм"",
    """"
  ),
  maxPrice, SWITCH(r,
    ""Обычный"", ""70 зм"",
    ""Необычный"", ""600 зм"",
    ""Редкий"", ""6000 зм"",
    ""Очень редкий"&amp;""", ""45000 зм"",
    ""Легендарный"", ""300000 зм"",
    """"
  ),
  price, IF(mode=""NO"", ""—"",
          IF(mode=""MIN"", minPrice,
            IF(mode=""MAX"", maxPrice,
              rollPrice
            )
          )
  ),
  IF(price=""—"", ""—"&amp;""",
    IF(NOT(cons), price,
      LET(
        mult, IFERROR(VALUE(REGEXEXTRACT(price, ""\*(\d+)\s*зм$"")), ),
        fixed, IFERROR(VALUE(REGEXEXTRACT(price, ""^(\d+)\s*зм$"")), ),
        IF(mult&lt;&gt;"""", REGEXREPLACE(price, ""\*(\d+)\s*зм$"", ""*""&amp;(m"&amp;"ult/2)&amp;"" зм""),
          IF(fixed&lt;&gt;"""", (fixed/2)&amp;"" зм"",
            REGEXREPLACE(price, ""\s*зм$"", """")&amp;""/2 зм""
          )
        )
      )
    )
  )
)"),"(1d8+1)*5000 зм")</f>
        <v>(1d8+1)*5000 зм</v>
      </c>
      <c r="L5" s="616" t="str">
        <f t="shared" si="1"/>
        <v>Минор</v>
      </c>
      <c r="M5" s="614">
        <v>1.0</v>
      </c>
      <c r="N5" s="615" t="s">
        <v>3211</v>
      </c>
      <c r="O5" s="616" t="b">
        <v>0</v>
      </c>
      <c r="P5" s="614">
        <v>1.0</v>
      </c>
      <c r="Q5" s="617" t="s">
        <v>3212</v>
      </c>
      <c r="R5" s="616">
        <f t="shared" si="2"/>
        <v>7500</v>
      </c>
    </row>
    <row r="6">
      <c r="A6" s="614">
        <v>5.0</v>
      </c>
      <c r="B6" s="615" t="s">
        <v>3213</v>
      </c>
      <c r="C6" s="614" t="s">
        <v>3194</v>
      </c>
      <c r="D6" s="614" t="s">
        <v>2</v>
      </c>
      <c r="E6" s="614" t="s">
        <v>88</v>
      </c>
      <c r="F6" s="614" t="s">
        <v>3195</v>
      </c>
      <c r="G6" s="614" t="s">
        <v>3214</v>
      </c>
      <c r="H6" s="614">
        <v>8.0</v>
      </c>
      <c r="I6" s="614" t="s">
        <v>3197</v>
      </c>
      <c r="J6" s="614" t="s">
        <v>3198</v>
      </c>
      <c r="K6" s="614" t="str">
        <f>IFERROR(__xludf.DUMMYFUNCTION("LET(
  r, C6,
  t, J6,
  cons, LOWER(TO_TEXT(O6))=""true"",
  base, SWITCH(r,
    ""Обычный"", ""1d6"",
    ""Необычный"", ""1d6"",
    ""Редкий"", ""1d6"",
    ""Очень редкий"", ""1d8"",
    ""Легендарный"", ""2d6"",
    """"
  ),
  n, VALUE(REGEXEXTRA"&amp;"CT(base, ""^\d+"")),
  s, VALUE(REGEXEXTRACT(base, ""d(\d+)$"")),
  mode, SWITCH(t,
    ""Невыгодные"", ""ADV"",
    ""Выгодные"", ""DIS"",
    ""Нормальные"", ""NORM"",
    ""Удачные"", ""MIN"",
    ""Провальные"", ""MAX"",
    ""Невозможные"", ""NO"",
"&amp;"    ""Запрещённые"", ""NO"",
    ""NORM""
  ),
  dice, IF(mode=""ADV"",
          (n+1)&amp;""d""&amp;s&amp;""kh""&amp;n,
        IF(mode=""DIS"",
          (n+1)&amp;""d""&amp;s&amp;""kl""&amp;n,
          base
        )
  ),
  rollPrice, SWITCH(r,
    ""Обычный"", ""(""&amp;dice&amp;""+1)*1"&amp;"0 зм"",
    ""Необычный"", dice&amp;""*100 зм"",
    ""Редкий"", dice&amp;""*1000 зм"",
    ""Очень редкий"", ""(""&amp;dice&amp;""+1)*5000 зм"",
    ""Легендарный"", dice&amp;""*25000 зм"",
    """"
  ),
  minPrice, SWITCH(r,
    ""Обычный"", ""20 зм"",
    ""Необычный"", "&amp;"""100 зм"",
    ""Редкий"", ""1000 зм"",
    ""Очень редкий"", ""10000 зм"",
    ""Легендарный"", ""50000 зм"",
    """"
  ),
  maxPrice, SWITCH(r,
    ""Обычный"", ""70 зм"",
    ""Необычный"", ""600 зм"",
    ""Редкий"", ""6000 зм"",
    ""Очень редкий"&amp;""", ""45000 зм"",
    ""Легендарный"", ""300000 зм"",
    """"
  ),
  price, IF(mode=""NO"", ""—"",
          IF(mode=""MIN"", minPrice,
            IF(mode=""MAX"", maxPrice,
              rollPrice
            )
          )
  ),
  IF(price=""—"", ""—"&amp;""",
    IF(NOT(cons), price,
      LET(
        mult, IFERROR(VALUE(REGEXEXTRACT(price, ""\*(\d+)\s*зм$"")), ),
        fixed, IFERROR(VALUE(REGEXEXTRACT(price, ""^(\d+)\s*зм$"")), ),
        IF(mult&lt;&gt;"""", REGEXREPLACE(price, ""\*(\d+)\s*зм$"", ""*""&amp;(m"&amp;"ult/2)&amp;"" зм""),
          IF(fixed&lt;&gt;"""", (fixed/2)&amp;"" зм"",
            REGEXREPLACE(price, ""\s*зм$"", """")&amp;""/2 зм""
          )
        )
      )
    )
  )
)"),"(1d8+1)*5000 зм")</f>
        <v>(1d8+1)*5000 зм</v>
      </c>
      <c r="L6" s="616" t="str">
        <f t="shared" si="1"/>
        <v>Мажор</v>
      </c>
      <c r="M6" s="614">
        <v>1.0</v>
      </c>
      <c r="N6" s="615">
        <v>0.0</v>
      </c>
      <c r="O6" s="616" t="b">
        <v>0</v>
      </c>
      <c r="P6" s="614">
        <v>1.0</v>
      </c>
      <c r="Q6" s="617" t="s">
        <v>3215</v>
      </c>
      <c r="R6" s="616">
        <f t="shared" si="2"/>
        <v>15000</v>
      </c>
    </row>
    <row r="7">
      <c r="A7" s="614">
        <v>6.0</v>
      </c>
      <c r="B7" s="615" t="s">
        <v>3216</v>
      </c>
      <c r="C7" s="614" t="s">
        <v>3194</v>
      </c>
      <c r="D7" s="614" t="s">
        <v>2</v>
      </c>
      <c r="E7" s="614" t="s">
        <v>183</v>
      </c>
      <c r="F7" s="614" t="s">
        <v>3217</v>
      </c>
      <c r="G7" s="614" t="s">
        <v>3214</v>
      </c>
      <c r="H7" s="614">
        <v>7.0</v>
      </c>
      <c r="I7" s="614" t="s">
        <v>3197</v>
      </c>
      <c r="J7" s="614" t="s">
        <v>3218</v>
      </c>
      <c r="K7" s="614" t="str">
        <f>IFERROR(__xludf.DUMMYFUNCTION("LET(
  r, C7,
  t, J7,
  cons, LOWER(TO_TEXT(O7))=""true"",
  base, SWITCH(r,
    ""Обычный"", ""1d6"",
    ""Необычный"", ""1d6"",
    ""Редкий"", ""1d6"",
    ""Очень редкий"", ""1d8"",
    ""Легендарный"", ""2d6"",
    """"
  ),
  n, VALUE(REGEXEXTRA"&amp;"CT(base, ""^\d+"")),
  s, VALUE(REGEXEXTRACT(base, ""d(\d+)$"")),
  mode, SWITCH(t,
    ""Невыгодные"", ""ADV"",
    ""Выгодные"", ""DIS"",
    ""Нормальные"", ""NORM"",
    ""Удачные"", ""MIN"",
    ""Провальные"", ""MAX"",
    ""Невозможные"", ""NO"",
"&amp;"    ""Запрещённые"", ""NO"",
    ""NORM""
  ),
  dice, IF(mode=""ADV"",
          (n+1)&amp;""d""&amp;s&amp;""kh""&amp;n,
        IF(mode=""DIS"",
          (n+1)&amp;""d""&amp;s&amp;""kl""&amp;n,
          base
        )
  ),
  rollPrice, SWITCH(r,
    ""Обычный"", ""(""&amp;dice&amp;""+1)*1"&amp;"0 зм"",
    ""Необычный"", dice&amp;""*100 зм"",
    ""Редкий"", dice&amp;""*1000 зм"",
    ""Очень редкий"", ""(""&amp;dice&amp;""+1)*5000 зм"",
    ""Легендарный"", dice&amp;""*25000 зм"",
    """"
  ),
  minPrice, SWITCH(r,
    ""Обычный"", ""20 зм"",
    ""Необычный"", "&amp;"""100 зм"",
    ""Редкий"", ""1000 зм"",
    ""Очень редкий"", ""10000 зм"",
    ""Легендарный"", ""50000 зм"",
    """"
  ),
  maxPrice, SWITCH(r,
    ""Обычный"", ""70 зм"",
    ""Необычный"", ""600 зм"",
    ""Редкий"", ""6000 зм"",
    ""Очень редкий"&amp;""", ""45000 зм"",
    ""Легендарный"", ""300000 зм"",
    """"
  ),
  price, IF(mode=""NO"", ""—"",
          IF(mode=""MIN"", minPrice,
            IF(mode=""MAX"", maxPrice,
              rollPrice
            )
          )
  ),
  IF(price=""—"", ""—"&amp;""",
    IF(NOT(cons), price,
      LET(
        mult, IFERROR(VALUE(REGEXEXTRACT(price, ""\*(\d+)\s*зм$"")), ),
        fixed, IFERROR(VALUE(REGEXEXTRACT(price, ""^(\d+)\s*зм$"")), ),
        IF(mult&lt;&gt;"""", REGEXREPLACE(price, ""\*(\d+)\s*зм$"", ""*""&amp;(m"&amp;"ult/2)&amp;"" зм""),
          IF(fixed&lt;&gt;"""", (fixed/2)&amp;"" зм"",
            REGEXREPLACE(price, ""\s*зм$"", """")&amp;""/2 зм""
          )
        )
      )
    )
  )
)"),"(1d8+1)*5000 зм")</f>
        <v>(1d8+1)*5000 зм</v>
      </c>
      <c r="L7" s="616" t="str">
        <f t="shared" si="1"/>
        <v>Минор</v>
      </c>
      <c r="M7" s="614">
        <v>0.0</v>
      </c>
      <c r="N7" s="615">
        <v>0.0</v>
      </c>
      <c r="O7" s="616" t="b">
        <v>0</v>
      </c>
      <c r="P7" s="614">
        <v>0.0</v>
      </c>
      <c r="Q7" s="617" t="s">
        <v>3219</v>
      </c>
      <c r="R7" s="616">
        <f t="shared" si="2"/>
        <v>7500</v>
      </c>
    </row>
    <row r="8">
      <c r="A8" s="614">
        <v>7.0</v>
      </c>
      <c r="B8" s="615" t="s">
        <v>3220</v>
      </c>
      <c r="C8" s="614" t="s">
        <v>3194</v>
      </c>
      <c r="D8" s="614" t="s">
        <v>1913</v>
      </c>
      <c r="E8" s="614"/>
      <c r="F8" s="614" t="s">
        <v>26</v>
      </c>
      <c r="G8" s="614" t="s">
        <v>3202</v>
      </c>
      <c r="H8" s="614">
        <v>7.0</v>
      </c>
      <c r="I8" s="614" t="s">
        <v>3203</v>
      </c>
      <c r="J8" s="614" t="s">
        <v>3221</v>
      </c>
      <c r="K8" s="614" t="str">
        <f>IFERROR(__xludf.DUMMYFUNCTION("LET(
  r, C8,
  t, J8,
  cons, LOWER(TO_TEXT(O8))=""true"",
  base, SWITCH(r,
    ""Обычный"", ""1d6"",
    ""Необычный"", ""1d6"",
    ""Редкий"", ""1d6"",
    ""Очень редкий"", ""1d8"",
    ""Легендарный"", ""2d6"",
    """"
  ),
  n, VALUE(REGEXEXTRA"&amp;"CT(base, ""^\d+"")),
  s, VALUE(REGEXEXTRACT(base, ""d(\d+)$"")),
  mode, SWITCH(t,
    ""Невыгодные"", ""ADV"",
    ""Выгодные"", ""DIS"",
    ""Нормальные"", ""NORM"",
    ""Удачные"", ""MIN"",
    ""Провальные"", ""MAX"",
    ""Невозможные"", ""NO"",
"&amp;"    ""Запрещённые"", ""NO"",
    ""NORM""
  ),
  dice, IF(mode=""ADV"",
          (n+1)&amp;""d""&amp;s&amp;""kh""&amp;n,
        IF(mode=""DIS"",
          (n+1)&amp;""d""&amp;s&amp;""kl""&amp;n,
          base
        )
  ),
  rollPrice, SWITCH(r,
    ""Обычный"", ""(""&amp;dice&amp;""+1)*1"&amp;"0 зм"",
    ""Необычный"", dice&amp;""*100 зм"",
    ""Редкий"", dice&amp;""*1000 зм"",
    ""Очень редкий"", ""(""&amp;dice&amp;""+1)*5000 зм"",
    ""Легендарный"", dice&amp;""*25000 зм"",
    """"
  ),
  minPrice, SWITCH(r,
    ""Обычный"", ""20 зм"",
    ""Необычный"", "&amp;"""100 зм"",
    ""Редкий"", ""1000 зм"",
    ""Очень редкий"", ""10000 зм"",
    ""Легендарный"", ""50000 зм"",
    """"
  ),
  maxPrice, SWITCH(r,
    ""Обычный"", ""70 зм"",
    ""Необычный"", ""600 зм"",
    ""Редкий"", ""6000 зм"",
    ""Очень редкий"&amp;""", ""45000 зм"",
    ""Легендарный"", ""300000 зм"",
    """"
  ),
  price, IF(mode=""NO"", ""—"",
          IF(mode=""MIN"", minPrice,
            IF(mode=""MAX"", maxPrice,
              rollPrice
            )
          )
  ),
  IF(price=""—"", ""—"&amp;""",
    IF(NOT(cons), price,
      LET(
        mult, IFERROR(VALUE(REGEXEXTRACT(price, ""\*(\d+)\s*зм$"")), ),
        fixed, IFERROR(VALUE(REGEXEXTRACT(price, ""^(\d+)\s*зм$"")), ),
        IF(mult&lt;&gt;"""", REGEXREPLACE(price, ""\*(\d+)\s*зм$"", ""*""&amp;(m"&amp;"ult/2)&amp;"" зм""),
          IF(fixed&lt;&gt;"""", (fixed/2)&amp;"" зм"",
            REGEXREPLACE(price, ""\s*зм$"", """")&amp;""/2 зм""
          )
        )
      )
    )
  )
)"),"(2d8kh1+1)*2500 зм")</f>
        <v>(2d8kh1+1)*2500 зм</v>
      </c>
      <c r="L8" s="616" t="str">
        <f t="shared" si="1"/>
        <v>Минор</v>
      </c>
      <c r="M8" s="614">
        <v>0.0</v>
      </c>
      <c r="N8" s="615">
        <v>0.0</v>
      </c>
      <c r="O8" s="616" t="b">
        <v>1</v>
      </c>
      <c r="P8" s="614">
        <v>0.0</v>
      </c>
      <c r="Q8" s="617" t="s">
        <v>3222</v>
      </c>
      <c r="R8" s="616">
        <f t="shared" si="2"/>
        <v>8250</v>
      </c>
    </row>
    <row r="9">
      <c r="A9" s="614">
        <v>8.0</v>
      </c>
      <c r="B9" s="615" t="s">
        <v>3223</v>
      </c>
      <c r="C9" s="614" t="s">
        <v>3194</v>
      </c>
      <c r="D9" s="614" t="s">
        <v>3224</v>
      </c>
      <c r="E9" s="614"/>
      <c r="F9" s="614" t="s">
        <v>3195</v>
      </c>
      <c r="G9" s="614" t="s">
        <v>3202</v>
      </c>
      <c r="H9" s="614">
        <v>8.0</v>
      </c>
      <c r="I9" s="614" t="s">
        <v>3197</v>
      </c>
      <c r="J9" s="614" t="s">
        <v>3218</v>
      </c>
      <c r="K9" s="614" t="str">
        <f>IFERROR(__xludf.DUMMYFUNCTION("LET(
  r, C9,
  t, J9,
  cons, LOWER(TO_TEXT(O9))=""true"",
  base, SWITCH(r,
    ""Обычный"", ""1d6"",
    ""Необычный"", ""1d6"",
    ""Редкий"", ""1d6"",
    ""Очень редкий"", ""1d8"",
    ""Легендарный"", ""2d6"",
    """"
  ),
  n, VALUE(REGEXEXTRA"&amp;"CT(base, ""^\d+"")),
  s, VALUE(REGEXEXTRACT(base, ""d(\d+)$"")),
  mode, SWITCH(t,
    ""Невыгодные"", ""ADV"",
    ""Выгодные"", ""DIS"",
    ""Нормальные"", ""NORM"",
    ""Удачные"", ""MIN"",
    ""Провальные"", ""MAX"",
    ""Невозможные"", ""NO"",
"&amp;"    ""Запрещённые"", ""NO"",
    ""NORM""
  ),
  dice, IF(mode=""ADV"",
          (n+1)&amp;""d""&amp;s&amp;""kh""&amp;n,
        IF(mode=""DIS"",
          (n+1)&amp;""d""&amp;s&amp;""kl""&amp;n,
          base
        )
  ),
  rollPrice, SWITCH(r,
    ""Обычный"", ""(""&amp;dice&amp;""+1)*1"&amp;"0 зм"",
    ""Необычный"", dice&amp;""*100 зм"",
    ""Редкий"", dice&amp;""*1000 зм"",
    ""Очень редкий"", ""(""&amp;dice&amp;""+1)*5000 зм"",
    ""Легендарный"", dice&amp;""*25000 зм"",
    """"
  ),
  minPrice, SWITCH(r,
    ""Обычный"", ""20 зм"",
    ""Необычный"", "&amp;"""100 зм"",
    ""Редкий"", ""1000 зм"",
    ""Очень редкий"", ""10000 зм"",
    ""Легендарный"", ""50000 зм"",
    """"
  ),
  maxPrice, SWITCH(r,
    ""Обычный"", ""70 зм"",
    ""Необычный"", ""600 зм"",
    ""Редкий"", ""6000 зм"",
    ""Очень редкий"&amp;""", ""45000 зм"",
    ""Легендарный"", ""300000 зм"",
    """"
  ),
  price, IF(mode=""NO"", ""—"",
          IF(mode=""MIN"", minPrice,
            IF(mode=""MAX"", maxPrice,
              rollPrice
            )
          )
  ),
  IF(price=""—"", ""—"&amp;""",
    IF(NOT(cons), price,
      LET(
        mult, IFERROR(VALUE(REGEXEXTRACT(price, ""\*(\d+)\s*зм$"")), ),
        fixed, IFERROR(VALUE(REGEXEXTRACT(price, ""^(\d+)\s*зм$"")), ),
        IF(mult&lt;&gt;"""", REGEXREPLACE(price, ""\*(\d+)\s*зм$"", ""*""&amp;(m"&amp;"ult/2)&amp;"" зм""),
          IF(fixed&lt;&gt;"""", (fixed/2)&amp;"" зм"",
            REGEXREPLACE(price, ""\s*зм$"", """")&amp;""/2 зм""
          )
        )
      )
    )
  )
)"),"(1d8+1)*5000 зм")</f>
        <v>(1d8+1)*5000 зм</v>
      </c>
      <c r="L9" s="616" t="str">
        <f t="shared" si="1"/>
        <v>Мажор</v>
      </c>
      <c r="M9" s="614">
        <v>1.0</v>
      </c>
      <c r="N9" s="615" t="s">
        <v>3225</v>
      </c>
      <c r="O9" s="616" t="b">
        <v>0</v>
      </c>
      <c r="P9" s="614">
        <v>0.0</v>
      </c>
      <c r="Q9" s="617" t="s">
        <v>3226</v>
      </c>
      <c r="R9" s="616">
        <f t="shared" si="2"/>
        <v>15000</v>
      </c>
    </row>
    <row r="10">
      <c r="A10" s="614">
        <v>9.0</v>
      </c>
      <c r="B10" s="615" t="s">
        <v>3227</v>
      </c>
      <c r="C10" s="614" t="s">
        <v>3194</v>
      </c>
      <c r="D10" s="614" t="s">
        <v>2</v>
      </c>
      <c r="E10" s="614" t="s">
        <v>3228</v>
      </c>
      <c r="F10" s="614" t="s">
        <v>3195</v>
      </c>
      <c r="G10" s="614" t="s">
        <v>3202</v>
      </c>
      <c r="H10" s="614">
        <v>8.0</v>
      </c>
      <c r="I10" s="614" t="s">
        <v>3203</v>
      </c>
      <c r="J10" s="614" t="s">
        <v>3221</v>
      </c>
      <c r="K10" s="614" t="str">
        <f>IFERROR(__xludf.DUMMYFUNCTION("LET(
  r, C10,
  t, J10,
  cons, LOWER(TO_TEXT(O10))=""true"",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)"),"(2d8kh1+1)*5000 зм")</f>
        <v>(2d8kh1+1)*5000 зм</v>
      </c>
      <c r="L10" s="616" t="str">
        <f t="shared" si="1"/>
        <v>Мажор</v>
      </c>
      <c r="M10" s="614">
        <v>1.0</v>
      </c>
      <c r="N10" s="615">
        <v>0.0</v>
      </c>
      <c r="O10" s="616" t="b">
        <v>0</v>
      </c>
      <c r="P10" s="614">
        <v>1.0</v>
      </c>
      <c r="Q10" s="617" t="s">
        <v>3229</v>
      </c>
      <c r="R10" s="616">
        <f t="shared" si="2"/>
        <v>16500</v>
      </c>
    </row>
    <row r="11">
      <c r="A11" s="614">
        <v>10.0</v>
      </c>
      <c r="B11" s="615" t="s">
        <v>3230</v>
      </c>
      <c r="C11" s="614" t="s">
        <v>3194</v>
      </c>
      <c r="D11" s="614" t="s">
        <v>2</v>
      </c>
      <c r="E11" s="614" t="s">
        <v>42</v>
      </c>
      <c r="F11" s="614" t="s">
        <v>3195</v>
      </c>
      <c r="G11" s="614" t="s">
        <v>3202</v>
      </c>
      <c r="H11" s="614">
        <v>8.0</v>
      </c>
      <c r="I11" s="614" t="s">
        <v>3197</v>
      </c>
      <c r="J11" s="614" t="s">
        <v>3204</v>
      </c>
      <c r="K11" s="614" t="str">
        <f>IFERROR(__xludf.DUMMYFUNCTION("LET(
  r, C11,
  t, J11,
  cons, LOWER(TO_TEXT(O11))=""true"",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11" s="616" t="str">
        <f t="shared" si="1"/>
        <v>Мажор</v>
      </c>
      <c r="M11" s="614">
        <v>1.0</v>
      </c>
      <c r="N11" s="615" t="s">
        <v>3231</v>
      </c>
      <c r="O11" s="616" t="b">
        <v>0</v>
      </c>
      <c r="P11" s="614">
        <v>1.0</v>
      </c>
      <c r="Q11" s="617" t="s">
        <v>3232</v>
      </c>
      <c r="R11" s="616">
        <f t="shared" si="2"/>
        <v>13500</v>
      </c>
    </row>
    <row r="12">
      <c r="A12" s="614">
        <v>11.0</v>
      </c>
      <c r="B12" s="615" t="s">
        <v>3233</v>
      </c>
      <c r="C12" s="614" t="s">
        <v>3194</v>
      </c>
      <c r="D12" s="614" t="s">
        <v>1070</v>
      </c>
      <c r="E12" s="614" t="s">
        <v>1978</v>
      </c>
      <c r="F12" s="614" t="s">
        <v>3234</v>
      </c>
      <c r="G12" s="614" t="s">
        <v>3202</v>
      </c>
      <c r="H12" s="614">
        <v>8.0</v>
      </c>
      <c r="I12" s="614" t="s">
        <v>3197</v>
      </c>
      <c r="J12" s="614" t="s">
        <v>3204</v>
      </c>
      <c r="K12" s="614" t="str">
        <f>IFERROR(__xludf.DUMMYFUNCTION("LET(
  r, C12,
  t, J12,
  cons, LOWER(TO_TEXT(O12))=""true"",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12" s="616" t="str">
        <f t="shared" si="1"/>
        <v>Мажор</v>
      </c>
      <c r="M12" s="614">
        <v>1.0</v>
      </c>
      <c r="N12" s="615">
        <v>0.0</v>
      </c>
      <c r="O12" s="616" t="b">
        <v>0</v>
      </c>
      <c r="P12" s="614">
        <v>1.0</v>
      </c>
      <c r="Q12" s="617" t="s">
        <v>3235</v>
      </c>
      <c r="R12" s="616">
        <f t="shared" si="2"/>
        <v>13500</v>
      </c>
    </row>
    <row r="13">
      <c r="A13" s="614">
        <v>12.0</v>
      </c>
      <c r="B13" s="615" t="s">
        <v>3236</v>
      </c>
      <c r="C13" s="614" t="s">
        <v>3194</v>
      </c>
      <c r="D13" s="614" t="s">
        <v>1070</v>
      </c>
      <c r="E13" s="614" t="s">
        <v>1978</v>
      </c>
      <c r="F13" s="614" t="s">
        <v>3234</v>
      </c>
      <c r="G13" s="614" t="s">
        <v>3214</v>
      </c>
      <c r="H13" s="614">
        <v>8.0</v>
      </c>
      <c r="I13" s="614" t="s">
        <v>3203</v>
      </c>
      <c r="J13" s="614" t="s">
        <v>3237</v>
      </c>
      <c r="K13" s="614" t="str">
        <f>IFERROR(__xludf.DUMMYFUNCTION("LET(
  r, C13,
  t, J13,
  cons, LOWER(TO_TEXT(O13))=""true"",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f>
        <v>—</v>
      </c>
      <c r="L13" s="616" t="str">
        <f t="shared" si="1"/>
        <v>Мажор</v>
      </c>
      <c r="M13" s="614">
        <v>1.0</v>
      </c>
      <c r="N13" s="615">
        <v>0.0</v>
      </c>
      <c r="O13" s="616" t="b">
        <v>0</v>
      </c>
      <c r="P13" s="614">
        <v>0.0</v>
      </c>
      <c r="Q13" s="617" t="s">
        <v>3238</v>
      </c>
      <c r="R13" s="616">
        <f t="shared" si="2"/>
        <v>60000</v>
      </c>
    </row>
    <row r="14">
      <c r="A14" s="614">
        <v>13.0</v>
      </c>
      <c r="B14" s="615" t="s">
        <v>3239</v>
      </c>
      <c r="C14" s="614" t="s">
        <v>3194</v>
      </c>
      <c r="D14" s="614" t="s">
        <v>1070</v>
      </c>
      <c r="E14" s="614" t="s">
        <v>1978</v>
      </c>
      <c r="F14" s="614" t="s">
        <v>3234</v>
      </c>
      <c r="G14" s="614" t="s">
        <v>3207</v>
      </c>
      <c r="H14" s="614">
        <v>8.0</v>
      </c>
      <c r="I14" s="614" t="s">
        <v>3208</v>
      </c>
      <c r="J14" s="614" t="s">
        <v>3204</v>
      </c>
      <c r="K14" s="614" t="str">
        <f>IFERROR(__xludf.DUMMYFUNCTION("LET(
  r, C14,
  t, J14,
  cons, LOWER(TO_TEXT(O14))=""true"",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14" s="616" t="str">
        <f t="shared" si="1"/>
        <v>Мажор</v>
      </c>
      <c r="M14" s="614">
        <v>1.0</v>
      </c>
      <c r="N14" s="615">
        <v>0.0</v>
      </c>
      <c r="O14" s="616" t="b">
        <v>0</v>
      </c>
      <c r="P14" s="614">
        <v>1.0</v>
      </c>
      <c r="Q14" s="617" t="s">
        <v>3240</v>
      </c>
      <c r="R14" s="616">
        <f t="shared" si="2"/>
        <v>13500</v>
      </c>
    </row>
    <row r="15">
      <c r="A15" s="614">
        <v>14.0</v>
      </c>
      <c r="B15" s="615" t="s">
        <v>3241</v>
      </c>
      <c r="C15" s="614" t="s">
        <v>3194</v>
      </c>
      <c r="D15" s="614" t="s">
        <v>1070</v>
      </c>
      <c r="E15" s="614" t="s">
        <v>1978</v>
      </c>
      <c r="F15" s="614" t="s">
        <v>3234</v>
      </c>
      <c r="G15" s="614" t="s">
        <v>3202</v>
      </c>
      <c r="H15" s="614">
        <v>8.0</v>
      </c>
      <c r="I15" s="614" t="s">
        <v>3197</v>
      </c>
      <c r="J15" s="614" t="s">
        <v>3218</v>
      </c>
      <c r="K15" s="614" t="str">
        <f>IFERROR(__xludf.DUMMYFUNCTION("LET(
  r, C15,
  t, J15,
  cons, LOWER(TO_TEXT(O15))=""true"",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)"),"(1d8+1)*5000 зм")</f>
        <v>(1d8+1)*5000 зм</v>
      </c>
      <c r="L15" s="616" t="str">
        <f t="shared" si="1"/>
        <v>Мажор</v>
      </c>
      <c r="M15" s="614">
        <v>1.0</v>
      </c>
      <c r="N15" s="615">
        <v>0.0</v>
      </c>
      <c r="O15" s="616" t="b">
        <v>0</v>
      </c>
      <c r="P15" s="614">
        <v>0.0</v>
      </c>
      <c r="Q15" s="617" t="s">
        <v>3242</v>
      </c>
      <c r="R15" s="616">
        <f t="shared" si="2"/>
        <v>15000</v>
      </c>
    </row>
    <row r="16">
      <c r="A16" s="614">
        <v>15.0</v>
      </c>
      <c r="B16" s="615" t="s">
        <v>3243</v>
      </c>
      <c r="C16" s="614" t="s">
        <v>3194</v>
      </c>
      <c r="D16" s="614" t="s">
        <v>1070</v>
      </c>
      <c r="E16" s="614" t="s">
        <v>1978</v>
      </c>
      <c r="F16" s="614" t="s">
        <v>3234</v>
      </c>
      <c r="G16" s="614" t="s">
        <v>3244</v>
      </c>
      <c r="H16" s="614">
        <v>7.0</v>
      </c>
      <c r="I16" s="614" t="s">
        <v>3208</v>
      </c>
      <c r="J16" s="614" t="s">
        <v>3218</v>
      </c>
      <c r="K16" s="614" t="str">
        <f>IFERROR(__xludf.DUMMYFUNCTION("LET(
  r, C16,
  t, J16,
  cons, LOWER(TO_TEXT(O16))=""true"",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)"),"(1d8+1)*2500 зм")</f>
        <v>(1d8+1)*2500 зм</v>
      </c>
      <c r="L16" s="616" t="str">
        <f t="shared" si="1"/>
        <v>Минор</v>
      </c>
      <c r="M16" s="614">
        <v>0.0</v>
      </c>
      <c r="N16" s="615">
        <v>0.0</v>
      </c>
      <c r="O16" s="616" t="b">
        <v>1</v>
      </c>
      <c r="P16" s="614">
        <v>1.0</v>
      </c>
      <c r="Q16" s="617" t="s">
        <v>3245</v>
      </c>
      <c r="R16" s="616">
        <f t="shared" si="2"/>
        <v>7500</v>
      </c>
    </row>
    <row r="17">
      <c r="A17" s="614">
        <v>16.0</v>
      </c>
      <c r="B17" s="615" t="s">
        <v>3246</v>
      </c>
      <c r="C17" s="614" t="s">
        <v>3194</v>
      </c>
      <c r="D17" s="614" t="s">
        <v>3247</v>
      </c>
      <c r="E17" s="614"/>
      <c r="F17" s="614" t="s">
        <v>3195</v>
      </c>
      <c r="G17" s="614" t="s">
        <v>3214</v>
      </c>
      <c r="H17" s="614">
        <v>8.0</v>
      </c>
      <c r="I17" s="614" t="s">
        <v>3203</v>
      </c>
      <c r="J17" s="614" t="s">
        <v>3221</v>
      </c>
      <c r="K17" s="614" t="str">
        <f>IFERROR(__xludf.DUMMYFUNCTION("LET(
  r, C17,
  t, J17,
  cons, LOWER(TO_TEXT(O17))=""true"",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)"),"(2d8kh1+1)*5000 зм")</f>
        <v>(2d8kh1+1)*5000 зм</v>
      </c>
      <c r="L17" s="616" t="str">
        <f t="shared" si="1"/>
        <v>Мажор</v>
      </c>
      <c r="M17" s="614">
        <v>1.0</v>
      </c>
      <c r="N17" s="615" t="s">
        <v>3248</v>
      </c>
      <c r="O17" s="616" t="b">
        <v>0</v>
      </c>
      <c r="P17" s="614">
        <v>1.0</v>
      </c>
      <c r="Q17" s="617" t="s">
        <v>3249</v>
      </c>
      <c r="R17" s="616">
        <f t="shared" si="2"/>
        <v>16500</v>
      </c>
    </row>
    <row r="18">
      <c r="A18" s="614">
        <v>17.0</v>
      </c>
      <c r="B18" s="615" t="s">
        <v>3250</v>
      </c>
      <c r="C18" s="614" t="s">
        <v>3194</v>
      </c>
      <c r="D18" s="614" t="s">
        <v>3247</v>
      </c>
      <c r="E18" s="614"/>
      <c r="F18" s="614" t="s">
        <v>3195</v>
      </c>
      <c r="G18" s="614" t="s">
        <v>3202</v>
      </c>
      <c r="H18" s="614">
        <v>7.0</v>
      </c>
      <c r="I18" s="614" t="s">
        <v>3203</v>
      </c>
      <c r="J18" s="614" t="s">
        <v>3237</v>
      </c>
      <c r="K18" s="614" t="str">
        <f>IFERROR(__xludf.DUMMYFUNCTION("LET(
  r, C18,
  t, J18,
  cons, LOWER(TO_TEXT(O18))=""true"",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f>
        <v>—</v>
      </c>
      <c r="L18" s="616" t="str">
        <f t="shared" si="1"/>
        <v>Минор</v>
      </c>
      <c r="M18" s="614">
        <v>0.0</v>
      </c>
      <c r="N18" s="615">
        <v>0.0</v>
      </c>
      <c r="O18" s="616" t="b">
        <v>0</v>
      </c>
      <c r="P18" s="614">
        <v>0.0</v>
      </c>
      <c r="Q18" s="617" t="s">
        <v>3251</v>
      </c>
      <c r="R18" s="616">
        <f t="shared" si="2"/>
        <v>30000</v>
      </c>
    </row>
    <row r="19">
      <c r="A19" s="614">
        <v>18.0</v>
      </c>
      <c r="B19" s="615" t="s">
        <v>3252</v>
      </c>
      <c r="C19" s="614" t="s">
        <v>3194</v>
      </c>
      <c r="D19" s="614" t="s">
        <v>3247</v>
      </c>
      <c r="E19" s="614"/>
      <c r="F19" s="614" t="s">
        <v>3195</v>
      </c>
      <c r="G19" s="614" t="s">
        <v>3202</v>
      </c>
      <c r="H19" s="614">
        <v>8.0</v>
      </c>
      <c r="I19" s="614" t="s">
        <v>3203</v>
      </c>
      <c r="J19" s="614" t="s">
        <v>3253</v>
      </c>
      <c r="K19" s="614" t="str">
        <f>IFERROR(__xludf.DUMMYFUNCTION("LET(
  r, C19,
  t, J19,
  cons, LOWER(TO_TEXT(O19))=""true"",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)"),"45000 зм")</f>
        <v>45000 зм</v>
      </c>
      <c r="L19" s="616" t="str">
        <f t="shared" si="1"/>
        <v>Мажор</v>
      </c>
      <c r="M19" s="614">
        <v>1.0</v>
      </c>
      <c r="N19" s="615">
        <v>1.0</v>
      </c>
      <c r="O19" s="616" t="b">
        <v>0</v>
      </c>
      <c r="P19" s="614">
        <v>0.0</v>
      </c>
      <c r="Q19" s="617" t="s">
        <v>3254</v>
      </c>
      <c r="R19" s="616">
        <f t="shared" si="2"/>
        <v>18000</v>
      </c>
    </row>
    <row r="20">
      <c r="A20" s="614">
        <v>19.0</v>
      </c>
      <c r="B20" s="615" t="s">
        <v>3255</v>
      </c>
      <c r="C20" s="614" t="s">
        <v>3194</v>
      </c>
      <c r="D20" s="614" t="s">
        <v>1070</v>
      </c>
      <c r="E20" s="614" t="s">
        <v>1978</v>
      </c>
      <c r="F20" s="614" t="s">
        <v>3234</v>
      </c>
      <c r="G20" s="614" t="s">
        <v>3256</v>
      </c>
      <c r="H20" s="614">
        <v>8.0</v>
      </c>
      <c r="I20" s="614" t="s">
        <v>692</v>
      </c>
      <c r="J20" s="614" t="s">
        <v>3257</v>
      </c>
      <c r="K20" s="614" t="str">
        <f>IFERROR(__xludf.DUMMYFUNCTION("LET(
  r, C20,
  t, J20,
  cons, LOWER(TO_TEXT(O20))=""true"",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)"),"10000 зм")</f>
        <v>10000 зм</v>
      </c>
      <c r="L20" s="616" t="str">
        <f t="shared" si="1"/>
        <v>Мажор</v>
      </c>
      <c r="M20" s="614">
        <v>1.0</v>
      </c>
      <c r="N20" s="615">
        <v>0.0</v>
      </c>
      <c r="O20" s="616" t="b">
        <v>0</v>
      </c>
      <c r="P20" s="614">
        <v>1.0</v>
      </c>
      <c r="Q20" s="617" t="s">
        <v>3258</v>
      </c>
      <c r="R20" s="616">
        <f t="shared" si="2"/>
        <v>12000</v>
      </c>
    </row>
    <row r="21">
      <c r="A21" s="614">
        <v>20.0</v>
      </c>
      <c r="B21" s="615" t="s">
        <v>3259</v>
      </c>
      <c r="C21" s="614" t="s">
        <v>3194</v>
      </c>
      <c r="D21" s="614" t="s">
        <v>1070</v>
      </c>
      <c r="E21" s="614" t="s">
        <v>650</v>
      </c>
      <c r="F21" s="614" t="s">
        <v>3217</v>
      </c>
      <c r="G21" s="614" t="s">
        <v>3202</v>
      </c>
      <c r="H21" s="614">
        <v>8.0</v>
      </c>
      <c r="I21" s="614" t="s">
        <v>692</v>
      </c>
      <c r="J21" s="614" t="s">
        <v>3218</v>
      </c>
      <c r="K21" s="614" t="str">
        <f>IFERROR(__xludf.DUMMYFUNCTION("LET(
  r, C21,
  t, J21,
  cons, LOWER(TO_TEXT(O21))=""true"",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)"),"(1d8+1)*5000 зм")</f>
        <v>(1d8+1)*5000 зм</v>
      </c>
      <c r="L21" s="616" t="str">
        <f t="shared" si="1"/>
        <v>Мажор</v>
      </c>
      <c r="M21" s="614">
        <v>1.0</v>
      </c>
      <c r="N21" s="615">
        <v>0.0</v>
      </c>
      <c r="O21" s="616" t="b">
        <v>0</v>
      </c>
      <c r="P21" s="614">
        <v>1.0</v>
      </c>
      <c r="Q21" s="617" t="s">
        <v>3260</v>
      </c>
      <c r="R21" s="616">
        <f t="shared" si="2"/>
        <v>15000</v>
      </c>
    </row>
    <row r="22">
      <c r="A22" s="614">
        <v>21.0</v>
      </c>
      <c r="B22" s="615" t="s">
        <v>3250</v>
      </c>
      <c r="C22" s="614" t="s">
        <v>3194</v>
      </c>
      <c r="D22" s="614" t="s">
        <v>3247</v>
      </c>
      <c r="E22" s="614"/>
      <c r="F22" s="614" t="s">
        <v>3195</v>
      </c>
      <c r="G22" s="614" t="s">
        <v>3202</v>
      </c>
      <c r="H22" s="614">
        <v>7.0</v>
      </c>
      <c r="I22" s="614" t="s">
        <v>3203</v>
      </c>
      <c r="J22" s="614" t="s">
        <v>3218</v>
      </c>
      <c r="K22" s="614" t="str">
        <f>IFERROR(__xludf.DUMMYFUNCTION("LET(
  r, C22,
  t, J22,
  cons, LOWER(TO_TEXT(O22))=""true"",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)"),"(1d8+1)*5000 зм")</f>
        <v>(1d8+1)*5000 зм</v>
      </c>
      <c r="L22" s="616" t="str">
        <f t="shared" si="1"/>
        <v>Минор</v>
      </c>
      <c r="M22" s="614">
        <v>1.0</v>
      </c>
      <c r="N22" s="615">
        <v>0.0</v>
      </c>
      <c r="O22" s="616" t="b">
        <v>0</v>
      </c>
      <c r="P22" s="614">
        <v>1.0</v>
      </c>
      <c r="Q22" s="617" t="s">
        <v>3251</v>
      </c>
      <c r="R22" s="616">
        <f t="shared" si="2"/>
        <v>7500</v>
      </c>
    </row>
    <row r="23">
      <c r="A23" s="614">
        <v>22.0</v>
      </c>
      <c r="B23" s="615" t="s">
        <v>3261</v>
      </c>
      <c r="C23" s="614" t="s">
        <v>3194</v>
      </c>
      <c r="D23" s="614" t="s">
        <v>1070</v>
      </c>
      <c r="E23" s="614" t="s">
        <v>1978</v>
      </c>
      <c r="F23" s="614" t="s">
        <v>3234</v>
      </c>
      <c r="G23" s="614" t="s">
        <v>3214</v>
      </c>
      <c r="H23" s="614">
        <v>8.0</v>
      </c>
      <c r="I23" s="614" t="s">
        <v>3203</v>
      </c>
      <c r="J23" s="614" t="s">
        <v>3221</v>
      </c>
      <c r="K23" s="614" t="str">
        <f>IFERROR(__xludf.DUMMYFUNCTION("LET(
  r, C23,
  t, J23,
  cons, LOWER(TO_TEXT(O23))=""true"",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)"),"(2d8kh1+1)*5000 зм")</f>
        <v>(2d8kh1+1)*5000 зм</v>
      </c>
      <c r="L23" s="616" t="str">
        <f t="shared" si="1"/>
        <v>Мажор</v>
      </c>
      <c r="M23" s="614">
        <v>1.0</v>
      </c>
      <c r="N23" s="615">
        <v>0.0</v>
      </c>
      <c r="O23" s="616" t="b">
        <v>0</v>
      </c>
      <c r="P23" s="614">
        <v>1.0</v>
      </c>
      <c r="Q23" s="617" t="s">
        <v>3262</v>
      </c>
      <c r="R23" s="616">
        <f t="shared" si="2"/>
        <v>16500</v>
      </c>
    </row>
    <row r="24">
      <c r="A24" s="614">
        <v>23.0</v>
      </c>
      <c r="B24" s="615" t="s">
        <v>3263</v>
      </c>
      <c r="C24" s="614" t="s">
        <v>3194</v>
      </c>
      <c r="D24" s="614" t="s">
        <v>2</v>
      </c>
      <c r="E24" s="614" t="s">
        <v>54</v>
      </c>
      <c r="F24" s="614" t="s">
        <v>3195</v>
      </c>
      <c r="G24" s="614" t="s">
        <v>3214</v>
      </c>
      <c r="H24" s="614">
        <v>8.0</v>
      </c>
      <c r="I24" s="614" t="s">
        <v>692</v>
      </c>
      <c r="J24" s="614" t="s">
        <v>3221</v>
      </c>
      <c r="K24" s="614" t="str">
        <f>IFERROR(__xludf.DUMMYFUNCTION("LET(
  r, C24,
  t, J24,
  cons, LOWER(TO_TEXT(O24))=""true"",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)"),"(2d8kh1+1)*5000 зм")</f>
        <v>(2d8kh1+1)*5000 зм</v>
      </c>
      <c r="L24" s="616" t="str">
        <f t="shared" si="1"/>
        <v>Мажор</v>
      </c>
      <c r="M24" s="614">
        <v>0.0</v>
      </c>
      <c r="N24" s="615">
        <v>0.0</v>
      </c>
      <c r="O24" s="616" t="b">
        <v>0</v>
      </c>
      <c r="P24" s="614">
        <v>1.0</v>
      </c>
      <c r="Q24" s="617" t="s">
        <v>3264</v>
      </c>
      <c r="R24" s="616">
        <f t="shared" si="2"/>
        <v>16500</v>
      </c>
    </row>
    <row r="25">
      <c r="A25" s="614">
        <v>24.0</v>
      </c>
      <c r="B25" s="615" t="s">
        <v>3265</v>
      </c>
      <c r="C25" s="614" t="s">
        <v>3194</v>
      </c>
      <c r="D25" s="614" t="s">
        <v>1913</v>
      </c>
      <c r="E25" s="614"/>
      <c r="F25" s="614" t="s">
        <v>26</v>
      </c>
      <c r="G25" s="614" t="s">
        <v>3244</v>
      </c>
      <c r="H25" s="614">
        <v>7.0</v>
      </c>
      <c r="I25" s="614" t="s">
        <v>3203</v>
      </c>
      <c r="J25" s="614" t="s">
        <v>3218</v>
      </c>
      <c r="K25" s="614" t="str">
        <f>IFERROR(__xludf.DUMMYFUNCTION("LET(
  r, C25,
  t, J25,
  cons, LOWER(TO_TEXT(O25))=""true"",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)"),"(1d8+1)*2500 зм")</f>
        <v>(1d8+1)*2500 зм</v>
      </c>
      <c r="L25" s="616" t="str">
        <f t="shared" si="1"/>
        <v>Минор</v>
      </c>
      <c r="M25" s="614">
        <v>0.0</v>
      </c>
      <c r="N25" s="615">
        <v>0.0</v>
      </c>
      <c r="O25" s="616" t="b">
        <v>1</v>
      </c>
      <c r="P25" s="614">
        <v>0.0</v>
      </c>
      <c r="Q25" s="617" t="s">
        <v>3266</v>
      </c>
      <c r="R25" s="616">
        <f t="shared" si="2"/>
        <v>7500</v>
      </c>
    </row>
    <row r="26">
      <c r="A26" s="614">
        <v>25.0</v>
      </c>
      <c r="B26" s="615" t="s">
        <v>3267</v>
      </c>
      <c r="C26" s="614" t="s">
        <v>3194</v>
      </c>
      <c r="D26" s="614" t="s">
        <v>2</v>
      </c>
      <c r="E26" s="614" t="s">
        <v>3228</v>
      </c>
      <c r="F26" s="614" t="s">
        <v>3195</v>
      </c>
      <c r="G26" s="614" t="s">
        <v>3214</v>
      </c>
      <c r="H26" s="614">
        <v>8.0</v>
      </c>
      <c r="I26" s="614" t="s">
        <v>692</v>
      </c>
      <c r="J26" s="614" t="s">
        <v>3218</v>
      </c>
      <c r="K26" s="614" t="str">
        <f>IFERROR(__xludf.DUMMYFUNCTION("LET(
  r, C26,
  t, J26,
  cons, LOWER(TO_TEXT(O26))=""true"",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)"),"(1d8+1)*5000 зм")</f>
        <v>(1d8+1)*5000 зм</v>
      </c>
      <c r="L26" s="616" t="str">
        <f t="shared" si="1"/>
        <v>Мажор</v>
      </c>
      <c r="M26" s="616"/>
      <c r="N26" s="615">
        <v>0.0</v>
      </c>
      <c r="O26" s="616" t="b">
        <v>0</v>
      </c>
      <c r="P26" s="614">
        <v>1.0</v>
      </c>
      <c r="Q26" s="617" t="s">
        <v>3268</v>
      </c>
      <c r="R26" s="616">
        <f t="shared" si="2"/>
        <v>15000</v>
      </c>
    </row>
    <row r="27">
      <c r="A27" s="614">
        <v>26.0</v>
      </c>
      <c r="B27" s="615" t="s">
        <v>3269</v>
      </c>
      <c r="C27" s="614" t="s">
        <v>3194</v>
      </c>
      <c r="D27" s="614" t="s">
        <v>2</v>
      </c>
      <c r="E27" s="614" t="s">
        <v>3228</v>
      </c>
      <c r="F27" s="614" t="s">
        <v>3195</v>
      </c>
      <c r="G27" s="614" t="s">
        <v>3214</v>
      </c>
      <c r="H27" s="614">
        <v>8.0</v>
      </c>
      <c r="I27" s="614" t="s">
        <v>3203</v>
      </c>
      <c r="J27" s="614" t="s">
        <v>3237</v>
      </c>
      <c r="K27" s="614" t="str">
        <f>IFERROR(__xludf.DUMMYFUNCTION("LET(
  r, C27,
  t, J27,
  cons, LOWER(TO_TEXT(O27))=""true"",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f>
        <v>—</v>
      </c>
      <c r="L27" s="616" t="str">
        <f t="shared" si="1"/>
        <v>Мажор</v>
      </c>
      <c r="M27" s="616"/>
      <c r="N27" s="615">
        <v>0.0</v>
      </c>
      <c r="O27" s="616" t="b">
        <v>0</v>
      </c>
      <c r="P27" s="614">
        <v>0.0</v>
      </c>
      <c r="Q27" s="617" t="s">
        <v>3270</v>
      </c>
      <c r="R27" s="616">
        <f t="shared" si="2"/>
        <v>60000</v>
      </c>
    </row>
    <row r="28">
      <c r="A28" s="614">
        <v>27.0</v>
      </c>
      <c r="B28" s="615" t="s">
        <v>3271</v>
      </c>
      <c r="C28" s="614" t="s">
        <v>3194</v>
      </c>
      <c r="D28" s="614" t="s">
        <v>1913</v>
      </c>
      <c r="E28" s="614"/>
      <c r="F28" s="614" t="s">
        <v>3272</v>
      </c>
      <c r="G28" s="614" t="s">
        <v>3207</v>
      </c>
      <c r="H28" s="614">
        <v>7.0</v>
      </c>
      <c r="I28" s="614" t="s">
        <v>3208</v>
      </c>
      <c r="J28" s="614" t="s">
        <v>3204</v>
      </c>
      <c r="K28" s="614" t="str">
        <f>IFERROR(__xludf.DUMMYFUNCTION("LET(
  r, C28,
  t, J28,
  cons, LOWER(TO_TEXT(O28))=""true"",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28" s="616" t="str">
        <f t="shared" si="1"/>
        <v>Минор</v>
      </c>
      <c r="M28" s="616"/>
      <c r="N28" s="615">
        <v>0.0</v>
      </c>
      <c r="O28" s="616" t="b">
        <v>0</v>
      </c>
      <c r="P28" s="614">
        <v>0.0</v>
      </c>
      <c r="Q28" s="614" t="s">
        <v>3273</v>
      </c>
      <c r="R28" s="616">
        <f t="shared" si="2"/>
        <v>6750</v>
      </c>
    </row>
    <row r="29">
      <c r="A29" s="614">
        <v>28.0</v>
      </c>
      <c r="B29" s="615" t="s">
        <v>3274</v>
      </c>
      <c r="C29" s="614" t="s">
        <v>3194</v>
      </c>
      <c r="D29" s="614" t="s">
        <v>1913</v>
      </c>
      <c r="E29" s="614"/>
      <c r="F29" s="614" t="s">
        <v>3195</v>
      </c>
      <c r="G29" s="614" t="s">
        <v>3207</v>
      </c>
      <c r="H29" s="614">
        <v>8.0</v>
      </c>
      <c r="I29" s="614" t="s">
        <v>3203</v>
      </c>
      <c r="J29" s="614" t="s">
        <v>3221</v>
      </c>
      <c r="K29" s="614" t="str">
        <f>IFERROR(__xludf.DUMMYFUNCTION("LET(
  r, C29,
  t, J29,
  cons, LOWER(TO_TEXT(O29))=""true"",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)"),"(2d8kh1+1)*5000 зм")</f>
        <v>(2d8kh1+1)*5000 зм</v>
      </c>
      <c r="L29" s="616" t="str">
        <f t="shared" si="1"/>
        <v>Мажор</v>
      </c>
      <c r="M29" s="616"/>
      <c r="N29" s="615">
        <v>1.0</v>
      </c>
      <c r="O29" s="616" t="b">
        <v>0</v>
      </c>
      <c r="P29" s="614">
        <v>1.0</v>
      </c>
      <c r="Q29" s="617" t="s">
        <v>3275</v>
      </c>
      <c r="R29" s="616">
        <f t="shared" si="2"/>
        <v>16500</v>
      </c>
    </row>
    <row r="30">
      <c r="A30" s="614">
        <v>29.0</v>
      </c>
      <c r="B30" s="615" t="s">
        <v>3276</v>
      </c>
      <c r="C30" s="614" t="s">
        <v>3194</v>
      </c>
      <c r="D30" s="614" t="s">
        <v>1913</v>
      </c>
      <c r="E30" s="614"/>
      <c r="F30" s="614" t="s">
        <v>3217</v>
      </c>
      <c r="G30" s="614" t="s">
        <v>3202</v>
      </c>
      <c r="H30" s="614">
        <v>7.0</v>
      </c>
      <c r="I30" s="614" t="s">
        <v>692</v>
      </c>
      <c r="J30" s="614" t="s">
        <v>3218</v>
      </c>
      <c r="K30" s="614" t="str">
        <f>IFERROR(__xludf.DUMMYFUNCTION("LET(
  r, C30,
  t, J30,
  cons, LOWER(TO_TEXT(O30))=""true"",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)"),"(1d8+1)*5000 зм")</f>
        <v>(1d8+1)*5000 зм</v>
      </c>
      <c r="L30" s="616" t="str">
        <f t="shared" si="1"/>
        <v>Минор</v>
      </c>
      <c r="M30" s="616"/>
      <c r="N30" s="615">
        <v>0.0</v>
      </c>
      <c r="O30" s="616" t="b">
        <v>0</v>
      </c>
      <c r="P30" s="614">
        <v>0.0</v>
      </c>
      <c r="Q30" s="617" t="s">
        <v>3277</v>
      </c>
      <c r="R30" s="616">
        <f t="shared" si="2"/>
        <v>7500</v>
      </c>
    </row>
    <row r="31">
      <c r="A31" s="614">
        <v>30.0</v>
      </c>
      <c r="B31" s="615" t="s">
        <v>3278</v>
      </c>
      <c r="C31" s="614" t="s">
        <v>3194</v>
      </c>
      <c r="D31" s="614" t="s">
        <v>1913</v>
      </c>
      <c r="E31" s="614"/>
      <c r="F31" s="614" t="s">
        <v>3195</v>
      </c>
      <c r="G31" s="614" t="s">
        <v>3214</v>
      </c>
      <c r="H31" s="614">
        <v>8.0</v>
      </c>
      <c r="I31" s="614" t="s">
        <v>3208</v>
      </c>
      <c r="J31" s="614" t="s">
        <v>3257</v>
      </c>
      <c r="K31" s="614" t="str">
        <f>IFERROR(__xludf.DUMMYFUNCTION("LET(
  r, C31,
  t, J31,
  cons, LOWER(TO_TEXT(O31))=""true"",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)"),"10000 зм")</f>
        <v>10000 зм</v>
      </c>
      <c r="L31" s="616" t="str">
        <f t="shared" si="1"/>
        <v>Мажор</v>
      </c>
      <c r="M31" s="616"/>
      <c r="N31" s="615">
        <v>0.0</v>
      </c>
      <c r="O31" s="616" t="b">
        <v>0</v>
      </c>
      <c r="P31" s="614">
        <v>1.0</v>
      </c>
      <c r="Q31" s="617" t="s">
        <v>3279</v>
      </c>
      <c r="R31" s="616">
        <f t="shared" si="2"/>
        <v>12000</v>
      </c>
    </row>
    <row r="32">
      <c r="A32" s="614">
        <v>31.0</v>
      </c>
      <c r="B32" s="615" t="s">
        <v>3280</v>
      </c>
      <c r="C32" s="614" t="s">
        <v>3194</v>
      </c>
      <c r="D32" s="614" t="s">
        <v>1913</v>
      </c>
      <c r="E32" s="614"/>
      <c r="F32" s="614" t="s">
        <v>26</v>
      </c>
      <c r="G32" s="614" t="s">
        <v>3214</v>
      </c>
      <c r="H32" s="614">
        <v>7.0</v>
      </c>
      <c r="I32" s="614" t="s">
        <v>3208</v>
      </c>
      <c r="J32" s="614" t="s">
        <v>3257</v>
      </c>
      <c r="K32" s="614" t="str">
        <f>IFERROR(__xludf.DUMMYFUNCTION("LET(
  r, C32,
  t, J32,
  cons, LOWER(TO_TEXT(O32))=""true"",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)"),"10000 зм")</f>
        <v>10000 зм</v>
      </c>
      <c r="L32" s="616" t="str">
        <f t="shared" si="1"/>
        <v>Минор</v>
      </c>
      <c r="M32" s="616"/>
      <c r="N32" s="615">
        <v>0.0</v>
      </c>
      <c r="O32" s="616" t="b">
        <v>0</v>
      </c>
      <c r="P32" s="614">
        <v>1.0</v>
      </c>
      <c r="Q32" s="617" t="s">
        <v>3281</v>
      </c>
      <c r="R32" s="616">
        <f t="shared" si="2"/>
        <v>6000</v>
      </c>
    </row>
    <row r="33">
      <c r="A33" s="614">
        <v>32.0</v>
      </c>
      <c r="B33" s="615" t="s">
        <v>3282</v>
      </c>
      <c r="C33" s="614" t="s">
        <v>3194</v>
      </c>
      <c r="D33" s="614" t="s">
        <v>3283</v>
      </c>
      <c r="E33" s="614"/>
      <c r="F33" s="614" t="s">
        <v>3283</v>
      </c>
      <c r="G33" s="614" t="s">
        <v>3207</v>
      </c>
      <c r="H33" s="614">
        <v>8.0</v>
      </c>
      <c r="I33" s="614" t="s">
        <v>692</v>
      </c>
      <c r="J33" s="614" t="s">
        <v>3253</v>
      </c>
      <c r="K33" s="614" t="str">
        <f>IFERROR(__xludf.DUMMYFUNCTION("LET(
  r, C33,
  t, J33,
  cons, LOWER(TO_TEXT(O33))=""true"",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)"),"45000 зм")</f>
        <v>45000 зм</v>
      </c>
      <c r="L33" s="616" t="str">
        <f t="shared" si="1"/>
        <v>Мажор</v>
      </c>
      <c r="M33" s="616"/>
      <c r="N33" s="615">
        <v>0.0</v>
      </c>
      <c r="O33" s="616" t="b">
        <v>0</v>
      </c>
      <c r="P33" s="614">
        <v>0.0</v>
      </c>
      <c r="Q33" s="617" t="s">
        <v>3284</v>
      </c>
      <c r="R33" s="616">
        <f t="shared" si="2"/>
        <v>18000</v>
      </c>
    </row>
    <row r="34">
      <c r="A34" s="614">
        <v>33.0</v>
      </c>
      <c r="B34" s="615" t="s">
        <v>3285</v>
      </c>
      <c r="C34" s="614" t="s">
        <v>3194</v>
      </c>
      <c r="D34" s="614" t="s">
        <v>3283</v>
      </c>
      <c r="E34" s="614"/>
      <c r="F34" s="614" t="s">
        <v>3283</v>
      </c>
      <c r="G34" s="614" t="s">
        <v>3202</v>
      </c>
      <c r="H34" s="614">
        <v>8.0</v>
      </c>
      <c r="I34" s="614" t="s">
        <v>3286</v>
      </c>
      <c r="J34" s="614" t="s">
        <v>3286</v>
      </c>
      <c r="K34" s="614" t="str">
        <f>IFERROR(__xludf.DUMMYFUNCTION("LET(
  r, C34,
  t, J34,
  cons, LOWER(TO_TEXT(O34))=""true"",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)"),"(1d8+1)*5000 зм")</f>
        <v>(1d8+1)*5000 зм</v>
      </c>
      <c r="L34" s="616" t="str">
        <f t="shared" si="1"/>
        <v>Мажор</v>
      </c>
      <c r="M34" s="616"/>
      <c r="N34" s="615">
        <v>1.0</v>
      </c>
      <c r="O34" s="616" t="b">
        <v>0</v>
      </c>
      <c r="P34" s="614">
        <v>1.0</v>
      </c>
      <c r="Q34" s="617" t="s">
        <v>3287</v>
      </c>
      <c r="R34" s="616">
        <f t="shared" si="2"/>
        <v>15000</v>
      </c>
    </row>
    <row r="35">
      <c r="A35" s="614">
        <v>34.0</v>
      </c>
      <c r="B35" s="615" t="s">
        <v>3288</v>
      </c>
      <c r="C35" s="614" t="s">
        <v>3194</v>
      </c>
      <c r="D35" s="614" t="s">
        <v>3283</v>
      </c>
      <c r="E35" s="614"/>
      <c r="F35" s="614" t="s">
        <v>3283</v>
      </c>
      <c r="G35" s="614" t="s">
        <v>3202</v>
      </c>
      <c r="H35" s="614">
        <v>7.0</v>
      </c>
      <c r="I35" s="614" t="s">
        <v>3208</v>
      </c>
      <c r="J35" s="614" t="s">
        <v>3221</v>
      </c>
      <c r="K35" s="614" t="str">
        <f>IFERROR(__xludf.DUMMYFUNCTION("LET(
  r, C35,
  t, J35,
  cons, LOWER(TO_TEXT(O35))=""true"",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)"),"(2d8kh1+1)*5000 зм")</f>
        <v>(2d8kh1+1)*5000 зм</v>
      </c>
      <c r="L35" s="616" t="str">
        <f t="shared" si="1"/>
        <v>Минор</v>
      </c>
      <c r="M35" s="616"/>
      <c r="N35" s="615">
        <v>1.0</v>
      </c>
      <c r="O35" s="616" t="b">
        <v>0</v>
      </c>
      <c r="P35" s="614">
        <v>0.0</v>
      </c>
      <c r="Q35" s="617" t="s">
        <v>3289</v>
      </c>
      <c r="R35" s="616">
        <f t="shared" si="2"/>
        <v>8250</v>
      </c>
    </row>
    <row r="36">
      <c r="A36" s="614">
        <v>35.0</v>
      </c>
      <c r="B36" s="615" t="s">
        <v>3290</v>
      </c>
      <c r="C36" s="614" t="s">
        <v>3194</v>
      </c>
      <c r="D36" s="614" t="s">
        <v>3283</v>
      </c>
      <c r="E36" s="614"/>
      <c r="F36" s="614" t="s">
        <v>3283</v>
      </c>
      <c r="G36" s="614" t="s">
        <v>3202</v>
      </c>
      <c r="H36" s="614">
        <v>7.0</v>
      </c>
      <c r="I36" s="614" t="s">
        <v>3208</v>
      </c>
      <c r="J36" s="614" t="s">
        <v>3257</v>
      </c>
      <c r="K36" s="614" t="str">
        <f>IFERROR(__xludf.DUMMYFUNCTION("LET(
  r, C36,
  t, J36,
  cons, LOWER(TO_TEXT(O36))=""true"",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)"),"10000 зм")</f>
        <v>10000 зм</v>
      </c>
      <c r="L36" s="616" t="str">
        <f t="shared" si="1"/>
        <v>Минор</v>
      </c>
      <c r="M36" s="616"/>
      <c r="N36" s="615">
        <v>1.0</v>
      </c>
      <c r="O36" s="616" t="b">
        <v>0</v>
      </c>
      <c r="P36" s="614">
        <v>0.0</v>
      </c>
      <c r="Q36" s="617" t="s">
        <v>3291</v>
      </c>
      <c r="R36" s="616">
        <f t="shared" si="2"/>
        <v>6000</v>
      </c>
    </row>
    <row r="37">
      <c r="A37" s="614">
        <v>36.0</v>
      </c>
      <c r="B37" s="615" t="s">
        <v>3292</v>
      </c>
      <c r="C37" s="614" t="s">
        <v>3194</v>
      </c>
      <c r="D37" s="614" t="s">
        <v>1913</v>
      </c>
      <c r="E37" s="614"/>
      <c r="F37" s="614" t="s">
        <v>3217</v>
      </c>
      <c r="G37" s="614" t="s">
        <v>3293</v>
      </c>
      <c r="H37" s="614">
        <v>7.0</v>
      </c>
      <c r="I37" s="614" t="s">
        <v>3208</v>
      </c>
      <c r="J37" s="614" t="s">
        <v>3204</v>
      </c>
      <c r="K37" s="614" t="str">
        <f>IFERROR(__xludf.DUMMYFUNCTION("LET(
  r, C37,
  t, J37,
  cons, LOWER(TO_TEXT(O37))=""true"",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37" s="616" t="str">
        <f t="shared" si="1"/>
        <v>Минор</v>
      </c>
      <c r="M37" s="616"/>
      <c r="N37" s="615" t="s">
        <v>3294</v>
      </c>
      <c r="O37" s="616" t="b">
        <v>0</v>
      </c>
      <c r="P37" s="614">
        <v>0.0</v>
      </c>
      <c r="Q37" s="617" t="s">
        <v>3295</v>
      </c>
      <c r="R37" s="616">
        <f t="shared" si="2"/>
        <v>6750</v>
      </c>
    </row>
    <row r="38">
      <c r="A38" s="614">
        <v>37.0</v>
      </c>
      <c r="B38" s="615" t="s">
        <v>3296</v>
      </c>
      <c r="C38" s="614" t="s">
        <v>3194</v>
      </c>
      <c r="D38" s="614" t="s">
        <v>1913</v>
      </c>
      <c r="E38" s="614"/>
      <c r="F38" s="614" t="s">
        <v>3195</v>
      </c>
      <c r="G38" s="614" t="s">
        <v>3293</v>
      </c>
      <c r="H38" s="614">
        <v>8.0</v>
      </c>
      <c r="I38" s="614" t="s">
        <v>3203</v>
      </c>
      <c r="J38" s="614" t="s">
        <v>3218</v>
      </c>
      <c r="K38" s="614" t="str">
        <f>IFERROR(__xludf.DUMMYFUNCTION("LET(
  r, C38,
  t, J38,
  cons, LOWER(TO_TEXT(O38))=""true"",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)"),"(1d8+1)*5000 зм")</f>
        <v>(1d8+1)*5000 зм</v>
      </c>
      <c r="L38" s="616" t="str">
        <f t="shared" si="1"/>
        <v>Мажор</v>
      </c>
      <c r="M38" s="616"/>
      <c r="N38" s="615" t="s">
        <v>3297</v>
      </c>
      <c r="O38" s="616" t="b">
        <v>0</v>
      </c>
      <c r="P38" s="614">
        <v>1.0</v>
      </c>
      <c r="Q38" s="617" t="s">
        <v>3298</v>
      </c>
      <c r="R38" s="616">
        <f t="shared" si="2"/>
        <v>15000</v>
      </c>
    </row>
    <row r="39">
      <c r="A39" s="614">
        <v>38.0</v>
      </c>
      <c r="B39" s="615" t="s">
        <v>3299</v>
      </c>
      <c r="C39" s="614" t="s">
        <v>3194</v>
      </c>
      <c r="D39" s="614" t="s">
        <v>2</v>
      </c>
      <c r="E39" s="614" t="s">
        <v>1194</v>
      </c>
      <c r="F39" s="614" t="s">
        <v>3195</v>
      </c>
      <c r="G39" s="614" t="s">
        <v>3244</v>
      </c>
      <c r="H39" s="614">
        <v>8.0</v>
      </c>
      <c r="I39" s="614" t="s">
        <v>3208</v>
      </c>
      <c r="J39" s="614" t="s">
        <v>3204</v>
      </c>
      <c r="K39" s="614" t="str">
        <f>IFERROR(__xludf.DUMMYFUNCTION("LET(
  r, C39,
  t, J39,
  cons, LOWER(TO_TEXT(O39))=""true"",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39" s="616" t="str">
        <f t="shared" si="1"/>
        <v>Мажор</v>
      </c>
      <c r="M39" s="616"/>
      <c r="N39" s="615">
        <v>0.0</v>
      </c>
      <c r="O39" s="616" t="b">
        <v>0</v>
      </c>
      <c r="P39" s="614">
        <v>1.0</v>
      </c>
      <c r="Q39" s="617" t="s">
        <v>3300</v>
      </c>
      <c r="R39" s="616">
        <f t="shared" si="2"/>
        <v>13500</v>
      </c>
    </row>
    <row r="40">
      <c r="A40" s="614">
        <v>39.0</v>
      </c>
      <c r="B40" s="615" t="s">
        <v>3301</v>
      </c>
      <c r="C40" s="614" t="s">
        <v>3194</v>
      </c>
      <c r="D40" s="614" t="s">
        <v>1070</v>
      </c>
      <c r="E40" s="614" t="s">
        <v>647</v>
      </c>
      <c r="F40" s="614" t="s">
        <v>3234</v>
      </c>
      <c r="G40" s="614" t="s">
        <v>3202</v>
      </c>
      <c r="H40" s="614">
        <v>8.0</v>
      </c>
      <c r="I40" s="614" t="s">
        <v>692</v>
      </c>
      <c r="J40" s="614" t="s">
        <v>3221</v>
      </c>
      <c r="K40" s="614" t="str">
        <f>IFERROR(__xludf.DUMMYFUNCTION("LET(
  r, C40,
  t, J40,
  cons, LOWER(TO_TEXT(O40))=""true"",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)"),"(2d8kh1+1)*5000 зм")</f>
        <v>(2d8kh1+1)*5000 зм</v>
      </c>
      <c r="L40" s="616" t="str">
        <f t="shared" si="1"/>
        <v>Мажор</v>
      </c>
      <c r="M40" s="616"/>
      <c r="N40" s="615">
        <v>0.0</v>
      </c>
      <c r="O40" s="616" t="b">
        <v>0</v>
      </c>
      <c r="P40" s="614">
        <v>1.0</v>
      </c>
      <c r="Q40" s="617" t="s">
        <v>3302</v>
      </c>
      <c r="R40" s="616">
        <f t="shared" si="2"/>
        <v>16500</v>
      </c>
    </row>
    <row r="41">
      <c r="A41" s="614">
        <v>40.0</v>
      </c>
      <c r="B41" s="615" t="s">
        <v>3303</v>
      </c>
      <c r="C41" s="614" t="s">
        <v>3194</v>
      </c>
      <c r="D41" s="614" t="s">
        <v>2</v>
      </c>
      <c r="E41" s="614" t="s">
        <v>3304</v>
      </c>
      <c r="F41" s="614" t="s">
        <v>3195</v>
      </c>
      <c r="G41" s="614" t="s">
        <v>3202</v>
      </c>
      <c r="H41" s="614">
        <v>8.0</v>
      </c>
      <c r="I41" s="614" t="s">
        <v>3203</v>
      </c>
      <c r="J41" s="614" t="s">
        <v>3218</v>
      </c>
      <c r="K41" s="614" t="str">
        <f>IFERROR(__xludf.DUMMYFUNCTION("LET(
  r, C41,
  t, J41,
  cons, LOWER(TO_TEXT(O41))=""true"",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)"),"(1d8+1)*5000 зм")</f>
        <v>(1d8+1)*5000 зм</v>
      </c>
      <c r="L41" s="616" t="str">
        <f t="shared" si="1"/>
        <v>Мажор</v>
      </c>
      <c r="M41" s="616"/>
      <c r="N41" s="615">
        <v>0.0</v>
      </c>
      <c r="O41" s="616" t="b">
        <v>0</v>
      </c>
      <c r="P41" s="614">
        <v>0.0</v>
      </c>
      <c r="Q41" s="617" t="s">
        <v>3305</v>
      </c>
      <c r="R41" s="616">
        <f t="shared" si="2"/>
        <v>15000</v>
      </c>
    </row>
    <row r="42">
      <c r="A42" s="614">
        <v>41.0</v>
      </c>
      <c r="B42" s="615" t="s">
        <v>3306</v>
      </c>
      <c r="C42" s="614" t="s">
        <v>3194</v>
      </c>
      <c r="D42" s="614" t="s">
        <v>2</v>
      </c>
      <c r="E42" s="614" t="s">
        <v>3304</v>
      </c>
      <c r="F42" s="614" t="s">
        <v>3195</v>
      </c>
      <c r="G42" s="614" t="s">
        <v>3214</v>
      </c>
      <c r="H42" s="614">
        <v>8.0</v>
      </c>
      <c r="I42" s="614" t="s">
        <v>3203</v>
      </c>
      <c r="J42" s="614" t="s">
        <v>3218</v>
      </c>
      <c r="K42" s="614" t="str">
        <f>IFERROR(__xludf.DUMMYFUNCTION("LET(
  r, C42,
  t, J42,
  cons, LOWER(TO_TEXT(O42))=""true"",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)"),"(1d8+1)*5000 зм")</f>
        <v>(1d8+1)*5000 зм</v>
      </c>
      <c r="L42" s="616" t="str">
        <f t="shared" si="1"/>
        <v>Мажор</v>
      </c>
      <c r="M42" s="616"/>
      <c r="N42" s="615">
        <v>0.0</v>
      </c>
      <c r="O42" s="616" t="b">
        <v>0</v>
      </c>
      <c r="P42" s="614">
        <v>1.0</v>
      </c>
      <c r="Q42" s="617" t="s">
        <v>3307</v>
      </c>
      <c r="R42" s="616">
        <f t="shared" si="2"/>
        <v>15000</v>
      </c>
    </row>
    <row r="43">
      <c r="A43" s="614">
        <v>42.0</v>
      </c>
      <c r="B43" s="615" t="s">
        <v>3308</v>
      </c>
      <c r="C43" s="614" t="s">
        <v>3194</v>
      </c>
      <c r="D43" s="614" t="s">
        <v>1913</v>
      </c>
      <c r="E43" s="614"/>
      <c r="F43" s="614" t="s">
        <v>3309</v>
      </c>
      <c r="G43" s="614" t="s">
        <v>3202</v>
      </c>
      <c r="H43" s="614">
        <v>7.0</v>
      </c>
      <c r="I43" s="614" t="s">
        <v>3203</v>
      </c>
      <c r="J43" s="614" t="s">
        <v>3204</v>
      </c>
      <c r="K43" s="614" t="str">
        <f>IFERROR(__xludf.DUMMYFUNCTION("LET(
  r, C43,
  t, J43,
  cons, LOWER(TO_TEXT(O43))=""true"",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43" s="616" t="str">
        <f t="shared" si="1"/>
        <v>Минор</v>
      </c>
      <c r="M43" s="616"/>
      <c r="N43" s="615">
        <v>0.0</v>
      </c>
      <c r="O43" s="616" t="b">
        <v>0</v>
      </c>
      <c r="P43" s="614">
        <v>0.0</v>
      </c>
      <c r="Q43" s="617" t="s">
        <v>3310</v>
      </c>
      <c r="R43" s="616">
        <f t="shared" si="2"/>
        <v>6750</v>
      </c>
    </row>
    <row r="44">
      <c r="A44" s="614">
        <v>43.0</v>
      </c>
      <c r="B44" s="615" t="s">
        <v>3311</v>
      </c>
      <c r="C44" s="614" t="s">
        <v>3194</v>
      </c>
      <c r="D44" s="614" t="s">
        <v>1913</v>
      </c>
      <c r="E44" s="614"/>
      <c r="F44" s="614" t="s">
        <v>3309</v>
      </c>
      <c r="G44" s="614" t="s">
        <v>3207</v>
      </c>
      <c r="H44" s="614">
        <v>7.0</v>
      </c>
      <c r="I44" s="614" t="s">
        <v>3208</v>
      </c>
      <c r="J44" s="614" t="s">
        <v>3257</v>
      </c>
      <c r="K44" s="614" t="str">
        <f>IFERROR(__xludf.DUMMYFUNCTION("LET(
  r, C44,
  t, J44,
  cons, LOWER(TO_TEXT(O44))=""true"",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)"),"10000 зм")</f>
        <v>10000 зм</v>
      </c>
      <c r="L44" s="616" t="str">
        <f t="shared" si="1"/>
        <v>Минор</v>
      </c>
      <c r="M44" s="616"/>
      <c r="N44" s="615">
        <v>0.0</v>
      </c>
      <c r="O44" s="616" t="b">
        <v>0</v>
      </c>
      <c r="P44" s="614">
        <v>1.0</v>
      </c>
      <c r="Q44" s="617" t="s">
        <v>3312</v>
      </c>
      <c r="R44" s="616">
        <f t="shared" si="2"/>
        <v>6000</v>
      </c>
    </row>
    <row r="45">
      <c r="A45" s="614">
        <v>44.0</v>
      </c>
      <c r="B45" s="615" t="s">
        <v>3313</v>
      </c>
      <c r="C45" s="614" t="s">
        <v>3194</v>
      </c>
      <c r="D45" s="614" t="s">
        <v>1913</v>
      </c>
      <c r="E45" s="614"/>
      <c r="F45" s="614" t="s">
        <v>3309</v>
      </c>
      <c r="G45" s="614" t="s">
        <v>3202</v>
      </c>
      <c r="H45" s="614">
        <v>7.0</v>
      </c>
      <c r="I45" s="614" t="s">
        <v>692</v>
      </c>
      <c r="J45" s="614" t="s">
        <v>3218</v>
      </c>
      <c r="K45" s="614" t="str">
        <f>IFERROR(__xludf.DUMMYFUNCTION("LET(
  r, C45,
  t, J45,
  cons, LOWER(TO_TEXT(O45))=""true"",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)"),"(1d8+1)*5000 зм")</f>
        <v>(1d8+1)*5000 зм</v>
      </c>
      <c r="L45" s="616" t="str">
        <f t="shared" si="1"/>
        <v>Минор</v>
      </c>
      <c r="M45" s="616"/>
      <c r="N45" s="615">
        <v>0.0</v>
      </c>
      <c r="O45" s="616" t="b">
        <v>0</v>
      </c>
      <c r="P45" s="614">
        <v>1.0</v>
      </c>
      <c r="Q45" s="617" t="s">
        <v>3314</v>
      </c>
      <c r="R45" s="616">
        <f t="shared" si="2"/>
        <v>7500</v>
      </c>
    </row>
    <row r="46">
      <c r="A46" s="614">
        <v>45.0</v>
      </c>
      <c r="B46" s="615" t="s">
        <v>3315</v>
      </c>
      <c r="C46" s="614" t="s">
        <v>3194</v>
      </c>
      <c r="D46" s="614" t="s">
        <v>1913</v>
      </c>
      <c r="E46" s="614"/>
      <c r="F46" s="614" t="s">
        <v>3272</v>
      </c>
      <c r="G46" s="614" t="s">
        <v>3316</v>
      </c>
      <c r="H46" s="614">
        <v>7.0</v>
      </c>
      <c r="I46" s="614" t="s">
        <v>692</v>
      </c>
      <c r="J46" s="614" t="s">
        <v>3204</v>
      </c>
      <c r="K46" s="614" t="str">
        <f>IFERROR(__xludf.DUMMYFUNCTION("LET(
  r, C46,
  t, J46,
  cons, LOWER(TO_TEXT(O46))=""true"",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46" s="616" t="str">
        <f t="shared" si="1"/>
        <v>Минор</v>
      </c>
      <c r="M46" s="616"/>
      <c r="N46" s="615">
        <v>0.0</v>
      </c>
      <c r="O46" s="616" t="b">
        <v>0</v>
      </c>
      <c r="P46" s="614">
        <v>1.0</v>
      </c>
      <c r="Q46" s="617" t="s">
        <v>3317</v>
      </c>
      <c r="R46" s="616">
        <f t="shared" si="2"/>
        <v>6750</v>
      </c>
    </row>
    <row r="47">
      <c r="A47" s="614">
        <v>46.0</v>
      </c>
      <c r="B47" s="615" t="s">
        <v>3318</v>
      </c>
      <c r="C47" s="614" t="s">
        <v>3194</v>
      </c>
      <c r="D47" s="614" t="s">
        <v>2</v>
      </c>
      <c r="E47" s="614" t="s">
        <v>3228</v>
      </c>
      <c r="F47" s="614" t="s">
        <v>3195</v>
      </c>
      <c r="G47" s="614" t="s">
        <v>3202</v>
      </c>
      <c r="H47" s="614">
        <v>8.0</v>
      </c>
      <c r="I47" s="614" t="s">
        <v>3203</v>
      </c>
      <c r="J47" s="614" t="s">
        <v>3221</v>
      </c>
      <c r="K47" s="614" t="str">
        <f>IFERROR(__xludf.DUMMYFUNCTION("LET(
  r, C47,
  t, J47,
  cons, LOWER(TO_TEXT(O47))=""true"",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)"),"(2d8kh1+1)*5000 зм")</f>
        <v>(2d8kh1+1)*5000 зм</v>
      </c>
      <c r="L47" s="616" t="str">
        <f t="shared" si="1"/>
        <v>Мажор</v>
      </c>
      <c r="M47" s="616"/>
      <c r="N47" s="615">
        <v>0.0</v>
      </c>
      <c r="O47" s="616" t="b">
        <v>0</v>
      </c>
      <c r="P47" s="614">
        <v>1.0</v>
      </c>
      <c r="Q47" s="617" t="s">
        <v>3319</v>
      </c>
      <c r="R47" s="616">
        <f t="shared" si="2"/>
        <v>16500</v>
      </c>
    </row>
    <row r="48">
      <c r="A48" s="614">
        <v>47.0</v>
      </c>
      <c r="B48" s="615" t="s">
        <v>3320</v>
      </c>
      <c r="C48" s="614" t="s">
        <v>3194</v>
      </c>
      <c r="D48" s="614" t="s">
        <v>2</v>
      </c>
      <c r="E48" s="614" t="s">
        <v>3228</v>
      </c>
      <c r="F48" s="614" t="s">
        <v>3195</v>
      </c>
      <c r="G48" s="614" t="s">
        <v>3202</v>
      </c>
      <c r="H48" s="614">
        <v>8.0</v>
      </c>
      <c r="I48" s="614" t="s">
        <v>692</v>
      </c>
      <c r="J48" s="614" t="s">
        <v>3204</v>
      </c>
      <c r="K48" s="614" t="str">
        <f>IFERROR(__xludf.DUMMYFUNCTION("LET(
  r, C48,
  t, J48,
  cons, LOWER(TO_TEXT(O48))=""true"",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48" s="616" t="str">
        <f t="shared" si="1"/>
        <v>Мажор</v>
      </c>
      <c r="M48" s="616"/>
      <c r="N48" s="615">
        <v>0.0</v>
      </c>
      <c r="O48" s="616" t="b">
        <v>0</v>
      </c>
      <c r="P48" s="614">
        <v>1.0</v>
      </c>
      <c r="Q48" s="617" t="s">
        <v>3321</v>
      </c>
      <c r="R48" s="616">
        <f t="shared" si="2"/>
        <v>13500</v>
      </c>
    </row>
    <row r="49">
      <c r="A49" s="614">
        <v>48.0</v>
      </c>
      <c r="B49" s="615" t="s">
        <v>3322</v>
      </c>
      <c r="C49" s="614" t="s">
        <v>3194</v>
      </c>
      <c r="D49" s="614" t="s">
        <v>2</v>
      </c>
      <c r="E49" s="614" t="s">
        <v>42</v>
      </c>
      <c r="F49" s="614" t="s">
        <v>3195</v>
      </c>
      <c r="G49" s="614" t="s">
        <v>3214</v>
      </c>
      <c r="H49" s="614">
        <v>8.0</v>
      </c>
      <c r="I49" s="614" t="s">
        <v>3208</v>
      </c>
      <c r="J49" s="614" t="s">
        <v>3323</v>
      </c>
      <c r="K49" s="614" t="str">
        <f>IFERROR(__xludf.DUMMYFUNCTION("LET(
  r, C49,
  t, J49,
  cons, LOWER(TO_TEXT(O49))=""true"",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)"),"(1d8+1)*5000 зм")</f>
        <v>(1d8+1)*5000 зм</v>
      </c>
      <c r="L49" s="616" t="str">
        <f t="shared" si="1"/>
        <v>Мажор</v>
      </c>
      <c r="M49" s="616"/>
      <c r="N49" s="615">
        <v>0.0</v>
      </c>
      <c r="O49" s="616" t="b">
        <v>0</v>
      </c>
      <c r="P49" s="614">
        <v>1.0</v>
      </c>
      <c r="Q49" s="617" t="s">
        <v>3324</v>
      </c>
      <c r="R49" s="616">
        <f t="shared" si="2"/>
        <v>15000</v>
      </c>
    </row>
    <row r="50">
      <c r="A50" s="614">
        <v>49.0</v>
      </c>
      <c r="B50" s="615" t="s">
        <v>3325</v>
      </c>
      <c r="C50" s="614" t="s">
        <v>3194</v>
      </c>
      <c r="D50" s="614" t="s">
        <v>2</v>
      </c>
      <c r="E50" s="614" t="s">
        <v>3228</v>
      </c>
      <c r="F50" s="614" t="s">
        <v>3195</v>
      </c>
      <c r="G50" s="614" t="s">
        <v>3202</v>
      </c>
      <c r="H50" s="614">
        <v>8.0</v>
      </c>
      <c r="I50" s="614" t="s">
        <v>3208</v>
      </c>
      <c r="J50" s="614" t="s">
        <v>3257</v>
      </c>
      <c r="K50" s="614" t="str">
        <f>IFERROR(__xludf.DUMMYFUNCTION("LET(
  r, C50,
  t, J50,
  cons, LOWER(TO_TEXT(O50))=""true"",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)"),"10000 зм")</f>
        <v>10000 зм</v>
      </c>
      <c r="L50" s="616" t="str">
        <f t="shared" si="1"/>
        <v>Мажор</v>
      </c>
      <c r="M50" s="616"/>
      <c r="N50" s="615">
        <v>0.0</v>
      </c>
      <c r="O50" s="616" t="b">
        <v>0</v>
      </c>
      <c r="P50" s="614">
        <v>1.0</v>
      </c>
      <c r="Q50" s="617" t="s">
        <v>3326</v>
      </c>
      <c r="R50" s="616">
        <f t="shared" si="2"/>
        <v>12000</v>
      </c>
    </row>
    <row r="51">
      <c r="A51" s="614">
        <v>50.0</v>
      </c>
      <c r="B51" s="615" t="s">
        <v>3327</v>
      </c>
      <c r="C51" s="614" t="s">
        <v>3194</v>
      </c>
      <c r="D51" s="614" t="s">
        <v>1913</v>
      </c>
      <c r="E51" s="614"/>
      <c r="F51" s="614" t="s">
        <v>3328</v>
      </c>
      <c r="G51" s="614" t="s">
        <v>3316</v>
      </c>
      <c r="H51" s="614">
        <v>8.0</v>
      </c>
      <c r="I51" s="614" t="s">
        <v>3203</v>
      </c>
      <c r="J51" s="614" t="s">
        <v>3253</v>
      </c>
      <c r="K51" s="614" t="str">
        <f>IFERROR(__xludf.DUMMYFUNCTION("LET(
  r, C51,
  t, J51,
  cons, LOWER(TO_TEXT(O51))=""true"",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)"),"45000 зм")</f>
        <v>45000 зм</v>
      </c>
      <c r="L51" s="616" t="str">
        <f t="shared" si="1"/>
        <v>Мажор</v>
      </c>
      <c r="M51" s="616"/>
      <c r="N51" s="615" t="s">
        <v>3248</v>
      </c>
      <c r="O51" s="616" t="b">
        <v>0</v>
      </c>
      <c r="P51" s="614">
        <v>0.0</v>
      </c>
      <c r="Q51" s="617" t="s">
        <v>3329</v>
      </c>
      <c r="R51" s="616">
        <f t="shared" si="2"/>
        <v>18000</v>
      </c>
    </row>
    <row r="52">
      <c r="A52" s="614">
        <v>51.0</v>
      </c>
      <c r="B52" s="615" t="s">
        <v>3330</v>
      </c>
      <c r="C52" s="614" t="s">
        <v>3194</v>
      </c>
      <c r="D52" s="614" t="s">
        <v>2</v>
      </c>
      <c r="E52" s="614" t="s">
        <v>54</v>
      </c>
      <c r="F52" s="614" t="s">
        <v>3195</v>
      </c>
      <c r="G52" s="614" t="s">
        <v>3214</v>
      </c>
      <c r="H52" s="614">
        <v>7.0</v>
      </c>
      <c r="I52" s="614" t="s">
        <v>692</v>
      </c>
      <c r="J52" s="614" t="s">
        <v>3204</v>
      </c>
      <c r="K52" s="614" t="str">
        <f>IFERROR(__xludf.DUMMYFUNCTION("LET(
  r, C52,
  t, J52,
  cons, LOWER(TO_TEXT(O52))=""true"",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52" s="616" t="str">
        <f t="shared" si="1"/>
        <v>Минор</v>
      </c>
      <c r="M52" s="616"/>
      <c r="N52" s="615">
        <v>0.0</v>
      </c>
      <c r="O52" s="616" t="b">
        <v>0</v>
      </c>
      <c r="P52" s="614">
        <v>1.0</v>
      </c>
      <c r="Q52" s="617" t="s">
        <v>3331</v>
      </c>
      <c r="R52" s="616">
        <f t="shared" si="2"/>
        <v>6750</v>
      </c>
    </row>
    <row r="53">
      <c r="A53" s="614">
        <v>52.0</v>
      </c>
      <c r="B53" s="615" t="s">
        <v>3332</v>
      </c>
      <c r="C53" s="614" t="s">
        <v>3194</v>
      </c>
      <c r="D53" s="614" t="s">
        <v>2</v>
      </c>
      <c r="E53" s="614" t="s">
        <v>3333</v>
      </c>
      <c r="F53" s="614" t="s">
        <v>3195</v>
      </c>
      <c r="G53" s="614" t="s">
        <v>3214</v>
      </c>
      <c r="H53" s="614">
        <v>8.0</v>
      </c>
      <c r="I53" s="614" t="s">
        <v>3208</v>
      </c>
      <c r="J53" s="614" t="s">
        <v>3257</v>
      </c>
      <c r="K53" s="614" t="str">
        <f>IFERROR(__xludf.DUMMYFUNCTION("LET(
  r, C53,
  t, J53,
  cons, LOWER(TO_TEXT(O53))=""true"",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)"),"10000 зм")</f>
        <v>10000 зм</v>
      </c>
      <c r="L53" s="616" t="str">
        <f t="shared" si="1"/>
        <v>Мажор</v>
      </c>
      <c r="M53" s="616"/>
      <c r="N53" s="615">
        <v>0.0</v>
      </c>
      <c r="O53" s="616" t="b">
        <v>0</v>
      </c>
      <c r="P53" s="614">
        <v>1.0</v>
      </c>
      <c r="Q53" s="617" t="s">
        <v>3334</v>
      </c>
      <c r="R53" s="616">
        <f t="shared" si="2"/>
        <v>12000</v>
      </c>
    </row>
    <row r="54">
      <c r="A54" s="614">
        <v>53.0</v>
      </c>
      <c r="B54" s="615" t="s">
        <v>3335</v>
      </c>
      <c r="C54" s="614" t="s">
        <v>3194</v>
      </c>
      <c r="D54" s="614" t="s">
        <v>2</v>
      </c>
      <c r="E54" s="614" t="s">
        <v>3333</v>
      </c>
      <c r="F54" s="614" t="s">
        <v>3195</v>
      </c>
      <c r="G54" s="614" t="s">
        <v>3214</v>
      </c>
      <c r="H54" s="614">
        <v>8.0</v>
      </c>
      <c r="I54" s="614" t="s">
        <v>3203</v>
      </c>
      <c r="J54" s="614" t="s">
        <v>3237</v>
      </c>
      <c r="K54" s="614" t="str">
        <f>IFERROR(__xludf.DUMMYFUNCTION("LET(
  r, C54,
  t, J54,
  cons, LOWER(TO_TEXT(O54))=""true"",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f>
        <v>—</v>
      </c>
      <c r="L54" s="616" t="str">
        <f t="shared" si="1"/>
        <v>Мажор</v>
      </c>
      <c r="M54" s="616"/>
      <c r="N54" s="615">
        <v>0.0</v>
      </c>
      <c r="O54" s="616" t="b">
        <v>0</v>
      </c>
      <c r="P54" s="614">
        <v>0.0</v>
      </c>
      <c r="Q54" s="617" t="s">
        <v>3336</v>
      </c>
      <c r="R54" s="616">
        <f t="shared" si="2"/>
        <v>60000</v>
      </c>
    </row>
    <row r="55">
      <c r="A55" s="614">
        <v>54.0</v>
      </c>
      <c r="B55" s="615" t="s">
        <v>3337</v>
      </c>
      <c r="C55" s="614" t="s">
        <v>3194</v>
      </c>
      <c r="D55" s="614" t="s">
        <v>1913</v>
      </c>
      <c r="E55" s="614"/>
      <c r="F55" s="614" t="s">
        <v>3234</v>
      </c>
      <c r="G55" s="614" t="s">
        <v>3244</v>
      </c>
      <c r="H55" s="614">
        <v>7.0</v>
      </c>
      <c r="I55" s="614" t="s">
        <v>3208</v>
      </c>
      <c r="J55" s="614" t="s">
        <v>3204</v>
      </c>
      <c r="K55" s="614" t="str">
        <f>IFERROR(__xludf.DUMMYFUNCTION("LET(
  r, C55,
  t, J55,
  cons, LOWER(TO_TEXT(O55))=""true"",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55" s="616" t="str">
        <f t="shared" si="1"/>
        <v>Минор</v>
      </c>
      <c r="M55" s="616"/>
      <c r="N55" s="615">
        <v>0.0</v>
      </c>
      <c r="O55" s="616" t="b">
        <v>0</v>
      </c>
      <c r="P55" s="614">
        <v>1.0</v>
      </c>
      <c r="Q55" s="617" t="s">
        <v>3338</v>
      </c>
      <c r="R55" s="616">
        <f t="shared" si="2"/>
        <v>6750</v>
      </c>
    </row>
    <row r="56">
      <c r="A56" s="614">
        <v>55.0</v>
      </c>
      <c r="B56" s="615" t="s">
        <v>3339</v>
      </c>
      <c r="C56" s="614" t="s">
        <v>3194</v>
      </c>
      <c r="D56" s="614" t="s">
        <v>1913</v>
      </c>
      <c r="E56" s="614"/>
      <c r="F56" s="614" t="s">
        <v>3309</v>
      </c>
      <c r="G56" s="614" t="s">
        <v>3202</v>
      </c>
      <c r="H56" s="614">
        <v>7.0</v>
      </c>
      <c r="I56" s="614" t="s">
        <v>692</v>
      </c>
      <c r="J56" s="614" t="s">
        <v>3204</v>
      </c>
      <c r="K56" s="614" t="str">
        <f>IFERROR(__xludf.DUMMYFUNCTION("LET(
  r, C56,
  t, J56,
  cons, LOWER(TO_TEXT(O56))=""true"",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56" s="616" t="str">
        <f t="shared" si="1"/>
        <v>Минор</v>
      </c>
      <c r="M56" s="616"/>
      <c r="N56" s="615">
        <v>0.0</v>
      </c>
      <c r="O56" s="616" t="b">
        <v>0</v>
      </c>
      <c r="P56" s="614">
        <v>1.0</v>
      </c>
      <c r="Q56" s="617" t="s">
        <v>3340</v>
      </c>
      <c r="R56" s="616">
        <f t="shared" si="2"/>
        <v>6750</v>
      </c>
    </row>
    <row r="57">
      <c r="A57" s="614">
        <v>56.0</v>
      </c>
      <c r="B57" s="615" t="s">
        <v>3341</v>
      </c>
      <c r="C57" s="614" t="s">
        <v>3194</v>
      </c>
      <c r="D57" s="614" t="s">
        <v>1913</v>
      </c>
      <c r="E57" s="614"/>
      <c r="F57" s="614" t="s">
        <v>3342</v>
      </c>
      <c r="G57" s="614" t="s">
        <v>3202</v>
      </c>
      <c r="H57" s="614">
        <v>7.0</v>
      </c>
      <c r="I57" s="614" t="s">
        <v>3208</v>
      </c>
      <c r="J57" s="614" t="s">
        <v>3218</v>
      </c>
      <c r="K57" s="614" t="str">
        <f>IFERROR(__xludf.DUMMYFUNCTION("LET(
  r, C57,
  t, J57,
  cons, LOWER(TO_TEXT(O57))=""true"",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)"),"(1d8+1)*5000 зм")</f>
        <v>(1d8+1)*5000 зм</v>
      </c>
      <c r="L57" s="616" t="str">
        <f t="shared" si="1"/>
        <v>Минор</v>
      </c>
      <c r="M57" s="616"/>
      <c r="N57" s="615">
        <v>0.0</v>
      </c>
      <c r="O57" s="616" t="b">
        <v>0</v>
      </c>
      <c r="P57" s="614">
        <v>0.0</v>
      </c>
      <c r="Q57" s="617" t="s">
        <v>3343</v>
      </c>
      <c r="R57" s="616">
        <f t="shared" si="2"/>
        <v>7500</v>
      </c>
    </row>
    <row r="58">
      <c r="A58" s="614">
        <v>57.0</v>
      </c>
      <c r="B58" s="615" t="s">
        <v>3344</v>
      </c>
      <c r="C58" s="614" t="s">
        <v>3194</v>
      </c>
      <c r="D58" s="614" t="s">
        <v>1913</v>
      </c>
      <c r="E58" s="614"/>
      <c r="F58" s="614" t="s">
        <v>26</v>
      </c>
      <c r="G58" s="614" t="s">
        <v>3244</v>
      </c>
      <c r="H58" s="614">
        <v>7.0</v>
      </c>
      <c r="I58" s="614" t="s">
        <v>3203</v>
      </c>
      <c r="J58" s="614" t="s">
        <v>3221</v>
      </c>
      <c r="K58" s="614" t="str">
        <f>IFERROR(__xludf.DUMMYFUNCTION("LET(
  r, C58,
  t, J58,
  cons, LOWER(TO_TEXT(O58))=""true"",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)"),"(2d8kh1+1)*5000 зм")</f>
        <v>(2d8kh1+1)*5000 зм</v>
      </c>
      <c r="L58" s="616" t="str">
        <f t="shared" si="1"/>
        <v>Минор</v>
      </c>
      <c r="M58" s="616"/>
      <c r="N58" s="615">
        <v>0.0</v>
      </c>
      <c r="O58" s="616" t="b">
        <v>0</v>
      </c>
      <c r="P58" s="614">
        <v>0.0</v>
      </c>
      <c r="Q58" s="617" t="s">
        <v>3345</v>
      </c>
      <c r="R58" s="616">
        <f t="shared" si="2"/>
        <v>8250</v>
      </c>
    </row>
    <row r="59">
      <c r="A59" s="614">
        <v>58.0</v>
      </c>
      <c r="B59" s="615" t="s">
        <v>3346</v>
      </c>
      <c r="C59" s="614" t="s">
        <v>3194</v>
      </c>
      <c r="D59" s="614" t="s">
        <v>1913</v>
      </c>
      <c r="E59" s="614"/>
      <c r="F59" s="614" t="s">
        <v>3195</v>
      </c>
      <c r="G59" s="614" t="s">
        <v>3202</v>
      </c>
      <c r="H59" s="614">
        <v>7.0</v>
      </c>
      <c r="I59" s="614" t="s">
        <v>3208</v>
      </c>
      <c r="J59" s="614" t="s">
        <v>3204</v>
      </c>
      <c r="K59" s="614" t="str">
        <f>IFERROR(__xludf.DUMMYFUNCTION("LET(
  r, C59,
  t, J59,
  cons, LOWER(TO_TEXT(O59))=""true"",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59" s="616" t="str">
        <f t="shared" si="1"/>
        <v>Минор</v>
      </c>
      <c r="M59" s="616"/>
      <c r="N59" s="615">
        <v>0.0</v>
      </c>
      <c r="O59" s="616" t="b">
        <v>0</v>
      </c>
      <c r="P59" s="614">
        <v>1.0</v>
      </c>
      <c r="Q59" s="617" t="s">
        <v>3347</v>
      </c>
      <c r="R59" s="616">
        <f t="shared" si="2"/>
        <v>6750</v>
      </c>
    </row>
    <row r="60">
      <c r="A60" s="614">
        <v>59.0</v>
      </c>
      <c r="B60" s="615" t="s">
        <v>3348</v>
      </c>
      <c r="C60" s="614" t="s">
        <v>3194</v>
      </c>
      <c r="D60" s="614" t="s">
        <v>3349</v>
      </c>
      <c r="E60" s="614"/>
      <c r="F60" s="614" t="s">
        <v>3195</v>
      </c>
      <c r="G60" s="614" t="s">
        <v>3244</v>
      </c>
      <c r="H60" s="614">
        <v>7.0</v>
      </c>
      <c r="I60" s="614" t="s">
        <v>3203</v>
      </c>
      <c r="J60" s="614" t="s">
        <v>3221</v>
      </c>
      <c r="K60" s="614" t="str">
        <f>IFERROR(__xludf.DUMMYFUNCTION("LET(
  r, C60,
  t, J60,
  cons, LOWER(TO_TEXT(O60))=""true"",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)"),"(2d8kh1+1)*5000 зм")</f>
        <v>(2d8kh1+1)*5000 зм</v>
      </c>
      <c r="L60" s="616" t="str">
        <f t="shared" si="1"/>
        <v>Минор</v>
      </c>
      <c r="M60" s="616"/>
      <c r="N60" s="615" t="s">
        <v>3297</v>
      </c>
      <c r="O60" s="616" t="b">
        <v>0</v>
      </c>
      <c r="P60" s="614">
        <v>1.0</v>
      </c>
      <c r="Q60" s="617" t="s">
        <v>3350</v>
      </c>
      <c r="R60" s="616">
        <f t="shared" si="2"/>
        <v>8250</v>
      </c>
    </row>
    <row r="61">
      <c r="A61" s="614">
        <v>60.0</v>
      </c>
      <c r="B61" s="615" t="s">
        <v>3351</v>
      </c>
      <c r="C61" s="614" t="s">
        <v>3194</v>
      </c>
      <c r="D61" s="614" t="s">
        <v>3349</v>
      </c>
      <c r="E61" s="614"/>
      <c r="F61" s="614" t="s">
        <v>3195</v>
      </c>
      <c r="G61" s="614" t="s">
        <v>3202</v>
      </c>
      <c r="H61" s="614">
        <v>7.0</v>
      </c>
      <c r="I61" s="614" t="s">
        <v>3208</v>
      </c>
      <c r="J61" s="614" t="s">
        <v>3257</v>
      </c>
      <c r="K61" s="614" t="str">
        <f>IFERROR(__xludf.DUMMYFUNCTION("LET(
  r, C61,
  t, J61,
  cons, LOWER(TO_TEXT(O61))=""true"",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)"),"10000 зм")</f>
        <v>10000 зм</v>
      </c>
      <c r="L61" s="616" t="str">
        <f t="shared" si="1"/>
        <v>Минор</v>
      </c>
      <c r="M61" s="616"/>
      <c r="N61" s="615" t="s">
        <v>3352</v>
      </c>
      <c r="O61" s="616" t="b">
        <v>0</v>
      </c>
      <c r="P61" s="614">
        <v>1.0</v>
      </c>
      <c r="Q61" s="617" t="s">
        <v>3353</v>
      </c>
      <c r="R61" s="616">
        <f t="shared" si="2"/>
        <v>6000</v>
      </c>
    </row>
    <row r="62">
      <c r="A62" s="614">
        <v>61.0</v>
      </c>
      <c r="B62" s="615" t="s">
        <v>3354</v>
      </c>
      <c r="C62" s="614" t="s">
        <v>3194</v>
      </c>
      <c r="D62" s="614" t="s">
        <v>3349</v>
      </c>
      <c r="E62" s="614"/>
      <c r="F62" s="614" t="s">
        <v>3195</v>
      </c>
      <c r="G62" s="614" t="s">
        <v>3202</v>
      </c>
      <c r="H62" s="614">
        <v>7.0</v>
      </c>
      <c r="I62" s="614" t="s">
        <v>3208</v>
      </c>
      <c r="J62" s="614" t="s">
        <v>3204</v>
      </c>
      <c r="K62" s="614" t="str">
        <f>IFERROR(__xludf.DUMMYFUNCTION("LET(
  r, C62,
  t, J62,
  cons, LOWER(TO_TEXT(O62))=""true"",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62" s="616" t="str">
        <f t="shared" si="1"/>
        <v>Минор</v>
      </c>
      <c r="M62" s="616"/>
      <c r="N62" s="615" t="s">
        <v>3352</v>
      </c>
      <c r="O62" s="616" t="b">
        <v>0</v>
      </c>
      <c r="P62" s="614">
        <v>1.0</v>
      </c>
      <c r="Q62" s="617" t="s">
        <v>3355</v>
      </c>
      <c r="R62" s="616">
        <f t="shared" si="2"/>
        <v>6750</v>
      </c>
    </row>
    <row r="63">
      <c r="A63" s="614">
        <v>62.0</v>
      </c>
      <c r="B63" s="615" t="s">
        <v>3356</v>
      </c>
      <c r="C63" s="614" t="s">
        <v>3194</v>
      </c>
      <c r="D63" s="614" t="s">
        <v>3349</v>
      </c>
      <c r="E63" s="614"/>
      <c r="F63" s="614" t="s">
        <v>3195</v>
      </c>
      <c r="G63" s="614" t="s">
        <v>3316</v>
      </c>
      <c r="H63" s="614">
        <v>7.0</v>
      </c>
      <c r="I63" s="614" t="s">
        <v>3208</v>
      </c>
      <c r="J63" s="614" t="s">
        <v>3204</v>
      </c>
      <c r="K63" s="614" t="str">
        <f>IFERROR(__xludf.DUMMYFUNCTION("LET(
  r, C63,
  t, J63,
  cons, LOWER(TO_TEXT(O63))=""true"",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63" s="616" t="str">
        <f t="shared" si="1"/>
        <v>Минор</v>
      </c>
      <c r="M63" s="616"/>
      <c r="N63" s="615" t="s">
        <v>3248</v>
      </c>
      <c r="O63" s="616" t="b">
        <v>0</v>
      </c>
      <c r="P63" s="614">
        <v>1.0</v>
      </c>
      <c r="Q63" s="617" t="s">
        <v>3357</v>
      </c>
      <c r="R63" s="616">
        <f t="shared" si="2"/>
        <v>6750</v>
      </c>
    </row>
    <row r="64">
      <c r="A64" s="614">
        <v>63.0</v>
      </c>
      <c r="B64" s="615" t="s">
        <v>3358</v>
      </c>
      <c r="C64" s="614" t="s">
        <v>3194</v>
      </c>
      <c r="D64" s="614" t="s">
        <v>2</v>
      </c>
      <c r="E64" s="614" t="s">
        <v>66</v>
      </c>
      <c r="F64" s="614" t="s">
        <v>3195</v>
      </c>
      <c r="G64" s="614" t="s">
        <v>3202</v>
      </c>
      <c r="H64" s="614">
        <v>8.0</v>
      </c>
      <c r="I64" s="614" t="s">
        <v>692</v>
      </c>
      <c r="J64" s="614" t="s">
        <v>3237</v>
      </c>
      <c r="K64" s="614" t="str">
        <f>IFERROR(__xludf.DUMMYFUNCTION("LET(
  r, C64,
  t, J64,
  cons, LOWER(TO_TEXT(O64))=""true"",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f>
        <v>—</v>
      </c>
      <c r="L64" s="616" t="str">
        <f t="shared" si="1"/>
        <v>Мажор</v>
      </c>
      <c r="M64" s="616"/>
      <c r="N64" s="615" t="s">
        <v>3359</v>
      </c>
      <c r="O64" s="616" t="b">
        <v>0</v>
      </c>
      <c r="P64" s="614">
        <v>0.0</v>
      </c>
      <c r="Q64" s="617" t="s">
        <v>3360</v>
      </c>
      <c r="R64" s="616">
        <f t="shared" si="2"/>
        <v>60000</v>
      </c>
    </row>
    <row r="65">
      <c r="A65" s="614">
        <v>64.0</v>
      </c>
      <c r="B65" s="615" t="s">
        <v>3361</v>
      </c>
      <c r="C65" s="614" t="s">
        <v>3194</v>
      </c>
      <c r="D65" s="614" t="s">
        <v>3349</v>
      </c>
      <c r="E65" s="614"/>
      <c r="F65" s="614" t="s">
        <v>3195</v>
      </c>
      <c r="G65" s="614" t="s">
        <v>3202</v>
      </c>
      <c r="H65" s="614">
        <v>8.0</v>
      </c>
      <c r="I65" s="614" t="s">
        <v>692</v>
      </c>
      <c r="J65" s="614" t="s">
        <v>3257</v>
      </c>
      <c r="K65" s="614" t="str">
        <f>IFERROR(__xludf.DUMMYFUNCTION("LET(
  r, C65,
  t, J65,
  cons, LOWER(TO_TEXT(O65))=""true"",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)"),"10000 зм")</f>
        <v>10000 зм</v>
      </c>
      <c r="L65" s="616" t="str">
        <f t="shared" si="1"/>
        <v>Мажор</v>
      </c>
      <c r="M65" s="616"/>
      <c r="N65" s="615">
        <v>0.0</v>
      </c>
      <c r="O65" s="616" t="b">
        <v>0</v>
      </c>
      <c r="P65" s="614">
        <v>1.0</v>
      </c>
      <c r="Q65" s="617" t="s">
        <v>3362</v>
      </c>
      <c r="R65" s="616">
        <f t="shared" si="2"/>
        <v>12000</v>
      </c>
    </row>
    <row r="66">
      <c r="A66" s="614">
        <v>65.0</v>
      </c>
      <c r="B66" s="615" t="s">
        <v>3363</v>
      </c>
      <c r="C66" s="614" t="s">
        <v>3194</v>
      </c>
      <c r="D66" s="614" t="s">
        <v>1913</v>
      </c>
      <c r="E66" s="614"/>
      <c r="F66" s="614" t="s">
        <v>3328</v>
      </c>
      <c r="G66" s="614" t="s">
        <v>3207</v>
      </c>
      <c r="H66" s="614">
        <v>8.0</v>
      </c>
      <c r="I66" s="614" t="s">
        <v>3208</v>
      </c>
      <c r="J66" s="614" t="s">
        <v>3218</v>
      </c>
      <c r="K66" s="614" t="str">
        <f>IFERROR(__xludf.DUMMYFUNCTION("LET(
  r, C66,
  t, J66,
  cons, LOWER(TO_TEXT(O66))=""true"",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)"),"(1d8+1)*5000 зм")</f>
        <v>(1d8+1)*5000 зм</v>
      </c>
      <c r="L66" s="616" t="str">
        <f t="shared" si="1"/>
        <v>Мажор</v>
      </c>
      <c r="M66" s="616"/>
      <c r="N66" s="615">
        <v>0.0</v>
      </c>
      <c r="O66" s="616" t="b">
        <v>0</v>
      </c>
      <c r="P66" s="614">
        <v>1.0</v>
      </c>
      <c r="Q66" s="617" t="s">
        <v>3364</v>
      </c>
      <c r="R66" s="616">
        <f t="shared" si="2"/>
        <v>15000</v>
      </c>
    </row>
    <row r="67">
      <c r="A67" s="614">
        <v>66.0</v>
      </c>
      <c r="B67" s="615" t="s">
        <v>3365</v>
      </c>
      <c r="C67" s="614" t="s">
        <v>3194</v>
      </c>
      <c r="D67" s="614" t="s">
        <v>1070</v>
      </c>
      <c r="E67" s="614" t="s">
        <v>651</v>
      </c>
      <c r="F67" s="614" t="s">
        <v>3195</v>
      </c>
      <c r="G67" s="614" t="s">
        <v>3196</v>
      </c>
      <c r="H67" s="614">
        <v>7.0</v>
      </c>
      <c r="I67" s="614" t="s">
        <v>3203</v>
      </c>
      <c r="J67" s="614" t="s">
        <v>3204</v>
      </c>
      <c r="K67" s="614" t="str">
        <f>IFERROR(__xludf.DUMMYFUNCTION("LET(
  r, C67,
  t, J67,
  cons, LOWER(TO_TEXT(O67))=""true"",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67" s="616" t="str">
        <f t="shared" si="1"/>
        <v>Минор</v>
      </c>
      <c r="M67" s="616"/>
      <c r="N67" s="615">
        <v>0.0</v>
      </c>
      <c r="O67" s="616" t="b">
        <v>0</v>
      </c>
      <c r="P67" s="614">
        <v>1.0</v>
      </c>
      <c r="Q67" s="617" t="s">
        <v>3366</v>
      </c>
      <c r="R67" s="616">
        <f t="shared" si="2"/>
        <v>6750</v>
      </c>
    </row>
    <row r="68">
      <c r="A68" s="614">
        <v>67.0</v>
      </c>
      <c r="B68" s="615" t="s">
        <v>3367</v>
      </c>
      <c r="C68" s="614" t="s">
        <v>3194</v>
      </c>
      <c r="D68" s="614" t="s">
        <v>1913</v>
      </c>
      <c r="E68" s="614"/>
      <c r="F68" s="614" t="s">
        <v>3195</v>
      </c>
      <c r="G68" s="614" t="s">
        <v>3202</v>
      </c>
      <c r="H68" s="614">
        <v>8.0</v>
      </c>
      <c r="I68" s="614" t="s">
        <v>3203</v>
      </c>
      <c r="J68" s="614" t="s">
        <v>3237</v>
      </c>
      <c r="K68" s="614" t="str">
        <f>IFERROR(__xludf.DUMMYFUNCTION("LET(
  r, C68,
  t, J68,
  cons, LOWER(TO_TEXT(O68))=""true"",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f>
        <v>—</v>
      </c>
      <c r="L68" s="616" t="str">
        <f t="shared" si="1"/>
        <v>Мажор</v>
      </c>
      <c r="M68" s="616"/>
      <c r="N68" s="615">
        <v>0.0</v>
      </c>
      <c r="O68" s="616" t="b">
        <v>0</v>
      </c>
      <c r="P68" s="614">
        <v>0.0</v>
      </c>
      <c r="Q68" s="617" t="s">
        <v>3368</v>
      </c>
      <c r="R68" s="616">
        <f t="shared" si="2"/>
        <v>60000</v>
      </c>
    </row>
    <row r="69">
      <c r="A69" s="614">
        <v>68.0</v>
      </c>
      <c r="B69" s="615" t="s">
        <v>3369</v>
      </c>
      <c r="C69" s="614" t="s">
        <v>3194</v>
      </c>
      <c r="D69" s="614" t="s">
        <v>2</v>
      </c>
      <c r="E69" s="614" t="s">
        <v>93</v>
      </c>
      <c r="F69" s="614" t="s">
        <v>3195</v>
      </c>
      <c r="G69" s="614" t="s">
        <v>3202</v>
      </c>
      <c r="H69" s="614">
        <v>8.0</v>
      </c>
      <c r="I69" s="614" t="s">
        <v>692</v>
      </c>
      <c r="J69" s="614" t="s">
        <v>3218</v>
      </c>
      <c r="K69" s="614" t="str">
        <f>IFERROR(__xludf.DUMMYFUNCTION("LET(
  r, C69,
  t, J69,
  cons, LOWER(TO_TEXT(O69))=""true"",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)"),"(1d8+1)*5000 зм")</f>
        <v>(1d8+1)*5000 зм</v>
      </c>
      <c r="L69" s="616" t="str">
        <f t="shared" si="1"/>
        <v>Мажор</v>
      </c>
      <c r="M69" s="616"/>
      <c r="N69" s="615">
        <v>0.0</v>
      </c>
      <c r="O69" s="616" t="b">
        <v>0</v>
      </c>
      <c r="P69" s="614">
        <v>0.0</v>
      </c>
      <c r="Q69" s="617" t="s">
        <v>3370</v>
      </c>
      <c r="R69" s="616">
        <f t="shared" si="2"/>
        <v>15000</v>
      </c>
    </row>
    <row r="70">
      <c r="A70" s="614">
        <v>69.0</v>
      </c>
      <c r="B70" s="615" t="s">
        <v>3371</v>
      </c>
      <c r="C70" s="614" t="s">
        <v>3194</v>
      </c>
      <c r="D70" s="614" t="s">
        <v>1913</v>
      </c>
      <c r="E70" s="614"/>
      <c r="F70" s="614" t="s">
        <v>3217</v>
      </c>
      <c r="G70" s="614" t="s">
        <v>3256</v>
      </c>
      <c r="H70" s="614">
        <v>7.0</v>
      </c>
      <c r="I70" s="614" t="s">
        <v>3203</v>
      </c>
      <c r="J70" s="614" t="s">
        <v>3257</v>
      </c>
      <c r="K70" s="614" t="str">
        <f>IFERROR(__xludf.DUMMYFUNCTION("LET(
  r, C70,
  t, J70,
  cons, LOWER(TO_TEXT(O70))=""true"",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)"),"10000 зм")</f>
        <v>10000 зм</v>
      </c>
      <c r="L70" s="616" t="str">
        <f t="shared" si="1"/>
        <v>Минор</v>
      </c>
      <c r="M70" s="616"/>
      <c r="N70" s="615">
        <v>0.0</v>
      </c>
      <c r="O70" s="616" t="b">
        <v>0</v>
      </c>
      <c r="P70" s="614">
        <v>0.0</v>
      </c>
      <c r="Q70" s="617" t="s">
        <v>3372</v>
      </c>
      <c r="R70" s="616">
        <f t="shared" si="2"/>
        <v>6000</v>
      </c>
    </row>
    <row r="71">
      <c r="A71" s="614">
        <v>70.0</v>
      </c>
      <c r="B71" s="615" t="s">
        <v>3373</v>
      </c>
      <c r="C71" s="614" t="s">
        <v>3194</v>
      </c>
      <c r="D71" s="614" t="s">
        <v>2</v>
      </c>
      <c r="E71" s="614" t="s">
        <v>183</v>
      </c>
      <c r="F71" s="614" t="s">
        <v>3217</v>
      </c>
      <c r="G71" s="614" t="s">
        <v>3374</v>
      </c>
      <c r="H71" s="614">
        <v>7.0</v>
      </c>
      <c r="I71" s="614" t="s">
        <v>3208</v>
      </c>
      <c r="J71" s="614" t="s">
        <v>3204</v>
      </c>
      <c r="K71" s="614" t="str">
        <f>IFERROR(__xludf.DUMMYFUNCTION("LET(
  r, C71,
  t, J71,
  cons, LOWER(TO_TEXT(O71))=""true"",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)"),"(2d8kl1+1)*2500 зм")</f>
        <v>(2d8kl1+1)*2500 зм</v>
      </c>
      <c r="L71" s="616" t="str">
        <f t="shared" si="1"/>
        <v>Минор</v>
      </c>
      <c r="M71" s="616"/>
      <c r="N71" s="615">
        <v>0.0</v>
      </c>
      <c r="O71" s="616" t="b">
        <v>1</v>
      </c>
      <c r="P71" s="614">
        <v>0.0</v>
      </c>
      <c r="Q71" s="617" t="s">
        <v>3375</v>
      </c>
      <c r="R71" s="616">
        <f t="shared" si="2"/>
        <v>6750</v>
      </c>
    </row>
    <row r="72">
      <c r="A72" s="614">
        <v>71.0</v>
      </c>
      <c r="B72" s="615" t="s">
        <v>3376</v>
      </c>
      <c r="C72" s="614" t="s">
        <v>3194</v>
      </c>
      <c r="D72" s="614" t="s">
        <v>2</v>
      </c>
      <c r="E72" s="614" t="s">
        <v>42</v>
      </c>
      <c r="F72" s="614" t="s">
        <v>3195</v>
      </c>
      <c r="G72" s="614" t="s">
        <v>3244</v>
      </c>
      <c r="H72" s="614">
        <v>8.0</v>
      </c>
      <c r="I72" s="614" t="s">
        <v>692</v>
      </c>
      <c r="J72" s="614" t="s">
        <v>3218</v>
      </c>
      <c r="K72" s="614" t="str">
        <f>IFERROR(__xludf.DUMMYFUNCTION("LET(
  r, C72,
  t, J72,
  cons, LOWER(TO_TEXT(O72))=""true"",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)"),"(1d8+1)*5000 зм")</f>
        <v>(1d8+1)*5000 зм</v>
      </c>
      <c r="L72" s="616" t="str">
        <f t="shared" si="1"/>
        <v>Мажор</v>
      </c>
      <c r="M72" s="616"/>
      <c r="N72" s="615">
        <v>0.0</v>
      </c>
      <c r="O72" s="616" t="b">
        <v>0</v>
      </c>
      <c r="P72" s="614">
        <v>1.0</v>
      </c>
      <c r="Q72" s="617" t="s">
        <v>3377</v>
      </c>
      <c r="R72" s="616">
        <f t="shared" si="2"/>
        <v>15000</v>
      </c>
    </row>
    <row r="73">
      <c r="A73" s="614">
        <v>72.0</v>
      </c>
      <c r="B73" s="615" t="s">
        <v>3378</v>
      </c>
      <c r="C73" s="614" t="s">
        <v>3194</v>
      </c>
      <c r="D73" s="614" t="s">
        <v>1913</v>
      </c>
      <c r="E73" s="614"/>
      <c r="F73" s="614" t="s">
        <v>26</v>
      </c>
      <c r="G73" s="614" t="s">
        <v>3202</v>
      </c>
      <c r="H73" s="614">
        <v>8.0</v>
      </c>
      <c r="I73" s="614" t="s">
        <v>3203</v>
      </c>
      <c r="J73" s="614" t="s">
        <v>3221</v>
      </c>
      <c r="K73" s="614" t="str">
        <f>IFERROR(__xludf.DUMMYFUNCTION("LET(
  r, C73,
  t, J73,
  cons, LOWER(TO_TEXT(O73))=""true"",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)"),"(2d8kh1+1)*5000 зм")</f>
        <v>(2d8kh1+1)*5000 зм</v>
      </c>
      <c r="L73" s="616" t="str">
        <f t="shared" si="1"/>
        <v>Мажор</v>
      </c>
      <c r="M73" s="616"/>
      <c r="N73" s="615">
        <v>0.0</v>
      </c>
      <c r="O73" s="616" t="b">
        <v>0</v>
      </c>
      <c r="P73" s="614">
        <v>0.0</v>
      </c>
      <c r="Q73" s="617" t="s">
        <v>3379</v>
      </c>
      <c r="R73" s="616">
        <f t="shared" si="2"/>
        <v>16500</v>
      </c>
    </row>
    <row r="74">
      <c r="A74" s="614">
        <v>73.0</v>
      </c>
      <c r="B74" s="615" t="s">
        <v>3380</v>
      </c>
      <c r="C74" s="614" t="s">
        <v>3194</v>
      </c>
      <c r="D74" s="614" t="s">
        <v>1913</v>
      </c>
      <c r="E74" s="614"/>
      <c r="F74" s="614" t="s">
        <v>26</v>
      </c>
      <c r="G74" s="614" t="s">
        <v>3202</v>
      </c>
      <c r="H74" s="614">
        <v>7.0</v>
      </c>
      <c r="I74" s="614" t="s">
        <v>3203</v>
      </c>
      <c r="J74" s="614" t="s">
        <v>3218</v>
      </c>
      <c r="K74" s="614" t="str">
        <f>IFERROR(__xludf.DUMMYFUNCTION("LET(
  r, C74,
  t, J74,
  cons, LOWER(TO_TEXT(O74))=""true"",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)"),"(1d8+1)*5000 зм")</f>
        <v>(1d8+1)*5000 зм</v>
      </c>
      <c r="L74" s="616" t="str">
        <f t="shared" si="1"/>
        <v>Минор</v>
      </c>
      <c r="M74" s="616"/>
      <c r="N74" s="615">
        <v>0.0</v>
      </c>
      <c r="O74" s="616" t="b">
        <v>0</v>
      </c>
      <c r="P74" s="614">
        <v>0.0</v>
      </c>
      <c r="Q74" s="617" t="s">
        <v>3381</v>
      </c>
      <c r="R74" s="616">
        <f t="shared" si="2"/>
        <v>7500</v>
      </c>
    </row>
    <row r="75">
      <c r="A75" s="614">
        <v>74.0</v>
      </c>
      <c r="B75" s="615" t="s">
        <v>3382</v>
      </c>
      <c r="C75" s="614" t="s">
        <v>3194</v>
      </c>
      <c r="D75" s="614" t="s">
        <v>1913</v>
      </c>
      <c r="E75" s="614"/>
      <c r="F75" s="614" t="s">
        <v>26</v>
      </c>
      <c r="G75" s="614" t="s">
        <v>3202</v>
      </c>
      <c r="H75" s="614">
        <v>8.0</v>
      </c>
      <c r="I75" s="614" t="s">
        <v>3203</v>
      </c>
      <c r="J75" s="614" t="s">
        <v>3204</v>
      </c>
      <c r="K75" s="614" t="str">
        <f>IFERROR(__xludf.DUMMYFUNCTION("LET(
  r, C75,
  t, J75,
  cons, LOWER(TO_TEXT(O75))=""true"",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75" s="616" t="str">
        <f t="shared" si="1"/>
        <v>Мажор</v>
      </c>
      <c r="M75" s="616"/>
      <c r="N75" s="615">
        <v>0.0</v>
      </c>
      <c r="O75" s="616" t="b">
        <v>0</v>
      </c>
      <c r="P75" s="614">
        <v>0.0</v>
      </c>
      <c r="Q75" s="617" t="s">
        <v>3383</v>
      </c>
      <c r="R75" s="616">
        <f t="shared" si="2"/>
        <v>13500</v>
      </c>
    </row>
    <row r="76">
      <c r="A76" s="614">
        <v>75.0</v>
      </c>
      <c r="B76" s="615" t="s">
        <v>3384</v>
      </c>
      <c r="C76" s="614" t="s">
        <v>3194</v>
      </c>
      <c r="D76" s="614" t="s">
        <v>1913</v>
      </c>
      <c r="E76" s="614"/>
      <c r="F76" s="614" t="s">
        <v>26</v>
      </c>
      <c r="G76" s="614" t="s">
        <v>3202</v>
      </c>
      <c r="H76" s="614">
        <v>8.0</v>
      </c>
      <c r="I76" s="614" t="s">
        <v>3203</v>
      </c>
      <c r="J76" s="614" t="s">
        <v>3253</v>
      </c>
      <c r="K76" s="614" t="str">
        <f>IFERROR(__xludf.DUMMYFUNCTION("LET(
  r, C76,
  t, J76,
  cons, LOWER(TO_TEXT(O76))=""true"",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)"),"45000 зм")</f>
        <v>45000 зм</v>
      </c>
      <c r="L76" s="616" t="str">
        <f t="shared" si="1"/>
        <v>Мажор</v>
      </c>
      <c r="M76" s="616"/>
      <c r="N76" s="615">
        <v>0.0</v>
      </c>
      <c r="O76" s="616" t="b">
        <v>0</v>
      </c>
      <c r="P76" s="614">
        <v>0.0</v>
      </c>
      <c r="Q76" s="617" t="s">
        <v>3385</v>
      </c>
      <c r="R76" s="616">
        <f t="shared" si="2"/>
        <v>18000</v>
      </c>
    </row>
    <row r="77">
      <c r="A77" s="614">
        <v>76.0</v>
      </c>
      <c r="B77" s="615" t="s">
        <v>3386</v>
      </c>
      <c r="C77" s="614" t="s">
        <v>3194</v>
      </c>
      <c r="D77" s="614" t="s">
        <v>2</v>
      </c>
      <c r="E77" s="614" t="s">
        <v>3387</v>
      </c>
      <c r="F77" s="614" t="s">
        <v>3217</v>
      </c>
      <c r="G77" s="614" t="s">
        <v>3202</v>
      </c>
      <c r="H77" s="614">
        <v>7.0</v>
      </c>
      <c r="I77" s="614" t="s">
        <v>3208</v>
      </c>
      <c r="J77" s="614" t="s">
        <v>3204</v>
      </c>
      <c r="K77" s="614" t="str">
        <f>IFERROR(__xludf.DUMMYFUNCTION("LET(
  r, C77,
  t, J77,
  cons, LOWER(TO_TEXT(O77))=""true"",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)"),"(2d8kl1+1)*2500 зм")</f>
        <v>(2d8kl1+1)*2500 зм</v>
      </c>
      <c r="L77" s="616" t="str">
        <f t="shared" si="1"/>
        <v>Минор</v>
      </c>
      <c r="M77" s="616"/>
      <c r="N77" s="615">
        <v>0.0</v>
      </c>
      <c r="O77" s="616" t="b">
        <v>1</v>
      </c>
      <c r="P77" s="614">
        <v>1.0</v>
      </c>
      <c r="Q77" s="617" t="s">
        <v>3388</v>
      </c>
      <c r="R77" s="616">
        <f t="shared" si="2"/>
        <v>6750</v>
      </c>
    </row>
    <row r="78">
      <c r="A78" s="614">
        <v>77.0</v>
      </c>
      <c r="B78" s="615" t="s">
        <v>3389</v>
      </c>
      <c r="C78" s="614" t="s">
        <v>3194</v>
      </c>
      <c r="D78" s="614" t="s">
        <v>1913</v>
      </c>
      <c r="E78" s="614"/>
      <c r="F78" s="614" t="s">
        <v>3201</v>
      </c>
      <c r="G78" s="614" t="s">
        <v>3244</v>
      </c>
      <c r="H78" s="614">
        <v>8.0</v>
      </c>
      <c r="I78" s="614" t="s">
        <v>3203</v>
      </c>
      <c r="J78" s="614" t="s">
        <v>3221</v>
      </c>
      <c r="K78" s="614" t="str">
        <f>IFERROR(__xludf.DUMMYFUNCTION("LET(
  r, C78,
  t, J78,
  cons, LOWER(TO_TEXT(O78))=""true"",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)"),"(2d8kh1+1)*5000 зм")</f>
        <v>(2d8kh1+1)*5000 зм</v>
      </c>
      <c r="L78" s="616" t="str">
        <f t="shared" si="1"/>
        <v>Мажор</v>
      </c>
      <c r="M78" s="616"/>
      <c r="N78" s="615">
        <v>0.0</v>
      </c>
      <c r="O78" s="616" t="b">
        <v>0</v>
      </c>
      <c r="P78" s="614">
        <v>0.0</v>
      </c>
      <c r="Q78" s="617" t="s">
        <v>3390</v>
      </c>
      <c r="R78" s="616">
        <f t="shared" si="2"/>
        <v>16500</v>
      </c>
    </row>
    <row r="79">
      <c r="A79" s="614">
        <v>78.0</v>
      </c>
      <c r="B79" s="615" t="s">
        <v>3391</v>
      </c>
      <c r="C79" s="614" t="s">
        <v>3194</v>
      </c>
      <c r="D79" s="614" t="s">
        <v>2</v>
      </c>
      <c r="E79" s="614" t="s">
        <v>3228</v>
      </c>
      <c r="F79" s="614" t="s">
        <v>3217</v>
      </c>
      <c r="G79" s="614" t="s">
        <v>3202</v>
      </c>
      <c r="H79" s="614">
        <v>8.0</v>
      </c>
      <c r="I79" s="614" t="s">
        <v>692</v>
      </c>
      <c r="J79" s="614" t="s">
        <v>3204</v>
      </c>
      <c r="K79" s="614" t="str">
        <f>IFERROR(__xludf.DUMMYFUNCTION("LET(
  r, C79,
  t, J79,
  cons, LOWER(TO_TEXT(O79))=""true"",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79" s="616" t="str">
        <f t="shared" si="1"/>
        <v>Мажор</v>
      </c>
      <c r="M79" s="616"/>
      <c r="N79" s="615">
        <v>0.0</v>
      </c>
      <c r="O79" s="616" t="b">
        <v>0</v>
      </c>
      <c r="P79" s="614">
        <v>1.0</v>
      </c>
      <c r="Q79" s="617" t="s">
        <v>3392</v>
      </c>
      <c r="R79" s="616">
        <f t="shared" si="2"/>
        <v>13500</v>
      </c>
    </row>
    <row r="80">
      <c r="A80" s="614">
        <v>79.0</v>
      </c>
      <c r="B80" s="615" t="s">
        <v>3393</v>
      </c>
      <c r="C80" s="614" t="s">
        <v>3194</v>
      </c>
      <c r="D80" s="614" t="s">
        <v>1913</v>
      </c>
      <c r="E80" s="614" t="s">
        <v>3394</v>
      </c>
      <c r="F80" s="614" t="s">
        <v>3217</v>
      </c>
      <c r="G80" s="614" t="s">
        <v>3293</v>
      </c>
      <c r="H80" s="614">
        <v>7.0</v>
      </c>
      <c r="I80" s="614" t="s">
        <v>3208</v>
      </c>
      <c r="J80" s="614" t="s">
        <v>3257</v>
      </c>
      <c r="K80" s="614" t="str">
        <f>IFERROR(__xludf.DUMMYFUNCTION("LET(
  r, C80,
  t, J80,
  cons, LOWER(TO_TEXT(O80))=""true"",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)"),"10000 зм")</f>
        <v>10000 зм</v>
      </c>
      <c r="L80" s="616" t="str">
        <f t="shared" si="1"/>
        <v>Минор</v>
      </c>
      <c r="M80" s="616"/>
      <c r="N80" s="615">
        <v>0.0</v>
      </c>
      <c r="O80" s="616" t="b">
        <v>0</v>
      </c>
      <c r="P80" s="614">
        <v>1.0</v>
      </c>
      <c r="Q80" s="617" t="s">
        <v>3395</v>
      </c>
      <c r="R80" s="616">
        <f t="shared" si="2"/>
        <v>6000</v>
      </c>
    </row>
    <row r="81">
      <c r="A81" s="614">
        <v>80.0</v>
      </c>
      <c r="B81" s="615" t="s">
        <v>3396</v>
      </c>
      <c r="C81" s="614" t="s">
        <v>3194</v>
      </c>
      <c r="D81" s="614" t="s">
        <v>1913</v>
      </c>
      <c r="E81" s="614" t="s">
        <v>3394</v>
      </c>
      <c r="F81" s="614" t="s">
        <v>3217</v>
      </c>
      <c r="G81" s="614" t="s">
        <v>3293</v>
      </c>
      <c r="H81" s="614">
        <v>7.0</v>
      </c>
      <c r="I81" s="614" t="s">
        <v>3208</v>
      </c>
      <c r="J81" s="614" t="s">
        <v>3204</v>
      </c>
      <c r="K81" s="614" t="str">
        <f>IFERROR(__xludf.DUMMYFUNCTION("LET(
  r, C81,
  t, J81,
  cons, LOWER(TO_TEXT(O81))=""true"",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81" s="616" t="str">
        <f t="shared" si="1"/>
        <v>Минор</v>
      </c>
      <c r="M81" s="616"/>
      <c r="N81" s="615">
        <v>0.0</v>
      </c>
      <c r="O81" s="616" t="b">
        <v>0</v>
      </c>
      <c r="P81" s="614">
        <v>1.0</v>
      </c>
      <c r="Q81" s="617" t="s">
        <v>3397</v>
      </c>
      <c r="R81" s="616">
        <f t="shared" si="2"/>
        <v>6750</v>
      </c>
    </row>
    <row r="82">
      <c r="A82" s="614">
        <v>81.0</v>
      </c>
      <c r="B82" s="615" t="s">
        <v>3398</v>
      </c>
      <c r="C82" s="614" t="s">
        <v>3194</v>
      </c>
      <c r="D82" s="614" t="s">
        <v>1913</v>
      </c>
      <c r="E82" s="614" t="s">
        <v>3394</v>
      </c>
      <c r="F82" s="614" t="s">
        <v>3217</v>
      </c>
      <c r="G82" s="614" t="s">
        <v>3293</v>
      </c>
      <c r="H82" s="614">
        <v>7.0</v>
      </c>
      <c r="I82" s="614" t="s">
        <v>692</v>
      </c>
      <c r="J82" s="614" t="s">
        <v>3218</v>
      </c>
      <c r="K82" s="614" t="str">
        <f>IFERROR(__xludf.DUMMYFUNCTION("LET(
  r, C82,
  t, J82,
  cons, LOWER(TO_TEXT(O82))=""true"",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)"),"(1d8+1)*5000 зм")</f>
        <v>(1d8+1)*5000 зм</v>
      </c>
      <c r="L82" s="616" t="str">
        <f t="shared" si="1"/>
        <v>Минор</v>
      </c>
      <c r="M82" s="616"/>
      <c r="N82" s="615">
        <v>0.0</v>
      </c>
      <c r="O82" s="616" t="b">
        <v>0</v>
      </c>
      <c r="P82" s="614">
        <v>1.0</v>
      </c>
      <c r="Q82" s="617" t="s">
        <v>3399</v>
      </c>
      <c r="R82" s="616">
        <f t="shared" si="2"/>
        <v>7500</v>
      </c>
    </row>
    <row r="83">
      <c r="A83" s="614">
        <v>82.0</v>
      </c>
      <c r="B83" s="615" t="s">
        <v>3400</v>
      </c>
      <c r="C83" s="614" t="s">
        <v>3194</v>
      </c>
      <c r="D83" s="614" t="s">
        <v>1913</v>
      </c>
      <c r="E83" s="614"/>
      <c r="F83" s="614" t="s">
        <v>3272</v>
      </c>
      <c r="G83" s="614" t="s">
        <v>3214</v>
      </c>
      <c r="H83" s="614">
        <v>7.0</v>
      </c>
      <c r="I83" s="614" t="s">
        <v>692</v>
      </c>
      <c r="J83" s="614" t="s">
        <v>3204</v>
      </c>
      <c r="K83" s="614" t="str">
        <f>IFERROR(__xludf.DUMMYFUNCTION("LET(
  r, C83,
  t, J83,
  cons, LOWER(TO_TEXT(O83))=""true"",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83" s="616" t="str">
        <f t="shared" si="1"/>
        <v>Минор</v>
      </c>
      <c r="M83" s="616"/>
      <c r="N83" s="615">
        <v>0.0</v>
      </c>
      <c r="O83" s="616" t="b">
        <v>0</v>
      </c>
      <c r="P83" s="614">
        <v>1.0</v>
      </c>
      <c r="Q83" s="617" t="s">
        <v>3401</v>
      </c>
      <c r="R83" s="616">
        <f t="shared" si="2"/>
        <v>6750</v>
      </c>
    </row>
    <row r="84">
      <c r="A84" s="614">
        <v>83.0</v>
      </c>
      <c r="B84" s="615" t="s">
        <v>3402</v>
      </c>
      <c r="C84" s="614" t="s">
        <v>3194</v>
      </c>
      <c r="D84" s="614" t="s">
        <v>2</v>
      </c>
      <c r="E84" s="614" t="s">
        <v>103</v>
      </c>
      <c r="F84" s="614" t="s">
        <v>3195</v>
      </c>
      <c r="G84" s="614" t="s">
        <v>3214</v>
      </c>
      <c r="H84" s="614">
        <v>7.0</v>
      </c>
      <c r="I84" s="614" t="s">
        <v>692</v>
      </c>
      <c r="J84" s="614" t="s">
        <v>3204</v>
      </c>
      <c r="K84" s="614" t="str">
        <f>IFERROR(__xludf.DUMMYFUNCTION("LET(
  r, C84,
  t, J84,
  cons, LOWER(TO_TEXT(O84))=""true"",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84" s="616" t="str">
        <f t="shared" si="1"/>
        <v>Минор</v>
      </c>
      <c r="M84" s="616"/>
      <c r="N84" s="615">
        <v>0.0</v>
      </c>
      <c r="O84" s="616" t="b">
        <v>0</v>
      </c>
      <c r="P84" s="614">
        <v>1.0</v>
      </c>
      <c r="Q84" s="617" t="s">
        <v>3403</v>
      </c>
      <c r="R84" s="616">
        <f t="shared" si="2"/>
        <v>6750</v>
      </c>
    </row>
    <row r="85">
      <c r="A85" s="614">
        <v>84.0</v>
      </c>
      <c r="B85" s="615" t="s">
        <v>3404</v>
      </c>
      <c r="C85" s="614" t="s">
        <v>3194</v>
      </c>
      <c r="D85" s="614" t="s">
        <v>1913</v>
      </c>
      <c r="E85" s="614"/>
      <c r="F85" s="614" t="s">
        <v>26</v>
      </c>
      <c r="G85" s="614" t="s">
        <v>3202</v>
      </c>
      <c r="H85" s="614">
        <v>8.0</v>
      </c>
      <c r="I85" s="614" t="s">
        <v>3203</v>
      </c>
      <c r="J85" s="614" t="s">
        <v>3221</v>
      </c>
      <c r="K85" s="614" t="str">
        <f>IFERROR(__xludf.DUMMYFUNCTION("LET(
  r, C85,
  t, J85,
  cons, LOWER(TO_TEXT(O85))=""true"",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)"),"(2d8kh1+1)*5000 зм")</f>
        <v>(2d8kh1+1)*5000 зм</v>
      </c>
      <c r="L85" s="616" t="str">
        <f t="shared" si="1"/>
        <v>Мажор</v>
      </c>
      <c r="M85" s="616"/>
      <c r="N85" s="615">
        <v>0.0</v>
      </c>
      <c r="O85" s="616" t="b">
        <v>0</v>
      </c>
      <c r="P85" s="614">
        <v>0.0</v>
      </c>
      <c r="Q85" s="617" t="s">
        <v>3405</v>
      </c>
      <c r="R85" s="616">
        <f t="shared" si="2"/>
        <v>16500</v>
      </c>
    </row>
    <row r="86">
      <c r="A86" s="614">
        <v>85.0</v>
      </c>
      <c r="B86" s="615" t="s">
        <v>3406</v>
      </c>
      <c r="C86" s="614" t="s">
        <v>3194</v>
      </c>
      <c r="D86" s="614" t="s">
        <v>1913</v>
      </c>
      <c r="E86" s="614"/>
      <c r="F86" s="614" t="s">
        <v>26</v>
      </c>
      <c r="G86" s="614" t="s">
        <v>3202</v>
      </c>
      <c r="H86" s="614">
        <v>8.0</v>
      </c>
      <c r="I86" s="614" t="s">
        <v>3203</v>
      </c>
      <c r="J86" s="614" t="s">
        <v>3221</v>
      </c>
      <c r="K86" s="614" t="str">
        <f>IFERROR(__xludf.DUMMYFUNCTION("LET(
  r, C86,
  t, J86,
  cons, LOWER(TO_TEXT(O86))=""true"",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)"),"(2d8kh1+1)*5000 зм")</f>
        <v>(2d8kh1+1)*5000 зм</v>
      </c>
      <c r="L86" s="616" t="str">
        <f t="shared" si="1"/>
        <v>Мажор</v>
      </c>
      <c r="M86" s="616"/>
      <c r="N86" s="615">
        <v>0.0</v>
      </c>
      <c r="O86" s="616" t="b">
        <v>0</v>
      </c>
      <c r="P86" s="614">
        <v>0.0</v>
      </c>
      <c r="Q86" s="617" t="s">
        <v>3407</v>
      </c>
      <c r="R86" s="616">
        <f t="shared" si="2"/>
        <v>16500</v>
      </c>
    </row>
    <row r="87">
      <c r="A87" s="614">
        <v>86.0</v>
      </c>
      <c r="B87" s="615" t="s">
        <v>3408</v>
      </c>
      <c r="C87" s="614" t="s">
        <v>3194</v>
      </c>
      <c r="D87" s="614" t="s">
        <v>1913</v>
      </c>
      <c r="E87" s="614"/>
      <c r="F87" s="614" t="s">
        <v>26</v>
      </c>
      <c r="G87" s="614" t="s">
        <v>3202</v>
      </c>
      <c r="H87" s="614">
        <v>8.0</v>
      </c>
      <c r="I87" s="614" t="s">
        <v>3203</v>
      </c>
      <c r="J87" s="614" t="s">
        <v>3204</v>
      </c>
      <c r="K87" s="614" t="str">
        <f>IFERROR(__xludf.DUMMYFUNCTION("LET(
  r, C87,
  t, J87,
  cons, LOWER(TO_TEXT(O87))=""true"",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87" s="616" t="str">
        <f t="shared" si="1"/>
        <v>Мажор</v>
      </c>
      <c r="M87" s="616"/>
      <c r="N87" s="615">
        <v>0.0</v>
      </c>
      <c r="O87" s="616" t="b">
        <v>0</v>
      </c>
      <c r="P87" s="614">
        <v>0.0</v>
      </c>
      <c r="Q87" s="617" t="s">
        <v>3409</v>
      </c>
      <c r="R87" s="616">
        <f t="shared" si="2"/>
        <v>13500</v>
      </c>
    </row>
    <row r="88">
      <c r="A88" s="614">
        <v>87.0</v>
      </c>
      <c r="B88" s="615" t="s">
        <v>3410</v>
      </c>
      <c r="C88" s="614" t="s">
        <v>3194</v>
      </c>
      <c r="D88" s="614" t="s">
        <v>1913</v>
      </c>
      <c r="E88" s="614"/>
      <c r="F88" s="614" t="s">
        <v>26</v>
      </c>
      <c r="G88" s="614" t="s">
        <v>3202</v>
      </c>
      <c r="H88" s="614">
        <v>7.0</v>
      </c>
      <c r="I88" s="614" t="s">
        <v>3203</v>
      </c>
      <c r="J88" s="614" t="s">
        <v>3411</v>
      </c>
      <c r="K88" s="614" t="str">
        <f>IFERROR(__xludf.DUMMYFUNCTION("LET(
  r, C88,
  t, J88,
  cons, LOWER(TO_TEXT(O88))=""true"",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)"),"(1d8+1)*2500 зм")</f>
        <v>(1d8+1)*2500 зм</v>
      </c>
      <c r="L88" s="616" t="str">
        <f t="shared" si="1"/>
        <v>Минор</v>
      </c>
      <c r="M88" s="616"/>
      <c r="N88" s="615">
        <v>0.0</v>
      </c>
      <c r="O88" s="616" t="b">
        <v>1</v>
      </c>
      <c r="P88" s="614">
        <v>0.0</v>
      </c>
      <c r="Q88" s="617" t="s">
        <v>3412</v>
      </c>
      <c r="R88" s="616">
        <f t="shared" si="2"/>
        <v>7500</v>
      </c>
    </row>
    <row r="89">
      <c r="A89" s="614">
        <v>88.0</v>
      </c>
      <c r="B89" s="615" t="s">
        <v>3413</v>
      </c>
      <c r="C89" s="614" t="s">
        <v>3194</v>
      </c>
      <c r="D89" s="614" t="s">
        <v>1913</v>
      </c>
      <c r="E89" s="614"/>
      <c r="F89" s="614" t="s">
        <v>3272</v>
      </c>
      <c r="G89" s="614" t="s">
        <v>3202</v>
      </c>
      <c r="H89" s="614">
        <v>7.0</v>
      </c>
      <c r="I89" s="614" t="s">
        <v>692</v>
      </c>
      <c r="J89" s="614" t="s">
        <v>3218</v>
      </c>
      <c r="K89" s="614" t="str">
        <f>IFERROR(__xludf.DUMMYFUNCTION("LET(
  r, C89,
  t, J89,
  cons, LOWER(TO_TEXT(O89))=""true"",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)"),"(1d8+1)*5000 зм")</f>
        <v>(1d8+1)*5000 зм</v>
      </c>
      <c r="L89" s="616" t="str">
        <f t="shared" si="1"/>
        <v>Минор</v>
      </c>
      <c r="M89" s="616"/>
      <c r="N89" s="615">
        <v>0.0</v>
      </c>
      <c r="O89" s="616" t="b">
        <v>0</v>
      </c>
      <c r="P89" s="614">
        <v>1.0</v>
      </c>
      <c r="Q89" s="617" t="s">
        <v>3414</v>
      </c>
      <c r="R89" s="616">
        <f t="shared" si="2"/>
        <v>7500</v>
      </c>
    </row>
    <row r="90">
      <c r="A90" s="614">
        <v>89.0</v>
      </c>
      <c r="B90" s="615" t="s">
        <v>3415</v>
      </c>
      <c r="C90" s="614" t="s">
        <v>3194</v>
      </c>
      <c r="D90" s="614" t="s">
        <v>1913</v>
      </c>
      <c r="E90" s="614"/>
      <c r="F90" s="614" t="s">
        <v>3272</v>
      </c>
      <c r="G90" s="614" t="s">
        <v>3214</v>
      </c>
      <c r="H90" s="614">
        <v>7.0</v>
      </c>
      <c r="I90" s="614" t="s">
        <v>692</v>
      </c>
      <c r="J90" s="614" t="s">
        <v>3218</v>
      </c>
      <c r="K90" s="614" t="str">
        <f>IFERROR(__xludf.DUMMYFUNCTION("LET(
  r, C90,
  t, J90,
  cons, LOWER(TO_TEXT(O90))=""true"",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)"),"(1d8+1)*5000 зм")</f>
        <v>(1d8+1)*5000 зм</v>
      </c>
      <c r="L90" s="616" t="str">
        <f t="shared" si="1"/>
        <v>Минор</v>
      </c>
      <c r="M90" s="616"/>
      <c r="N90" s="615">
        <v>0.0</v>
      </c>
      <c r="O90" s="616" t="b">
        <v>0</v>
      </c>
      <c r="P90" s="614">
        <v>1.0</v>
      </c>
      <c r="Q90" s="617" t="s">
        <v>3416</v>
      </c>
      <c r="R90" s="616">
        <f t="shared" si="2"/>
        <v>7500</v>
      </c>
    </row>
    <row r="91">
      <c r="A91" s="614">
        <v>90.0</v>
      </c>
      <c r="B91" s="615" t="s">
        <v>3417</v>
      </c>
      <c r="C91" s="614" t="s">
        <v>3194</v>
      </c>
      <c r="D91" s="614" t="s">
        <v>1070</v>
      </c>
      <c r="E91" s="614" t="s">
        <v>650</v>
      </c>
      <c r="F91" s="614" t="s">
        <v>3195</v>
      </c>
      <c r="G91" s="614" t="s">
        <v>3202</v>
      </c>
      <c r="H91" s="614">
        <v>7.0</v>
      </c>
      <c r="I91" s="614" t="s">
        <v>3203</v>
      </c>
      <c r="J91" s="614" t="s">
        <v>3221</v>
      </c>
      <c r="K91" s="614" t="str">
        <f>IFERROR(__xludf.DUMMYFUNCTION("LET(
  r, C91,
  t, J91,
  cons, LOWER(TO_TEXT(O91))=""true"",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)"),"(2d8kh1+1)*5000 зм")</f>
        <v>(2d8kh1+1)*5000 зм</v>
      </c>
      <c r="L91" s="616" t="str">
        <f t="shared" si="1"/>
        <v>Минор</v>
      </c>
      <c r="M91" s="616"/>
      <c r="N91" s="615">
        <v>0.0</v>
      </c>
      <c r="O91" s="616" t="b">
        <v>0</v>
      </c>
      <c r="P91" s="614">
        <v>0.0</v>
      </c>
      <c r="Q91" s="617" t="s">
        <v>3418</v>
      </c>
      <c r="R91" s="616">
        <f t="shared" si="2"/>
        <v>8250</v>
      </c>
    </row>
    <row r="92">
      <c r="A92" s="614">
        <v>91.0</v>
      </c>
      <c r="B92" s="615" t="s">
        <v>3419</v>
      </c>
      <c r="C92" s="614" t="s">
        <v>3194</v>
      </c>
      <c r="D92" s="614" t="s">
        <v>2</v>
      </c>
      <c r="E92" s="614" t="s">
        <v>94</v>
      </c>
      <c r="F92" s="614" t="s">
        <v>3195</v>
      </c>
      <c r="G92" s="614" t="s">
        <v>3202</v>
      </c>
      <c r="H92" s="614">
        <v>8.0</v>
      </c>
      <c r="I92" s="614" t="s">
        <v>692</v>
      </c>
      <c r="J92" s="614" t="s">
        <v>3204</v>
      </c>
      <c r="K92" s="614" t="str">
        <f>IFERROR(__xludf.DUMMYFUNCTION("LET(
  r, C92,
  t, J92,
  cons, LOWER(TO_TEXT(O92))=""true"",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)"),"(2d8kl1+1)*5000 зм")</f>
        <v>(2d8kl1+1)*5000 зм</v>
      </c>
      <c r="L92" s="616" t="str">
        <f t="shared" si="1"/>
        <v>Мажор</v>
      </c>
      <c r="M92" s="616"/>
      <c r="N92" s="615" t="s">
        <v>3420</v>
      </c>
      <c r="O92" s="616" t="b">
        <v>0</v>
      </c>
      <c r="P92" s="614">
        <v>1.0</v>
      </c>
      <c r="Q92" s="617" t="s">
        <v>3232</v>
      </c>
      <c r="R92" s="616">
        <f t="shared" si="2"/>
        <v>13500</v>
      </c>
    </row>
    <row r="93">
      <c r="A93" s="614">
        <v>92.0</v>
      </c>
      <c r="B93" s="615" t="s">
        <v>3421</v>
      </c>
      <c r="C93" s="614" t="s">
        <v>3422</v>
      </c>
      <c r="D93" s="614" t="s">
        <v>1913</v>
      </c>
      <c r="E93" s="614"/>
      <c r="F93" s="614" t="s">
        <v>3195</v>
      </c>
      <c r="G93" s="614" t="s">
        <v>3244</v>
      </c>
      <c r="H93" s="614">
        <v>9.0</v>
      </c>
      <c r="I93" s="614" t="s">
        <v>3203</v>
      </c>
      <c r="J93" s="614" t="s">
        <v>3221</v>
      </c>
      <c r="K93" s="614" t="str">
        <f>IFERROR(__xludf.DUMMYFUNCTION("LET(
  r, C93,
  t, J93,
  cons, LOWER(TO_TEXT(O93))=""true"",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)"),"3d6kh2*25000 зм")</f>
        <v>3d6kh2*25000 зм</v>
      </c>
      <c r="L93" s="616" t="str">
        <f t="shared" si="1"/>
        <v>Минор</v>
      </c>
      <c r="M93" s="616"/>
      <c r="N93" s="615">
        <v>0.0</v>
      </c>
      <c r="O93" s="616" t="b">
        <v>0</v>
      </c>
      <c r="P93" s="614">
        <v>1.0</v>
      </c>
      <c r="Q93" s="617" t="s">
        <v>3423</v>
      </c>
      <c r="R93" s="616">
        <f t="shared" si="2"/>
        <v>27500</v>
      </c>
    </row>
    <row r="94">
      <c r="A94" s="614">
        <v>93.0</v>
      </c>
      <c r="B94" s="615" t="s">
        <v>3424</v>
      </c>
      <c r="C94" s="614" t="s">
        <v>3422</v>
      </c>
      <c r="D94" s="614" t="s">
        <v>1913</v>
      </c>
      <c r="E94" s="614"/>
      <c r="F94" s="614" t="s">
        <v>3217</v>
      </c>
      <c r="G94" s="614" t="s">
        <v>3244</v>
      </c>
      <c r="H94" s="614">
        <v>9.0</v>
      </c>
      <c r="I94" s="614" t="s">
        <v>3208</v>
      </c>
      <c r="J94" s="614" t="s">
        <v>3204</v>
      </c>
      <c r="K94" s="614" t="str">
        <f>IFERROR(__xludf.DUMMYFUNCTION("LET(
  r, C94,
  t, J94,
  cons, LOWER(TO_TEXT(O94))=""true"",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)"),"3d6kl2*25000 зм")</f>
        <v>3d6kl2*25000 зм</v>
      </c>
      <c r="L94" s="616" t="str">
        <f t="shared" si="1"/>
        <v>Минор</v>
      </c>
      <c r="M94" s="616"/>
      <c r="N94" s="615" t="s">
        <v>3297</v>
      </c>
      <c r="O94" s="616" t="b">
        <v>0</v>
      </c>
      <c r="P94" s="614">
        <v>0.0</v>
      </c>
      <c r="Q94" s="617" t="s">
        <v>3425</v>
      </c>
      <c r="R94" s="616">
        <f t="shared" si="2"/>
        <v>22500</v>
      </c>
    </row>
    <row r="95">
      <c r="A95" s="614">
        <v>94.0</v>
      </c>
      <c r="B95" s="615" t="s">
        <v>3426</v>
      </c>
      <c r="C95" s="614" t="s">
        <v>3422</v>
      </c>
      <c r="D95" s="614" t="s">
        <v>1913</v>
      </c>
      <c r="E95" s="614"/>
      <c r="F95" s="614" t="s">
        <v>3195</v>
      </c>
      <c r="G95" s="614" t="s">
        <v>3207</v>
      </c>
      <c r="H95" s="614">
        <v>9.0</v>
      </c>
      <c r="I95" s="614" t="s">
        <v>3208</v>
      </c>
      <c r="J95" s="614" t="s">
        <v>3204</v>
      </c>
      <c r="K95" s="614" t="str">
        <f>IFERROR(__xludf.DUMMYFUNCTION("LET(
  r, C95,
  t, J95,
  cons, LOWER(TO_TEXT(O95))=""true"",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)"),"3d6kl2*25000 зм")</f>
        <v>3d6kl2*25000 зм</v>
      </c>
      <c r="L95" s="616" t="str">
        <f t="shared" si="1"/>
        <v>Минор</v>
      </c>
      <c r="M95" s="616"/>
      <c r="N95" s="615">
        <v>0.0</v>
      </c>
      <c r="O95" s="616" t="b">
        <v>0</v>
      </c>
      <c r="P95" s="614">
        <v>1.0</v>
      </c>
      <c r="Q95" s="617" t="s">
        <v>3427</v>
      </c>
      <c r="R95" s="616">
        <f t="shared" si="2"/>
        <v>22500</v>
      </c>
    </row>
    <row r="96">
      <c r="A96" s="614">
        <v>95.0</v>
      </c>
      <c r="B96" s="615" t="s">
        <v>3428</v>
      </c>
      <c r="C96" s="614" t="s">
        <v>3422</v>
      </c>
      <c r="D96" s="614" t="s">
        <v>1913</v>
      </c>
      <c r="E96" s="614"/>
      <c r="F96" s="614" t="s">
        <v>3195</v>
      </c>
      <c r="G96" s="614" t="s">
        <v>3202</v>
      </c>
      <c r="H96" s="614">
        <v>9.0</v>
      </c>
      <c r="I96" s="614" t="s">
        <v>3208</v>
      </c>
      <c r="J96" s="614" t="s">
        <v>3323</v>
      </c>
      <c r="K96" s="614" t="str">
        <f>IFERROR(__xludf.DUMMYFUNCTION("LET(
  r, C96,
  t, J96,
  cons, LOWER(TO_TEXT(O96))=""true"",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)"),"2d6*25000 зм")</f>
        <v>2d6*25000 зм</v>
      </c>
      <c r="L96" s="616" t="str">
        <f t="shared" si="1"/>
        <v>Минор</v>
      </c>
      <c r="M96" s="616"/>
      <c r="N96" s="615">
        <v>0.0</v>
      </c>
      <c r="O96" s="616" t="b">
        <v>0</v>
      </c>
      <c r="P96" s="614">
        <v>1.0</v>
      </c>
      <c r="Q96" s="617" t="s">
        <v>3429</v>
      </c>
      <c r="R96" s="616">
        <f t="shared" si="2"/>
        <v>25000</v>
      </c>
    </row>
    <row r="97">
      <c r="A97" s="614">
        <v>96.0</v>
      </c>
      <c r="B97" s="615" t="s">
        <v>3430</v>
      </c>
      <c r="C97" s="614" t="s">
        <v>3422</v>
      </c>
      <c r="D97" s="614" t="s">
        <v>1913</v>
      </c>
      <c r="E97" s="614"/>
      <c r="F97" s="614" t="s">
        <v>26</v>
      </c>
      <c r="G97" s="614" t="s">
        <v>3202</v>
      </c>
      <c r="H97" s="614">
        <v>9.0</v>
      </c>
      <c r="I97" s="614" t="s">
        <v>3203</v>
      </c>
      <c r="J97" s="614" t="s">
        <v>3237</v>
      </c>
      <c r="K97" s="614" t="str">
        <f>IFERROR(__xludf.DUMMYFUNCTION("LET(
  r, C97,
  t, J97,
  cons, LOWER(TO_TEXT(O97))=""true"",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f>
        <v>—</v>
      </c>
      <c r="L97" s="616" t="str">
        <f t="shared" si="1"/>
        <v>Минор</v>
      </c>
      <c r="M97" s="616"/>
      <c r="N97" s="615">
        <v>0.0</v>
      </c>
      <c r="O97" s="616" t="b">
        <v>0</v>
      </c>
      <c r="P97" s="614">
        <v>1.0</v>
      </c>
      <c r="Q97" s="617" t="s">
        <v>3431</v>
      </c>
      <c r="R97" s="616">
        <f t="shared" si="2"/>
        <v>100000</v>
      </c>
    </row>
    <row r="98">
      <c r="A98" s="614">
        <v>97.0</v>
      </c>
      <c r="B98" s="615" t="s">
        <v>3432</v>
      </c>
      <c r="C98" s="614" t="s">
        <v>3422</v>
      </c>
      <c r="D98" s="614" t="s">
        <v>2</v>
      </c>
      <c r="E98" s="614" t="s">
        <v>3228</v>
      </c>
      <c r="F98" s="614" t="s">
        <v>3195</v>
      </c>
      <c r="G98" s="614" t="s">
        <v>3202</v>
      </c>
      <c r="H98" s="614">
        <v>10.0</v>
      </c>
      <c r="I98" s="614" t="s">
        <v>3203</v>
      </c>
      <c r="J98" s="614" t="s">
        <v>3411</v>
      </c>
      <c r="K98" s="614" t="str">
        <f>IFERROR(__xludf.DUMMYFUNCTION("LET(
  r, C98,
  t, J98,
  cons, LOWER(TO_TEXT(O98))=""true"",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)"),"2d6*25000 зм")</f>
        <v>2d6*25000 зм</v>
      </c>
      <c r="L98" s="616" t="str">
        <f t="shared" si="1"/>
        <v>Мажор</v>
      </c>
      <c r="M98" s="616"/>
      <c r="N98" s="615" t="s">
        <v>3433</v>
      </c>
      <c r="O98" s="616" t="b">
        <v>0</v>
      </c>
      <c r="P98" s="614">
        <v>0.0</v>
      </c>
      <c r="Q98" s="617" t="s">
        <v>3434</v>
      </c>
      <c r="R98" s="616">
        <f t="shared" si="2"/>
        <v>50000</v>
      </c>
    </row>
    <row r="99">
      <c r="A99" s="614">
        <v>98.0</v>
      </c>
      <c r="B99" s="615" t="s">
        <v>3435</v>
      </c>
      <c r="C99" s="614" t="s">
        <v>3422</v>
      </c>
      <c r="D99" s="614" t="s">
        <v>1913</v>
      </c>
      <c r="E99" s="614"/>
      <c r="F99" s="614" t="s">
        <v>3272</v>
      </c>
      <c r="G99" s="614" t="s">
        <v>3244</v>
      </c>
      <c r="H99" s="614">
        <v>9.0</v>
      </c>
      <c r="I99" s="614" t="s">
        <v>692</v>
      </c>
      <c r="J99" s="614" t="s">
        <v>3218</v>
      </c>
      <c r="K99" s="614" t="str">
        <f>IFERROR(__xludf.DUMMYFUNCTION("LET(
  r, C99,
  t, J99,
  cons, LOWER(TO_TEXT(O99))=""true"",
  base, SWITCH(r,
    ""Обычный"", ""1d6"",
    ""Необычный"", ""1d6"",
    ""Редкий"", ""1d6"",
    ""Очень редкий"", ""1d8"",
    ""Легендарный"", ""2d6"",
    """"
  ),
  n, VALUE(REGEXEX"&amp;"TRACT(base, ""^\d+"")),
  s, VALUE(REGEXEXTRACT(base, ""d(\d+)$"")),
  mode, SWITCH(t,
    ""Невыгодные"", ""ADV"",
    ""Выгодные"", ""DIS"",
    ""Нормальные"", ""NORM"",
    ""Удачные"", ""MIN"",
    ""Провальные"", ""MAX"",
    ""Невозможные"", ""NO"&amp;""",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""Необычный"&amp;""", ""100 зм"",
    ""Редкий"", ""1000 зм"",
    ""Очень редкий"", ""10000 зм"",
    ""Легендарный"", ""50000 зм"",
    """"
  ),
  maxPrice, SWITCH(r,
    ""Обычный"", ""70 зм"",
    ""Необычный"", ""600 зм"",
    ""Редкий"", ""6000 зм"",
    ""Очень ре"&amp;"дкий"", ""45000 зм"",
    ""Легендарный"", ""300000 зм"",
    """"
  ),
  price, IF(mode=""NO"", ""—"",
          IF(mode=""MIN"", minPrice,
            IF(mode=""MAX"", maxPrice,
              rollPrice
            )
          )
  ),
  IF(price=""—"", "&amp;"""—"",
    IF(NOT(cons), price,
      LET(
        mult, IFERROR(VALUE(REGEXEXTRACT(price, ""\*(\d+)\s*зм$"")), ),
        fixed, IFERROR(VALUE(REGEXEXTRACT(price, ""^(\d+)\s*зм$"")), ),
        IF(mult&lt;&gt;"""", REGEXREPLACE(price, ""\*(\d+)\s*зм$"", ""*"""&amp;"&amp;(mult/2)&amp;"" зм""),
          IF(fixed&lt;&gt;"""", (fixed/2)&amp;"" зм"",
            REGEXREPLACE(price, ""\s*зм$"", """")&amp;""/2 зм""
          )
        )
      )
    )
  )
)"),"2d6*25000 зм")</f>
        <v>2d6*25000 зм</v>
      </c>
      <c r="L99" s="616" t="str">
        <f t="shared" si="1"/>
        <v>Минор</v>
      </c>
      <c r="M99" s="616"/>
      <c r="N99" s="615">
        <v>0.0</v>
      </c>
      <c r="O99" s="616" t="b">
        <v>0</v>
      </c>
      <c r="P99" s="614">
        <v>0.0</v>
      </c>
      <c r="Q99" s="617" t="s">
        <v>3436</v>
      </c>
      <c r="R99" s="616">
        <f t="shared" si="2"/>
        <v>25000</v>
      </c>
    </row>
    <row r="100">
      <c r="A100" s="614">
        <v>99.0</v>
      </c>
      <c r="B100" s="615" t="s">
        <v>3437</v>
      </c>
      <c r="C100" s="614" t="s">
        <v>3422</v>
      </c>
      <c r="D100" s="614" t="s">
        <v>3224</v>
      </c>
      <c r="E100" s="614"/>
      <c r="F100" s="614" t="s">
        <v>3195</v>
      </c>
      <c r="G100" s="614" t="s">
        <v>3214</v>
      </c>
      <c r="H100" s="614">
        <v>10.0</v>
      </c>
      <c r="I100" s="614" t="s">
        <v>3203</v>
      </c>
      <c r="J100" s="614" t="s">
        <v>3221</v>
      </c>
      <c r="K100" s="614" t="str">
        <f>IFERROR(__xludf.DUMMYFUNCTION("LET(
  r, C100,
  t, J100,
  cons, LOWER(TO_TEXT(O100))=""true"",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)"),"3d6kh2*25000 зм")</f>
        <v>3d6kh2*25000 зм</v>
      </c>
      <c r="L100" s="616" t="str">
        <f t="shared" si="1"/>
        <v>Мажор</v>
      </c>
      <c r="M100" s="616"/>
      <c r="N100" s="615">
        <v>0.0</v>
      </c>
      <c r="O100" s="616" t="b">
        <v>0</v>
      </c>
      <c r="P100" s="614">
        <v>0.0</v>
      </c>
      <c r="Q100" s="617" t="s">
        <v>3438</v>
      </c>
      <c r="R100" s="616">
        <f t="shared" si="2"/>
        <v>55000</v>
      </c>
    </row>
    <row r="101">
      <c r="A101" s="614">
        <v>100.0</v>
      </c>
      <c r="B101" s="615" t="s">
        <v>3439</v>
      </c>
      <c r="C101" s="614" t="s">
        <v>3422</v>
      </c>
      <c r="D101" s="614" t="s">
        <v>1913</v>
      </c>
      <c r="E101" s="614"/>
      <c r="F101" s="614" t="s">
        <v>3195</v>
      </c>
      <c r="G101" s="614" t="s">
        <v>3202</v>
      </c>
      <c r="H101" s="614">
        <v>10.0</v>
      </c>
      <c r="I101" s="614" t="s">
        <v>3203</v>
      </c>
      <c r="J101" s="614" t="s">
        <v>3411</v>
      </c>
      <c r="K101" s="614" t="str">
        <f>IFERROR(__xludf.DUMMYFUNCTION("LET(
  r, C101,
  t, J101,
  cons, LOWER(TO_TEXT(O101))=""true"",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)"),"2d6*25000 зм")</f>
        <v>2d6*25000 зм</v>
      </c>
      <c r="L101" s="616" t="str">
        <f t="shared" si="1"/>
        <v>Мажор</v>
      </c>
      <c r="M101" s="616"/>
      <c r="N101" s="615" t="s">
        <v>3297</v>
      </c>
      <c r="O101" s="616" t="b">
        <v>0</v>
      </c>
      <c r="P101" s="614">
        <v>0.0</v>
      </c>
      <c r="Q101" s="617" t="s">
        <v>3440</v>
      </c>
      <c r="R101" s="616">
        <f t="shared" si="2"/>
        <v>50000</v>
      </c>
    </row>
    <row r="102">
      <c r="A102" s="614">
        <v>101.0</v>
      </c>
      <c r="B102" s="615" t="s">
        <v>3441</v>
      </c>
      <c r="C102" s="614" t="s">
        <v>3422</v>
      </c>
      <c r="D102" s="614" t="s">
        <v>2</v>
      </c>
      <c r="E102" s="614" t="s">
        <v>3228</v>
      </c>
      <c r="F102" s="614" t="s">
        <v>3195</v>
      </c>
      <c r="G102" s="614" t="s">
        <v>3442</v>
      </c>
      <c r="H102" s="614">
        <v>10.0</v>
      </c>
      <c r="I102" s="614" t="s">
        <v>3203</v>
      </c>
      <c r="J102" s="614" t="s">
        <v>3237</v>
      </c>
      <c r="K102" s="614" t="str">
        <f>IFERROR(__xludf.DUMMYFUNCTION("LET(
  r, C102,
  t, J102,
  cons, LOWER(TO_TEXT(O102))=""true"",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f>
        <v>—</v>
      </c>
      <c r="L102" s="616" t="str">
        <f t="shared" si="1"/>
        <v>Мажор</v>
      </c>
      <c r="M102" s="616"/>
      <c r="N102" s="615" t="s">
        <v>3443</v>
      </c>
      <c r="O102" s="616" t="b">
        <v>0</v>
      </c>
      <c r="P102" s="614">
        <v>0.0</v>
      </c>
      <c r="Q102" s="617" t="s">
        <v>3444</v>
      </c>
      <c r="R102" s="616">
        <f t="shared" si="2"/>
        <v>200000</v>
      </c>
    </row>
    <row r="103">
      <c r="A103" s="614">
        <v>102.0</v>
      </c>
      <c r="B103" s="615" t="s">
        <v>3445</v>
      </c>
      <c r="C103" s="614" t="s">
        <v>3422</v>
      </c>
      <c r="D103" s="614" t="s">
        <v>2</v>
      </c>
      <c r="E103" s="614" t="s">
        <v>69</v>
      </c>
      <c r="F103" s="614" t="s">
        <v>3195</v>
      </c>
      <c r="G103" s="614" t="s">
        <v>3207</v>
      </c>
      <c r="H103" s="614">
        <v>10.0</v>
      </c>
      <c r="I103" s="614" t="s">
        <v>692</v>
      </c>
      <c r="J103" s="614" t="s">
        <v>3204</v>
      </c>
      <c r="K103" s="614" t="str">
        <f>IFERROR(__xludf.DUMMYFUNCTION("LET(
  r, C103,
  t, J103,
  cons, LOWER(TO_TEXT(O103))=""true"",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)"),"3d6kl2*25000 зм")</f>
        <v>3d6kl2*25000 зм</v>
      </c>
      <c r="L103" s="616" t="str">
        <f t="shared" si="1"/>
        <v>Мажор</v>
      </c>
      <c r="M103" s="616"/>
      <c r="N103" s="615">
        <v>0.0</v>
      </c>
      <c r="O103" s="616" t="b">
        <v>0</v>
      </c>
      <c r="P103" s="614">
        <v>0.0</v>
      </c>
      <c r="Q103" s="617" t="s">
        <v>3446</v>
      </c>
      <c r="R103" s="616">
        <f t="shared" si="2"/>
        <v>45000</v>
      </c>
    </row>
    <row r="104">
      <c r="A104" s="614">
        <v>103.0</v>
      </c>
      <c r="B104" s="615" t="s">
        <v>3447</v>
      </c>
      <c r="C104" s="614" t="s">
        <v>3422</v>
      </c>
      <c r="D104" s="614" t="s">
        <v>1070</v>
      </c>
      <c r="E104" s="614" t="s">
        <v>1978</v>
      </c>
      <c r="F104" s="614" t="s">
        <v>3234</v>
      </c>
      <c r="G104" s="614" t="s">
        <v>3202</v>
      </c>
      <c r="H104" s="614">
        <v>9.0</v>
      </c>
      <c r="I104" s="614" t="s">
        <v>3208</v>
      </c>
      <c r="J104" s="614" t="s">
        <v>3204</v>
      </c>
      <c r="K104" s="614" t="str">
        <f>IFERROR(__xludf.DUMMYFUNCTION("LET(
  r, C104,
  t, J104,
  cons, LOWER(TO_TEXT(O104))=""true"",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)"),"3d6kl2*25000 зм")</f>
        <v>3d6kl2*25000 зм</v>
      </c>
      <c r="L104" s="616" t="str">
        <f t="shared" si="1"/>
        <v>Минор</v>
      </c>
      <c r="M104" s="616"/>
      <c r="N104" s="615">
        <v>0.0</v>
      </c>
      <c r="O104" s="616" t="b">
        <v>0</v>
      </c>
      <c r="P104" s="614">
        <v>1.0</v>
      </c>
      <c r="Q104" s="617" t="s">
        <v>3448</v>
      </c>
      <c r="R104" s="616">
        <f t="shared" si="2"/>
        <v>22500</v>
      </c>
    </row>
    <row r="105">
      <c r="A105" s="614">
        <v>104.0</v>
      </c>
      <c r="B105" s="615" t="s">
        <v>3449</v>
      </c>
      <c r="C105" s="614" t="s">
        <v>3422</v>
      </c>
      <c r="D105" s="614" t="s">
        <v>2</v>
      </c>
      <c r="E105" s="614" t="s">
        <v>3450</v>
      </c>
      <c r="F105" s="614" t="s">
        <v>3195</v>
      </c>
      <c r="G105" s="614" t="s">
        <v>3196</v>
      </c>
      <c r="H105" s="614">
        <v>10.0</v>
      </c>
      <c r="I105" s="614" t="s">
        <v>692</v>
      </c>
      <c r="J105" s="614" t="s">
        <v>3204</v>
      </c>
      <c r="K105" s="614" t="str">
        <f>IFERROR(__xludf.DUMMYFUNCTION("LET(
  r, C105,
  t, J105,
  cons, LOWER(TO_TEXT(O105))=""true"",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)"),"3d6kl2*25000 зм")</f>
        <v>3d6kl2*25000 зм</v>
      </c>
      <c r="L105" s="616" t="str">
        <f t="shared" si="1"/>
        <v>Мажор</v>
      </c>
      <c r="M105" s="616"/>
      <c r="N105" s="615">
        <v>0.0</v>
      </c>
      <c r="O105" s="616" t="b">
        <v>0</v>
      </c>
      <c r="P105" s="614">
        <v>1.0</v>
      </c>
      <c r="Q105" s="617" t="s">
        <v>3451</v>
      </c>
      <c r="R105" s="616">
        <f t="shared" si="2"/>
        <v>45000</v>
      </c>
    </row>
    <row r="106">
      <c r="A106" s="614">
        <v>105.0</v>
      </c>
      <c r="B106" s="615" t="s">
        <v>3452</v>
      </c>
      <c r="C106" s="614" t="s">
        <v>3422</v>
      </c>
      <c r="D106" s="614" t="s">
        <v>3247</v>
      </c>
      <c r="E106" s="614"/>
      <c r="F106" s="614" t="s">
        <v>3195</v>
      </c>
      <c r="G106" s="614" t="s">
        <v>3202</v>
      </c>
      <c r="H106" s="614">
        <v>10.0</v>
      </c>
      <c r="I106" s="614" t="s">
        <v>692</v>
      </c>
      <c r="J106" s="614" t="s">
        <v>3218</v>
      </c>
      <c r="K106" s="614" t="str">
        <f>IFERROR(__xludf.DUMMYFUNCTION("LET(
  r, C106,
  t, J106,
  cons, LOWER(TO_TEXT(O106))=""true"",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)"),"2d6*25000 зм")</f>
        <v>2d6*25000 зм</v>
      </c>
      <c r="L106" s="616" t="str">
        <f t="shared" si="1"/>
        <v>Мажор</v>
      </c>
      <c r="M106" s="616"/>
      <c r="N106" s="615">
        <v>0.0</v>
      </c>
      <c r="O106" s="616" t="b">
        <v>0</v>
      </c>
      <c r="P106" s="614">
        <v>0.0</v>
      </c>
      <c r="Q106" s="617" t="s">
        <v>3453</v>
      </c>
      <c r="R106" s="616">
        <f t="shared" si="2"/>
        <v>50000</v>
      </c>
    </row>
    <row r="107">
      <c r="A107" s="614">
        <v>106.0</v>
      </c>
      <c r="B107" s="615" t="s">
        <v>3454</v>
      </c>
      <c r="C107" s="614" t="s">
        <v>3422</v>
      </c>
      <c r="D107" s="614" t="s">
        <v>3247</v>
      </c>
      <c r="E107" s="614"/>
      <c r="F107" s="614" t="s">
        <v>3195</v>
      </c>
      <c r="G107" s="614" t="s">
        <v>3202</v>
      </c>
      <c r="H107" s="614">
        <v>10.0</v>
      </c>
      <c r="I107" s="614" t="s">
        <v>692</v>
      </c>
      <c r="J107" s="614" t="s">
        <v>3221</v>
      </c>
      <c r="K107" s="614" t="str">
        <f>IFERROR(__xludf.DUMMYFUNCTION("LET(
  r, C107,
  t, J107,
  cons, LOWER(TO_TEXT(O107))=""true"",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)"),"3d6kh2*25000 зм")</f>
        <v>3d6kh2*25000 зм</v>
      </c>
      <c r="L107" s="616" t="str">
        <f t="shared" si="1"/>
        <v>Мажор</v>
      </c>
      <c r="M107" s="616"/>
      <c r="N107" s="615" t="s">
        <v>3455</v>
      </c>
      <c r="O107" s="616" t="b">
        <v>0</v>
      </c>
      <c r="P107" s="614">
        <v>0.0</v>
      </c>
      <c r="Q107" s="617" t="s">
        <v>3456</v>
      </c>
      <c r="R107" s="616">
        <f t="shared" si="2"/>
        <v>55000</v>
      </c>
    </row>
    <row r="108">
      <c r="A108" s="614">
        <v>107.0</v>
      </c>
      <c r="B108" s="615" t="s">
        <v>3457</v>
      </c>
      <c r="C108" s="614" t="s">
        <v>3422</v>
      </c>
      <c r="D108" s="614" t="s">
        <v>1913</v>
      </c>
      <c r="E108" s="614"/>
      <c r="F108" s="614" t="s">
        <v>26</v>
      </c>
      <c r="G108" s="614" t="s">
        <v>3202</v>
      </c>
      <c r="H108" s="614">
        <v>9.0</v>
      </c>
      <c r="I108" s="614" t="s">
        <v>3203</v>
      </c>
      <c r="J108" s="614" t="s">
        <v>3411</v>
      </c>
      <c r="K108" s="614" t="str">
        <f>IFERROR(__xludf.DUMMYFUNCTION("LET(
  r, C108,
  t, J108,
  cons, LOWER(TO_TEXT(O108))=""true"",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)"),"2d6*25000 зм")</f>
        <v>2d6*25000 зм</v>
      </c>
      <c r="L108" s="616" t="str">
        <f t="shared" si="1"/>
        <v>Минор</v>
      </c>
      <c r="M108" s="616"/>
      <c r="N108" s="615">
        <v>0.0</v>
      </c>
      <c r="O108" s="616" t="b">
        <v>0</v>
      </c>
      <c r="P108" s="614">
        <v>0.0</v>
      </c>
      <c r="Q108" s="617" t="s">
        <v>3458</v>
      </c>
      <c r="R108" s="616">
        <f t="shared" si="2"/>
        <v>25000</v>
      </c>
    </row>
    <row r="109">
      <c r="A109" s="614">
        <v>108.0</v>
      </c>
      <c r="B109" s="615" t="s">
        <v>3459</v>
      </c>
      <c r="C109" s="614" t="s">
        <v>3422</v>
      </c>
      <c r="D109" s="614" t="s">
        <v>2</v>
      </c>
      <c r="E109" s="614" t="s">
        <v>3228</v>
      </c>
      <c r="F109" s="614" t="s">
        <v>3195</v>
      </c>
      <c r="G109" s="614" t="s">
        <v>3202</v>
      </c>
      <c r="H109" s="614">
        <v>10.0</v>
      </c>
      <c r="I109" s="614" t="s">
        <v>692</v>
      </c>
      <c r="J109" s="614" t="s">
        <v>3204</v>
      </c>
      <c r="K109" s="614" t="str">
        <f>IFERROR(__xludf.DUMMYFUNCTION("LET(
  r, C109,
  t, J109,
  cons, LOWER(TO_TEXT(O109))=""true"",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)"),"3d6kl2*25000 зм")</f>
        <v>3d6kl2*25000 зм</v>
      </c>
      <c r="L109" s="616" t="str">
        <f t="shared" si="1"/>
        <v>Мажор</v>
      </c>
      <c r="M109" s="616"/>
      <c r="N109" s="615">
        <v>0.0</v>
      </c>
      <c r="O109" s="616" t="b">
        <v>0</v>
      </c>
      <c r="P109" s="614">
        <v>1.0</v>
      </c>
      <c r="Q109" s="617" t="s">
        <v>3460</v>
      </c>
      <c r="R109" s="616">
        <f t="shared" si="2"/>
        <v>45000</v>
      </c>
    </row>
    <row r="110">
      <c r="A110" s="614">
        <v>109.0</v>
      </c>
      <c r="B110" s="615" t="s">
        <v>3461</v>
      </c>
      <c r="C110" s="614" t="s">
        <v>3422</v>
      </c>
      <c r="D110" s="614" t="s">
        <v>1913</v>
      </c>
      <c r="E110" s="614"/>
      <c r="F110" s="614" t="s">
        <v>26</v>
      </c>
      <c r="G110" s="614" t="s">
        <v>3442</v>
      </c>
      <c r="H110" s="614">
        <v>9.0</v>
      </c>
      <c r="I110" s="614" t="s">
        <v>3203</v>
      </c>
      <c r="J110" s="614" t="s">
        <v>3237</v>
      </c>
      <c r="K110" s="614" t="str">
        <f>IFERROR(__xludf.DUMMYFUNCTION("LET(
  r, C110,
  t, J110,
  cons, LOWER(TO_TEXT(O110))=""true"",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f>
        <v>—</v>
      </c>
      <c r="L110" s="616" t="str">
        <f t="shared" si="1"/>
        <v>Минор</v>
      </c>
      <c r="M110" s="616"/>
      <c r="N110" s="615">
        <v>0.0</v>
      </c>
      <c r="O110" s="616" t="b">
        <v>0</v>
      </c>
      <c r="P110" s="614">
        <v>1.0</v>
      </c>
      <c r="Q110" s="617" t="s">
        <v>3462</v>
      </c>
      <c r="R110" s="616">
        <f t="shared" si="2"/>
        <v>100000</v>
      </c>
    </row>
    <row r="111">
      <c r="A111" s="614">
        <v>110.0</v>
      </c>
      <c r="B111" s="615" t="s">
        <v>3463</v>
      </c>
      <c r="C111" s="614" t="s">
        <v>3422</v>
      </c>
      <c r="D111" s="614" t="s">
        <v>1070</v>
      </c>
      <c r="E111" s="614" t="s">
        <v>3464</v>
      </c>
      <c r="F111" s="614" t="s">
        <v>3234</v>
      </c>
      <c r="G111" s="614" t="s">
        <v>3207</v>
      </c>
      <c r="H111" s="614">
        <v>10.0</v>
      </c>
      <c r="I111" s="614" t="s">
        <v>3203</v>
      </c>
      <c r="J111" s="614" t="s">
        <v>3221</v>
      </c>
      <c r="K111" s="614" t="str">
        <f>IFERROR(__xludf.DUMMYFUNCTION("LET(
  r, C111,
  t, J111,
  cons, LOWER(TO_TEXT(O111))=""true"",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)"),"3d6kh2*25000 зм")</f>
        <v>3d6kh2*25000 зм</v>
      </c>
      <c r="L111" s="616" t="str">
        <f t="shared" si="1"/>
        <v>Мажор</v>
      </c>
      <c r="M111" s="616"/>
      <c r="N111" s="615">
        <v>0.0</v>
      </c>
      <c r="O111" s="616" t="b">
        <v>0</v>
      </c>
      <c r="P111" s="614">
        <v>0.0</v>
      </c>
      <c r="Q111" s="617" t="s">
        <v>3465</v>
      </c>
      <c r="R111" s="616">
        <f t="shared" si="2"/>
        <v>55000</v>
      </c>
    </row>
    <row r="112">
      <c r="A112" s="614">
        <v>111.0</v>
      </c>
      <c r="B112" s="615" t="s">
        <v>3466</v>
      </c>
      <c r="C112" s="614" t="s">
        <v>3422</v>
      </c>
      <c r="D112" s="614" t="s">
        <v>2</v>
      </c>
      <c r="E112" s="614" t="s">
        <v>3228</v>
      </c>
      <c r="F112" s="614" t="s">
        <v>3195</v>
      </c>
      <c r="G112" s="614" t="s">
        <v>3202</v>
      </c>
      <c r="H112" s="614">
        <v>10.0</v>
      </c>
      <c r="I112" s="614" t="s">
        <v>3203</v>
      </c>
      <c r="J112" s="614" t="s">
        <v>3411</v>
      </c>
      <c r="K112" s="614" t="str">
        <f>IFERROR(__xludf.DUMMYFUNCTION("LET(
  r, C112,
  t, J112,
  cons, LOWER(TO_TEXT(O112))=""true"",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)"),"2d6*25000 зм")</f>
        <v>2d6*25000 зм</v>
      </c>
      <c r="L112" s="616" t="str">
        <f t="shared" si="1"/>
        <v>Мажор</v>
      </c>
      <c r="M112" s="616"/>
      <c r="N112" s="615">
        <v>0.0</v>
      </c>
      <c r="O112" s="616" t="b">
        <v>0</v>
      </c>
      <c r="P112" s="614">
        <v>0.0</v>
      </c>
      <c r="Q112" s="617" t="s">
        <v>3467</v>
      </c>
      <c r="R112" s="616">
        <f t="shared" si="2"/>
        <v>50000</v>
      </c>
    </row>
    <row r="113">
      <c r="A113" s="614">
        <v>112.0</v>
      </c>
      <c r="B113" s="615" t="s">
        <v>3468</v>
      </c>
      <c r="C113" s="614" t="s">
        <v>3422</v>
      </c>
      <c r="D113" s="614" t="s">
        <v>1913</v>
      </c>
      <c r="E113" s="614"/>
      <c r="F113" s="614" t="s">
        <v>3195</v>
      </c>
      <c r="G113" s="614" t="s">
        <v>3244</v>
      </c>
      <c r="H113" s="614">
        <v>9.0</v>
      </c>
      <c r="I113" s="614" t="s">
        <v>3203</v>
      </c>
      <c r="J113" s="614" t="s">
        <v>3411</v>
      </c>
      <c r="K113" s="614" t="str">
        <f>IFERROR(__xludf.DUMMYFUNCTION("LET(
  r, C113,
  t, J113,
  cons, LOWER(TO_TEXT(O113))=""true"",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)"),"2d6*25000 зм")</f>
        <v>2d6*25000 зм</v>
      </c>
      <c r="L113" s="616" t="str">
        <f t="shared" si="1"/>
        <v>Минор</v>
      </c>
      <c r="M113" s="616"/>
      <c r="N113" s="615">
        <v>0.0</v>
      </c>
      <c r="O113" s="616" t="b">
        <v>0</v>
      </c>
      <c r="P113" s="614">
        <v>1.0</v>
      </c>
      <c r="Q113" s="617" t="s">
        <v>3469</v>
      </c>
      <c r="R113" s="616">
        <f t="shared" si="2"/>
        <v>25000</v>
      </c>
    </row>
    <row r="114">
      <c r="A114" s="614">
        <v>113.0</v>
      </c>
      <c r="B114" s="615" t="s">
        <v>3470</v>
      </c>
      <c r="C114" s="614" t="s">
        <v>3422</v>
      </c>
      <c r="D114" s="614" t="s">
        <v>1913</v>
      </c>
      <c r="E114" s="614"/>
      <c r="F114" s="614" t="s">
        <v>26</v>
      </c>
      <c r="G114" s="614" t="s">
        <v>3214</v>
      </c>
      <c r="H114" s="614">
        <v>10.0</v>
      </c>
      <c r="I114" s="614" t="s">
        <v>3203</v>
      </c>
      <c r="J114" s="614" t="s">
        <v>3411</v>
      </c>
      <c r="K114" s="614" t="str">
        <f>IFERROR(__xludf.DUMMYFUNCTION("LET(
  r, C114,
  t, J114,
  cons, LOWER(TO_TEXT(O114))=""true"",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)"),"2d6*25000 зм")</f>
        <v>2d6*25000 зм</v>
      </c>
      <c r="L114" s="616" t="str">
        <f t="shared" si="1"/>
        <v>Мажор</v>
      </c>
      <c r="M114" s="616"/>
      <c r="N114" s="615">
        <v>0.0</v>
      </c>
      <c r="O114" s="616" t="b">
        <v>0</v>
      </c>
      <c r="P114" s="614">
        <v>0.0</v>
      </c>
      <c r="Q114" s="617" t="s">
        <v>3471</v>
      </c>
      <c r="R114" s="616">
        <f t="shared" si="2"/>
        <v>50000</v>
      </c>
    </row>
    <row r="115">
      <c r="A115" s="614">
        <v>114.0</v>
      </c>
      <c r="B115" s="615" t="s">
        <v>3472</v>
      </c>
      <c r="C115" s="614" t="s">
        <v>3422</v>
      </c>
      <c r="D115" s="614" t="s">
        <v>1913</v>
      </c>
      <c r="E115" s="614"/>
      <c r="F115" s="614" t="s">
        <v>26</v>
      </c>
      <c r="G115" s="614" t="s">
        <v>3202</v>
      </c>
      <c r="H115" s="614">
        <v>10.0</v>
      </c>
      <c r="I115" s="614" t="s">
        <v>3203</v>
      </c>
      <c r="J115" s="614" t="s">
        <v>3411</v>
      </c>
      <c r="K115" s="614" t="str">
        <f>IFERROR(__xludf.DUMMYFUNCTION("LET(
  r, C115,
  t, J115,
  cons, LOWER(TO_TEXT(O115))=""true"",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)"),"2d6*25000 зм")</f>
        <v>2d6*25000 зм</v>
      </c>
      <c r="L115" s="616" t="str">
        <f t="shared" si="1"/>
        <v>Мажор</v>
      </c>
      <c r="M115" s="616"/>
      <c r="N115" s="615">
        <v>0.0</v>
      </c>
      <c r="O115" s="616" t="b">
        <v>0</v>
      </c>
      <c r="P115" s="614">
        <v>0.0</v>
      </c>
      <c r="Q115" s="617" t="s">
        <v>3473</v>
      </c>
      <c r="R115" s="616">
        <f t="shared" si="2"/>
        <v>50000</v>
      </c>
    </row>
    <row r="116">
      <c r="A116" s="614">
        <v>115.0</v>
      </c>
      <c r="B116" s="615" t="s">
        <v>3474</v>
      </c>
      <c r="C116" s="614" t="s">
        <v>3422</v>
      </c>
      <c r="D116" s="614" t="s">
        <v>1913</v>
      </c>
      <c r="E116" s="614"/>
      <c r="F116" s="614" t="s">
        <v>3217</v>
      </c>
      <c r="G116" s="614" t="s">
        <v>3202</v>
      </c>
      <c r="H116" s="614">
        <v>9.0</v>
      </c>
      <c r="I116" s="614" t="s">
        <v>3203</v>
      </c>
      <c r="J116" s="614" t="s">
        <v>3411</v>
      </c>
      <c r="K116" s="614" t="str">
        <f>IFERROR(__xludf.DUMMYFUNCTION("LET(
  r, C116,
  t, J116,
  cons, LOWER(TO_TEXT(O116))=""true"",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)"),"2d6*25000 зм")</f>
        <v>2d6*25000 зм</v>
      </c>
      <c r="L116" s="616" t="str">
        <f t="shared" si="1"/>
        <v>Минор</v>
      </c>
      <c r="M116" s="616"/>
      <c r="N116" s="615">
        <v>0.0</v>
      </c>
      <c r="O116" s="616" t="b">
        <v>0</v>
      </c>
      <c r="P116" s="614">
        <v>0.0</v>
      </c>
      <c r="Q116" s="617" t="s">
        <v>3475</v>
      </c>
      <c r="R116" s="616">
        <f t="shared" si="2"/>
        <v>25000</v>
      </c>
    </row>
    <row r="117">
      <c r="A117" s="614">
        <v>116.0</v>
      </c>
      <c r="B117" s="615" t="s">
        <v>3476</v>
      </c>
      <c r="C117" s="614" t="s">
        <v>3422</v>
      </c>
      <c r="D117" s="614" t="s">
        <v>1913</v>
      </c>
      <c r="E117" s="614"/>
      <c r="F117" s="614" t="s">
        <v>3283</v>
      </c>
      <c r="G117" s="614" t="s">
        <v>3202</v>
      </c>
      <c r="H117" s="614">
        <v>9.0</v>
      </c>
      <c r="I117" s="614" t="s">
        <v>3208</v>
      </c>
      <c r="J117" s="614" t="s">
        <v>3204</v>
      </c>
      <c r="K117" s="614" t="str">
        <f>IFERROR(__xludf.DUMMYFUNCTION("LET(
  r, C117,
  t, J117,
  cons, LOWER(TO_TEXT(O117))=""true"",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)"),"3d6kl2*25000 зм")</f>
        <v>3d6kl2*25000 зм</v>
      </c>
      <c r="L117" s="616" t="str">
        <f t="shared" si="1"/>
        <v>Минор</v>
      </c>
      <c r="M117" s="616"/>
      <c r="N117" s="615">
        <v>0.0</v>
      </c>
      <c r="O117" s="616" t="b">
        <v>0</v>
      </c>
      <c r="P117" s="614">
        <v>1.0</v>
      </c>
      <c r="Q117" s="617" t="s">
        <v>3477</v>
      </c>
      <c r="R117" s="616">
        <f t="shared" si="2"/>
        <v>22500</v>
      </c>
    </row>
    <row r="118">
      <c r="A118" s="614">
        <v>117.0</v>
      </c>
      <c r="B118" s="615" t="s">
        <v>3478</v>
      </c>
      <c r="C118" s="614" t="s">
        <v>3422</v>
      </c>
      <c r="D118" s="614" t="s">
        <v>3283</v>
      </c>
      <c r="E118" s="614"/>
      <c r="F118" s="614" t="s">
        <v>3283</v>
      </c>
      <c r="G118" s="614" t="s">
        <v>3202</v>
      </c>
      <c r="H118" s="614">
        <v>9.0</v>
      </c>
      <c r="I118" s="614" t="s">
        <v>692</v>
      </c>
      <c r="J118" s="614" t="s">
        <v>3204</v>
      </c>
      <c r="K118" s="614" t="str">
        <f>IFERROR(__xludf.DUMMYFUNCTION("LET(
  r, C118,
  t, J118,
  cons, LOWER(TO_TEXT(O118))=""true"",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)"),"3d6kl2*25000 зм")</f>
        <v>3d6kl2*25000 зм</v>
      </c>
      <c r="L118" s="616" t="str">
        <f t="shared" si="1"/>
        <v>Минор</v>
      </c>
      <c r="M118" s="616"/>
      <c r="N118" s="615">
        <v>0.0</v>
      </c>
      <c r="O118" s="616" t="b">
        <v>0</v>
      </c>
      <c r="P118" s="614">
        <v>1.0</v>
      </c>
      <c r="Q118" s="617" t="s">
        <v>3479</v>
      </c>
      <c r="R118" s="616">
        <f t="shared" si="2"/>
        <v>22500</v>
      </c>
    </row>
    <row r="119">
      <c r="A119" s="614">
        <v>118.0</v>
      </c>
      <c r="B119" s="615" t="s">
        <v>3480</v>
      </c>
      <c r="C119" s="614" t="s">
        <v>3422</v>
      </c>
      <c r="D119" s="614" t="s">
        <v>3283</v>
      </c>
      <c r="E119" s="614"/>
      <c r="F119" s="614" t="s">
        <v>3283</v>
      </c>
      <c r="G119" s="614" t="s">
        <v>3202</v>
      </c>
      <c r="H119" s="614">
        <v>9.0</v>
      </c>
      <c r="I119" s="614" t="s">
        <v>692</v>
      </c>
      <c r="J119" s="614" t="s">
        <v>3204</v>
      </c>
      <c r="K119" s="614" t="str">
        <f>IFERROR(__xludf.DUMMYFUNCTION("LET(
  r, C119,
  t, J119,
  cons, LOWER(TO_TEXT(O119))=""true"",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)"),"3d6kl2*25000 зм")</f>
        <v>3d6kl2*25000 зм</v>
      </c>
      <c r="L119" s="616" t="str">
        <f t="shared" si="1"/>
        <v>Минор</v>
      </c>
      <c r="M119" s="616"/>
      <c r="N119" s="615">
        <v>0.0</v>
      </c>
      <c r="O119" s="616" t="b">
        <v>0</v>
      </c>
      <c r="P119" s="614">
        <v>1.0</v>
      </c>
      <c r="Q119" s="617" t="s">
        <v>3481</v>
      </c>
      <c r="R119" s="616">
        <f t="shared" si="2"/>
        <v>22500</v>
      </c>
    </row>
    <row r="120">
      <c r="A120" s="614">
        <v>119.0</v>
      </c>
      <c r="B120" s="615" t="s">
        <v>3482</v>
      </c>
      <c r="C120" s="614" t="s">
        <v>3422</v>
      </c>
      <c r="D120" s="614" t="s">
        <v>3283</v>
      </c>
      <c r="E120" s="614"/>
      <c r="F120" s="614" t="s">
        <v>3283</v>
      </c>
      <c r="G120" s="614" t="s">
        <v>3202</v>
      </c>
      <c r="H120" s="614">
        <v>9.0</v>
      </c>
      <c r="I120" s="614" t="s">
        <v>3208</v>
      </c>
      <c r="J120" s="614" t="s">
        <v>3204</v>
      </c>
      <c r="K120" s="614" t="str">
        <f>IFERROR(__xludf.DUMMYFUNCTION("LET(
  r, C120,
  t, J120,
  cons, LOWER(TO_TEXT(O120))=""true"",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)"),"3d6kl2*25000 зм")</f>
        <v>3d6kl2*25000 зм</v>
      </c>
      <c r="L120" s="616" t="str">
        <f t="shared" si="1"/>
        <v>Минор</v>
      </c>
      <c r="M120" s="616"/>
      <c r="N120" s="615">
        <v>0.0</v>
      </c>
      <c r="O120" s="616" t="b">
        <v>0</v>
      </c>
      <c r="P120" s="614">
        <v>0.0</v>
      </c>
      <c r="Q120" s="617" t="s">
        <v>3483</v>
      </c>
      <c r="R120" s="616">
        <f t="shared" si="2"/>
        <v>22500</v>
      </c>
    </row>
    <row r="121">
      <c r="A121" s="614">
        <v>120.0</v>
      </c>
      <c r="B121" s="615" t="s">
        <v>3484</v>
      </c>
      <c r="C121" s="614" t="s">
        <v>3422</v>
      </c>
      <c r="D121" s="614" t="s">
        <v>3283</v>
      </c>
      <c r="E121" s="614"/>
      <c r="F121" s="614" t="s">
        <v>3283</v>
      </c>
      <c r="G121" s="614" t="s">
        <v>3202</v>
      </c>
      <c r="H121" s="614">
        <v>10.0</v>
      </c>
      <c r="I121" s="614" t="s">
        <v>3203</v>
      </c>
      <c r="J121" s="614" t="s">
        <v>3411</v>
      </c>
      <c r="K121" s="614" t="str">
        <f>IFERROR(__xludf.DUMMYFUNCTION("LET(
  r, C121,
  t, J121,
  cons, LOWER(TO_TEXT(O121))=""true"",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)"),"2d6*25000 зм")</f>
        <v>2d6*25000 зм</v>
      </c>
      <c r="L121" s="616" t="str">
        <f t="shared" si="1"/>
        <v>Мажор</v>
      </c>
      <c r="M121" s="616"/>
      <c r="N121" s="615">
        <v>0.0</v>
      </c>
      <c r="O121" s="616" t="b">
        <v>0</v>
      </c>
      <c r="P121" s="614">
        <v>0.0</v>
      </c>
      <c r="Q121" s="617" t="s">
        <v>3485</v>
      </c>
      <c r="R121" s="616">
        <f t="shared" si="2"/>
        <v>50000</v>
      </c>
    </row>
    <row r="122">
      <c r="A122" s="614">
        <v>121.0</v>
      </c>
      <c r="B122" s="615" t="s">
        <v>3486</v>
      </c>
      <c r="C122" s="614" t="s">
        <v>3422</v>
      </c>
      <c r="D122" s="614" t="s">
        <v>1070</v>
      </c>
      <c r="E122" s="614" t="s">
        <v>645</v>
      </c>
      <c r="F122" s="614" t="s">
        <v>3234</v>
      </c>
      <c r="G122" s="614" t="s">
        <v>3202</v>
      </c>
      <c r="H122" s="614">
        <v>10.0</v>
      </c>
      <c r="I122" s="614" t="s">
        <v>3203</v>
      </c>
      <c r="J122" s="614" t="s">
        <v>3204</v>
      </c>
      <c r="K122" s="614" t="str">
        <f>IFERROR(__xludf.DUMMYFUNCTION("LET(
  r, C122,
  t, J122,
  cons, LOWER(TO_TEXT(O122))=""true"",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)"),"3d6kl2*25000 зм")</f>
        <v>3d6kl2*25000 зм</v>
      </c>
      <c r="L122" s="616" t="str">
        <f t="shared" si="1"/>
        <v>Мажор</v>
      </c>
      <c r="M122" s="616"/>
      <c r="N122" s="615">
        <v>0.0</v>
      </c>
      <c r="O122" s="616" t="b">
        <v>0</v>
      </c>
      <c r="P122" s="614">
        <v>0.0</v>
      </c>
      <c r="Q122" s="617" t="s">
        <v>3487</v>
      </c>
      <c r="R122" s="616">
        <f t="shared" si="2"/>
        <v>45000</v>
      </c>
    </row>
    <row r="123">
      <c r="A123" s="614">
        <v>122.0</v>
      </c>
      <c r="B123" s="615" t="s">
        <v>3488</v>
      </c>
      <c r="C123" s="614" t="s">
        <v>3422</v>
      </c>
      <c r="D123" s="614" t="s">
        <v>1913</v>
      </c>
      <c r="E123" s="614"/>
      <c r="F123" s="614" t="s">
        <v>3272</v>
      </c>
      <c r="G123" s="614" t="s">
        <v>3256</v>
      </c>
      <c r="H123" s="614">
        <v>9.0</v>
      </c>
      <c r="I123" s="614" t="s">
        <v>3203</v>
      </c>
      <c r="J123" s="614" t="s">
        <v>3204</v>
      </c>
      <c r="K123" s="614" t="str">
        <f>IFERROR(__xludf.DUMMYFUNCTION("LET(
  r, C123,
  t, J123,
  cons, LOWER(TO_TEXT(O123))=""true"",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)"),"3d6kl2*25000 зм")</f>
        <v>3d6kl2*25000 зм</v>
      </c>
      <c r="L123" s="616" t="str">
        <f t="shared" si="1"/>
        <v>Минор</v>
      </c>
      <c r="M123" s="616"/>
      <c r="N123" s="615">
        <v>0.0</v>
      </c>
      <c r="O123" s="616" t="b">
        <v>0</v>
      </c>
      <c r="P123" s="614">
        <v>1.0</v>
      </c>
      <c r="Q123" s="617" t="s">
        <v>3489</v>
      </c>
      <c r="R123" s="616">
        <f t="shared" si="2"/>
        <v>22500</v>
      </c>
    </row>
    <row r="124">
      <c r="A124" s="614">
        <v>123.0</v>
      </c>
      <c r="B124" s="615" t="s">
        <v>3490</v>
      </c>
      <c r="C124" s="614" t="s">
        <v>3422</v>
      </c>
      <c r="D124" s="614" t="s">
        <v>2</v>
      </c>
      <c r="E124" s="614" t="s">
        <v>96</v>
      </c>
      <c r="F124" s="614" t="s">
        <v>3195</v>
      </c>
      <c r="G124" s="614" t="s">
        <v>3207</v>
      </c>
      <c r="H124" s="614">
        <v>10.0</v>
      </c>
      <c r="I124" s="614" t="s">
        <v>3208</v>
      </c>
      <c r="J124" s="614" t="s">
        <v>3204</v>
      </c>
      <c r="K124" s="614" t="str">
        <f>IFERROR(__xludf.DUMMYFUNCTION("LET(
  r, C124,
  t, J124,
  cons, LOWER(TO_TEXT(O124))=""true"",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)"),"3d6kl2*25000 зм")</f>
        <v>3d6kl2*25000 зм</v>
      </c>
      <c r="L124" s="616" t="str">
        <f t="shared" si="1"/>
        <v>Мажор</v>
      </c>
      <c r="M124" s="616"/>
      <c r="N124" s="615">
        <v>0.0</v>
      </c>
      <c r="O124" s="616" t="b">
        <v>0</v>
      </c>
      <c r="P124" s="614">
        <v>1.0</v>
      </c>
      <c r="Q124" s="617" t="s">
        <v>3491</v>
      </c>
      <c r="R124" s="616">
        <f t="shared" si="2"/>
        <v>45000</v>
      </c>
    </row>
    <row r="125">
      <c r="A125" s="614">
        <v>124.0</v>
      </c>
      <c r="B125" s="615" t="s">
        <v>3492</v>
      </c>
      <c r="C125" s="614" t="s">
        <v>3422</v>
      </c>
      <c r="D125" s="614" t="s">
        <v>1913</v>
      </c>
      <c r="E125" s="614"/>
      <c r="F125" s="614" t="s">
        <v>3217</v>
      </c>
      <c r="G125" s="614" t="s">
        <v>3202</v>
      </c>
      <c r="H125" s="614">
        <v>9.0</v>
      </c>
      <c r="I125" s="614" t="s">
        <v>3203</v>
      </c>
      <c r="J125" s="614" t="s">
        <v>3221</v>
      </c>
      <c r="K125" s="614" t="str">
        <f>IFERROR(__xludf.DUMMYFUNCTION("LET(
  r, C125,
  t, J125,
  cons, LOWER(TO_TEXT(O125))=""true"",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)"),"3d6kh2*25000 зм")</f>
        <v>3d6kh2*25000 зм</v>
      </c>
      <c r="L125" s="616" t="str">
        <f t="shared" si="1"/>
        <v>Минор</v>
      </c>
      <c r="M125" s="616"/>
      <c r="N125" s="615">
        <v>0.0</v>
      </c>
      <c r="O125" s="616" t="b">
        <v>0</v>
      </c>
      <c r="P125" s="614">
        <v>0.0</v>
      </c>
      <c r="Q125" s="617" t="s">
        <v>3493</v>
      </c>
      <c r="R125" s="616">
        <f t="shared" si="2"/>
        <v>27500</v>
      </c>
    </row>
    <row r="126">
      <c r="A126" s="614">
        <v>125.0</v>
      </c>
      <c r="B126" s="615" t="s">
        <v>3494</v>
      </c>
      <c r="C126" s="614" t="s">
        <v>3422</v>
      </c>
      <c r="D126" s="614" t="s">
        <v>1070</v>
      </c>
      <c r="E126" s="614" t="s">
        <v>647</v>
      </c>
      <c r="F126" s="614" t="s">
        <v>3234</v>
      </c>
      <c r="G126" s="614" t="s">
        <v>3202</v>
      </c>
      <c r="H126" s="614">
        <v>9.0</v>
      </c>
      <c r="I126" s="614" t="s">
        <v>3208</v>
      </c>
      <c r="J126" s="614" t="s">
        <v>3204</v>
      </c>
      <c r="K126" s="614" t="str">
        <f>IFERROR(__xludf.DUMMYFUNCTION("LET(
  r, C126,
  t, J126,
  cons, LOWER(TO_TEXT(O126))=""true"",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)"),"3d6kl2*25000 зм")</f>
        <v>3d6kl2*25000 зм</v>
      </c>
      <c r="L126" s="616" t="str">
        <f t="shared" si="1"/>
        <v>Минор</v>
      </c>
      <c r="M126" s="616"/>
      <c r="N126" s="615">
        <v>0.0</v>
      </c>
      <c r="O126" s="616" t="b">
        <v>0</v>
      </c>
      <c r="P126" s="614">
        <v>1.0</v>
      </c>
      <c r="Q126" s="617" t="s">
        <v>3495</v>
      </c>
      <c r="R126" s="616">
        <f t="shared" si="2"/>
        <v>22500</v>
      </c>
    </row>
    <row r="127">
      <c r="A127" s="614">
        <v>126.0</v>
      </c>
      <c r="B127" s="615" t="s">
        <v>3496</v>
      </c>
      <c r="C127" s="614" t="s">
        <v>3422</v>
      </c>
      <c r="D127" s="614" t="s">
        <v>1070</v>
      </c>
      <c r="E127" s="614" t="s">
        <v>3228</v>
      </c>
      <c r="F127" s="614" t="s">
        <v>3195</v>
      </c>
      <c r="G127" s="614" t="s">
        <v>3202</v>
      </c>
      <c r="H127" s="614">
        <v>10.0</v>
      </c>
      <c r="I127" s="614" t="s">
        <v>3203</v>
      </c>
      <c r="J127" s="614" t="s">
        <v>3411</v>
      </c>
      <c r="K127" s="614" t="str">
        <f>IFERROR(__xludf.DUMMYFUNCTION("LET(
  r, C127,
  t, J127,
  cons, LOWER(TO_TEXT(O127))=""true"",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)"),"2d6*25000 зм")</f>
        <v>2d6*25000 зм</v>
      </c>
      <c r="L127" s="616" t="str">
        <f t="shared" si="1"/>
        <v>Мажор</v>
      </c>
      <c r="M127" s="616"/>
      <c r="N127" s="615" t="s">
        <v>3497</v>
      </c>
      <c r="O127" s="616" t="b">
        <v>0</v>
      </c>
      <c r="P127" s="614">
        <v>0.0</v>
      </c>
      <c r="Q127" s="617" t="s">
        <v>3498</v>
      </c>
      <c r="R127" s="616">
        <f t="shared" si="2"/>
        <v>50000</v>
      </c>
    </row>
    <row r="128">
      <c r="A128" s="614">
        <v>127.0</v>
      </c>
      <c r="B128" s="615" t="s">
        <v>3499</v>
      </c>
      <c r="C128" s="614" t="s">
        <v>3422</v>
      </c>
      <c r="D128" s="614" t="s">
        <v>1913</v>
      </c>
      <c r="E128" s="614"/>
      <c r="F128" s="614" t="s">
        <v>3309</v>
      </c>
      <c r="G128" s="614" t="s">
        <v>3202</v>
      </c>
      <c r="H128" s="614">
        <v>10.0</v>
      </c>
      <c r="I128" s="614" t="s">
        <v>3203</v>
      </c>
      <c r="J128" s="614" t="s">
        <v>3411</v>
      </c>
      <c r="K128" s="614" t="str">
        <f>IFERROR(__xludf.DUMMYFUNCTION("LET(
  r, C128,
  t, J128,
  cons, LOWER(TO_TEXT(O128))=""true"",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)"),"2d6*25000 зм")</f>
        <v>2d6*25000 зм</v>
      </c>
      <c r="L128" s="616" t="str">
        <f t="shared" si="1"/>
        <v>Мажор</v>
      </c>
      <c r="M128" s="616"/>
      <c r="N128" s="615" t="s">
        <v>3359</v>
      </c>
      <c r="O128" s="616" t="b">
        <v>0</v>
      </c>
      <c r="P128" s="614">
        <v>0.0</v>
      </c>
      <c r="Q128" s="617" t="s">
        <v>3500</v>
      </c>
      <c r="R128" s="616">
        <f t="shared" si="2"/>
        <v>50000</v>
      </c>
    </row>
    <row r="129">
      <c r="A129" s="614">
        <v>128.0</v>
      </c>
      <c r="B129" s="615" t="s">
        <v>3501</v>
      </c>
      <c r="C129" s="614" t="s">
        <v>3422</v>
      </c>
      <c r="D129" s="614" t="s">
        <v>1913</v>
      </c>
      <c r="E129" s="614"/>
      <c r="F129" s="614" t="s">
        <v>3272</v>
      </c>
      <c r="G129" s="614" t="s">
        <v>3214</v>
      </c>
      <c r="H129" s="614">
        <v>10.0</v>
      </c>
      <c r="I129" s="614" t="s">
        <v>3203</v>
      </c>
      <c r="J129" s="614" t="s">
        <v>3237</v>
      </c>
      <c r="K129" s="614" t="str">
        <f>IFERROR(__xludf.DUMMYFUNCTION("LET(
  r, C129,
  t, J129,
  cons, LOWER(TO_TEXT(O129))=""true"",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f>
        <v>—</v>
      </c>
      <c r="L129" s="616" t="str">
        <f t="shared" si="1"/>
        <v>Мажор</v>
      </c>
      <c r="M129" s="616"/>
      <c r="N129" s="615" t="s">
        <v>3502</v>
      </c>
      <c r="O129" s="616" t="b">
        <v>0</v>
      </c>
      <c r="P129" s="614">
        <v>0.0</v>
      </c>
      <c r="Q129" s="617" t="s">
        <v>3503</v>
      </c>
      <c r="R129" s="616">
        <f t="shared" si="2"/>
        <v>200000</v>
      </c>
    </row>
    <row r="130">
      <c r="A130" s="614">
        <v>129.0</v>
      </c>
      <c r="B130" s="615" t="s">
        <v>3504</v>
      </c>
      <c r="C130" s="614" t="s">
        <v>3422</v>
      </c>
      <c r="D130" s="614" t="s">
        <v>1913</v>
      </c>
      <c r="E130" s="614"/>
      <c r="F130" s="614" t="s">
        <v>26</v>
      </c>
      <c r="G130" s="614" t="s">
        <v>3244</v>
      </c>
      <c r="H130" s="614">
        <v>9.0</v>
      </c>
      <c r="I130" s="614" t="s">
        <v>3203</v>
      </c>
      <c r="J130" s="614" t="s">
        <v>3221</v>
      </c>
      <c r="K130" s="614" t="str">
        <f>IFERROR(__xludf.DUMMYFUNCTION("LET(
  r, C130,
  t, J130,
  cons, LOWER(TO_TEXT(O130))=""true"",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)"),"3d6kh2*25000 зм")</f>
        <v>3d6kh2*25000 зм</v>
      </c>
      <c r="L130" s="616" t="str">
        <f t="shared" si="1"/>
        <v>Минор</v>
      </c>
      <c r="M130" s="616"/>
      <c r="N130" s="615">
        <v>0.0</v>
      </c>
      <c r="O130" s="616" t="b">
        <v>0</v>
      </c>
      <c r="P130" s="614">
        <v>1.0</v>
      </c>
      <c r="Q130" s="617" t="s">
        <v>3505</v>
      </c>
      <c r="R130" s="616">
        <f t="shared" si="2"/>
        <v>27500</v>
      </c>
    </row>
    <row r="131">
      <c r="A131" s="614">
        <v>130.0</v>
      </c>
      <c r="B131" s="615" t="s">
        <v>3506</v>
      </c>
      <c r="C131" s="614" t="s">
        <v>3422</v>
      </c>
      <c r="D131" s="614" t="s">
        <v>2</v>
      </c>
      <c r="E131" s="614" t="s">
        <v>3228</v>
      </c>
      <c r="F131" s="614" t="s">
        <v>3195</v>
      </c>
      <c r="G131" s="614" t="s">
        <v>3202</v>
      </c>
      <c r="H131" s="614">
        <v>10.0</v>
      </c>
      <c r="I131" s="614" t="s">
        <v>3203</v>
      </c>
      <c r="J131" s="614" t="s">
        <v>3237</v>
      </c>
      <c r="K131" s="614" t="str">
        <f>IFERROR(__xludf.DUMMYFUNCTION("LET(
  r, C131,
  t, J131,
  cons, LOWER(TO_TEXT(O131))=""true"",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f>
        <v>—</v>
      </c>
      <c r="L131" s="616" t="str">
        <f t="shared" si="1"/>
        <v>Мажор</v>
      </c>
      <c r="M131" s="616"/>
      <c r="N131" s="615">
        <v>0.0</v>
      </c>
      <c r="O131" s="616" t="b">
        <v>0</v>
      </c>
      <c r="P131" s="614">
        <v>0.0</v>
      </c>
      <c r="Q131" s="617" t="s">
        <v>3507</v>
      </c>
      <c r="R131" s="616">
        <f t="shared" si="2"/>
        <v>200000</v>
      </c>
    </row>
    <row r="132">
      <c r="A132" s="614">
        <v>131.0</v>
      </c>
      <c r="B132" s="615" t="s">
        <v>3508</v>
      </c>
      <c r="C132" s="614" t="s">
        <v>3422</v>
      </c>
      <c r="D132" s="614" t="s">
        <v>2</v>
      </c>
      <c r="E132" s="614" t="s">
        <v>3228</v>
      </c>
      <c r="F132" s="614" t="s">
        <v>3195</v>
      </c>
      <c r="G132" s="614" t="s">
        <v>3202</v>
      </c>
      <c r="H132" s="614">
        <v>10.0</v>
      </c>
      <c r="I132" s="614" t="s">
        <v>3203</v>
      </c>
      <c r="J132" s="614" t="s">
        <v>3237</v>
      </c>
      <c r="K132" s="614" t="str">
        <f>IFERROR(__xludf.DUMMYFUNCTION("LET(
  r, C132,
  t, J132,
  cons, LOWER(TO_TEXT(O132))=""true"",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f>
        <v>—</v>
      </c>
      <c r="L132" s="616" t="str">
        <f t="shared" si="1"/>
        <v>Мажор</v>
      </c>
      <c r="M132" s="616"/>
      <c r="N132" s="615">
        <v>0.0</v>
      </c>
      <c r="O132" s="616" t="b">
        <v>0</v>
      </c>
      <c r="P132" s="614">
        <v>0.0</v>
      </c>
      <c r="Q132" s="617" t="s">
        <v>3509</v>
      </c>
      <c r="R132" s="616">
        <f t="shared" si="2"/>
        <v>200000</v>
      </c>
    </row>
    <row r="133">
      <c r="A133" s="614">
        <v>132.0</v>
      </c>
      <c r="B133" s="615" t="s">
        <v>3510</v>
      </c>
      <c r="C133" s="614" t="s">
        <v>3422</v>
      </c>
      <c r="D133" s="614" t="s">
        <v>2</v>
      </c>
      <c r="E133" s="614" t="s">
        <v>3228</v>
      </c>
      <c r="F133" s="614" t="s">
        <v>3195</v>
      </c>
      <c r="G133" s="614" t="s">
        <v>3214</v>
      </c>
      <c r="H133" s="614">
        <v>10.0</v>
      </c>
      <c r="I133" s="614" t="s">
        <v>3203</v>
      </c>
      <c r="J133" s="614" t="s">
        <v>3237</v>
      </c>
      <c r="K133" s="614" t="str">
        <f>IFERROR(__xludf.DUMMYFUNCTION("LET(
  r, C133,
  t, J133,
  cons, LOWER(TO_TEXT(O133))=""true"",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f>
        <v>—</v>
      </c>
      <c r="L133" s="616" t="str">
        <f t="shared" si="1"/>
        <v>Мажор</v>
      </c>
      <c r="M133" s="616"/>
      <c r="N133" s="615">
        <v>0.0</v>
      </c>
      <c r="O133" s="616" t="b">
        <v>0</v>
      </c>
      <c r="P133" s="614">
        <v>0.0</v>
      </c>
      <c r="Q133" s="617" t="s">
        <v>3511</v>
      </c>
      <c r="R133" s="616">
        <f t="shared" si="2"/>
        <v>200000</v>
      </c>
    </row>
    <row r="134">
      <c r="A134" s="614">
        <v>133.0</v>
      </c>
      <c r="B134" s="615" t="s">
        <v>3512</v>
      </c>
      <c r="C134" s="614" t="s">
        <v>3422</v>
      </c>
      <c r="D134" s="614" t="s">
        <v>2</v>
      </c>
      <c r="E134" s="614" t="s">
        <v>42</v>
      </c>
      <c r="F134" s="614" t="s">
        <v>3195</v>
      </c>
      <c r="G134" s="614" t="s">
        <v>3202</v>
      </c>
      <c r="H134" s="614">
        <v>10.0</v>
      </c>
      <c r="I134" s="614" t="s">
        <v>3203</v>
      </c>
      <c r="J134" s="614" t="s">
        <v>3221</v>
      </c>
      <c r="K134" s="614" t="str">
        <f>IFERROR(__xludf.DUMMYFUNCTION("LET(
  r, C134,
  t, J134,
  cons, LOWER(TO_TEXT(O134))=""true"",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)"),"3d6kh2*25000 зм")</f>
        <v>3d6kh2*25000 зм</v>
      </c>
      <c r="L134" s="616" t="str">
        <f t="shared" si="1"/>
        <v>Мажор</v>
      </c>
      <c r="M134" s="616"/>
      <c r="N134" s="615">
        <v>0.0</v>
      </c>
      <c r="O134" s="616" t="b">
        <v>0</v>
      </c>
      <c r="P134" s="614">
        <v>1.0</v>
      </c>
      <c r="Q134" s="617" t="s">
        <v>3513</v>
      </c>
      <c r="R134" s="616">
        <f t="shared" si="2"/>
        <v>55000</v>
      </c>
    </row>
    <row r="135">
      <c r="A135" s="614">
        <v>134.0</v>
      </c>
      <c r="B135" s="615" t="s">
        <v>3514</v>
      </c>
      <c r="C135" s="614" t="s">
        <v>3422</v>
      </c>
      <c r="D135" s="614" t="s">
        <v>2</v>
      </c>
      <c r="E135" s="614" t="s">
        <v>3228</v>
      </c>
      <c r="F135" s="614" t="s">
        <v>3195</v>
      </c>
      <c r="G135" s="614" t="s">
        <v>3515</v>
      </c>
      <c r="H135" s="614">
        <v>10.0</v>
      </c>
      <c r="I135" s="614" t="s">
        <v>3203</v>
      </c>
      <c r="J135" s="614" t="s">
        <v>3221</v>
      </c>
      <c r="K135" s="614" t="str">
        <f>IFERROR(__xludf.DUMMYFUNCTION("LET(
  r, C135,
  t, J135,
  cons, LOWER(TO_TEXT(O135))=""true"",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)"),"3d6kh2*25000 зм")</f>
        <v>3d6kh2*25000 зм</v>
      </c>
      <c r="L135" s="616" t="str">
        <f t="shared" si="1"/>
        <v>Мажор</v>
      </c>
      <c r="M135" s="616"/>
      <c r="N135" s="615">
        <v>0.0</v>
      </c>
      <c r="O135" s="616" t="b">
        <v>0</v>
      </c>
      <c r="P135" s="614">
        <v>1.0</v>
      </c>
      <c r="Q135" s="617" t="s">
        <v>3516</v>
      </c>
      <c r="R135" s="616">
        <f t="shared" si="2"/>
        <v>55000</v>
      </c>
    </row>
    <row r="136">
      <c r="A136" s="614">
        <v>135.0</v>
      </c>
      <c r="B136" s="615" t="s">
        <v>3517</v>
      </c>
      <c r="C136" s="614" t="s">
        <v>3422</v>
      </c>
      <c r="D136" s="614" t="s">
        <v>1913</v>
      </c>
      <c r="E136" s="614"/>
      <c r="F136" s="614" t="s">
        <v>3217</v>
      </c>
      <c r="G136" s="614" t="s">
        <v>3374</v>
      </c>
      <c r="H136" s="614">
        <v>9.0</v>
      </c>
      <c r="I136" s="614" t="s">
        <v>692</v>
      </c>
      <c r="J136" s="614" t="s">
        <v>3221</v>
      </c>
      <c r="K136" s="614" t="str">
        <f>IFERROR(__xludf.DUMMYFUNCTION("LET(
  r, C136,
  t, J136,
  cons, LOWER(TO_TEXT(O136))=""true"",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)"),"3d6kh2*25000 зм")</f>
        <v>3d6kh2*25000 зм</v>
      </c>
      <c r="L136" s="616" t="str">
        <f t="shared" si="1"/>
        <v>Минор</v>
      </c>
      <c r="M136" s="616"/>
      <c r="N136" s="615">
        <v>0.0</v>
      </c>
      <c r="O136" s="616" t="b">
        <v>0</v>
      </c>
      <c r="P136" s="614">
        <v>0.0</v>
      </c>
      <c r="Q136" s="617" t="s">
        <v>3518</v>
      </c>
      <c r="R136" s="616">
        <f t="shared" si="2"/>
        <v>27500</v>
      </c>
    </row>
    <row r="137">
      <c r="A137" s="614">
        <v>136.0</v>
      </c>
      <c r="B137" s="615" t="s">
        <v>3519</v>
      </c>
      <c r="C137" s="614" t="s">
        <v>3422</v>
      </c>
      <c r="D137" s="614" t="s">
        <v>1913</v>
      </c>
      <c r="E137" s="614"/>
      <c r="F137" s="614" t="s">
        <v>3309</v>
      </c>
      <c r="G137" s="614" t="s">
        <v>3196</v>
      </c>
      <c r="H137" s="614">
        <v>9.0</v>
      </c>
      <c r="I137" s="614" t="s">
        <v>692</v>
      </c>
      <c r="J137" s="614" t="s">
        <v>3204</v>
      </c>
      <c r="K137" s="614" t="str">
        <f>IFERROR(__xludf.DUMMYFUNCTION("LET(
  r, C137,
  t, J137,
  cons, LOWER(TO_TEXT(O137))=""true"",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)"),"3d6kl2*25000 зм")</f>
        <v>3d6kl2*25000 зм</v>
      </c>
      <c r="L137" s="616" t="str">
        <f t="shared" si="1"/>
        <v>Минор</v>
      </c>
      <c r="M137" s="616"/>
      <c r="N137" s="615">
        <v>0.0</v>
      </c>
      <c r="O137" s="616" t="b">
        <v>0</v>
      </c>
      <c r="P137" s="614">
        <v>0.0</v>
      </c>
      <c r="Q137" s="617" t="s">
        <v>3520</v>
      </c>
      <c r="R137" s="616">
        <f t="shared" si="2"/>
        <v>22500</v>
      </c>
    </row>
    <row r="138">
      <c r="A138" s="614">
        <v>137.0</v>
      </c>
      <c r="B138" s="615" t="s">
        <v>2145</v>
      </c>
      <c r="C138" s="614" t="s">
        <v>3422</v>
      </c>
      <c r="D138" s="614" t="s">
        <v>1913</v>
      </c>
      <c r="E138" s="614"/>
      <c r="F138" s="614" t="s">
        <v>3309</v>
      </c>
      <c r="G138" s="614" t="s">
        <v>3202</v>
      </c>
      <c r="H138" s="614">
        <v>9.0</v>
      </c>
      <c r="I138" s="614" t="s">
        <v>692</v>
      </c>
      <c r="J138" s="614" t="s">
        <v>3221</v>
      </c>
      <c r="K138" s="614" t="str">
        <f>IFERROR(__xludf.DUMMYFUNCTION("LET(
  r, C138,
  t, J138,
  cons, LOWER(TO_TEXT(O138))=""true"",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)"),"3d6kh2*25000 зм")</f>
        <v>3d6kh2*25000 зм</v>
      </c>
      <c r="L138" s="616" t="str">
        <f t="shared" si="1"/>
        <v>Минор</v>
      </c>
      <c r="M138" s="616"/>
      <c r="N138" s="615">
        <v>0.0</v>
      </c>
      <c r="O138" s="616" t="b">
        <v>0</v>
      </c>
      <c r="P138" s="614">
        <v>1.0</v>
      </c>
      <c r="Q138" s="617" t="s">
        <v>3521</v>
      </c>
      <c r="R138" s="616">
        <f t="shared" si="2"/>
        <v>27500</v>
      </c>
    </row>
    <row r="139">
      <c r="A139" s="614">
        <v>138.0</v>
      </c>
      <c r="B139" s="615" t="s">
        <v>3522</v>
      </c>
      <c r="C139" s="614" t="s">
        <v>3422</v>
      </c>
      <c r="D139" s="614" t="s">
        <v>1913</v>
      </c>
      <c r="E139" s="614"/>
      <c r="F139" s="614" t="s">
        <v>3309</v>
      </c>
      <c r="G139" s="614" t="s">
        <v>3202</v>
      </c>
      <c r="H139" s="614">
        <v>9.0</v>
      </c>
      <c r="I139" s="614" t="s">
        <v>3208</v>
      </c>
      <c r="J139" s="614" t="s">
        <v>3204</v>
      </c>
      <c r="K139" s="614" t="str">
        <f>IFERROR(__xludf.DUMMYFUNCTION("LET(
  r, C139,
  t, J139,
  cons, LOWER(TO_TEXT(O139))=""true"",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)"),"3d6kl2*25000 зм")</f>
        <v>3d6kl2*25000 зм</v>
      </c>
      <c r="L139" s="616" t="str">
        <f t="shared" si="1"/>
        <v>Минор</v>
      </c>
      <c r="M139" s="616"/>
      <c r="N139" s="615">
        <v>0.0</v>
      </c>
      <c r="O139" s="616" t="b">
        <v>0</v>
      </c>
      <c r="P139" s="614">
        <v>1.0</v>
      </c>
      <c r="Q139" s="617" t="s">
        <v>3523</v>
      </c>
      <c r="R139" s="616">
        <f t="shared" si="2"/>
        <v>22500</v>
      </c>
    </row>
    <row r="140">
      <c r="A140" s="614">
        <v>139.0</v>
      </c>
      <c r="B140" s="615" t="s">
        <v>3524</v>
      </c>
      <c r="C140" s="614" t="s">
        <v>3422</v>
      </c>
      <c r="D140" s="614" t="s">
        <v>3349</v>
      </c>
      <c r="E140" s="614"/>
      <c r="F140" s="614" t="s">
        <v>3195</v>
      </c>
      <c r="G140" s="614" t="s">
        <v>3202</v>
      </c>
      <c r="H140" s="614">
        <v>10.0</v>
      </c>
      <c r="I140" s="614" t="s">
        <v>3203</v>
      </c>
      <c r="J140" s="614" t="s">
        <v>3221</v>
      </c>
      <c r="K140" s="614" t="str">
        <f>IFERROR(__xludf.DUMMYFUNCTION("LET(
  r, C140,
  t, J140,
  cons, LOWER(TO_TEXT(O140))=""true"",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)"),"3d6kh2*25000 зм")</f>
        <v>3d6kh2*25000 зм</v>
      </c>
      <c r="L140" s="616" t="str">
        <f t="shared" si="1"/>
        <v>Мажор</v>
      </c>
      <c r="M140" s="616"/>
      <c r="N140" s="615" t="s">
        <v>3359</v>
      </c>
      <c r="O140" s="616" t="b">
        <v>0</v>
      </c>
      <c r="P140" s="614">
        <v>0.0</v>
      </c>
      <c r="Q140" s="617" t="s">
        <v>3525</v>
      </c>
      <c r="R140" s="616">
        <f t="shared" si="2"/>
        <v>55000</v>
      </c>
    </row>
    <row r="141">
      <c r="A141" s="614">
        <v>140.0</v>
      </c>
      <c r="B141" s="615" t="s">
        <v>3526</v>
      </c>
      <c r="C141" s="614" t="s">
        <v>3422</v>
      </c>
      <c r="D141" s="614" t="s">
        <v>1913</v>
      </c>
      <c r="E141" s="614"/>
      <c r="F141" s="614" t="s">
        <v>26</v>
      </c>
      <c r="G141" s="614" t="s">
        <v>3202</v>
      </c>
      <c r="H141" s="614">
        <v>9.0</v>
      </c>
      <c r="I141" s="614" t="s">
        <v>3203</v>
      </c>
      <c r="J141" s="614" t="s">
        <v>3204</v>
      </c>
      <c r="K141" s="614" t="str">
        <f>IFERROR(__xludf.DUMMYFUNCTION("LET(
  r, C141,
  t, J141,
  cons, LOWER(TO_TEXT(O141))=""true"",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)"),"3d6kl2*25000 зм")</f>
        <v>3d6kl2*25000 зм</v>
      </c>
      <c r="L141" s="616" t="str">
        <f t="shared" si="1"/>
        <v>Минор</v>
      </c>
      <c r="M141" s="616"/>
      <c r="N141" s="615">
        <v>0.0</v>
      </c>
      <c r="O141" s="616" t="b">
        <v>0</v>
      </c>
      <c r="P141" s="614">
        <v>0.0</v>
      </c>
      <c r="Q141" s="617" t="s">
        <v>3527</v>
      </c>
      <c r="R141" s="616">
        <f t="shared" si="2"/>
        <v>22500</v>
      </c>
    </row>
    <row r="142">
      <c r="A142" s="614">
        <v>141.0</v>
      </c>
      <c r="B142" s="615" t="s">
        <v>3528</v>
      </c>
      <c r="C142" s="614" t="s">
        <v>3422</v>
      </c>
      <c r="D142" s="614" t="s">
        <v>1913</v>
      </c>
      <c r="E142" s="614"/>
      <c r="F142" s="614" t="s">
        <v>3272</v>
      </c>
      <c r="G142" s="614" t="s">
        <v>3244</v>
      </c>
      <c r="H142" s="614">
        <v>9.0</v>
      </c>
      <c r="I142" s="614" t="s">
        <v>692</v>
      </c>
      <c r="J142" s="614" t="s">
        <v>3218</v>
      </c>
      <c r="K142" s="614" t="str">
        <f>IFERROR(__xludf.DUMMYFUNCTION("LET(
  r, C142,
  t, J142,
  cons, LOWER(TO_TEXT(O142))=""true"",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)"),"2d6*25000 зм")</f>
        <v>2d6*25000 зм</v>
      </c>
      <c r="L142" s="616" t="str">
        <f t="shared" si="1"/>
        <v>Минор</v>
      </c>
      <c r="M142" s="616"/>
      <c r="N142" s="615">
        <v>0.0</v>
      </c>
      <c r="O142" s="616" t="b">
        <v>0</v>
      </c>
      <c r="P142" s="614">
        <v>0.0</v>
      </c>
      <c r="Q142" s="617" t="s">
        <v>3529</v>
      </c>
      <c r="R142" s="616">
        <f t="shared" si="2"/>
        <v>25000</v>
      </c>
    </row>
    <row r="143">
      <c r="A143" s="614">
        <v>142.0</v>
      </c>
      <c r="B143" s="615" t="s">
        <v>3530</v>
      </c>
      <c r="C143" s="614" t="s">
        <v>3422</v>
      </c>
      <c r="D143" s="614" t="s">
        <v>2</v>
      </c>
      <c r="E143" s="614" t="s">
        <v>54</v>
      </c>
      <c r="F143" s="614" t="s">
        <v>3195</v>
      </c>
      <c r="G143" s="614" t="s">
        <v>3316</v>
      </c>
      <c r="H143" s="614">
        <v>10.0</v>
      </c>
      <c r="I143" s="614" t="s">
        <v>3203</v>
      </c>
      <c r="J143" s="614" t="s">
        <v>3237</v>
      </c>
      <c r="K143" s="614" t="str">
        <f>IFERROR(__xludf.DUMMYFUNCTION("LET(
  r, C143,
  t, J143,
  cons, LOWER(TO_TEXT(O143))=""true"",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f>
        <v>—</v>
      </c>
      <c r="L143" s="616" t="str">
        <f t="shared" si="1"/>
        <v>Мажор</v>
      </c>
      <c r="M143" s="616"/>
      <c r="N143" s="615">
        <v>0.0</v>
      </c>
      <c r="O143" s="616" t="b">
        <v>0</v>
      </c>
      <c r="P143" s="614">
        <v>1.0</v>
      </c>
      <c r="Q143" s="617" t="s">
        <v>3531</v>
      </c>
      <c r="R143" s="616">
        <f t="shared" si="2"/>
        <v>200000</v>
      </c>
    </row>
    <row r="144">
      <c r="A144" s="614">
        <v>143.0</v>
      </c>
      <c r="B144" s="615" t="s">
        <v>3532</v>
      </c>
      <c r="C144" s="614" t="s">
        <v>3422</v>
      </c>
      <c r="D144" s="614" t="s">
        <v>1913</v>
      </c>
      <c r="E144" s="614"/>
      <c r="F144" s="614" t="s">
        <v>3195</v>
      </c>
      <c r="G144" s="614" t="s">
        <v>3196</v>
      </c>
      <c r="H144" s="614">
        <v>10.0</v>
      </c>
      <c r="I144" s="614" t="s">
        <v>3203</v>
      </c>
      <c r="J144" s="614" t="s">
        <v>3218</v>
      </c>
      <c r="K144" s="614" t="str">
        <f>IFERROR(__xludf.DUMMYFUNCTION("LET(
  r, C144,
  t, J144,
  cons, LOWER(TO_TEXT(O144))=""true"",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)"),"2d6*25000 зм")</f>
        <v>2d6*25000 зм</v>
      </c>
      <c r="L144" s="616" t="str">
        <f t="shared" si="1"/>
        <v>Мажор</v>
      </c>
      <c r="M144" s="616"/>
      <c r="N144" s="615" t="s">
        <v>3248</v>
      </c>
      <c r="O144" s="616" t="b">
        <v>0</v>
      </c>
      <c r="P144" s="614">
        <v>0.0</v>
      </c>
      <c r="Q144" s="617" t="s">
        <v>3533</v>
      </c>
      <c r="R144" s="616">
        <f t="shared" si="2"/>
        <v>50000</v>
      </c>
    </row>
    <row r="145">
      <c r="A145" s="614">
        <v>144.0</v>
      </c>
      <c r="B145" s="615" t="s">
        <v>3534</v>
      </c>
      <c r="C145" s="614" t="s">
        <v>3422</v>
      </c>
      <c r="D145" s="614" t="s">
        <v>2</v>
      </c>
      <c r="E145" s="614" t="s">
        <v>3228</v>
      </c>
      <c r="F145" s="614" t="s">
        <v>3195</v>
      </c>
      <c r="G145" s="614" t="s">
        <v>3202</v>
      </c>
      <c r="H145" s="614">
        <v>10.0</v>
      </c>
      <c r="I145" s="614" t="s">
        <v>692</v>
      </c>
      <c r="J145" s="614" t="s">
        <v>3218</v>
      </c>
      <c r="K145" s="614" t="str">
        <f>IFERROR(__xludf.DUMMYFUNCTION("LET(
  r, C145,
  t, J145,
  cons, LOWER(TO_TEXT(O145))=""true"",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)"),"2d6*25000 зм")</f>
        <v>2d6*25000 зм</v>
      </c>
      <c r="L145" s="616" t="str">
        <f t="shared" si="1"/>
        <v>Мажор</v>
      </c>
      <c r="M145" s="616"/>
      <c r="N145" s="615">
        <v>0.0</v>
      </c>
      <c r="O145" s="616" t="b">
        <v>0</v>
      </c>
      <c r="P145" s="614">
        <v>1.0</v>
      </c>
      <c r="Q145" s="617" t="s">
        <v>3535</v>
      </c>
      <c r="R145" s="616">
        <f t="shared" si="2"/>
        <v>50000</v>
      </c>
    </row>
    <row r="146">
      <c r="A146" s="614">
        <v>145.0</v>
      </c>
      <c r="B146" s="615" t="s">
        <v>3536</v>
      </c>
      <c r="C146" s="614" t="s">
        <v>3422</v>
      </c>
      <c r="D146" s="614" t="s">
        <v>1913</v>
      </c>
      <c r="E146" s="614"/>
      <c r="F146" s="614" t="s">
        <v>3217</v>
      </c>
      <c r="G146" s="614" t="s">
        <v>3202</v>
      </c>
      <c r="H146" s="614">
        <v>9.0</v>
      </c>
      <c r="I146" s="614" t="s">
        <v>3208</v>
      </c>
      <c r="J146" s="614" t="s">
        <v>3257</v>
      </c>
      <c r="K146" s="614" t="str">
        <f>IFERROR(__xludf.DUMMYFUNCTION("LET(
  r, C146,
  t, J146,
  cons, LOWER(TO_TEXT(O146))=""true"",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)"),"50000 зм")</f>
        <v>50000 зм</v>
      </c>
      <c r="L146" s="616" t="str">
        <f t="shared" si="1"/>
        <v>Минор</v>
      </c>
      <c r="M146" s="616"/>
      <c r="N146" s="615">
        <v>0.0</v>
      </c>
      <c r="O146" s="616" t="b">
        <v>0</v>
      </c>
      <c r="P146" s="614">
        <v>1.0</v>
      </c>
      <c r="Q146" s="617" t="s">
        <v>3537</v>
      </c>
      <c r="R146" s="616">
        <f t="shared" si="2"/>
        <v>20000</v>
      </c>
    </row>
    <row r="147">
      <c r="A147" s="614">
        <v>146.0</v>
      </c>
      <c r="B147" s="615" t="s">
        <v>3538</v>
      </c>
      <c r="C147" s="614" t="s">
        <v>3422</v>
      </c>
      <c r="D147" s="614" t="s">
        <v>2</v>
      </c>
      <c r="E147" s="614" t="s">
        <v>42</v>
      </c>
      <c r="F147" s="614" t="s">
        <v>3195</v>
      </c>
      <c r="G147" s="614" t="s">
        <v>3202</v>
      </c>
      <c r="H147" s="614">
        <v>10.0</v>
      </c>
      <c r="I147" s="614" t="s">
        <v>3208</v>
      </c>
      <c r="J147" s="614" t="s">
        <v>3218</v>
      </c>
      <c r="K147" s="614" t="str">
        <f>IFERROR(__xludf.DUMMYFUNCTION("LET(
  r, C147,
  t, J147,
  cons, LOWER(TO_TEXT(O147))=""true"",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)"),"2d6*25000 зм")</f>
        <v>2d6*25000 зм</v>
      </c>
      <c r="L147" s="616" t="str">
        <f t="shared" si="1"/>
        <v>Мажор</v>
      </c>
      <c r="M147" s="616"/>
      <c r="N147" s="615" t="s">
        <v>3231</v>
      </c>
      <c r="O147" s="616" t="b">
        <v>0</v>
      </c>
      <c r="P147" s="614">
        <v>1.0</v>
      </c>
      <c r="Q147" s="617" t="s">
        <v>3539</v>
      </c>
      <c r="R147" s="616">
        <f t="shared" si="2"/>
        <v>50000</v>
      </c>
    </row>
    <row r="148">
      <c r="A148" s="614">
        <v>147.0</v>
      </c>
      <c r="B148" s="615" t="s">
        <v>3540</v>
      </c>
      <c r="C148" s="614" t="s">
        <v>3422</v>
      </c>
      <c r="D148" s="614" t="s">
        <v>1913</v>
      </c>
      <c r="E148" s="614"/>
      <c r="F148" s="614" t="s">
        <v>3217</v>
      </c>
      <c r="G148" s="614" t="s">
        <v>3196</v>
      </c>
      <c r="H148" s="614">
        <v>9.0</v>
      </c>
      <c r="I148" s="614" t="s">
        <v>692</v>
      </c>
      <c r="J148" s="614" t="s">
        <v>3218</v>
      </c>
      <c r="K148" s="614" t="str">
        <f>IFERROR(__xludf.DUMMYFUNCTION("LET(
  r, C148,
  t, J148,
  cons, LOWER(TO_TEXT(O148))=""true"",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)"),"2d6*25000 зм")</f>
        <v>2d6*25000 зм</v>
      </c>
      <c r="L148" s="616" t="str">
        <f t="shared" si="1"/>
        <v>Минор</v>
      </c>
      <c r="M148" s="616"/>
      <c r="N148" s="615">
        <v>0.0</v>
      </c>
      <c r="O148" s="616" t="b">
        <v>0</v>
      </c>
      <c r="P148" s="614">
        <v>0.0</v>
      </c>
      <c r="Q148" s="617" t="s">
        <v>3541</v>
      </c>
      <c r="R148" s="616">
        <f t="shared" si="2"/>
        <v>25000</v>
      </c>
    </row>
    <row r="149">
      <c r="A149" s="614">
        <v>148.0</v>
      </c>
      <c r="B149" s="615" t="s">
        <v>3542</v>
      </c>
      <c r="C149" s="614" t="s">
        <v>3422</v>
      </c>
      <c r="D149" s="614" t="s">
        <v>1913</v>
      </c>
      <c r="E149" s="614"/>
      <c r="F149" s="614" t="s">
        <v>3195</v>
      </c>
      <c r="G149" s="614" t="s">
        <v>3244</v>
      </c>
      <c r="H149" s="614">
        <v>9.0</v>
      </c>
      <c r="I149" s="614" t="s">
        <v>3203</v>
      </c>
      <c r="J149" s="614" t="s">
        <v>3204</v>
      </c>
      <c r="K149" s="614" t="str">
        <f>IFERROR(__xludf.DUMMYFUNCTION("LET(
  r, C149,
  t, J149,
  cons, LOWER(TO_TEXT(O149))=""true"",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)"),"3d6kl2*25000 зм")</f>
        <v>3d6kl2*25000 зм</v>
      </c>
      <c r="L149" s="616" t="str">
        <f t="shared" si="1"/>
        <v>Минор</v>
      </c>
      <c r="M149" s="616"/>
      <c r="N149" s="615">
        <v>0.0</v>
      </c>
      <c r="O149" s="616" t="b">
        <v>0</v>
      </c>
      <c r="P149" s="614">
        <v>0.0</v>
      </c>
      <c r="Q149" s="617" t="s">
        <v>3543</v>
      </c>
      <c r="R149" s="616">
        <f t="shared" si="2"/>
        <v>22500</v>
      </c>
    </row>
    <row r="150">
      <c r="A150" s="614">
        <v>149.0</v>
      </c>
      <c r="B150" s="615" t="s">
        <v>3544</v>
      </c>
      <c r="C150" s="614" t="s">
        <v>3422</v>
      </c>
      <c r="D150" s="614" t="s">
        <v>1913</v>
      </c>
      <c r="E150" s="614"/>
      <c r="F150" s="614" t="s">
        <v>26</v>
      </c>
      <c r="G150" s="614" t="s">
        <v>3202</v>
      </c>
      <c r="H150" s="614">
        <v>9.0</v>
      </c>
      <c r="I150" s="614" t="s">
        <v>3203</v>
      </c>
      <c r="J150" s="614" t="s">
        <v>3411</v>
      </c>
      <c r="K150" s="614" t="str">
        <f>IFERROR(__xludf.DUMMYFUNCTION("LET(
  r, C150,
  t, J150,
  cons, LOWER(TO_TEXT(O150))=""true"",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)"),"2d6*25000 зм")</f>
        <v>2d6*25000 зм</v>
      </c>
      <c r="L150" s="616" t="str">
        <f t="shared" si="1"/>
        <v>Минор</v>
      </c>
      <c r="M150" s="616"/>
      <c r="N150" s="615">
        <v>0.0</v>
      </c>
      <c r="O150" s="616" t="b">
        <v>0</v>
      </c>
      <c r="P150" s="614">
        <v>0.0</v>
      </c>
      <c r="Q150" s="617" t="s">
        <v>3545</v>
      </c>
      <c r="R150" s="616">
        <f t="shared" si="2"/>
        <v>25000</v>
      </c>
    </row>
    <row r="151">
      <c r="A151" s="614">
        <v>150.0</v>
      </c>
      <c r="B151" s="615" t="s">
        <v>3546</v>
      </c>
      <c r="C151" s="614" t="s">
        <v>3422</v>
      </c>
      <c r="D151" s="614" t="s">
        <v>1913</v>
      </c>
      <c r="E151" s="614"/>
      <c r="F151" s="614" t="s">
        <v>3195</v>
      </c>
      <c r="G151" s="614" t="s">
        <v>3207</v>
      </c>
      <c r="H151" s="614">
        <v>9.0</v>
      </c>
      <c r="I151" s="614" t="s">
        <v>3208</v>
      </c>
      <c r="J151" s="614" t="s">
        <v>3204</v>
      </c>
      <c r="K151" s="614" t="str">
        <f>IFERROR(__xludf.DUMMYFUNCTION("LET(
  r, C151,
  t, J151,
  cons, LOWER(TO_TEXT(O151))=""true"",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)"),"3d6kl2*25000 зм")</f>
        <v>3d6kl2*25000 зм</v>
      </c>
      <c r="L151" s="616" t="str">
        <f t="shared" si="1"/>
        <v>Минор</v>
      </c>
      <c r="M151" s="616"/>
      <c r="N151" s="615" t="s">
        <v>3248</v>
      </c>
      <c r="O151" s="616" t="b">
        <v>0</v>
      </c>
      <c r="P151" s="614">
        <v>1.0</v>
      </c>
      <c r="Q151" s="617" t="s">
        <v>3547</v>
      </c>
      <c r="R151" s="616">
        <f t="shared" si="2"/>
        <v>22500</v>
      </c>
    </row>
    <row r="152">
      <c r="A152" s="614">
        <v>151.0</v>
      </c>
      <c r="B152" s="615" t="s">
        <v>3548</v>
      </c>
      <c r="C152" s="614" t="s">
        <v>3422</v>
      </c>
      <c r="D152" s="614" t="s">
        <v>1913</v>
      </c>
      <c r="E152" s="614"/>
      <c r="F152" s="614" t="s">
        <v>3201</v>
      </c>
      <c r="G152" s="614" t="s">
        <v>3202</v>
      </c>
      <c r="H152" s="614">
        <v>10.0</v>
      </c>
      <c r="I152" s="614" t="s">
        <v>3203</v>
      </c>
      <c r="J152" s="614" t="s">
        <v>3411</v>
      </c>
      <c r="K152" s="614" t="str">
        <f>IFERROR(__xludf.DUMMYFUNCTION("LET(
  r, C152,
  t, J152,
  cons, LOWER(TO_TEXT(O152))=""true"",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)"),"2d6*25000 зм")</f>
        <v>2d6*25000 зм</v>
      </c>
      <c r="L152" s="616" t="str">
        <f t="shared" si="1"/>
        <v>Мажор</v>
      </c>
      <c r="M152" s="616"/>
      <c r="N152" s="615" t="s">
        <v>3549</v>
      </c>
      <c r="O152" s="616" t="b">
        <v>0</v>
      </c>
      <c r="P152" s="614">
        <v>1.0</v>
      </c>
      <c r="Q152" s="617" t="s">
        <v>3550</v>
      </c>
      <c r="R152" s="616">
        <f t="shared" si="2"/>
        <v>50000</v>
      </c>
    </row>
    <row r="153">
      <c r="A153" s="614">
        <v>152.0</v>
      </c>
      <c r="B153" s="615" t="s">
        <v>3551</v>
      </c>
      <c r="C153" s="614" t="s">
        <v>3422</v>
      </c>
      <c r="D153" s="614" t="s">
        <v>1913</v>
      </c>
      <c r="E153" s="614"/>
      <c r="F153" s="614" t="s">
        <v>3195</v>
      </c>
      <c r="G153" s="614" t="s">
        <v>3202</v>
      </c>
      <c r="H153" s="614">
        <v>9.0</v>
      </c>
      <c r="I153" s="614" t="s">
        <v>3203</v>
      </c>
      <c r="J153" s="614" t="s">
        <v>3237</v>
      </c>
      <c r="K153" s="614" t="str">
        <f>IFERROR(__xludf.DUMMYFUNCTION("LET(
  r, C153,
  t, J153,
  cons, LOWER(TO_TEXT(O153))=""true"",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f>
        <v>—</v>
      </c>
      <c r="L153" s="616" t="str">
        <f t="shared" si="1"/>
        <v>Минор</v>
      </c>
      <c r="M153" s="616"/>
      <c r="N153" s="615">
        <v>0.0</v>
      </c>
      <c r="O153" s="616" t="b">
        <v>0</v>
      </c>
      <c r="P153" s="614">
        <v>1.0</v>
      </c>
      <c r="Q153" s="617" t="s">
        <v>3552</v>
      </c>
      <c r="R153" s="616">
        <f t="shared" si="2"/>
        <v>100000</v>
      </c>
    </row>
    <row r="154">
      <c r="A154" s="614">
        <v>153.0</v>
      </c>
      <c r="B154" s="615" t="s">
        <v>3553</v>
      </c>
      <c r="C154" s="614" t="s">
        <v>3422</v>
      </c>
      <c r="D154" s="614" t="s">
        <v>1913</v>
      </c>
      <c r="E154" s="614"/>
      <c r="F154" s="614" t="s">
        <v>3201</v>
      </c>
      <c r="G154" s="614" t="s">
        <v>3202</v>
      </c>
      <c r="H154" s="614">
        <v>10.0</v>
      </c>
      <c r="I154" s="614" t="s">
        <v>3203</v>
      </c>
      <c r="J154" s="614" t="s">
        <v>3237</v>
      </c>
      <c r="K154" s="614" t="str">
        <f>IFERROR(__xludf.DUMMYFUNCTION("LET(
  r, C154,
  t, J154,
  cons, LOWER(TO_TEXT(O154))=""true"",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f>
        <v>—</v>
      </c>
      <c r="L154" s="616" t="str">
        <f t="shared" si="1"/>
        <v>Мажор</v>
      </c>
      <c r="M154" s="616"/>
      <c r="N154" s="615" t="s">
        <v>3554</v>
      </c>
      <c r="O154" s="616" t="b">
        <v>0</v>
      </c>
      <c r="P154" s="614">
        <v>1.0</v>
      </c>
      <c r="Q154" s="617" t="s">
        <v>3555</v>
      </c>
      <c r="R154" s="616">
        <f t="shared" si="2"/>
        <v>200000</v>
      </c>
    </row>
    <row r="155">
      <c r="A155" s="614">
        <v>154.0</v>
      </c>
      <c r="B155" s="615" t="s">
        <v>3556</v>
      </c>
      <c r="C155" s="614" t="s">
        <v>3422</v>
      </c>
      <c r="D155" s="614" t="s">
        <v>1913</v>
      </c>
      <c r="E155" s="614" t="s">
        <v>3394</v>
      </c>
      <c r="F155" s="614" t="s">
        <v>3217</v>
      </c>
      <c r="G155" s="614" t="s">
        <v>3293</v>
      </c>
      <c r="H155" s="614">
        <v>10.0</v>
      </c>
      <c r="I155" s="614" t="s">
        <v>692</v>
      </c>
      <c r="J155" s="614" t="s">
        <v>3221</v>
      </c>
      <c r="K155" s="614" t="str">
        <f>IFERROR(__xludf.DUMMYFUNCTION("LET(
  r, C155,
  t, J155,
  cons, LOWER(TO_TEXT(O155))=""true"",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)"),"3d6kh2*25000 зм")</f>
        <v>3d6kh2*25000 зм</v>
      </c>
      <c r="L155" s="616" t="str">
        <f t="shared" si="1"/>
        <v>Мажор</v>
      </c>
      <c r="M155" s="616"/>
      <c r="N155" s="615">
        <v>0.0</v>
      </c>
      <c r="O155" s="616" t="b">
        <v>0</v>
      </c>
      <c r="P155" s="614">
        <v>0.0</v>
      </c>
      <c r="Q155" s="617" t="s">
        <v>3557</v>
      </c>
      <c r="R155" s="616">
        <f t="shared" si="2"/>
        <v>55000</v>
      </c>
    </row>
    <row r="156">
      <c r="A156" s="614">
        <v>155.0</v>
      </c>
      <c r="B156" s="615" t="s">
        <v>3558</v>
      </c>
      <c r="C156" s="614" t="s">
        <v>3422</v>
      </c>
      <c r="D156" s="614" t="s">
        <v>1913</v>
      </c>
      <c r="E156" s="614"/>
      <c r="F156" s="614" t="s">
        <v>26</v>
      </c>
      <c r="G156" s="614" t="s">
        <v>3214</v>
      </c>
      <c r="H156" s="614">
        <v>9.0</v>
      </c>
      <c r="I156" s="614" t="s">
        <v>3203</v>
      </c>
      <c r="J156" s="614" t="s">
        <v>3237</v>
      </c>
      <c r="K156" s="614" t="str">
        <f>IFERROR(__xludf.DUMMYFUNCTION("LET(
  r, C156,
  t, J156,
  cons, LOWER(TO_TEXT(O156))=""true"",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f>
        <v>—</v>
      </c>
      <c r="L156" s="616" t="str">
        <f t="shared" si="1"/>
        <v>Минор</v>
      </c>
      <c r="M156" s="616"/>
      <c r="N156" s="615">
        <v>0.0</v>
      </c>
      <c r="O156" s="616" t="b">
        <v>0</v>
      </c>
      <c r="P156" s="614">
        <v>0.0</v>
      </c>
      <c r="Q156" s="617" t="s">
        <v>3559</v>
      </c>
      <c r="R156" s="616">
        <f t="shared" si="2"/>
        <v>100000</v>
      </c>
    </row>
    <row r="157">
      <c r="A157" s="614">
        <v>156.0</v>
      </c>
      <c r="B157" s="615" t="s">
        <v>3560</v>
      </c>
      <c r="C157" s="614" t="s">
        <v>3422</v>
      </c>
      <c r="D157" s="614" t="s">
        <v>1913</v>
      </c>
      <c r="E157" s="614"/>
      <c r="F157" s="614" t="s">
        <v>26</v>
      </c>
      <c r="G157" s="614" t="s">
        <v>3202</v>
      </c>
      <c r="H157" s="614">
        <v>9.0</v>
      </c>
      <c r="I157" s="614" t="s">
        <v>3203</v>
      </c>
      <c r="J157" s="614" t="s">
        <v>3204</v>
      </c>
      <c r="K157" s="614" t="str">
        <f>IFERROR(__xludf.DUMMYFUNCTION("LET(
  r, C157,
  t, J157,
  cons, LOWER(TO_TEXT(O157))=""true"",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)"),"3d6kl2*25000 зм")</f>
        <v>3d6kl2*25000 зм</v>
      </c>
      <c r="L157" s="616" t="str">
        <f t="shared" si="1"/>
        <v>Минор</v>
      </c>
      <c r="M157" s="616"/>
      <c r="N157" s="615">
        <v>0.0</v>
      </c>
      <c r="O157" s="616" t="b">
        <v>0</v>
      </c>
      <c r="P157" s="614">
        <v>0.0</v>
      </c>
      <c r="Q157" s="617" t="s">
        <v>3561</v>
      </c>
      <c r="R157" s="616">
        <f t="shared" si="2"/>
        <v>22500</v>
      </c>
    </row>
    <row r="158">
      <c r="A158" s="614">
        <v>157.0</v>
      </c>
      <c r="B158" s="615" t="s">
        <v>3562</v>
      </c>
      <c r="C158" s="614" t="s">
        <v>3422</v>
      </c>
      <c r="D158" s="614" t="s">
        <v>2</v>
      </c>
      <c r="E158" s="614" t="s">
        <v>92</v>
      </c>
      <c r="F158" s="614" t="s">
        <v>3195</v>
      </c>
      <c r="G158" s="614" t="s">
        <v>3196</v>
      </c>
      <c r="H158" s="614">
        <v>10.0</v>
      </c>
      <c r="I158" s="614" t="s">
        <v>3203</v>
      </c>
      <c r="J158" s="614" t="s">
        <v>3221</v>
      </c>
      <c r="K158" s="614" t="str">
        <f>IFERROR(__xludf.DUMMYFUNCTION("LET(
  r, C158,
  t, J158,
  cons, LOWER(TO_TEXT(O158))=""true"",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)"),"3d6kh2*25000 зм")</f>
        <v>3d6kh2*25000 зм</v>
      </c>
      <c r="L158" s="616" t="str">
        <f t="shared" si="1"/>
        <v>Мажор</v>
      </c>
      <c r="M158" s="616"/>
      <c r="N158" s="615">
        <v>0.0</v>
      </c>
      <c r="O158" s="616" t="b">
        <v>0</v>
      </c>
      <c r="P158" s="614">
        <v>0.0</v>
      </c>
      <c r="Q158" s="617" t="s">
        <v>3563</v>
      </c>
      <c r="R158" s="616">
        <f t="shared" si="2"/>
        <v>55000</v>
      </c>
    </row>
    <row r="159">
      <c r="A159" s="614">
        <v>158.0</v>
      </c>
      <c r="B159" s="615" t="s">
        <v>3564</v>
      </c>
      <c r="C159" s="614" t="s">
        <v>3422</v>
      </c>
      <c r="D159" s="614" t="s">
        <v>2</v>
      </c>
      <c r="E159" s="614" t="s">
        <v>3228</v>
      </c>
      <c r="F159" s="614" t="s">
        <v>3195</v>
      </c>
      <c r="G159" s="614" t="s">
        <v>3202</v>
      </c>
      <c r="H159" s="614">
        <v>11.0</v>
      </c>
      <c r="I159" s="614" t="s">
        <v>3203</v>
      </c>
      <c r="J159" s="614" t="s">
        <v>3411</v>
      </c>
      <c r="K159" s="614" t="str">
        <f>IFERROR(__xludf.DUMMYFUNCTION("LET(
  r, C159,
  t, J159,
  cons, LOWER(TO_TEXT(O159))=""true"",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)"),"2d6*25000 зм")</f>
        <v>2d6*25000 зм</v>
      </c>
      <c r="L159" s="616" t="str">
        <f t="shared" si="1"/>
        <v/>
      </c>
      <c r="M159" s="616"/>
      <c r="N159" s="615" t="s">
        <v>3565</v>
      </c>
      <c r="O159" s="616" t="b">
        <v>0</v>
      </c>
      <c r="P159" s="614">
        <v>1.0</v>
      </c>
      <c r="Q159" s="617" t="s">
        <v>3566</v>
      </c>
      <c r="R159" s="616">
        <f t="shared" si="2"/>
        <v>50000</v>
      </c>
    </row>
    <row r="160">
      <c r="A160" s="614">
        <v>159.0</v>
      </c>
      <c r="B160" s="615" t="s">
        <v>3567</v>
      </c>
      <c r="C160" s="614" t="s">
        <v>3422</v>
      </c>
      <c r="D160" s="614" t="s">
        <v>1070</v>
      </c>
      <c r="E160" s="614" t="s">
        <v>3568</v>
      </c>
      <c r="F160" s="614" t="s">
        <v>3234</v>
      </c>
      <c r="G160" s="614" t="s">
        <v>3244</v>
      </c>
      <c r="H160" s="614">
        <v>10.0</v>
      </c>
      <c r="I160" s="614" t="s">
        <v>3208</v>
      </c>
      <c r="J160" s="614" t="s">
        <v>3257</v>
      </c>
      <c r="K160" s="614" t="str">
        <f>IFERROR(__xludf.DUMMYFUNCTION("LET(
  r, C160,
  t, J160,
  cons, LOWER(TO_TEXT(O160))=""true"",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)"),"50000 зм")</f>
        <v>50000 зм</v>
      </c>
      <c r="L160" s="616" t="str">
        <f t="shared" si="1"/>
        <v>Мажор</v>
      </c>
      <c r="M160" s="616"/>
      <c r="N160" s="615">
        <v>0.0</v>
      </c>
      <c r="O160" s="616" t="b">
        <v>0</v>
      </c>
      <c r="P160" s="614">
        <v>1.0</v>
      </c>
      <c r="Q160" s="617" t="s">
        <v>3569</v>
      </c>
      <c r="R160" s="616">
        <f t="shared" si="2"/>
        <v>40000</v>
      </c>
    </row>
    <row r="161">
      <c r="A161" s="614">
        <v>160.0</v>
      </c>
      <c r="B161" s="615" t="s">
        <v>3570</v>
      </c>
      <c r="C161" s="614" t="s">
        <v>3422</v>
      </c>
      <c r="D161" s="614" t="s">
        <v>1913</v>
      </c>
      <c r="E161" s="614"/>
      <c r="F161" s="614" t="s">
        <v>3571</v>
      </c>
      <c r="G161" s="614" t="s">
        <v>3244</v>
      </c>
      <c r="H161" s="614">
        <v>10.0</v>
      </c>
      <c r="I161" s="614" t="s">
        <v>692</v>
      </c>
      <c r="J161" s="614" t="s">
        <v>3221</v>
      </c>
      <c r="K161" s="614" t="str">
        <f>IFERROR(__xludf.DUMMYFUNCTION("LET(
  r, C161,
  t, J161,
  cons, LOWER(TO_TEXT(O161))=""true"",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)"),"3d6kh2*25000 зм")</f>
        <v>3d6kh2*25000 зм</v>
      </c>
      <c r="L161" s="616" t="str">
        <f t="shared" si="1"/>
        <v>Мажор</v>
      </c>
      <c r="M161" s="616"/>
      <c r="N161" s="615">
        <v>0.0</v>
      </c>
      <c r="O161" s="616" t="b">
        <v>0</v>
      </c>
      <c r="P161" s="614">
        <v>0.0</v>
      </c>
      <c r="Q161" s="617" t="s">
        <v>3572</v>
      </c>
      <c r="R161" s="616">
        <f t="shared" si="2"/>
        <v>55000</v>
      </c>
    </row>
    <row r="162">
      <c r="A162" s="614">
        <v>161.0</v>
      </c>
      <c r="B162" s="615" t="s">
        <v>3573</v>
      </c>
      <c r="C162" s="614" t="s">
        <v>3422</v>
      </c>
      <c r="D162" s="614" t="s">
        <v>1070</v>
      </c>
      <c r="E162" s="614" t="s">
        <v>650</v>
      </c>
      <c r="F162" s="614" t="s">
        <v>3195</v>
      </c>
      <c r="G162" s="614" t="s">
        <v>3207</v>
      </c>
      <c r="H162" s="614">
        <v>9.0</v>
      </c>
      <c r="I162" s="614" t="s">
        <v>3208</v>
      </c>
      <c r="J162" s="614" t="s">
        <v>3204</v>
      </c>
      <c r="K162" s="614" t="str">
        <f>IFERROR(__xludf.DUMMYFUNCTION("LET(
  r, C162,
  t, J162,
  cons, LOWER(TO_TEXT(O162))=""true"",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)"),"3d6kl2*25000 зм")</f>
        <v>3d6kl2*25000 зм</v>
      </c>
      <c r="L162" s="616" t="str">
        <f t="shared" si="1"/>
        <v>Минор</v>
      </c>
      <c r="M162" s="616"/>
      <c r="N162" s="615">
        <v>0.0</v>
      </c>
      <c r="O162" s="616" t="b">
        <v>0</v>
      </c>
      <c r="P162" s="614">
        <v>0.0</v>
      </c>
      <c r="Q162" s="617" t="s">
        <v>3574</v>
      </c>
      <c r="R162" s="616">
        <f t="shared" si="2"/>
        <v>22500</v>
      </c>
    </row>
    <row r="163">
      <c r="A163" s="614">
        <v>162.0</v>
      </c>
      <c r="B163" s="615" t="s">
        <v>3575</v>
      </c>
      <c r="C163" s="614" t="s">
        <v>3422</v>
      </c>
      <c r="D163" s="614" t="s">
        <v>1070</v>
      </c>
      <c r="E163" s="614" t="s">
        <v>650</v>
      </c>
      <c r="F163" s="614" t="s">
        <v>3195</v>
      </c>
      <c r="G163" s="614" t="s">
        <v>3214</v>
      </c>
      <c r="H163" s="614">
        <v>9.0</v>
      </c>
      <c r="I163" s="614" t="s">
        <v>3208</v>
      </c>
      <c r="J163" s="614" t="s">
        <v>3204</v>
      </c>
      <c r="K163" s="614" t="str">
        <f>IFERROR(__xludf.DUMMYFUNCTION("LET(
  r, C163,
  t, J163,
  cons, LOWER(TO_TEXT(O163))=""true"",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)"),"3d6kl2*25000 зм")</f>
        <v>3d6kl2*25000 зм</v>
      </c>
      <c r="L163" s="616" t="str">
        <f t="shared" si="1"/>
        <v>Минор</v>
      </c>
      <c r="M163" s="616"/>
      <c r="N163" s="615">
        <v>0.0</v>
      </c>
      <c r="O163" s="616" t="b">
        <v>0</v>
      </c>
      <c r="P163" s="614">
        <v>1.0</v>
      </c>
      <c r="Q163" s="617" t="s">
        <v>3576</v>
      </c>
      <c r="R163" s="616">
        <f t="shared" si="2"/>
        <v>22500</v>
      </c>
    </row>
    <row r="164">
      <c r="A164" s="614">
        <v>163.0</v>
      </c>
      <c r="B164" s="615" t="s">
        <v>3577</v>
      </c>
      <c r="C164" s="614" t="s">
        <v>3578</v>
      </c>
      <c r="D164" s="614" t="s">
        <v>1913</v>
      </c>
      <c r="E164" s="614"/>
      <c r="F164" s="614" t="s">
        <v>3217</v>
      </c>
      <c r="G164" s="614" t="s">
        <v>3293</v>
      </c>
      <c r="H164" s="614">
        <v>5.0</v>
      </c>
      <c r="I164" s="614" t="s">
        <v>3208</v>
      </c>
      <c r="J164" s="614" t="s">
        <v>3204</v>
      </c>
      <c r="K164" s="614" t="str">
        <f>IFERROR(__xludf.DUMMYFUNCTION("LET(
  r, C164,
  t, J164,
  cons, LOWER(TO_TEXT(O164))=""true"",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64" s="616" t="str">
        <f t="shared" si="1"/>
        <v>Минор</v>
      </c>
      <c r="M164" s="616"/>
      <c r="N164" s="615" t="s">
        <v>3297</v>
      </c>
      <c r="O164" s="616" t="b">
        <v>0</v>
      </c>
      <c r="P164" s="614">
        <v>1.0</v>
      </c>
      <c r="Q164" s="617" t="s">
        <v>3579</v>
      </c>
      <c r="R164" s="616">
        <f t="shared" si="2"/>
        <v>2250</v>
      </c>
    </row>
    <row r="165">
      <c r="A165" s="614">
        <v>164.0</v>
      </c>
      <c r="B165" s="615" t="s">
        <v>3580</v>
      </c>
      <c r="C165" s="614" t="s">
        <v>3578</v>
      </c>
      <c r="D165" s="614" t="s">
        <v>1913</v>
      </c>
      <c r="E165" s="614"/>
      <c r="F165" s="614" t="s">
        <v>3201</v>
      </c>
      <c r="G165" s="614" t="s">
        <v>3202</v>
      </c>
      <c r="H165" s="614">
        <v>6.0</v>
      </c>
      <c r="I165" s="614" t="s">
        <v>3203</v>
      </c>
      <c r="J165" s="614" t="s">
        <v>3253</v>
      </c>
      <c r="K165" s="614" t="str">
        <f>IFERROR(__xludf.DUMMYFUNCTION("LET(
  r, C165,
  t, J165,
  cons, LOWER(TO_TEXT(O165))=""true"",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)"),"6000 зм")</f>
        <v>6000 зм</v>
      </c>
      <c r="L165" s="616" t="str">
        <f t="shared" si="1"/>
        <v>Мажор</v>
      </c>
      <c r="M165" s="616"/>
      <c r="N165" s="615">
        <v>0.0</v>
      </c>
      <c r="O165" s="616" t="b">
        <v>0</v>
      </c>
      <c r="P165" s="614">
        <v>1.0</v>
      </c>
      <c r="Q165" s="617" t="s">
        <v>3581</v>
      </c>
      <c r="R165" s="616">
        <f t="shared" si="2"/>
        <v>6000</v>
      </c>
    </row>
    <row r="166">
      <c r="A166" s="614">
        <v>165.0</v>
      </c>
      <c r="B166" s="615" t="s">
        <v>3582</v>
      </c>
      <c r="C166" s="614" t="s">
        <v>3578</v>
      </c>
      <c r="D166" s="614" t="s">
        <v>2</v>
      </c>
      <c r="E166" s="614" t="s">
        <v>3583</v>
      </c>
      <c r="F166" s="614" t="s">
        <v>3195</v>
      </c>
      <c r="G166" s="614" t="s">
        <v>3214</v>
      </c>
      <c r="H166" s="614">
        <v>6.0</v>
      </c>
      <c r="I166" s="614" t="s">
        <v>692</v>
      </c>
      <c r="J166" s="614" t="s">
        <v>3218</v>
      </c>
      <c r="K166" s="614" t="str">
        <f>IFERROR(__xludf.DUMMYFUNCTION("LET(
  r, C166,
  t, J166,
  cons, LOWER(TO_TEXT(O166))=""true"",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166" s="616" t="str">
        <f t="shared" si="1"/>
        <v>Мажор</v>
      </c>
      <c r="M166" s="616"/>
      <c r="N166" s="615">
        <v>0.0</v>
      </c>
      <c r="O166" s="616" t="b">
        <v>0</v>
      </c>
      <c r="P166" s="614">
        <v>0.0</v>
      </c>
      <c r="Q166" s="617" t="s">
        <v>3584</v>
      </c>
      <c r="R166" s="616">
        <f t="shared" si="2"/>
        <v>5000</v>
      </c>
    </row>
    <row r="167">
      <c r="A167" s="614">
        <v>166.0</v>
      </c>
      <c r="B167" s="615" t="s">
        <v>3585</v>
      </c>
      <c r="C167" s="614" t="s">
        <v>3578</v>
      </c>
      <c r="D167" s="614" t="s">
        <v>1913</v>
      </c>
      <c r="E167" s="614"/>
      <c r="F167" s="614" t="s">
        <v>3217</v>
      </c>
      <c r="G167" s="614" t="s">
        <v>3293</v>
      </c>
      <c r="H167" s="614">
        <v>5.0</v>
      </c>
      <c r="I167" s="614" t="s">
        <v>3208</v>
      </c>
      <c r="J167" s="614" t="s">
        <v>3204</v>
      </c>
      <c r="K167" s="614" t="str">
        <f>IFERROR(__xludf.DUMMYFUNCTION("LET(
  r, C167,
  t, J167,
  cons, LOWER(TO_TEXT(O167))=""true"",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67" s="616" t="str">
        <f t="shared" si="1"/>
        <v>Минор</v>
      </c>
      <c r="M167" s="616"/>
      <c r="N167" s="615" t="s">
        <v>3297</v>
      </c>
      <c r="O167" s="616" t="b">
        <v>0</v>
      </c>
      <c r="P167" s="614">
        <v>1.0</v>
      </c>
      <c r="Q167" s="617" t="s">
        <v>3586</v>
      </c>
      <c r="R167" s="616">
        <f t="shared" si="2"/>
        <v>2250</v>
      </c>
    </row>
    <row r="168">
      <c r="A168" s="614">
        <v>167.0</v>
      </c>
      <c r="B168" s="615" t="s">
        <v>3587</v>
      </c>
      <c r="C168" s="614" t="s">
        <v>3578</v>
      </c>
      <c r="D168" s="614" t="s">
        <v>1913</v>
      </c>
      <c r="E168" s="614"/>
      <c r="F168" s="614" t="s">
        <v>1978</v>
      </c>
      <c r="G168" s="614" t="s">
        <v>3293</v>
      </c>
      <c r="H168" s="614">
        <v>6.0</v>
      </c>
      <c r="I168" s="614" t="s">
        <v>3203</v>
      </c>
      <c r="J168" s="614" t="s">
        <v>3253</v>
      </c>
      <c r="K168" s="614" t="str">
        <f>IFERROR(__xludf.DUMMYFUNCTION("LET(
  r, C168,
  t, J168,
  cons, LOWER(TO_TEXT(O168))=""true"",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)"),"6000 зм")</f>
        <v>6000 зм</v>
      </c>
      <c r="L168" s="616" t="str">
        <f t="shared" si="1"/>
        <v>Мажор</v>
      </c>
      <c r="M168" s="616"/>
      <c r="N168" s="615" t="s">
        <v>3588</v>
      </c>
      <c r="O168" s="616" t="b">
        <v>0</v>
      </c>
      <c r="P168" s="614">
        <v>1.0</v>
      </c>
      <c r="Q168" s="617" t="s">
        <v>3589</v>
      </c>
      <c r="R168" s="616">
        <f t="shared" si="2"/>
        <v>6000</v>
      </c>
    </row>
    <row r="169">
      <c r="A169" s="614">
        <v>168.0</v>
      </c>
      <c r="B169" s="615" t="s">
        <v>3590</v>
      </c>
      <c r="C169" s="614" t="s">
        <v>3578</v>
      </c>
      <c r="D169" s="614" t="s">
        <v>1913</v>
      </c>
      <c r="E169" s="614"/>
      <c r="F169" s="614" t="s">
        <v>3217</v>
      </c>
      <c r="G169" s="614" t="s">
        <v>3293</v>
      </c>
      <c r="H169" s="614">
        <v>6.0</v>
      </c>
      <c r="I169" s="614" t="s">
        <v>3208</v>
      </c>
      <c r="J169" s="614" t="s">
        <v>3204</v>
      </c>
      <c r="K169" s="614" t="str">
        <f>IFERROR(__xludf.DUMMYFUNCTION("LET(
  r, C169,
  t, J169,
  cons, LOWER(TO_TEXT(O169))=""true"",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69" s="616" t="str">
        <f t="shared" si="1"/>
        <v>Мажор</v>
      </c>
      <c r="M169" s="616"/>
      <c r="N169" s="615" t="s">
        <v>3297</v>
      </c>
      <c r="O169" s="616" t="b">
        <v>0</v>
      </c>
      <c r="P169" s="614">
        <v>1.0</v>
      </c>
      <c r="Q169" s="617" t="s">
        <v>3591</v>
      </c>
      <c r="R169" s="616">
        <f t="shared" si="2"/>
        <v>4500</v>
      </c>
    </row>
    <row r="170">
      <c r="A170" s="614">
        <v>169.0</v>
      </c>
      <c r="B170" s="615" t="s">
        <v>3592</v>
      </c>
      <c r="C170" s="614" t="s">
        <v>3578</v>
      </c>
      <c r="D170" s="614" t="s">
        <v>1913</v>
      </c>
      <c r="E170" s="614"/>
      <c r="F170" s="614" t="s">
        <v>3217</v>
      </c>
      <c r="G170" s="614" t="s">
        <v>3207</v>
      </c>
      <c r="H170" s="614">
        <v>5.0</v>
      </c>
      <c r="I170" s="614" t="s">
        <v>3203</v>
      </c>
      <c r="J170" s="614" t="s">
        <v>3204</v>
      </c>
      <c r="K170" s="614" t="str">
        <f>IFERROR(__xludf.DUMMYFUNCTION("LET(
  r, C170,
  t, J170,
  cons, LOWER(TO_TEXT(O170))=""true"",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70" s="616" t="str">
        <f t="shared" si="1"/>
        <v>Минор</v>
      </c>
      <c r="M170" s="616"/>
      <c r="N170" s="615">
        <v>0.0</v>
      </c>
      <c r="O170" s="616" t="b">
        <v>0</v>
      </c>
      <c r="P170" s="614">
        <v>1.0</v>
      </c>
      <c r="Q170" s="617" t="s">
        <v>3593</v>
      </c>
      <c r="R170" s="616">
        <f t="shared" si="2"/>
        <v>2250</v>
      </c>
    </row>
    <row r="171">
      <c r="A171" s="614">
        <v>170.0</v>
      </c>
      <c r="B171" s="615" t="s">
        <v>3594</v>
      </c>
      <c r="C171" s="614" t="s">
        <v>3578</v>
      </c>
      <c r="D171" s="614" t="s">
        <v>2</v>
      </c>
      <c r="E171" s="614" t="s">
        <v>57</v>
      </c>
      <c r="F171" s="614" t="s">
        <v>3195</v>
      </c>
      <c r="G171" s="614" t="s">
        <v>3202</v>
      </c>
      <c r="H171" s="614">
        <v>6.0</v>
      </c>
      <c r="I171" s="614" t="s">
        <v>3208</v>
      </c>
      <c r="J171" s="614" t="s">
        <v>3204</v>
      </c>
      <c r="K171" s="614" t="str">
        <f>IFERROR(__xludf.DUMMYFUNCTION("LET(
  r, C171,
  t, J171,
  cons, LOWER(TO_TEXT(O171))=""true"",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71" s="616" t="str">
        <f t="shared" si="1"/>
        <v>Мажор</v>
      </c>
      <c r="M171" s="616"/>
      <c r="N171" s="615">
        <v>0.0</v>
      </c>
      <c r="O171" s="616" t="b">
        <v>0</v>
      </c>
      <c r="P171" s="614">
        <v>1.0</v>
      </c>
      <c r="Q171" s="617" t="s">
        <v>3595</v>
      </c>
      <c r="R171" s="616">
        <f t="shared" si="2"/>
        <v>4500</v>
      </c>
    </row>
    <row r="172">
      <c r="A172" s="614">
        <v>171.0</v>
      </c>
      <c r="B172" s="615" t="s">
        <v>3596</v>
      </c>
      <c r="C172" s="614" t="s">
        <v>3578</v>
      </c>
      <c r="D172" s="614" t="s">
        <v>2</v>
      </c>
      <c r="E172" s="614" t="s">
        <v>57</v>
      </c>
      <c r="F172" s="614" t="s">
        <v>3195</v>
      </c>
      <c r="G172" s="614" t="s">
        <v>3202</v>
      </c>
      <c r="H172" s="614">
        <v>6.0</v>
      </c>
      <c r="I172" s="614" t="s">
        <v>3208</v>
      </c>
      <c r="J172" s="614" t="s">
        <v>3204</v>
      </c>
      <c r="K172" s="614" t="str">
        <f>IFERROR(__xludf.DUMMYFUNCTION("LET(
  r, C172,
  t, J172,
  cons, LOWER(TO_TEXT(O172))=""true"",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72" s="616" t="str">
        <f t="shared" si="1"/>
        <v>Мажор</v>
      </c>
      <c r="M172" s="616"/>
      <c r="N172" s="615">
        <v>0.0</v>
      </c>
      <c r="O172" s="616" t="b">
        <v>0</v>
      </c>
      <c r="P172" s="614">
        <v>1.0</v>
      </c>
      <c r="Q172" s="617" t="s">
        <v>3597</v>
      </c>
      <c r="R172" s="616">
        <f t="shared" si="2"/>
        <v>4500</v>
      </c>
    </row>
    <row r="173">
      <c r="A173" s="614">
        <v>172.0</v>
      </c>
      <c r="B173" s="615" t="s">
        <v>3598</v>
      </c>
      <c r="C173" s="614" t="s">
        <v>3578</v>
      </c>
      <c r="D173" s="614" t="s">
        <v>2</v>
      </c>
      <c r="E173" s="614" t="s">
        <v>57</v>
      </c>
      <c r="F173" s="614" t="s">
        <v>3195</v>
      </c>
      <c r="G173" s="614" t="s">
        <v>3202</v>
      </c>
      <c r="H173" s="614">
        <v>6.0</v>
      </c>
      <c r="I173" s="614" t="s">
        <v>3208</v>
      </c>
      <c r="J173" s="614" t="s">
        <v>3204</v>
      </c>
      <c r="K173" s="614" t="str">
        <f>IFERROR(__xludf.DUMMYFUNCTION("LET(
  r, C173,
  t, J173,
  cons, LOWER(TO_TEXT(O173))=""true"",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73" s="616" t="str">
        <f t="shared" si="1"/>
        <v>Мажор</v>
      </c>
      <c r="M173" s="616"/>
      <c r="N173" s="615">
        <v>0.0</v>
      </c>
      <c r="O173" s="616" t="b">
        <v>0</v>
      </c>
      <c r="P173" s="614">
        <v>1.0</v>
      </c>
      <c r="Q173" s="617" t="s">
        <v>3599</v>
      </c>
      <c r="R173" s="616">
        <f t="shared" si="2"/>
        <v>4500</v>
      </c>
    </row>
    <row r="174">
      <c r="A174" s="614">
        <v>173.0</v>
      </c>
      <c r="B174" s="615" t="s">
        <v>3600</v>
      </c>
      <c r="C174" s="614" t="s">
        <v>3578</v>
      </c>
      <c r="D174" s="614" t="s">
        <v>1913</v>
      </c>
      <c r="E174" s="614"/>
      <c r="F174" s="614" t="s">
        <v>3195</v>
      </c>
      <c r="G174" s="614" t="s">
        <v>3202</v>
      </c>
      <c r="H174" s="614">
        <v>5.0</v>
      </c>
      <c r="I174" s="614" t="s">
        <v>3203</v>
      </c>
      <c r="J174" s="614" t="s">
        <v>3253</v>
      </c>
      <c r="K174" s="614" t="str">
        <f>IFERROR(__xludf.DUMMYFUNCTION("LET(
  r, C174,
  t, J174,
  cons, LOWER(TO_TEXT(O174))=""true"",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)"),"3000 зм")</f>
        <v>3000 зм</v>
      </c>
      <c r="L174" s="616" t="str">
        <f t="shared" si="1"/>
        <v>Минор</v>
      </c>
      <c r="M174" s="616"/>
      <c r="N174" s="615">
        <v>0.0</v>
      </c>
      <c r="O174" s="616" t="b">
        <v>1</v>
      </c>
      <c r="P174" s="614">
        <v>0.0</v>
      </c>
      <c r="Q174" s="617" t="s">
        <v>3601</v>
      </c>
      <c r="R174" s="616">
        <f t="shared" si="2"/>
        <v>3000</v>
      </c>
    </row>
    <row r="175">
      <c r="A175" s="614">
        <v>174.0</v>
      </c>
      <c r="B175" s="615" t="s">
        <v>3602</v>
      </c>
      <c r="C175" s="614" t="s">
        <v>3578</v>
      </c>
      <c r="D175" s="614" t="s">
        <v>1913</v>
      </c>
      <c r="E175" s="614"/>
      <c r="F175" s="614" t="s">
        <v>26</v>
      </c>
      <c r="G175" s="614" t="s">
        <v>3202</v>
      </c>
      <c r="H175" s="614">
        <v>5.0</v>
      </c>
      <c r="I175" s="614" t="s">
        <v>3208</v>
      </c>
      <c r="J175" s="614" t="s">
        <v>3204</v>
      </c>
      <c r="K175" s="614" t="str">
        <f>IFERROR(__xludf.DUMMYFUNCTION("LET(
  r, C175,
  t, J175,
  cons, LOWER(TO_TEXT(O175))=""true"",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75" s="616" t="str">
        <f t="shared" si="1"/>
        <v>Минор</v>
      </c>
      <c r="M175" s="616"/>
      <c r="N175" s="615">
        <v>0.0</v>
      </c>
      <c r="O175" s="616" t="b">
        <v>0</v>
      </c>
      <c r="P175" s="614">
        <v>0.0</v>
      </c>
      <c r="Q175" s="617" t="s">
        <v>3603</v>
      </c>
      <c r="R175" s="616">
        <f t="shared" si="2"/>
        <v>2250</v>
      </c>
    </row>
    <row r="176">
      <c r="A176" s="614">
        <v>175.0</v>
      </c>
      <c r="B176" s="615" t="s">
        <v>3604</v>
      </c>
      <c r="C176" s="614" t="s">
        <v>3578</v>
      </c>
      <c r="D176" s="614" t="s">
        <v>1913</v>
      </c>
      <c r="E176" s="614"/>
      <c r="F176" s="614" t="s">
        <v>3217</v>
      </c>
      <c r="G176" s="614" t="s">
        <v>3293</v>
      </c>
      <c r="H176" s="614">
        <v>5.0</v>
      </c>
      <c r="I176" s="614" t="s">
        <v>3208</v>
      </c>
      <c r="J176" s="614" t="s">
        <v>3204</v>
      </c>
      <c r="K176" s="614" t="str">
        <f>IFERROR(__xludf.DUMMYFUNCTION("LET(
  r, C176,
  t, J176,
  cons, LOWER(TO_TEXT(O176))=""true"",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76" s="616" t="str">
        <f t="shared" si="1"/>
        <v>Минор</v>
      </c>
      <c r="M176" s="616"/>
      <c r="N176" s="615">
        <v>0.0</v>
      </c>
      <c r="O176" s="616" t="b">
        <v>0</v>
      </c>
      <c r="P176" s="614">
        <v>1.0</v>
      </c>
      <c r="Q176" s="617" t="s">
        <v>3605</v>
      </c>
      <c r="R176" s="616">
        <f t="shared" si="2"/>
        <v>2250</v>
      </c>
    </row>
    <row r="177">
      <c r="A177" s="614">
        <v>176.0</v>
      </c>
      <c r="B177" s="615" t="s">
        <v>3606</v>
      </c>
      <c r="C177" s="614" t="s">
        <v>3578</v>
      </c>
      <c r="D177" s="614" t="s">
        <v>3224</v>
      </c>
      <c r="E177" s="614"/>
      <c r="F177" s="614" t="s">
        <v>3217</v>
      </c>
      <c r="G177" s="614" t="s">
        <v>3202</v>
      </c>
      <c r="H177" s="614">
        <v>5.0</v>
      </c>
      <c r="I177" s="614" t="s">
        <v>3208</v>
      </c>
      <c r="J177" s="614" t="s">
        <v>3204</v>
      </c>
      <c r="K177" s="614" t="str">
        <f>IFERROR(__xludf.DUMMYFUNCTION("LET(
  r, C177,
  t, J177,
  cons, LOWER(TO_TEXT(O177))=""true"",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77" s="616" t="str">
        <f t="shared" si="1"/>
        <v>Минор</v>
      </c>
      <c r="M177" s="616"/>
      <c r="N177" s="615" t="s">
        <v>3248</v>
      </c>
      <c r="O177" s="616" t="b">
        <v>0</v>
      </c>
      <c r="P177" s="614">
        <v>0.0</v>
      </c>
      <c r="Q177" s="617" t="s">
        <v>3607</v>
      </c>
      <c r="R177" s="616">
        <f t="shared" si="2"/>
        <v>2250</v>
      </c>
    </row>
    <row r="178">
      <c r="A178" s="614">
        <v>177.0</v>
      </c>
      <c r="B178" s="615" t="s">
        <v>3608</v>
      </c>
      <c r="C178" s="614" t="s">
        <v>3578</v>
      </c>
      <c r="D178" s="614" t="s">
        <v>3224</v>
      </c>
      <c r="E178" s="614"/>
      <c r="F178" s="614" t="s">
        <v>3217</v>
      </c>
      <c r="G178" s="614" t="s">
        <v>3202</v>
      </c>
      <c r="H178" s="614">
        <v>5.0</v>
      </c>
      <c r="I178" s="614" t="s">
        <v>3208</v>
      </c>
      <c r="J178" s="614" t="s">
        <v>3204</v>
      </c>
      <c r="K178" s="614" t="str">
        <f>IFERROR(__xludf.DUMMYFUNCTION("LET(
  r, C178,
  t, J178,
  cons, LOWER(TO_TEXT(O178))=""true"",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78" s="616" t="str">
        <f t="shared" si="1"/>
        <v>Минор</v>
      </c>
      <c r="M178" s="616"/>
      <c r="N178" s="615" t="s">
        <v>3248</v>
      </c>
      <c r="O178" s="616" t="b">
        <v>0</v>
      </c>
      <c r="P178" s="614">
        <v>0.0</v>
      </c>
      <c r="Q178" s="617" t="s">
        <v>3609</v>
      </c>
      <c r="R178" s="616">
        <f t="shared" si="2"/>
        <v>2250</v>
      </c>
    </row>
    <row r="179">
      <c r="A179" s="614">
        <v>178.0</v>
      </c>
      <c r="B179" s="615" t="s">
        <v>3610</v>
      </c>
      <c r="C179" s="614" t="s">
        <v>3578</v>
      </c>
      <c r="D179" s="614" t="s">
        <v>3224</v>
      </c>
      <c r="E179" s="614"/>
      <c r="F179" s="614" t="s">
        <v>3217</v>
      </c>
      <c r="G179" s="614" t="s">
        <v>3202</v>
      </c>
      <c r="H179" s="614">
        <v>5.0</v>
      </c>
      <c r="I179" s="614" t="s">
        <v>3208</v>
      </c>
      <c r="J179" s="614" t="s">
        <v>3204</v>
      </c>
      <c r="K179" s="614" t="str">
        <f>IFERROR(__xludf.DUMMYFUNCTION("LET(
  r, C179,
  t, J179,
  cons, LOWER(TO_TEXT(O179))=""true"",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79" s="616" t="str">
        <f t="shared" si="1"/>
        <v>Минор</v>
      </c>
      <c r="M179" s="616"/>
      <c r="N179" s="615" t="s">
        <v>3248</v>
      </c>
      <c r="O179" s="616" t="b">
        <v>0</v>
      </c>
      <c r="P179" s="614">
        <v>0.0</v>
      </c>
      <c r="Q179" s="617" t="s">
        <v>3611</v>
      </c>
      <c r="R179" s="616">
        <f t="shared" si="2"/>
        <v>2250</v>
      </c>
    </row>
    <row r="180">
      <c r="A180" s="614">
        <v>179.0</v>
      </c>
      <c r="B180" s="615" t="s">
        <v>3612</v>
      </c>
      <c r="C180" s="614" t="s">
        <v>3578</v>
      </c>
      <c r="D180" s="614" t="s">
        <v>3224</v>
      </c>
      <c r="E180" s="614"/>
      <c r="F180" s="614" t="s">
        <v>3217</v>
      </c>
      <c r="G180" s="614" t="s">
        <v>3202</v>
      </c>
      <c r="H180" s="614">
        <v>5.0</v>
      </c>
      <c r="I180" s="614" t="s">
        <v>3208</v>
      </c>
      <c r="J180" s="614" t="s">
        <v>3204</v>
      </c>
      <c r="K180" s="614" t="str">
        <f>IFERROR(__xludf.DUMMYFUNCTION("LET(
  r, C180,
  t, J180,
  cons, LOWER(TO_TEXT(O180))=""true"",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80" s="616" t="str">
        <f t="shared" si="1"/>
        <v>Минор</v>
      </c>
      <c r="M180" s="616"/>
      <c r="N180" s="615" t="s">
        <v>3248</v>
      </c>
      <c r="O180" s="616" t="b">
        <v>0</v>
      </c>
      <c r="P180" s="614">
        <v>0.0</v>
      </c>
      <c r="Q180" s="617" t="s">
        <v>3613</v>
      </c>
      <c r="R180" s="616">
        <f t="shared" si="2"/>
        <v>2250</v>
      </c>
    </row>
    <row r="181">
      <c r="A181" s="614">
        <v>180.0</v>
      </c>
      <c r="B181" s="615" t="s">
        <v>3614</v>
      </c>
      <c r="C181" s="614" t="s">
        <v>3578</v>
      </c>
      <c r="D181" s="614" t="s">
        <v>3224</v>
      </c>
      <c r="E181" s="614"/>
      <c r="F181" s="614" t="s">
        <v>3217</v>
      </c>
      <c r="G181" s="614" t="s">
        <v>3202</v>
      </c>
      <c r="H181" s="614">
        <v>5.0</v>
      </c>
      <c r="I181" s="614" t="s">
        <v>3208</v>
      </c>
      <c r="J181" s="614" t="s">
        <v>3204</v>
      </c>
      <c r="K181" s="614" t="str">
        <f>IFERROR(__xludf.DUMMYFUNCTION("LET(
  r, C181,
  t, J181,
  cons, LOWER(TO_TEXT(O181))=""true"",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81" s="616" t="str">
        <f t="shared" si="1"/>
        <v>Минор</v>
      </c>
      <c r="M181" s="616"/>
      <c r="N181" s="615" t="s">
        <v>3248</v>
      </c>
      <c r="O181" s="616" t="b">
        <v>0</v>
      </c>
      <c r="P181" s="614">
        <v>0.0</v>
      </c>
      <c r="Q181" s="617" t="s">
        <v>3615</v>
      </c>
      <c r="R181" s="616">
        <f t="shared" si="2"/>
        <v>2250</v>
      </c>
    </row>
    <row r="182">
      <c r="A182" s="614">
        <v>181.0</v>
      </c>
      <c r="B182" s="615" t="s">
        <v>3616</v>
      </c>
      <c r="C182" s="614" t="s">
        <v>3578</v>
      </c>
      <c r="D182" s="614" t="s">
        <v>3224</v>
      </c>
      <c r="E182" s="614"/>
      <c r="F182" s="614" t="s">
        <v>3217</v>
      </c>
      <c r="G182" s="614" t="s">
        <v>3202</v>
      </c>
      <c r="H182" s="614">
        <v>5.0</v>
      </c>
      <c r="I182" s="614" t="s">
        <v>3208</v>
      </c>
      <c r="J182" s="614" t="s">
        <v>3204</v>
      </c>
      <c r="K182" s="614" t="str">
        <f>IFERROR(__xludf.DUMMYFUNCTION("LET(
  r, C182,
  t, J182,
  cons, LOWER(TO_TEXT(O182))=""true"",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82" s="616" t="str">
        <f t="shared" si="1"/>
        <v>Минор</v>
      </c>
      <c r="M182" s="616"/>
      <c r="N182" s="615" t="s">
        <v>3248</v>
      </c>
      <c r="O182" s="616" t="b">
        <v>0</v>
      </c>
      <c r="P182" s="614">
        <v>0.0</v>
      </c>
      <c r="Q182" s="617" t="s">
        <v>3617</v>
      </c>
      <c r="R182" s="616">
        <f t="shared" si="2"/>
        <v>2250</v>
      </c>
    </row>
    <row r="183">
      <c r="A183" s="614">
        <v>182.0</v>
      </c>
      <c r="B183" s="615" t="s">
        <v>3618</v>
      </c>
      <c r="C183" s="614" t="s">
        <v>3578</v>
      </c>
      <c r="D183" s="614" t="s">
        <v>3224</v>
      </c>
      <c r="E183" s="614"/>
      <c r="F183" s="614" t="s">
        <v>3217</v>
      </c>
      <c r="G183" s="614" t="s">
        <v>3202</v>
      </c>
      <c r="H183" s="614">
        <v>5.0</v>
      </c>
      <c r="I183" s="614" t="s">
        <v>3208</v>
      </c>
      <c r="J183" s="614" t="s">
        <v>3204</v>
      </c>
      <c r="K183" s="614" t="str">
        <f>IFERROR(__xludf.DUMMYFUNCTION("LET(
  r, C183,
  t, J183,
  cons, LOWER(TO_TEXT(O183))=""true"",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83" s="616" t="str">
        <f t="shared" si="1"/>
        <v>Минор</v>
      </c>
      <c r="M183" s="616"/>
      <c r="N183" s="615" t="s">
        <v>3248</v>
      </c>
      <c r="O183" s="616" t="b">
        <v>0</v>
      </c>
      <c r="P183" s="614">
        <v>0.0</v>
      </c>
      <c r="Q183" s="617" t="s">
        <v>3619</v>
      </c>
      <c r="R183" s="616">
        <f t="shared" si="2"/>
        <v>2250</v>
      </c>
    </row>
    <row r="184">
      <c r="A184" s="614">
        <v>183.0</v>
      </c>
      <c r="B184" s="615" t="s">
        <v>3620</v>
      </c>
      <c r="C184" s="614" t="s">
        <v>3578</v>
      </c>
      <c r="D184" s="614" t="s">
        <v>1913</v>
      </c>
      <c r="E184" s="614"/>
      <c r="F184" s="614" t="s">
        <v>3342</v>
      </c>
      <c r="G184" s="614" t="s">
        <v>3214</v>
      </c>
      <c r="H184" s="614">
        <v>5.0</v>
      </c>
      <c r="I184" s="614" t="s">
        <v>3208</v>
      </c>
      <c r="J184" s="614" t="s">
        <v>3218</v>
      </c>
      <c r="K184" s="614" t="str">
        <f>IFERROR(__xludf.DUMMYFUNCTION("LET(
  r, C184,
  t, J184,
  cons, LOWER(TO_TEXT(O184))=""true"",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184" s="616" t="str">
        <f t="shared" si="1"/>
        <v>Минор</v>
      </c>
      <c r="M184" s="616"/>
      <c r="N184" s="615">
        <v>0.0</v>
      </c>
      <c r="O184" s="616" t="b">
        <v>0</v>
      </c>
      <c r="P184" s="614">
        <v>0.0</v>
      </c>
      <c r="Q184" s="617" t="s">
        <v>3621</v>
      </c>
      <c r="R184" s="616">
        <f t="shared" si="2"/>
        <v>2500</v>
      </c>
    </row>
    <row r="185">
      <c r="A185" s="614">
        <v>184.0</v>
      </c>
      <c r="B185" s="615" t="s">
        <v>3622</v>
      </c>
      <c r="C185" s="614" t="s">
        <v>3578</v>
      </c>
      <c r="D185" s="614" t="s">
        <v>1913</v>
      </c>
      <c r="E185" s="614"/>
      <c r="F185" s="614" t="s">
        <v>3217</v>
      </c>
      <c r="G185" s="614" t="s">
        <v>3293</v>
      </c>
      <c r="H185" s="614">
        <v>5.0</v>
      </c>
      <c r="I185" s="614" t="s">
        <v>3208</v>
      </c>
      <c r="J185" s="614" t="s">
        <v>3204</v>
      </c>
      <c r="K185" s="614" t="str">
        <f>IFERROR(__xludf.DUMMYFUNCTION("LET(
  r, C185,
  t, J185,
  cons, LOWER(TO_TEXT(O185))=""true"",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85" s="616" t="str">
        <f t="shared" si="1"/>
        <v>Минор</v>
      </c>
      <c r="M185" s="616"/>
      <c r="N185" s="615" t="s">
        <v>3297</v>
      </c>
      <c r="O185" s="616" t="b">
        <v>0</v>
      </c>
      <c r="P185" s="614">
        <v>1.0</v>
      </c>
      <c r="Q185" s="617" t="s">
        <v>3623</v>
      </c>
      <c r="R185" s="616">
        <f t="shared" si="2"/>
        <v>2250</v>
      </c>
    </row>
    <row r="186">
      <c r="A186" s="614">
        <v>185.0</v>
      </c>
      <c r="B186" s="615" t="s">
        <v>3624</v>
      </c>
      <c r="C186" s="614" t="s">
        <v>3578</v>
      </c>
      <c r="D186" s="614" t="s">
        <v>1913</v>
      </c>
      <c r="E186" s="614"/>
      <c r="F186" s="614" t="s">
        <v>3217</v>
      </c>
      <c r="G186" s="614" t="s">
        <v>3293</v>
      </c>
      <c r="H186" s="614">
        <v>5.0</v>
      </c>
      <c r="I186" s="614" t="s">
        <v>3208</v>
      </c>
      <c r="J186" s="614" t="s">
        <v>3204</v>
      </c>
      <c r="K186" s="614" t="str">
        <f>IFERROR(__xludf.DUMMYFUNCTION("LET(
  r, C186,
  t, J186,
  cons, LOWER(TO_TEXT(O186))=""true"",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86" s="616" t="str">
        <f t="shared" si="1"/>
        <v>Минор</v>
      </c>
      <c r="M186" s="616"/>
      <c r="N186" s="615" t="s">
        <v>3297</v>
      </c>
      <c r="O186" s="616" t="b">
        <v>0</v>
      </c>
      <c r="P186" s="614">
        <v>1.0</v>
      </c>
      <c r="Q186" s="617" t="s">
        <v>3625</v>
      </c>
      <c r="R186" s="616">
        <f t="shared" si="2"/>
        <v>2250</v>
      </c>
    </row>
    <row r="187">
      <c r="A187" s="614">
        <v>186.0</v>
      </c>
      <c r="B187" s="615" t="s">
        <v>3626</v>
      </c>
      <c r="C187" s="614" t="s">
        <v>3578</v>
      </c>
      <c r="D187" s="614" t="s">
        <v>1070</v>
      </c>
      <c r="E187" s="614" t="s">
        <v>1978</v>
      </c>
      <c r="F187" s="614" t="s">
        <v>3234</v>
      </c>
      <c r="G187" s="614" t="s">
        <v>3207</v>
      </c>
      <c r="H187" s="614">
        <v>5.0</v>
      </c>
      <c r="I187" s="614" t="s">
        <v>692</v>
      </c>
      <c r="J187" s="614" t="s">
        <v>3204</v>
      </c>
      <c r="K187" s="614" t="str">
        <f>IFERROR(__xludf.DUMMYFUNCTION("LET(
  r, C187,
  t, J187,
  cons, LOWER(TO_TEXT(O187))=""true"",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87" s="616" t="str">
        <f t="shared" si="1"/>
        <v>Минор</v>
      </c>
      <c r="M187" s="616"/>
      <c r="N187" s="615">
        <v>0.0</v>
      </c>
      <c r="O187" s="616" t="b">
        <v>0</v>
      </c>
      <c r="P187" s="614">
        <v>0.0</v>
      </c>
      <c r="Q187" s="617" t="s">
        <v>3627</v>
      </c>
      <c r="R187" s="616">
        <f t="shared" si="2"/>
        <v>2250</v>
      </c>
    </row>
    <row r="188">
      <c r="A188" s="614">
        <v>187.0</v>
      </c>
      <c r="B188" s="615" t="s">
        <v>3628</v>
      </c>
      <c r="C188" s="614" t="s">
        <v>3578</v>
      </c>
      <c r="D188" s="614" t="s">
        <v>1070</v>
      </c>
      <c r="E188" s="614" t="s">
        <v>1978</v>
      </c>
      <c r="F188" s="614" t="s">
        <v>3234</v>
      </c>
      <c r="G188" s="614" t="s">
        <v>3202</v>
      </c>
      <c r="H188" s="614">
        <v>5.0</v>
      </c>
      <c r="I188" s="614" t="s">
        <v>3208</v>
      </c>
      <c r="J188" s="614" t="s">
        <v>3218</v>
      </c>
      <c r="K188" s="614" t="str">
        <f>IFERROR(__xludf.DUMMYFUNCTION("LET(
  r, C188,
  t, J188,
  cons, LOWER(TO_TEXT(O188))=""true"",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188" s="616" t="str">
        <f t="shared" si="1"/>
        <v>Минор</v>
      </c>
      <c r="M188" s="616"/>
      <c r="N188" s="615">
        <v>0.0</v>
      </c>
      <c r="O188" s="616" t="b">
        <v>0</v>
      </c>
      <c r="P188" s="614">
        <v>0.0</v>
      </c>
      <c r="Q188" s="617" t="s">
        <v>3629</v>
      </c>
      <c r="R188" s="616">
        <f t="shared" si="2"/>
        <v>2500</v>
      </c>
    </row>
    <row r="189">
      <c r="A189" s="614">
        <v>188.0</v>
      </c>
      <c r="B189" s="615" t="s">
        <v>3630</v>
      </c>
      <c r="C189" s="614" t="s">
        <v>3578</v>
      </c>
      <c r="D189" s="614" t="s">
        <v>1070</v>
      </c>
      <c r="E189" s="614" t="s">
        <v>1978</v>
      </c>
      <c r="F189" s="614" t="s">
        <v>3234</v>
      </c>
      <c r="G189" s="614" t="s">
        <v>3214</v>
      </c>
      <c r="H189" s="614">
        <v>5.0</v>
      </c>
      <c r="I189" s="614" t="s">
        <v>3203</v>
      </c>
      <c r="J189" s="614" t="s">
        <v>3204</v>
      </c>
      <c r="K189" s="614" t="str">
        <f>IFERROR(__xludf.DUMMYFUNCTION("LET(
  r, C189,
  t, J189,
  cons, LOWER(TO_TEXT(O189))=""true"",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89" s="616" t="str">
        <f t="shared" si="1"/>
        <v>Минор</v>
      </c>
      <c r="M189" s="616"/>
      <c r="N189" s="615">
        <v>0.0</v>
      </c>
      <c r="O189" s="616" t="b">
        <v>0</v>
      </c>
      <c r="P189" s="614">
        <v>1.0</v>
      </c>
      <c r="Q189" s="617" t="s">
        <v>3631</v>
      </c>
      <c r="R189" s="616">
        <f t="shared" si="2"/>
        <v>2250</v>
      </c>
    </row>
    <row r="190">
      <c r="A190" s="614">
        <v>189.0</v>
      </c>
      <c r="B190" s="615" t="s">
        <v>3632</v>
      </c>
      <c r="C190" s="614" t="s">
        <v>3578</v>
      </c>
      <c r="D190" s="614" t="s">
        <v>1070</v>
      </c>
      <c r="E190" s="614" t="s">
        <v>1978</v>
      </c>
      <c r="F190" s="614" t="s">
        <v>3234</v>
      </c>
      <c r="G190" s="614" t="s">
        <v>3202</v>
      </c>
      <c r="H190" s="614">
        <v>6.0</v>
      </c>
      <c r="I190" s="614" t="s">
        <v>3203</v>
      </c>
      <c r="J190" s="614" t="s">
        <v>3237</v>
      </c>
      <c r="K190" s="614" t="str">
        <f>IFERROR(__xludf.DUMMYFUNCTION("LET(
  r, C190,
  t, J190,
  cons, LOWER(TO_TEXT(O190))=""true"",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f>
        <v>—</v>
      </c>
      <c r="L190" s="616" t="str">
        <f t="shared" si="1"/>
        <v>Мажор</v>
      </c>
      <c r="M190" s="616"/>
      <c r="N190" s="615">
        <v>0.0</v>
      </c>
      <c r="O190" s="616" t="b">
        <v>0</v>
      </c>
      <c r="P190" s="614">
        <v>0.0</v>
      </c>
      <c r="Q190" s="617" t="s">
        <v>3633</v>
      </c>
      <c r="R190" s="616">
        <f t="shared" si="2"/>
        <v>20000</v>
      </c>
    </row>
    <row r="191">
      <c r="A191" s="614">
        <v>190.0</v>
      </c>
      <c r="B191" s="615" t="s">
        <v>3634</v>
      </c>
      <c r="C191" s="614" t="s">
        <v>3578</v>
      </c>
      <c r="D191" s="614" t="s">
        <v>1070</v>
      </c>
      <c r="E191" s="614" t="s">
        <v>1978</v>
      </c>
      <c r="F191" s="614" t="s">
        <v>3234</v>
      </c>
      <c r="G191" s="614" t="s">
        <v>3214</v>
      </c>
      <c r="H191" s="614">
        <v>5.0</v>
      </c>
      <c r="I191" s="614" t="s">
        <v>3208</v>
      </c>
      <c r="J191" s="614" t="s">
        <v>3204</v>
      </c>
      <c r="K191" s="614" t="str">
        <f>IFERROR(__xludf.DUMMYFUNCTION("LET(
  r, C191,
  t, J191,
  cons, LOWER(TO_TEXT(O191))=""true"",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91" s="616" t="str">
        <f t="shared" si="1"/>
        <v>Минор</v>
      </c>
      <c r="M191" s="616"/>
      <c r="N191" s="615">
        <v>0.0</v>
      </c>
      <c r="O191" s="616" t="b">
        <v>0</v>
      </c>
      <c r="P191" s="614">
        <v>1.0</v>
      </c>
      <c r="Q191" s="617" t="s">
        <v>3635</v>
      </c>
      <c r="R191" s="616">
        <f t="shared" si="2"/>
        <v>2250</v>
      </c>
    </row>
    <row r="192">
      <c r="A192" s="614">
        <v>191.0</v>
      </c>
      <c r="B192" s="615" t="s">
        <v>3636</v>
      </c>
      <c r="C192" s="614" t="s">
        <v>3578</v>
      </c>
      <c r="D192" s="614" t="s">
        <v>1070</v>
      </c>
      <c r="E192" s="614" t="s">
        <v>1978</v>
      </c>
      <c r="F192" s="614" t="s">
        <v>3234</v>
      </c>
      <c r="G192" s="614" t="s">
        <v>3214</v>
      </c>
      <c r="H192" s="614">
        <v>5.0</v>
      </c>
      <c r="I192" s="614" t="s">
        <v>3208</v>
      </c>
      <c r="J192" s="614" t="s">
        <v>3204</v>
      </c>
      <c r="K192" s="614" t="str">
        <f>IFERROR(__xludf.DUMMYFUNCTION("LET(
  r, C192,
  t, J192,
  cons, LOWER(TO_TEXT(O192))=""true"",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92" s="616" t="str">
        <f t="shared" si="1"/>
        <v>Минор</v>
      </c>
      <c r="M192" s="616"/>
      <c r="N192" s="615">
        <v>0.0</v>
      </c>
      <c r="O192" s="616" t="b">
        <v>0</v>
      </c>
      <c r="P192" s="614">
        <v>1.0</v>
      </c>
      <c r="Q192" s="617" t="s">
        <v>3637</v>
      </c>
      <c r="R192" s="616">
        <f t="shared" si="2"/>
        <v>2250</v>
      </c>
    </row>
    <row r="193">
      <c r="A193" s="614">
        <v>192.0</v>
      </c>
      <c r="B193" s="615" t="s">
        <v>3638</v>
      </c>
      <c r="C193" s="614" t="s">
        <v>3578</v>
      </c>
      <c r="D193" s="614" t="s">
        <v>1913</v>
      </c>
      <c r="E193" s="614"/>
      <c r="F193" s="614" t="s">
        <v>3217</v>
      </c>
      <c r="G193" s="614" t="s">
        <v>3202</v>
      </c>
      <c r="H193" s="614">
        <v>5.0</v>
      </c>
      <c r="I193" s="614" t="s">
        <v>3203</v>
      </c>
      <c r="J193" s="614" t="s">
        <v>3204</v>
      </c>
      <c r="K193" s="614" t="str">
        <f>IFERROR(__xludf.DUMMYFUNCTION("LET(
  r, C193,
  t, J193,
  cons, LOWER(TO_TEXT(O193))=""true"",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93" s="616" t="str">
        <f t="shared" si="1"/>
        <v>Минор</v>
      </c>
      <c r="M193" s="616"/>
      <c r="N193" s="615">
        <v>0.0</v>
      </c>
      <c r="O193" s="616" t="b">
        <v>0</v>
      </c>
      <c r="P193" s="614">
        <v>1.0</v>
      </c>
      <c r="Q193" s="617" t="s">
        <v>3639</v>
      </c>
      <c r="R193" s="616">
        <f t="shared" si="2"/>
        <v>2250</v>
      </c>
    </row>
    <row r="194">
      <c r="A194" s="614">
        <v>193.0</v>
      </c>
      <c r="B194" s="615" t="s">
        <v>3640</v>
      </c>
      <c r="C194" s="614" t="s">
        <v>3578</v>
      </c>
      <c r="D194" s="614" t="s">
        <v>3247</v>
      </c>
      <c r="E194" s="614"/>
      <c r="F194" s="614" t="s">
        <v>3195</v>
      </c>
      <c r="G194" s="614" t="s">
        <v>3202</v>
      </c>
      <c r="H194" s="614">
        <v>5.0</v>
      </c>
      <c r="I194" s="614" t="s">
        <v>3203</v>
      </c>
      <c r="J194" s="614" t="s">
        <v>3411</v>
      </c>
      <c r="K194" s="614" t="str">
        <f>IFERROR(__xludf.DUMMYFUNCTION("LET(
  r, C194,
  t, J194,
  cons, LOWER(TO_TEXT(O194))=""true"",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194" s="616" t="str">
        <f t="shared" si="1"/>
        <v>Минор</v>
      </c>
      <c r="M194" s="616"/>
      <c r="N194" s="615">
        <v>0.0</v>
      </c>
      <c r="O194" s="616" t="b">
        <v>0</v>
      </c>
      <c r="P194" s="614">
        <v>1.0</v>
      </c>
      <c r="Q194" s="617" t="s">
        <v>3641</v>
      </c>
      <c r="R194" s="616">
        <f t="shared" si="2"/>
        <v>2500</v>
      </c>
    </row>
    <row r="195">
      <c r="A195" s="614">
        <v>194.0</v>
      </c>
      <c r="B195" s="615" t="s">
        <v>3642</v>
      </c>
      <c r="C195" s="614" t="s">
        <v>3578</v>
      </c>
      <c r="D195" s="614" t="s">
        <v>3247</v>
      </c>
      <c r="E195" s="614"/>
      <c r="F195" s="614" t="s">
        <v>3195</v>
      </c>
      <c r="G195" s="614" t="s">
        <v>3202</v>
      </c>
      <c r="H195" s="614">
        <v>6.0</v>
      </c>
      <c r="I195" s="614" t="s">
        <v>3203</v>
      </c>
      <c r="J195" s="614" t="s">
        <v>3218</v>
      </c>
      <c r="K195" s="614" t="str">
        <f>IFERROR(__xludf.DUMMYFUNCTION("LET(
  r, C195,
  t, J195,
  cons, LOWER(TO_TEXT(O195))=""true"",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195" s="616" t="str">
        <f t="shared" si="1"/>
        <v>Мажор</v>
      </c>
      <c r="M195" s="616"/>
      <c r="N195" s="615">
        <v>0.0</v>
      </c>
      <c r="O195" s="616" t="b">
        <v>0</v>
      </c>
      <c r="P195" s="614">
        <v>1.0</v>
      </c>
      <c r="Q195" s="617" t="s">
        <v>3643</v>
      </c>
      <c r="R195" s="616">
        <f t="shared" si="2"/>
        <v>5000</v>
      </c>
    </row>
    <row r="196">
      <c r="A196" s="614">
        <v>195.0</v>
      </c>
      <c r="B196" s="615" t="s">
        <v>3644</v>
      </c>
      <c r="C196" s="614" t="s">
        <v>3578</v>
      </c>
      <c r="D196" s="614" t="s">
        <v>2</v>
      </c>
      <c r="E196" s="614" t="s">
        <v>3333</v>
      </c>
      <c r="F196" s="614" t="s">
        <v>3195</v>
      </c>
      <c r="G196" s="614" t="s">
        <v>3202</v>
      </c>
      <c r="H196" s="614">
        <v>6.0</v>
      </c>
      <c r="I196" s="614" t="s">
        <v>3208</v>
      </c>
      <c r="J196" s="614" t="s">
        <v>3204</v>
      </c>
      <c r="K196" s="614" t="str">
        <f>IFERROR(__xludf.DUMMYFUNCTION("LET(
  r, C196,
  t, J196,
  cons, LOWER(TO_TEXT(O196))=""true"",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96" s="616" t="str">
        <f t="shared" si="1"/>
        <v>Мажор</v>
      </c>
      <c r="M196" s="616"/>
      <c r="N196" s="615">
        <v>0.0</v>
      </c>
      <c r="O196" s="616" t="b">
        <v>0</v>
      </c>
      <c r="P196" s="614">
        <v>1.0</v>
      </c>
      <c r="Q196" s="617" t="s">
        <v>3645</v>
      </c>
      <c r="R196" s="616">
        <f t="shared" si="2"/>
        <v>4500</v>
      </c>
    </row>
    <row r="197">
      <c r="A197" s="614">
        <v>196.0</v>
      </c>
      <c r="B197" s="615" t="s">
        <v>3646</v>
      </c>
      <c r="C197" s="614" t="s">
        <v>3578</v>
      </c>
      <c r="D197" s="614" t="s">
        <v>2</v>
      </c>
      <c r="E197" s="614" t="s">
        <v>54</v>
      </c>
      <c r="F197" s="614" t="s">
        <v>3195</v>
      </c>
      <c r="G197" s="614" t="s">
        <v>3244</v>
      </c>
      <c r="H197" s="614">
        <v>5.0</v>
      </c>
      <c r="I197" s="614" t="s">
        <v>3208</v>
      </c>
      <c r="J197" s="614" t="s">
        <v>3204</v>
      </c>
      <c r="K197" s="614" t="str">
        <f>IFERROR(__xludf.DUMMYFUNCTION("LET(
  r, C197,
  t, J197,
  cons, LOWER(TO_TEXT(O197))=""true"",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97" s="616" t="str">
        <f t="shared" si="1"/>
        <v>Минор</v>
      </c>
      <c r="M197" s="616"/>
      <c r="N197" s="615">
        <v>0.0</v>
      </c>
      <c r="O197" s="616" t="b">
        <v>0</v>
      </c>
      <c r="P197" s="614">
        <v>1.0</v>
      </c>
      <c r="Q197" s="617" t="s">
        <v>3647</v>
      </c>
      <c r="R197" s="616">
        <f t="shared" si="2"/>
        <v>2250</v>
      </c>
    </row>
    <row r="198">
      <c r="A198" s="614">
        <v>197.0</v>
      </c>
      <c r="B198" s="615" t="s">
        <v>3648</v>
      </c>
      <c r="C198" s="614" t="s">
        <v>3578</v>
      </c>
      <c r="D198" s="614" t="s">
        <v>1913</v>
      </c>
      <c r="E198" s="614"/>
      <c r="F198" s="614" t="s">
        <v>26</v>
      </c>
      <c r="G198" s="614" t="s">
        <v>3202</v>
      </c>
      <c r="H198" s="614">
        <v>5.0</v>
      </c>
      <c r="I198" s="614" t="s">
        <v>3203</v>
      </c>
      <c r="J198" s="614" t="s">
        <v>3221</v>
      </c>
      <c r="K198" s="614" t="str">
        <f>IFERROR(__xludf.DUMMYFUNCTION("LET(
  r, C198,
  t, J198,
  cons, LOWER(TO_TEXT(O198))=""true"",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)"),"2d6kh1*1000 зм")</f>
        <v>2d6kh1*1000 зм</v>
      </c>
      <c r="L198" s="616" t="str">
        <f t="shared" si="1"/>
        <v>Минор</v>
      </c>
      <c r="M198" s="616"/>
      <c r="N198" s="615">
        <v>0.0</v>
      </c>
      <c r="O198" s="616" t="b">
        <v>0</v>
      </c>
      <c r="P198" s="614">
        <v>0.0</v>
      </c>
      <c r="Q198" s="617" t="s">
        <v>3649</v>
      </c>
      <c r="R198" s="616">
        <f t="shared" si="2"/>
        <v>2750</v>
      </c>
    </row>
    <row r="199">
      <c r="A199" s="614">
        <v>198.0</v>
      </c>
      <c r="B199" s="615" t="s">
        <v>3650</v>
      </c>
      <c r="C199" s="614" t="s">
        <v>3578</v>
      </c>
      <c r="D199" s="614" t="s">
        <v>1913</v>
      </c>
      <c r="E199" s="614"/>
      <c r="F199" s="614" t="s">
        <v>3217</v>
      </c>
      <c r="G199" s="614" t="s">
        <v>3202</v>
      </c>
      <c r="H199" s="614">
        <v>5.0</v>
      </c>
      <c r="I199" s="614" t="s">
        <v>3203</v>
      </c>
      <c r="J199" s="614" t="s">
        <v>3204</v>
      </c>
      <c r="K199" s="614" t="str">
        <f>IFERROR(__xludf.DUMMYFUNCTION("LET(
  r, C199,
  t, J199,
  cons, LOWER(TO_TEXT(O199))=""true"",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199" s="616" t="str">
        <f t="shared" si="1"/>
        <v>Минор</v>
      </c>
      <c r="M199" s="616"/>
      <c r="N199" s="615">
        <v>0.0</v>
      </c>
      <c r="O199" s="616" t="b">
        <v>0</v>
      </c>
      <c r="P199" s="614">
        <v>1.0</v>
      </c>
      <c r="Q199" s="617" t="s">
        <v>3651</v>
      </c>
      <c r="R199" s="616">
        <f t="shared" si="2"/>
        <v>2250</v>
      </c>
    </row>
    <row r="200">
      <c r="A200" s="614">
        <v>199.0</v>
      </c>
      <c r="B200" s="615" t="s">
        <v>3652</v>
      </c>
      <c r="C200" s="614" t="s">
        <v>3578</v>
      </c>
      <c r="D200" s="614" t="s">
        <v>2</v>
      </c>
      <c r="E200" s="614" t="s">
        <v>96</v>
      </c>
      <c r="F200" s="614" t="s">
        <v>3195</v>
      </c>
      <c r="G200" s="614" t="s">
        <v>3293</v>
      </c>
      <c r="H200" s="614">
        <v>6.0</v>
      </c>
      <c r="I200" s="614" t="s">
        <v>692</v>
      </c>
      <c r="J200" s="614" t="s">
        <v>3218</v>
      </c>
      <c r="K200" s="614" t="str">
        <f>IFERROR(__xludf.DUMMYFUNCTION("LET(
  r, C200,
  t, J200,
  cons, LOWER(TO_TEXT(O200))=""true"",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00" s="616" t="str">
        <f t="shared" si="1"/>
        <v>Мажор</v>
      </c>
      <c r="M200" s="616"/>
      <c r="N200" s="615" t="s">
        <v>3653</v>
      </c>
      <c r="O200" s="616" t="b">
        <v>0</v>
      </c>
      <c r="P200" s="614">
        <v>0.0</v>
      </c>
      <c r="Q200" s="617" t="s">
        <v>3654</v>
      </c>
      <c r="R200" s="616">
        <f t="shared" si="2"/>
        <v>5000</v>
      </c>
    </row>
    <row r="201">
      <c r="A201" s="614">
        <v>200.0</v>
      </c>
      <c r="B201" s="615" t="s">
        <v>3655</v>
      </c>
      <c r="C201" s="614" t="s">
        <v>3578</v>
      </c>
      <c r="D201" s="614" t="s">
        <v>1913</v>
      </c>
      <c r="E201" s="614"/>
      <c r="F201" s="614" t="s">
        <v>3217</v>
      </c>
      <c r="G201" s="614" t="s">
        <v>3202</v>
      </c>
      <c r="H201" s="614">
        <v>5.0</v>
      </c>
      <c r="I201" s="614" t="s">
        <v>3208</v>
      </c>
      <c r="J201" s="614" t="s">
        <v>3204</v>
      </c>
      <c r="K201" s="614" t="str">
        <f>IFERROR(__xludf.DUMMYFUNCTION("LET(
  r, C201,
  t, J201,
  cons, LOWER(TO_TEXT(O201))=""true"",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01" s="616" t="str">
        <f t="shared" si="1"/>
        <v>Минор</v>
      </c>
      <c r="M201" s="616"/>
      <c r="N201" s="615">
        <v>0.0</v>
      </c>
      <c r="O201" s="616" t="b">
        <v>0</v>
      </c>
      <c r="P201" s="614">
        <v>0.0</v>
      </c>
      <c r="Q201" s="617" t="s">
        <v>3656</v>
      </c>
      <c r="R201" s="616">
        <f t="shared" si="2"/>
        <v>2250</v>
      </c>
    </row>
    <row r="202">
      <c r="A202" s="614">
        <v>201.0</v>
      </c>
      <c r="B202" s="615" t="s">
        <v>3657</v>
      </c>
      <c r="C202" s="614" t="s">
        <v>3578</v>
      </c>
      <c r="D202" s="614" t="s">
        <v>1913</v>
      </c>
      <c r="E202" s="614"/>
      <c r="F202" s="614" t="s">
        <v>3217</v>
      </c>
      <c r="G202" s="614" t="s">
        <v>3202</v>
      </c>
      <c r="H202" s="614">
        <v>5.0</v>
      </c>
      <c r="I202" s="614" t="s">
        <v>3203</v>
      </c>
      <c r="J202" s="614" t="s">
        <v>3204</v>
      </c>
      <c r="K202" s="614" t="str">
        <f>IFERROR(__xludf.DUMMYFUNCTION("LET(
  r, C202,
  t, J202,
  cons, LOWER(TO_TEXT(O202))=""true"",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02" s="616" t="str">
        <f t="shared" si="1"/>
        <v>Минор</v>
      </c>
      <c r="M202" s="616"/>
      <c r="N202" s="615">
        <v>0.0</v>
      </c>
      <c r="O202" s="616" t="b">
        <v>0</v>
      </c>
      <c r="P202" s="614">
        <v>1.0</v>
      </c>
      <c r="Q202" s="617" t="s">
        <v>3658</v>
      </c>
      <c r="R202" s="616">
        <f t="shared" si="2"/>
        <v>2250</v>
      </c>
    </row>
    <row r="203">
      <c r="A203" s="614">
        <v>202.0</v>
      </c>
      <c r="B203" s="615" t="s">
        <v>3659</v>
      </c>
      <c r="C203" s="614" t="s">
        <v>3578</v>
      </c>
      <c r="D203" s="614" t="s">
        <v>2</v>
      </c>
      <c r="E203" s="614" t="s">
        <v>54</v>
      </c>
      <c r="F203" s="614" t="s">
        <v>3195</v>
      </c>
      <c r="G203" s="614" t="s">
        <v>3202</v>
      </c>
      <c r="H203" s="614">
        <v>6.0</v>
      </c>
      <c r="I203" s="614" t="s">
        <v>3208</v>
      </c>
      <c r="J203" s="614" t="s">
        <v>3257</v>
      </c>
      <c r="K203" s="614" t="str">
        <f>IFERROR(__xludf.DUMMYFUNCTION("LET(
  r, C203,
  t, J203,
  cons, LOWER(TO_TEXT(O203))=""true"",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)"),"1000 зм")</f>
        <v>1000 зм</v>
      </c>
      <c r="L203" s="616" t="str">
        <f t="shared" si="1"/>
        <v>Мажор</v>
      </c>
      <c r="M203" s="616"/>
      <c r="N203" s="615">
        <v>0.0</v>
      </c>
      <c r="O203" s="616" t="b">
        <v>0</v>
      </c>
      <c r="P203" s="614">
        <v>1.0</v>
      </c>
      <c r="Q203" s="617" t="s">
        <v>3660</v>
      </c>
      <c r="R203" s="616">
        <f t="shared" si="2"/>
        <v>4000</v>
      </c>
    </row>
    <row r="204">
      <c r="A204" s="614">
        <v>203.0</v>
      </c>
      <c r="B204" s="615" t="s">
        <v>3661</v>
      </c>
      <c r="C204" s="614" t="s">
        <v>3578</v>
      </c>
      <c r="D204" s="614" t="s">
        <v>2</v>
      </c>
      <c r="E204" s="614" t="s">
        <v>3228</v>
      </c>
      <c r="F204" s="614" t="s">
        <v>3195</v>
      </c>
      <c r="G204" s="614" t="s">
        <v>3662</v>
      </c>
      <c r="H204" s="614">
        <v>6.0</v>
      </c>
      <c r="I204" s="614" t="s">
        <v>3203</v>
      </c>
      <c r="J204" s="614" t="s">
        <v>3237</v>
      </c>
      <c r="K204" s="614" t="str">
        <f>IFERROR(__xludf.DUMMYFUNCTION("LET(
  r, C204,
  t, J204,
  cons, LOWER(TO_TEXT(O204))=""true"",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f>
        <v>—</v>
      </c>
      <c r="L204" s="616" t="str">
        <f t="shared" si="1"/>
        <v>Мажор</v>
      </c>
      <c r="M204" s="616"/>
      <c r="N204" s="615" t="s">
        <v>3663</v>
      </c>
      <c r="O204" s="616" t="b">
        <v>0</v>
      </c>
      <c r="P204" s="614">
        <v>1.0</v>
      </c>
      <c r="Q204" s="617" t="s">
        <v>3664</v>
      </c>
      <c r="R204" s="616">
        <f t="shared" si="2"/>
        <v>20000</v>
      </c>
    </row>
    <row r="205">
      <c r="A205" s="614">
        <v>204.0</v>
      </c>
      <c r="B205" s="615" t="s">
        <v>3665</v>
      </c>
      <c r="C205" s="614" t="s">
        <v>3578</v>
      </c>
      <c r="D205" s="614" t="s">
        <v>2</v>
      </c>
      <c r="E205" s="614" t="s">
        <v>3228</v>
      </c>
      <c r="F205" s="614" t="s">
        <v>3195</v>
      </c>
      <c r="G205" s="614" t="s">
        <v>3244</v>
      </c>
      <c r="H205" s="614">
        <v>5.0</v>
      </c>
      <c r="I205" s="614" t="s">
        <v>3203</v>
      </c>
      <c r="J205" s="614" t="s">
        <v>3204</v>
      </c>
      <c r="K205" s="614" t="str">
        <f>IFERROR(__xludf.DUMMYFUNCTION("LET(
  r, C205,
  t, J205,
  cons, LOWER(TO_TEXT(O205))=""true"",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05" s="616" t="str">
        <f t="shared" si="1"/>
        <v>Минор</v>
      </c>
      <c r="M205" s="616"/>
      <c r="N205" s="615">
        <v>0.0</v>
      </c>
      <c r="O205" s="616" t="b">
        <v>0</v>
      </c>
      <c r="P205" s="614">
        <v>1.0</v>
      </c>
      <c r="Q205" s="617" t="s">
        <v>3666</v>
      </c>
      <c r="R205" s="616">
        <f t="shared" si="2"/>
        <v>2250</v>
      </c>
    </row>
    <row r="206">
      <c r="A206" s="614">
        <v>205.0</v>
      </c>
      <c r="B206" s="615" t="s">
        <v>3667</v>
      </c>
      <c r="C206" s="614" t="s">
        <v>3578</v>
      </c>
      <c r="D206" s="614" t="s">
        <v>1070</v>
      </c>
      <c r="E206" s="614" t="s">
        <v>638</v>
      </c>
      <c r="F206" s="614" t="s">
        <v>3234</v>
      </c>
      <c r="G206" s="614" t="s">
        <v>3214</v>
      </c>
      <c r="H206" s="614">
        <v>5.0</v>
      </c>
      <c r="I206" s="614" t="s">
        <v>3208</v>
      </c>
      <c r="J206" s="614" t="s">
        <v>3257</v>
      </c>
      <c r="K206" s="614" t="str">
        <f>IFERROR(__xludf.DUMMYFUNCTION("LET(
  r, C206,
  t, J206,
  cons, LOWER(TO_TEXT(O206))=""true"",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)"),"1000 зм")</f>
        <v>1000 зм</v>
      </c>
      <c r="L206" s="616" t="str">
        <f t="shared" si="1"/>
        <v>Минор</v>
      </c>
      <c r="M206" s="616"/>
      <c r="N206" s="615">
        <v>0.0</v>
      </c>
      <c r="O206" s="616" t="b">
        <v>0</v>
      </c>
      <c r="P206" s="614">
        <v>1.0</v>
      </c>
      <c r="Q206" s="617" t="s">
        <v>3668</v>
      </c>
      <c r="R206" s="616">
        <f t="shared" si="2"/>
        <v>2000</v>
      </c>
    </row>
    <row r="207">
      <c r="A207" s="614">
        <v>206.0</v>
      </c>
      <c r="B207" s="615" t="s">
        <v>3669</v>
      </c>
      <c r="C207" s="614" t="s">
        <v>3578</v>
      </c>
      <c r="D207" s="614" t="s">
        <v>1913</v>
      </c>
      <c r="E207" s="614"/>
      <c r="F207" s="614" t="s">
        <v>3217</v>
      </c>
      <c r="G207" s="614" t="s">
        <v>3293</v>
      </c>
      <c r="H207" s="614">
        <v>5.0</v>
      </c>
      <c r="I207" s="614" t="s">
        <v>3208</v>
      </c>
      <c r="J207" s="614" t="s">
        <v>3204</v>
      </c>
      <c r="K207" s="614" t="str">
        <f>IFERROR(__xludf.DUMMYFUNCTION("LET(
  r, C207,
  t, J207,
  cons, LOWER(TO_TEXT(O207))=""true"",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07" s="616" t="str">
        <f t="shared" si="1"/>
        <v>Минор</v>
      </c>
      <c r="M207" s="616"/>
      <c r="N207" s="615" t="s">
        <v>3297</v>
      </c>
      <c r="O207" s="616" t="b">
        <v>0</v>
      </c>
      <c r="P207" s="614">
        <v>1.0</v>
      </c>
      <c r="Q207" s="617" t="s">
        <v>3670</v>
      </c>
      <c r="R207" s="616">
        <f t="shared" si="2"/>
        <v>2250</v>
      </c>
    </row>
    <row r="208">
      <c r="A208" s="614">
        <v>207.0</v>
      </c>
      <c r="B208" s="615" t="s">
        <v>3671</v>
      </c>
      <c r="C208" s="614" t="s">
        <v>3578</v>
      </c>
      <c r="D208" s="614" t="s">
        <v>2</v>
      </c>
      <c r="E208" s="614" t="s">
        <v>54</v>
      </c>
      <c r="F208" s="614" t="s">
        <v>3195</v>
      </c>
      <c r="G208" s="614" t="s">
        <v>3207</v>
      </c>
      <c r="H208" s="614">
        <v>6.0</v>
      </c>
      <c r="I208" s="614" t="s">
        <v>3208</v>
      </c>
      <c r="J208" s="614" t="s">
        <v>3218</v>
      </c>
      <c r="K208" s="614" t="str">
        <f>IFERROR(__xludf.DUMMYFUNCTION("LET(
  r, C208,
  t, J208,
  cons, LOWER(TO_TEXT(O208))=""true"",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08" s="616" t="str">
        <f t="shared" si="1"/>
        <v>Мажор</v>
      </c>
      <c r="M208" s="616"/>
      <c r="N208" s="615">
        <v>0.0</v>
      </c>
      <c r="O208" s="616" t="b">
        <v>0</v>
      </c>
      <c r="P208" s="614">
        <v>1.0</v>
      </c>
      <c r="Q208" s="617" t="s">
        <v>3672</v>
      </c>
      <c r="R208" s="616">
        <f t="shared" si="2"/>
        <v>5000</v>
      </c>
    </row>
    <row r="209">
      <c r="A209" s="614">
        <v>208.0</v>
      </c>
      <c r="B209" s="615" t="s">
        <v>3673</v>
      </c>
      <c r="C209" s="614" t="s">
        <v>3674</v>
      </c>
      <c r="D209" s="614" t="s">
        <v>3283</v>
      </c>
      <c r="E209" s="614"/>
      <c r="F209" s="614" t="s">
        <v>3283</v>
      </c>
      <c r="G209" s="614" t="s">
        <v>3675</v>
      </c>
      <c r="H209" s="614">
        <v>4.0</v>
      </c>
      <c r="I209" s="614" t="s">
        <v>3203</v>
      </c>
      <c r="J209" s="614" t="s">
        <v>3221</v>
      </c>
      <c r="K209" s="614" t="str">
        <f>IFERROR(__xludf.DUMMYFUNCTION("LET(
  r, C209,
  t, J209,
  cons, LOWER(TO_TEXT(O209))=""true"",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 зм")</f>
        <v>2d6kh1*100 зм</v>
      </c>
      <c r="L209" s="616" t="str">
        <f t="shared" si="1"/>
        <v>Мажор</v>
      </c>
      <c r="M209" s="616"/>
      <c r="N209" s="615">
        <v>0.0</v>
      </c>
      <c r="O209" s="616" t="b">
        <v>0</v>
      </c>
      <c r="P209" s="614" t="s">
        <v>3676</v>
      </c>
      <c r="Q209" s="617" t="s">
        <v>3677</v>
      </c>
      <c r="R209" s="616">
        <f t="shared" si="2"/>
        <v>1100</v>
      </c>
    </row>
    <row r="210">
      <c r="A210" s="614">
        <v>209.0</v>
      </c>
      <c r="B210" s="615" t="s">
        <v>3678</v>
      </c>
      <c r="C210" s="614" t="s">
        <v>3578</v>
      </c>
      <c r="D210" s="614" t="s">
        <v>3283</v>
      </c>
      <c r="E210" s="614"/>
      <c r="F210" s="614" t="s">
        <v>3283</v>
      </c>
      <c r="G210" s="614" t="s">
        <v>3675</v>
      </c>
      <c r="H210" s="614">
        <v>6.0</v>
      </c>
      <c r="I210" s="614" t="s">
        <v>3203</v>
      </c>
      <c r="J210" s="614" t="s">
        <v>3221</v>
      </c>
      <c r="K210" s="614" t="str">
        <f>IFERROR(__xludf.DUMMYFUNCTION("LET(
  r, C210,
  t, J210,
  cons, LOWER(TO_TEXT(O210))=""true"",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)"),"2d6kh1*1000 зм")</f>
        <v>2d6kh1*1000 зм</v>
      </c>
      <c r="L210" s="616" t="str">
        <f t="shared" si="1"/>
        <v>Мажор</v>
      </c>
      <c r="M210" s="616"/>
      <c r="N210" s="615">
        <v>0.0</v>
      </c>
      <c r="O210" s="616" t="b">
        <v>0</v>
      </c>
      <c r="P210" s="614" t="s">
        <v>3676</v>
      </c>
      <c r="Q210" s="617" t="s">
        <v>3679</v>
      </c>
      <c r="R210" s="616">
        <f t="shared" si="2"/>
        <v>5500</v>
      </c>
    </row>
    <row r="211">
      <c r="A211" s="614">
        <v>210.0</v>
      </c>
      <c r="B211" s="615" t="s">
        <v>3680</v>
      </c>
      <c r="C211" s="614" t="s">
        <v>3194</v>
      </c>
      <c r="D211" s="614" t="s">
        <v>3283</v>
      </c>
      <c r="E211" s="614"/>
      <c r="F211" s="614" t="s">
        <v>3283</v>
      </c>
      <c r="G211" s="614" t="s">
        <v>3675</v>
      </c>
      <c r="H211" s="614">
        <v>8.0</v>
      </c>
      <c r="I211" s="614" t="s">
        <v>3203</v>
      </c>
      <c r="J211" s="614" t="s">
        <v>3221</v>
      </c>
      <c r="K211" s="614" t="str">
        <f>IFERROR(__xludf.DUMMYFUNCTION("LET(
  r, C211,
  t, J211,
  cons, LOWER(TO_TEXT(O211))=""true"",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)"),"(2d8kh1+1)*5000 зм")</f>
        <v>(2d8kh1+1)*5000 зм</v>
      </c>
      <c r="L211" s="616" t="str">
        <f t="shared" si="1"/>
        <v>Мажор</v>
      </c>
      <c r="M211" s="616"/>
      <c r="N211" s="615">
        <v>0.0</v>
      </c>
      <c r="O211" s="616" t="b">
        <v>0</v>
      </c>
      <c r="P211" s="614" t="s">
        <v>3676</v>
      </c>
      <c r="Q211" s="617" t="s">
        <v>3681</v>
      </c>
      <c r="R211" s="616">
        <f t="shared" si="2"/>
        <v>16500</v>
      </c>
    </row>
    <row r="212">
      <c r="A212" s="614">
        <v>211.0</v>
      </c>
      <c r="B212" s="615" t="s">
        <v>3682</v>
      </c>
      <c r="C212" s="614" t="s">
        <v>3578</v>
      </c>
      <c r="D212" s="614" t="s">
        <v>3283</v>
      </c>
      <c r="E212" s="614"/>
      <c r="F212" s="614" t="s">
        <v>3283</v>
      </c>
      <c r="G212" s="614" t="s">
        <v>3244</v>
      </c>
      <c r="H212" s="614">
        <v>5.0</v>
      </c>
      <c r="I212" s="614" t="s">
        <v>3203</v>
      </c>
      <c r="J212" s="614" t="s">
        <v>3237</v>
      </c>
      <c r="K212" s="614" t="str">
        <f>IFERROR(__xludf.DUMMYFUNCTION("LET(
  r, C212,
  t, J212,
  cons, LOWER(TO_TEXT(O212))=""true"",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f>
        <v>—</v>
      </c>
      <c r="L212" s="616" t="str">
        <f t="shared" si="1"/>
        <v>Минор</v>
      </c>
      <c r="M212" s="616"/>
      <c r="N212" s="615">
        <v>0.0</v>
      </c>
      <c r="O212" s="616" t="b">
        <v>0</v>
      </c>
      <c r="P212" s="614">
        <v>1.0</v>
      </c>
      <c r="Q212" s="617" t="s">
        <v>3683</v>
      </c>
      <c r="R212" s="616">
        <f t="shared" si="2"/>
        <v>10000</v>
      </c>
    </row>
    <row r="213">
      <c r="A213" s="614">
        <v>212.0</v>
      </c>
      <c r="B213" s="615" t="s">
        <v>3684</v>
      </c>
      <c r="C213" s="614" t="s">
        <v>3578</v>
      </c>
      <c r="D213" s="614" t="s">
        <v>3283</v>
      </c>
      <c r="E213" s="614"/>
      <c r="F213" s="614" t="s">
        <v>3283</v>
      </c>
      <c r="G213" s="614" t="s">
        <v>3202</v>
      </c>
      <c r="H213" s="614">
        <v>5.0</v>
      </c>
      <c r="I213" s="614" t="s">
        <v>3208</v>
      </c>
      <c r="J213" s="614" t="s">
        <v>3257</v>
      </c>
      <c r="K213" s="614" t="str">
        <f>IFERROR(__xludf.DUMMYFUNCTION("LET(
  r, C213,
  t, J213,
  cons, LOWER(TO_TEXT(O213))=""true"",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)"),"1000 зм")</f>
        <v>1000 зм</v>
      </c>
      <c r="L213" s="616" t="str">
        <f t="shared" si="1"/>
        <v>Минор</v>
      </c>
      <c r="M213" s="616"/>
      <c r="N213" s="615">
        <v>0.0</v>
      </c>
      <c r="O213" s="616" t="b">
        <v>0</v>
      </c>
      <c r="P213" s="614">
        <v>1.0</v>
      </c>
      <c r="Q213" s="617" t="s">
        <v>3685</v>
      </c>
      <c r="R213" s="616">
        <f t="shared" si="2"/>
        <v>2000</v>
      </c>
    </row>
    <row r="214">
      <c r="A214" s="614">
        <v>213.0</v>
      </c>
      <c r="B214" s="615" t="s">
        <v>3686</v>
      </c>
      <c r="C214" s="614" t="s">
        <v>3578</v>
      </c>
      <c r="D214" s="614" t="s">
        <v>1913</v>
      </c>
      <c r="E214" s="614"/>
      <c r="F214" s="614" t="s">
        <v>3217</v>
      </c>
      <c r="G214" s="614" t="s">
        <v>3202</v>
      </c>
      <c r="H214" s="614">
        <v>5.0</v>
      </c>
      <c r="I214" s="614" t="s">
        <v>3203</v>
      </c>
      <c r="J214" s="614" t="s">
        <v>3237</v>
      </c>
      <c r="K214" s="614" t="str">
        <f>IFERROR(__xludf.DUMMYFUNCTION("LET(
  r, C214,
  t, J214,
  cons, LOWER(TO_TEXT(O214))=""true"",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f>
        <v>—</v>
      </c>
      <c r="L214" s="616" t="str">
        <f t="shared" si="1"/>
        <v>Минор</v>
      </c>
      <c r="M214" s="616"/>
      <c r="N214" s="615">
        <v>0.0</v>
      </c>
      <c r="O214" s="616" t="b">
        <v>0</v>
      </c>
      <c r="P214" s="614">
        <v>1.0</v>
      </c>
      <c r="Q214" s="617" t="s">
        <v>3687</v>
      </c>
      <c r="R214" s="616">
        <f t="shared" si="2"/>
        <v>10000</v>
      </c>
    </row>
    <row r="215">
      <c r="A215" s="614">
        <v>214.0</v>
      </c>
      <c r="B215" s="615" t="s">
        <v>3688</v>
      </c>
      <c r="C215" s="614" t="s">
        <v>3578</v>
      </c>
      <c r="D215" s="614" t="s">
        <v>1913</v>
      </c>
      <c r="E215" s="614"/>
      <c r="F215" s="614" t="s">
        <v>3217</v>
      </c>
      <c r="G215" s="614" t="s">
        <v>3214</v>
      </c>
      <c r="H215" s="614">
        <v>6.0</v>
      </c>
      <c r="I215" s="614" t="s">
        <v>3203</v>
      </c>
      <c r="J215" s="614" t="s">
        <v>3221</v>
      </c>
      <c r="K215" s="614" t="str">
        <f>IFERROR(__xludf.DUMMYFUNCTION("LET(
  r, C215,
  t, J215,
  cons, LOWER(TO_TEXT(O215))=""true"",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)"),"2d6kh1*1000 зм")</f>
        <v>2d6kh1*1000 зм</v>
      </c>
      <c r="L215" s="616" t="str">
        <f t="shared" si="1"/>
        <v>Мажор</v>
      </c>
      <c r="M215" s="616"/>
      <c r="N215" s="615">
        <v>0.0</v>
      </c>
      <c r="O215" s="616" t="b">
        <v>0</v>
      </c>
      <c r="P215" s="614">
        <v>0.0</v>
      </c>
      <c r="Q215" s="617" t="s">
        <v>3689</v>
      </c>
      <c r="R215" s="616">
        <f t="shared" si="2"/>
        <v>5500</v>
      </c>
    </row>
    <row r="216">
      <c r="A216" s="614">
        <v>215.0</v>
      </c>
      <c r="B216" s="615" t="s">
        <v>3690</v>
      </c>
      <c r="C216" s="614" t="s">
        <v>3578</v>
      </c>
      <c r="D216" s="614" t="s">
        <v>1913</v>
      </c>
      <c r="E216" s="614"/>
      <c r="F216" s="614" t="s">
        <v>3217</v>
      </c>
      <c r="G216" s="614" t="s">
        <v>3293</v>
      </c>
      <c r="H216" s="614">
        <v>5.0</v>
      </c>
      <c r="I216" s="614" t="s">
        <v>3208</v>
      </c>
      <c r="J216" s="614" t="s">
        <v>3204</v>
      </c>
      <c r="K216" s="614" t="str">
        <f>IFERROR(__xludf.DUMMYFUNCTION("LET(
  r, C216,
  t, J216,
  cons, LOWER(TO_TEXT(O216))=""true"",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16" s="616" t="str">
        <f t="shared" si="1"/>
        <v>Минор</v>
      </c>
      <c r="M216" s="616"/>
      <c r="N216" s="615" t="s">
        <v>3297</v>
      </c>
      <c r="O216" s="616" t="b">
        <v>0</v>
      </c>
      <c r="P216" s="614">
        <v>1.0</v>
      </c>
      <c r="Q216" s="617" t="s">
        <v>3691</v>
      </c>
      <c r="R216" s="616">
        <f t="shared" si="2"/>
        <v>2250</v>
      </c>
    </row>
    <row r="217">
      <c r="A217" s="614">
        <v>216.0</v>
      </c>
      <c r="B217" s="615" t="s">
        <v>3692</v>
      </c>
      <c r="C217" s="614" t="s">
        <v>3578</v>
      </c>
      <c r="D217" s="614" t="s">
        <v>3283</v>
      </c>
      <c r="E217" s="614"/>
      <c r="F217" s="614" t="s">
        <v>3283</v>
      </c>
      <c r="G217" s="614" t="s">
        <v>3202</v>
      </c>
      <c r="H217" s="614">
        <v>5.0</v>
      </c>
      <c r="I217" s="614" t="s">
        <v>3208</v>
      </c>
      <c r="J217" s="614" t="s">
        <v>3204</v>
      </c>
      <c r="K217" s="614" t="str">
        <f>IFERROR(__xludf.DUMMYFUNCTION("LET(
  r, C217,
  t, J217,
  cons, LOWER(TO_TEXT(O217))=""true"",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17" s="616" t="str">
        <f t="shared" si="1"/>
        <v>Минор</v>
      </c>
      <c r="M217" s="616"/>
      <c r="N217" s="615">
        <v>0.0</v>
      </c>
      <c r="O217" s="616" t="b">
        <v>0</v>
      </c>
      <c r="P217" s="614">
        <v>1.0</v>
      </c>
      <c r="Q217" s="617" t="s">
        <v>3693</v>
      </c>
      <c r="R217" s="616">
        <f t="shared" si="2"/>
        <v>2250</v>
      </c>
    </row>
    <row r="218">
      <c r="A218" s="614">
        <v>217.0</v>
      </c>
      <c r="B218" s="615" t="s">
        <v>3694</v>
      </c>
      <c r="C218" s="614" t="s">
        <v>3578</v>
      </c>
      <c r="D218" s="614" t="s">
        <v>3283</v>
      </c>
      <c r="E218" s="614"/>
      <c r="F218" s="614" t="s">
        <v>3283</v>
      </c>
      <c r="G218" s="614" t="s">
        <v>3202</v>
      </c>
      <c r="H218" s="614">
        <v>6.0</v>
      </c>
      <c r="I218" s="614" t="s">
        <v>3203</v>
      </c>
      <c r="J218" s="614" t="s">
        <v>3237</v>
      </c>
      <c r="K218" s="614" t="str">
        <f>IFERROR(__xludf.DUMMYFUNCTION("LET(
  r, C218,
  t, J218,
  cons, LOWER(TO_TEXT(O218))=""true"",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f>
        <v>—</v>
      </c>
      <c r="L218" s="616" t="str">
        <f t="shared" si="1"/>
        <v>Мажор</v>
      </c>
      <c r="M218" s="616"/>
      <c r="N218" s="615">
        <v>0.0</v>
      </c>
      <c r="O218" s="616" t="b">
        <v>0</v>
      </c>
      <c r="P218" s="614">
        <v>1.0</v>
      </c>
      <c r="Q218" s="617" t="s">
        <v>3695</v>
      </c>
      <c r="R218" s="616">
        <f t="shared" si="2"/>
        <v>20000</v>
      </c>
    </row>
    <row r="219">
      <c r="A219" s="614">
        <v>218.0</v>
      </c>
      <c r="B219" s="615" t="s">
        <v>3696</v>
      </c>
      <c r="C219" s="614" t="s">
        <v>3578</v>
      </c>
      <c r="D219" s="614" t="s">
        <v>3283</v>
      </c>
      <c r="E219" s="614"/>
      <c r="F219" s="614" t="s">
        <v>3283</v>
      </c>
      <c r="G219" s="614" t="s">
        <v>3202</v>
      </c>
      <c r="H219" s="614">
        <v>5.0</v>
      </c>
      <c r="I219" s="614" t="s">
        <v>3208</v>
      </c>
      <c r="J219" s="614" t="s">
        <v>3218</v>
      </c>
      <c r="K219" s="614" t="str">
        <f>IFERROR(__xludf.DUMMYFUNCTION("LET(
  r, C219,
  t, J219,
  cons, LOWER(TO_TEXT(O219))=""true"",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19" s="616" t="str">
        <f t="shared" si="1"/>
        <v>Минор</v>
      </c>
      <c r="M219" s="616"/>
      <c r="N219" s="615">
        <v>0.0</v>
      </c>
      <c r="O219" s="616" t="b">
        <v>0</v>
      </c>
      <c r="P219" s="614">
        <v>0.0</v>
      </c>
      <c r="Q219" s="617" t="s">
        <v>3697</v>
      </c>
      <c r="R219" s="616">
        <f t="shared" si="2"/>
        <v>2500</v>
      </c>
    </row>
    <row r="220">
      <c r="A220" s="614">
        <v>219.0</v>
      </c>
      <c r="B220" s="615" t="s">
        <v>3698</v>
      </c>
      <c r="C220" s="614" t="s">
        <v>3578</v>
      </c>
      <c r="D220" s="614" t="s">
        <v>3283</v>
      </c>
      <c r="E220" s="614"/>
      <c r="F220" s="614" t="s">
        <v>3283</v>
      </c>
      <c r="G220" s="614" t="s">
        <v>3202</v>
      </c>
      <c r="H220" s="614">
        <v>5.0</v>
      </c>
      <c r="I220" s="614" t="s">
        <v>3208</v>
      </c>
      <c r="J220" s="614" t="s">
        <v>3221</v>
      </c>
      <c r="K220" s="614" t="str">
        <f>IFERROR(__xludf.DUMMYFUNCTION("LET(
  r, C220,
  t, J220,
  cons, LOWER(TO_TEXT(O220))=""true"",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)"),"2d6kh1*1000 зм")</f>
        <v>2d6kh1*1000 зм</v>
      </c>
      <c r="L220" s="616" t="str">
        <f t="shared" si="1"/>
        <v>Минор</v>
      </c>
      <c r="M220" s="616"/>
      <c r="N220" s="615">
        <v>0.0</v>
      </c>
      <c r="O220" s="616" t="b">
        <v>0</v>
      </c>
      <c r="P220" s="614">
        <v>0.0</v>
      </c>
      <c r="Q220" s="617" t="s">
        <v>3699</v>
      </c>
      <c r="R220" s="616">
        <f t="shared" si="2"/>
        <v>2750</v>
      </c>
    </row>
    <row r="221">
      <c r="A221" s="614">
        <v>220.0</v>
      </c>
      <c r="B221" s="615" t="s">
        <v>3700</v>
      </c>
      <c r="C221" s="614" t="s">
        <v>3578</v>
      </c>
      <c r="D221" s="614" t="s">
        <v>1913</v>
      </c>
      <c r="E221" s="614"/>
      <c r="F221" s="614" t="s">
        <v>3195</v>
      </c>
      <c r="G221" s="614" t="s">
        <v>3293</v>
      </c>
      <c r="H221" s="614">
        <v>6.0</v>
      </c>
      <c r="I221" s="614" t="s">
        <v>692</v>
      </c>
      <c r="J221" s="614" t="s">
        <v>3218</v>
      </c>
      <c r="K221" s="614" t="str">
        <f>IFERROR(__xludf.DUMMYFUNCTION("LET(
  r, C221,
  t, J221,
  cons, LOWER(TO_TEXT(O221))=""true"",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21" s="616" t="str">
        <f t="shared" si="1"/>
        <v>Мажор</v>
      </c>
      <c r="M221" s="616"/>
      <c r="N221" s="615" t="s">
        <v>3211</v>
      </c>
      <c r="O221" s="616" t="b">
        <v>0</v>
      </c>
      <c r="P221" s="614">
        <v>0.0</v>
      </c>
      <c r="Q221" s="617" t="s">
        <v>3701</v>
      </c>
      <c r="R221" s="616">
        <f t="shared" si="2"/>
        <v>5000</v>
      </c>
    </row>
    <row r="222">
      <c r="A222" s="614">
        <v>221.0</v>
      </c>
      <c r="B222" s="615" t="s">
        <v>3702</v>
      </c>
      <c r="C222" s="614" t="s">
        <v>3578</v>
      </c>
      <c r="D222" s="614" t="s">
        <v>3283</v>
      </c>
      <c r="E222" s="614"/>
      <c r="F222" s="614" t="s">
        <v>3283</v>
      </c>
      <c r="G222" s="614" t="s">
        <v>3202</v>
      </c>
      <c r="H222" s="614">
        <v>6.0</v>
      </c>
      <c r="I222" s="614" t="s">
        <v>3203</v>
      </c>
      <c r="J222" s="614" t="s">
        <v>3253</v>
      </c>
      <c r="K222" s="614" t="str">
        <f>IFERROR(__xludf.DUMMYFUNCTION("LET(
  r, C222,
  t, J222,
  cons, LOWER(TO_TEXT(O222))=""true"",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)"),"6000 зм")</f>
        <v>6000 зм</v>
      </c>
      <c r="L222" s="616" t="str">
        <f t="shared" si="1"/>
        <v>Мажор</v>
      </c>
      <c r="M222" s="616"/>
      <c r="N222" s="615">
        <v>0.0</v>
      </c>
      <c r="O222" s="616" t="b">
        <v>0</v>
      </c>
      <c r="P222" s="614">
        <v>0.0</v>
      </c>
      <c r="Q222" s="617" t="s">
        <v>3703</v>
      </c>
      <c r="R222" s="616">
        <f t="shared" si="2"/>
        <v>6000</v>
      </c>
    </row>
    <row r="223">
      <c r="A223" s="614">
        <v>222.0</v>
      </c>
      <c r="B223" s="615" t="s">
        <v>3704</v>
      </c>
      <c r="C223" s="614" t="s">
        <v>3578</v>
      </c>
      <c r="D223" s="614" t="s">
        <v>3283</v>
      </c>
      <c r="E223" s="614"/>
      <c r="F223" s="614" t="s">
        <v>3283</v>
      </c>
      <c r="G223" s="614" t="s">
        <v>3202</v>
      </c>
      <c r="H223" s="614">
        <v>5.0</v>
      </c>
      <c r="I223" s="614" t="s">
        <v>692</v>
      </c>
      <c r="J223" s="614" t="s">
        <v>3218</v>
      </c>
      <c r="K223" s="614" t="str">
        <f>IFERROR(__xludf.DUMMYFUNCTION("LET(
  r, C223,
  t, J223,
  cons, LOWER(TO_TEXT(O223))=""true"",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23" s="616" t="str">
        <f t="shared" si="1"/>
        <v>Минор</v>
      </c>
      <c r="M223" s="616"/>
      <c r="N223" s="615">
        <v>0.0</v>
      </c>
      <c r="O223" s="616" t="b">
        <v>0</v>
      </c>
      <c r="P223" s="614">
        <v>1.0</v>
      </c>
      <c r="Q223" s="617" t="s">
        <v>3705</v>
      </c>
      <c r="R223" s="616">
        <f t="shared" si="2"/>
        <v>2500</v>
      </c>
    </row>
    <row r="224">
      <c r="A224" s="614">
        <v>223.0</v>
      </c>
      <c r="B224" s="615" t="s">
        <v>3706</v>
      </c>
      <c r="C224" s="614" t="s">
        <v>3578</v>
      </c>
      <c r="D224" s="614" t="s">
        <v>3283</v>
      </c>
      <c r="E224" s="614"/>
      <c r="F224" s="614" t="s">
        <v>3283</v>
      </c>
      <c r="G224" s="614" t="s">
        <v>3202</v>
      </c>
      <c r="H224" s="614">
        <v>5.0</v>
      </c>
      <c r="I224" s="614" t="s">
        <v>3208</v>
      </c>
      <c r="J224" s="614" t="s">
        <v>3257</v>
      </c>
      <c r="K224" s="614" t="str">
        <f>IFERROR(__xludf.DUMMYFUNCTION("LET(
  r, C224,
  t, J224,
  cons, LOWER(TO_TEXT(O224))=""true"",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)"),"1000 зм")</f>
        <v>1000 зм</v>
      </c>
      <c r="L224" s="616" t="str">
        <f t="shared" si="1"/>
        <v>Минор</v>
      </c>
      <c r="M224" s="616"/>
      <c r="N224" s="615">
        <v>0.0</v>
      </c>
      <c r="O224" s="616" t="b">
        <v>0</v>
      </c>
      <c r="P224" s="614">
        <v>1.0</v>
      </c>
      <c r="Q224" s="617" t="s">
        <v>3707</v>
      </c>
      <c r="R224" s="616">
        <f t="shared" si="2"/>
        <v>2000</v>
      </c>
    </row>
    <row r="225">
      <c r="A225" s="614">
        <v>224.0</v>
      </c>
      <c r="B225" s="615" t="s">
        <v>3708</v>
      </c>
      <c r="C225" s="614" t="s">
        <v>3578</v>
      </c>
      <c r="D225" s="614" t="s">
        <v>1913</v>
      </c>
      <c r="E225" s="614"/>
      <c r="F225" s="614" t="s">
        <v>3272</v>
      </c>
      <c r="G225" s="614" t="s">
        <v>3207</v>
      </c>
      <c r="H225" s="614">
        <v>6.0</v>
      </c>
      <c r="I225" s="614" t="s">
        <v>3208</v>
      </c>
      <c r="J225" s="614" t="s">
        <v>3204</v>
      </c>
      <c r="K225" s="614" t="str">
        <f>IFERROR(__xludf.DUMMYFUNCTION("LET(
  r, C225,
  t, J225,
  cons, LOWER(TO_TEXT(O225))=""true"",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25" s="616" t="str">
        <f t="shared" si="1"/>
        <v>Мажор</v>
      </c>
      <c r="M225" s="616"/>
      <c r="N225" s="615">
        <v>0.0</v>
      </c>
      <c r="O225" s="616" t="b">
        <v>0</v>
      </c>
      <c r="P225" s="614">
        <v>1.0</v>
      </c>
      <c r="Q225" s="617" t="s">
        <v>3709</v>
      </c>
      <c r="R225" s="616">
        <f t="shared" si="2"/>
        <v>4500</v>
      </c>
    </row>
    <row r="226">
      <c r="A226" s="614">
        <v>225.0</v>
      </c>
      <c r="B226" s="615" t="s">
        <v>3710</v>
      </c>
      <c r="C226" s="614" t="s">
        <v>3578</v>
      </c>
      <c r="D226" s="614" t="s">
        <v>1070</v>
      </c>
      <c r="E226" s="615" t="s">
        <v>627</v>
      </c>
      <c r="F226" s="614" t="s">
        <v>3234</v>
      </c>
      <c r="G226" s="614" t="s">
        <v>3202</v>
      </c>
      <c r="H226" s="614">
        <v>5.0</v>
      </c>
      <c r="I226" s="614" t="s">
        <v>3208</v>
      </c>
      <c r="J226" s="614" t="s">
        <v>3218</v>
      </c>
      <c r="K226" s="614" t="str">
        <f>IFERROR(__xludf.DUMMYFUNCTION("LET(
  r, C226,
  t, J226,
  cons, LOWER(TO_TEXT(O226))=""true"",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26" s="616" t="str">
        <f t="shared" si="1"/>
        <v>Минор</v>
      </c>
      <c r="M226" s="616"/>
      <c r="N226" s="615">
        <v>0.0</v>
      </c>
      <c r="O226" s="616" t="b">
        <v>0</v>
      </c>
      <c r="P226" s="614">
        <v>0.0</v>
      </c>
      <c r="Q226" s="617" t="s">
        <v>3711</v>
      </c>
      <c r="R226" s="616">
        <f t="shared" si="2"/>
        <v>2500</v>
      </c>
    </row>
    <row r="227">
      <c r="A227" s="614">
        <v>226.0</v>
      </c>
      <c r="B227" s="615" t="s">
        <v>3712</v>
      </c>
      <c r="C227" s="614" t="s">
        <v>3578</v>
      </c>
      <c r="D227" s="614" t="s">
        <v>2</v>
      </c>
      <c r="E227" s="614" t="s">
        <v>3304</v>
      </c>
      <c r="F227" s="614" t="s">
        <v>3195</v>
      </c>
      <c r="G227" s="614" t="s">
        <v>3196</v>
      </c>
      <c r="H227" s="614">
        <v>6.0</v>
      </c>
      <c r="I227" s="614" t="s">
        <v>3203</v>
      </c>
      <c r="J227" s="614" t="s">
        <v>3218</v>
      </c>
      <c r="K227" s="614" t="str">
        <f>IFERROR(__xludf.DUMMYFUNCTION("LET(
  r, C227,
  t, J227,
  cons, LOWER(TO_TEXT(O227))=""true"",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27" s="616" t="str">
        <f t="shared" si="1"/>
        <v>Мажор</v>
      </c>
      <c r="M227" s="616"/>
      <c r="N227" s="615">
        <v>0.0</v>
      </c>
      <c r="O227" s="616" t="b">
        <v>0</v>
      </c>
      <c r="P227" s="614">
        <v>1.0</v>
      </c>
      <c r="Q227" s="617" t="s">
        <v>3713</v>
      </c>
      <c r="R227" s="616">
        <f t="shared" si="2"/>
        <v>5000</v>
      </c>
    </row>
    <row r="228">
      <c r="A228" s="614">
        <v>227.0</v>
      </c>
      <c r="B228" s="615" t="s">
        <v>3714</v>
      </c>
      <c r="C228" s="614" t="s">
        <v>3578</v>
      </c>
      <c r="D228" s="614" t="s">
        <v>1913</v>
      </c>
      <c r="E228" s="614"/>
      <c r="F228" s="614" t="s">
        <v>3309</v>
      </c>
      <c r="G228" s="614" t="s">
        <v>3202</v>
      </c>
      <c r="H228" s="614">
        <v>6.0</v>
      </c>
      <c r="I228" s="614" t="s">
        <v>692</v>
      </c>
      <c r="J228" s="614" t="s">
        <v>3218</v>
      </c>
      <c r="K228" s="614" t="str">
        <f>IFERROR(__xludf.DUMMYFUNCTION("LET(
  r, C228,
  t, J228,
  cons, LOWER(TO_TEXT(O228))=""true"",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28" s="616" t="str">
        <f t="shared" si="1"/>
        <v>Мажор</v>
      </c>
      <c r="M228" s="616"/>
      <c r="N228" s="615">
        <v>0.0</v>
      </c>
      <c r="O228" s="616" t="b">
        <v>0</v>
      </c>
      <c r="P228" s="614">
        <v>1.0</v>
      </c>
      <c r="Q228" s="617" t="s">
        <v>3715</v>
      </c>
      <c r="R228" s="616">
        <f t="shared" si="2"/>
        <v>5000</v>
      </c>
    </row>
    <row r="229">
      <c r="A229" s="614">
        <v>228.0</v>
      </c>
      <c r="B229" s="615" t="s">
        <v>3716</v>
      </c>
      <c r="C229" s="614" t="s">
        <v>3578</v>
      </c>
      <c r="D229" s="614" t="s">
        <v>1913</v>
      </c>
      <c r="E229" s="614"/>
      <c r="F229" s="614" t="s">
        <v>3195</v>
      </c>
      <c r="G229" s="614" t="s">
        <v>3202</v>
      </c>
      <c r="H229" s="614">
        <v>6.0</v>
      </c>
      <c r="I229" s="614" t="s">
        <v>3203</v>
      </c>
      <c r="J229" s="614" t="s">
        <v>3411</v>
      </c>
      <c r="K229" s="614" t="str">
        <f>IFERROR(__xludf.DUMMYFUNCTION("LET(
  r, C229,
  t, J229,
  cons, LOWER(TO_TEXT(O229))=""true"",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29" s="616" t="str">
        <f t="shared" si="1"/>
        <v>Мажор</v>
      </c>
      <c r="M229" s="616"/>
      <c r="N229" s="615">
        <v>0.0</v>
      </c>
      <c r="O229" s="616" t="b">
        <v>0</v>
      </c>
      <c r="P229" s="614">
        <v>1.0</v>
      </c>
      <c r="Q229" s="617" t="s">
        <v>3717</v>
      </c>
      <c r="R229" s="616">
        <f t="shared" si="2"/>
        <v>5000</v>
      </c>
    </row>
    <row r="230">
      <c r="A230" s="614">
        <v>229.0</v>
      </c>
      <c r="B230" s="615" t="s">
        <v>3718</v>
      </c>
      <c r="C230" s="614" t="s">
        <v>3578</v>
      </c>
      <c r="D230" s="614" t="s">
        <v>1913</v>
      </c>
      <c r="E230" s="614"/>
      <c r="F230" s="614" t="s">
        <v>26</v>
      </c>
      <c r="G230" s="614" t="s">
        <v>3374</v>
      </c>
      <c r="H230" s="614">
        <v>5.0</v>
      </c>
      <c r="I230" s="614" t="s">
        <v>692</v>
      </c>
      <c r="J230" s="614" t="s">
        <v>3218</v>
      </c>
      <c r="K230" s="614" t="str">
        <f>IFERROR(__xludf.DUMMYFUNCTION("LET(
  r, C230,
  t, J230,
  cons, LOWER(TO_TEXT(O230))=""true"",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30" s="616" t="str">
        <f t="shared" si="1"/>
        <v>Минор</v>
      </c>
      <c r="M230" s="616"/>
      <c r="N230" s="615">
        <v>0.0</v>
      </c>
      <c r="O230" s="616" t="b">
        <v>0</v>
      </c>
      <c r="P230" s="614">
        <v>0.0</v>
      </c>
      <c r="Q230" s="617" t="s">
        <v>3719</v>
      </c>
      <c r="R230" s="616">
        <f t="shared" si="2"/>
        <v>2500</v>
      </c>
    </row>
    <row r="231">
      <c r="A231" s="614">
        <v>230.0</v>
      </c>
      <c r="B231" s="615" t="s">
        <v>3720</v>
      </c>
      <c r="C231" s="614" t="s">
        <v>3578</v>
      </c>
      <c r="D231" s="614" t="s">
        <v>1913</v>
      </c>
      <c r="E231" s="614"/>
      <c r="F231" s="614" t="s">
        <v>3195</v>
      </c>
      <c r="G231" s="614" t="s">
        <v>3202</v>
      </c>
      <c r="H231" s="614">
        <v>5.0</v>
      </c>
      <c r="I231" s="614" t="s">
        <v>692</v>
      </c>
      <c r="J231" s="614" t="s">
        <v>3257</v>
      </c>
      <c r="K231" s="614" t="str">
        <f>IFERROR(__xludf.DUMMYFUNCTION("LET(
  r, C231,
  t, J231,
  cons, LOWER(TO_TEXT(O231))=""true"",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)"),"1000 зм")</f>
        <v>1000 зм</v>
      </c>
      <c r="L231" s="616" t="str">
        <f t="shared" si="1"/>
        <v>Минор</v>
      </c>
      <c r="M231" s="616"/>
      <c r="N231" s="615">
        <v>0.0</v>
      </c>
      <c r="O231" s="616" t="b">
        <v>0</v>
      </c>
      <c r="P231" s="614">
        <v>1.0</v>
      </c>
      <c r="Q231" s="617" t="s">
        <v>3721</v>
      </c>
      <c r="R231" s="616">
        <f t="shared" si="2"/>
        <v>2000</v>
      </c>
    </row>
    <row r="232">
      <c r="A232" s="614">
        <v>231.0</v>
      </c>
      <c r="B232" s="615" t="s">
        <v>3722</v>
      </c>
      <c r="C232" s="614" t="s">
        <v>3578</v>
      </c>
      <c r="D232" s="614" t="s">
        <v>1913</v>
      </c>
      <c r="E232" s="614"/>
      <c r="F232" s="614" t="s">
        <v>3195</v>
      </c>
      <c r="G232" s="614" t="s">
        <v>3374</v>
      </c>
      <c r="H232" s="614">
        <v>5.0</v>
      </c>
      <c r="I232" s="614" t="s">
        <v>692</v>
      </c>
      <c r="J232" s="614" t="s">
        <v>3257</v>
      </c>
      <c r="K232" s="614" t="str">
        <f>IFERROR(__xludf.DUMMYFUNCTION("LET(
  r, C232,
  t, J232,
  cons, LOWER(TO_TEXT(O232))=""true"",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)"),"1000 зм")</f>
        <v>1000 зм</v>
      </c>
      <c r="L232" s="616" t="str">
        <f t="shared" si="1"/>
        <v>Минор</v>
      </c>
      <c r="M232" s="616"/>
      <c r="N232" s="615">
        <v>0.0</v>
      </c>
      <c r="O232" s="616" t="b">
        <v>0</v>
      </c>
      <c r="P232" s="614">
        <v>1.0</v>
      </c>
      <c r="Q232" s="617" t="s">
        <v>3723</v>
      </c>
      <c r="R232" s="616">
        <f t="shared" si="2"/>
        <v>2000</v>
      </c>
    </row>
    <row r="233">
      <c r="A233" s="614">
        <v>232.0</v>
      </c>
      <c r="B233" s="615" t="s">
        <v>3724</v>
      </c>
      <c r="C233" s="614" t="s">
        <v>3578</v>
      </c>
      <c r="D233" s="614" t="s">
        <v>1913</v>
      </c>
      <c r="E233" s="614"/>
      <c r="F233" s="614" t="s">
        <v>3195</v>
      </c>
      <c r="G233" s="614" t="s">
        <v>3293</v>
      </c>
      <c r="H233" s="614">
        <v>5.0</v>
      </c>
      <c r="I233" s="614" t="s">
        <v>692</v>
      </c>
      <c r="J233" s="614" t="s">
        <v>3218</v>
      </c>
      <c r="K233" s="614" t="str">
        <f>IFERROR(__xludf.DUMMYFUNCTION("LET(
  r, C233,
  t, J233,
  cons, LOWER(TO_TEXT(O233))=""true"",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33" s="616" t="str">
        <f t="shared" si="1"/>
        <v>Минор</v>
      </c>
      <c r="M233" s="616"/>
      <c r="N233" s="615">
        <v>0.0</v>
      </c>
      <c r="O233" s="616" t="b">
        <v>0</v>
      </c>
      <c r="P233" s="614">
        <v>1.0</v>
      </c>
      <c r="Q233" s="617" t="s">
        <v>3725</v>
      </c>
      <c r="R233" s="616">
        <f t="shared" si="2"/>
        <v>2500</v>
      </c>
    </row>
    <row r="234">
      <c r="A234" s="614">
        <v>233.0</v>
      </c>
      <c r="B234" s="615" t="s">
        <v>3726</v>
      </c>
      <c r="C234" s="614" t="s">
        <v>3578</v>
      </c>
      <c r="D234" s="614" t="s">
        <v>1070</v>
      </c>
      <c r="E234" s="614" t="s">
        <v>650</v>
      </c>
      <c r="F234" s="614" t="s">
        <v>3195</v>
      </c>
      <c r="G234" s="614" t="s">
        <v>3202</v>
      </c>
      <c r="H234" s="614">
        <v>6.0</v>
      </c>
      <c r="I234" s="614" t="s">
        <v>3208</v>
      </c>
      <c r="J234" s="614" t="s">
        <v>3204</v>
      </c>
      <c r="K234" s="614" t="str">
        <f>IFERROR(__xludf.DUMMYFUNCTION("LET(
  r, C234,
  t, J234,
  cons, LOWER(TO_TEXT(O234))=""true"",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34" s="616" t="str">
        <f t="shared" si="1"/>
        <v>Мажор</v>
      </c>
      <c r="M234" s="616"/>
      <c r="N234" s="615">
        <v>0.0</v>
      </c>
      <c r="O234" s="616" t="b">
        <v>0</v>
      </c>
      <c r="P234" s="614">
        <v>1.0</v>
      </c>
      <c r="Q234" s="617" t="s">
        <v>3727</v>
      </c>
      <c r="R234" s="616">
        <f t="shared" si="2"/>
        <v>4500</v>
      </c>
    </row>
    <row r="235">
      <c r="A235" s="614">
        <v>234.0</v>
      </c>
      <c r="B235" s="615" t="s">
        <v>3728</v>
      </c>
      <c r="C235" s="614" t="s">
        <v>3578</v>
      </c>
      <c r="D235" s="614" t="s">
        <v>2</v>
      </c>
      <c r="E235" s="614" t="s">
        <v>3304</v>
      </c>
      <c r="F235" s="614" t="s">
        <v>3195</v>
      </c>
      <c r="G235" s="614" t="s">
        <v>3214</v>
      </c>
      <c r="H235" s="614">
        <v>6.0</v>
      </c>
      <c r="I235" s="614" t="s">
        <v>3208</v>
      </c>
      <c r="J235" s="614" t="s">
        <v>3257</v>
      </c>
      <c r="K235" s="614" t="str">
        <f>IFERROR(__xludf.DUMMYFUNCTION("LET(
  r, C235,
  t, J235,
  cons, LOWER(TO_TEXT(O235))=""true"",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)"),"1000 зм")</f>
        <v>1000 зм</v>
      </c>
      <c r="L235" s="616" t="str">
        <f t="shared" si="1"/>
        <v>Мажор</v>
      </c>
      <c r="M235" s="616"/>
      <c r="N235" s="615">
        <v>0.0</v>
      </c>
      <c r="O235" s="616" t="b">
        <v>0</v>
      </c>
      <c r="P235" s="614">
        <v>1.0</v>
      </c>
      <c r="Q235" s="617" t="s">
        <v>3729</v>
      </c>
      <c r="R235" s="616">
        <f t="shared" si="2"/>
        <v>4000</v>
      </c>
    </row>
    <row r="236">
      <c r="A236" s="614">
        <v>235.0</v>
      </c>
      <c r="B236" s="615" t="s">
        <v>3730</v>
      </c>
      <c r="C236" s="614" t="s">
        <v>3578</v>
      </c>
      <c r="D236" s="614" t="s">
        <v>1913</v>
      </c>
      <c r="E236" s="614"/>
      <c r="F236" s="614" t="s">
        <v>3195</v>
      </c>
      <c r="G236" s="614" t="s">
        <v>3202</v>
      </c>
      <c r="H236" s="614">
        <v>5.0</v>
      </c>
      <c r="I236" s="614" t="s">
        <v>3208</v>
      </c>
      <c r="J236" s="614" t="s">
        <v>3204</v>
      </c>
      <c r="K236" s="614" t="str">
        <f>IFERROR(__xludf.DUMMYFUNCTION("LET(
  r, C236,
  t, J236,
  cons, LOWER(TO_TEXT(O236))=""true"",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36" s="616" t="str">
        <f t="shared" si="1"/>
        <v>Минор</v>
      </c>
      <c r="M236" s="616"/>
      <c r="N236" s="615">
        <v>0.0</v>
      </c>
      <c r="O236" s="616" t="b">
        <v>0</v>
      </c>
      <c r="P236" s="614">
        <v>1.0</v>
      </c>
      <c r="Q236" s="617" t="s">
        <v>3731</v>
      </c>
      <c r="R236" s="616">
        <f t="shared" si="2"/>
        <v>2250</v>
      </c>
    </row>
    <row r="237">
      <c r="A237" s="614">
        <v>236.0</v>
      </c>
      <c r="B237" s="615" t="s">
        <v>3732</v>
      </c>
      <c r="C237" s="614" t="s">
        <v>3578</v>
      </c>
      <c r="D237" s="614" t="s">
        <v>1913</v>
      </c>
      <c r="E237" s="614"/>
      <c r="F237" s="614" t="s">
        <v>3309</v>
      </c>
      <c r="G237" s="614" t="s">
        <v>3202</v>
      </c>
      <c r="H237" s="614">
        <v>5.0</v>
      </c>
      <c r="I237" s="614" t="s">
        <v>3208</v>
      </c>
      <c r="J237" s="614" t="s">
        <v>3204</v>
      </c>
      <c r="K237" s="614" t="str">
        <f>IFERROR(__xludf.DUMMYFUNCTION("LET(
  r, C237,
  t, J237,
  cons, LOWER(TO_TEXT(O237))=""true"",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37" s="616" t="str">
        <f t="shared" si="1"/>
        <v>Минор</v>
      </c>
      <c r="M237" s="616"/>
      <c r="N237" s="615">
        <v>0.0</v>
      </c>
      <c r="O237" s="616" t="b">
        <v>0</v>
      </c>
      <c r="P237" s="614">
        <v>1.0</v>
      </c>
      <c r="Q237" s="617" t="s">
        <v>3733</v>
      </c>
      <c r="R237" s="616">
        <f t="shared" si="2"/>
        <v>2250</v>
      </c>
    </row>
    <row r="238">
      <c r="A238" s="614">
        <v>237.0</v>
      </c>
      <c r="B238" s="615" t="s">
        <v>3734</v>
      </c>
      <c r="C238" s="614" t="s">
        <v>3578</v>
      </c>
      <c r="D238" s="614" t="s">
        <v>1913</v>
      </c>
      <c r="E238" s="614"/>
      <c r="F238" s="614" t="s">
        <v>3309</v>
      </c>
      <c r="G238" s="614" t="s">
        <v>3214</v>
      </c>
      <c r="H238" s="614">
        <v>5.0</v>
      </c>
      <c r="I238" s="614" t="s">
        <v>692</v>
      </c>
      <c r="J238" s="614" t="s">
        <v>3218</v>
      </c>
      <c r="K238" s="614" t="str">
        <f>IFERROR(__xludf.DUMMYFUNCTION("LET(
  r, C238,
  t, J238,
  cons, LOWER(TO_TEXT(O238))=""true"",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38" s="616" t="str">
        <f t="shared" si="1"/>
        <v>Минор</v>
      </c>
      <c r="M238" s="616"/>
      <c r="N238" s="615">
        <v>0.0</v>
      </c>
      <c r="O238" s="616" t="b">
        <v>0</v>
      </c>
      <c r="P238" s="614">
        <v>1.0</v>
      </c>
      <c r="Q238" s="617" t="s">
        <v>3735</v>
      </c>
      <c r="R238" s="616">
        <f t="shared" si="2"/>
        <v>2500</v>
      </c>
    </row>
    <row r="239">
      <c r="A239" s="614">
        <v>238.0</v>
      </c>
      <c r="B239" s="615" t="s">
        <v>3736</v>
      </c>
      <c r="C239" s="614" t="s">
        <v>3578</v>
      </c>
      <c r="D239" s="614" t="s">
        <v>1913</v>
      </c>
      <c r="E239" s="614"/>
      <c r="F239" s="614" t="s">
        <v>3309</v>
      </c>
      <c r="G239" s="614" t="s">
        <v>3202</v>
      </c>
      <c r="H239" s="614">
        <v>5.0</v>
      </c>
      <c r="I239" s="614" t="s">
        <v>3203</v>
      </c>
      <c r="J239" s="614" t="s">
        <v>3221</v>
      </c>
      <c r="K239" s="614" t="str">
        <f>IFERROR(__xludf.DUMMYFUNCTION("LET(
  r, C239,
  t, J239,
  cons, LOWER(TO_TEXT(O239))=""true"",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)"),"2d6kh1*1000 зм")</f>
        <v>2d6kh1*1000 зм</v>
      </c>
      <c r="L239" s="616" t="str">
        <f t="shared" si="1"/>
        <v>Минор</v>
      </c>
      <c r="M239" s="616"/>
      <c r="N239" s="615">
        <v>0.0</v>
      </c>
      <c r="O239" s="616" t="b">
        <v>0</v>
      </c>
      <c r="P239" s="614">
        <v>0.0</v>
      </c>
      <c r="Q239" s="617" t="s">
        <v>3737</v>
      </c>
      <c r="R239" s="616">
        <f t="shared" si="2"/>
        <v>2750</v>
      </c>
    </row>
    <row r="240">
      <c r="A240" s="614">
        <v>239.0</v>
      </c>
      <c r="B240" s="615" t="s">
        <v>3738</v>
      </c>
      <c r="C240" s="614" t="s">
        <v>3578</v>
      </c>
      <c r="D240" s="614" t="s">
        <v>1913</v>
      </c>
      <c r="E240" s="614"/>
      <c r="F240" s="614" t="s">
        <v>26</v>
      </c>
      <c r="G240" s="614" t="s">
        <v>3202</v>
      </c>
      <c r="H240" s="614">
        <v>5.0</v>
      </c>
      <c r="I240" s="614" t="s">
        <v>3203</v>
      </c>
      <c r="J240" s="614" t="s">
        <v>3237</v>
      </c>
      <c r="K240" s="614" t="str">
        <f>IFERROR(__xludf.DUMMYFUNCTION("LET(
  r, C240,
  t, J240,
  cons, LOWER(TO_TEXT(O240))=""true"",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f>
        <v>—</v>
      </c>
      <c r="L240" s="616" t="str">
        <f t="shared" si="1"/>
        <v>Минор</v>
      </c>
      <c r="M240" s="616"/>
      <c r="N240" s="615">
        <v>0.0</v>
      </c>
      <c r="O240" s="616" t="b">
        <v>0</v>
      </c>
      <c r="P240" s="614">
        <v>0.0</v>
      </c>
      <c r="Q240" s="617" t="s">
        <v>3739</v>
      </c>
      <c r="R240" s="616">
        <f t="shared" si="2"/>
        <v>10000</v>
      </c>
    </row>
    <row r="241">
      <c r="A241" s="614">
        <v>240.0</v>
      </c>
      <c r="B241" s="615" t="s">
        <v>3740</v>
      </c>
      <c r="C241" s="614" t="s">
        <v>3578</v>
      </c>
      <c r="D241" s="614" t="s">
        <v>1913</v>
      </c>
      <c r="E241" s="614"/>
      <c r="F241" s="614" t="s">
        <v>3201</v>
      </c>
      <c r="G241" s="614" t="s">
        <v>3202</v>
      </c>
      <c r="H241" s="614">
        <v>5.0</v>
      </c>
      <c r="I241" s="614" t="s">
        <v>3203</v>
      </c>
      <c r="J241" s="614" t="s">
        <v>3253</v>
      </c>
      <c r="K241" s="614" t="str">
        <f>IFERROR(__xludf.DUMMYFUNCTION("LET(
  r, C241,
  t, J241,
  cons, LOWER(TO_TEXT(O241))=""true"",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)"),"6000 зм")</f>
        <v>6000 зм</v>
      </c>
      <c r="L241" s="616" t="str">
        <f t="shared" si="1"/>
        <v>Минор</v>
      </c>
      <c r="M241" s="616"/>
      <c r="N241" s="615">
        <v>0.0</v>
      </c>
      <c r="O241" s="616" t="b">
        <v>0</v>
      </c>
      <c r="P241" s="614">
        <v>0.0</v>
      </c>
      <c r="Q241" s="617" t="s">
        <v>3741</v>
      </c>
      <c r="R241" s="616">
        <f t="shared" si="2"/>
        <v>3000</v>
      </c>
    </row>
    <row r="242">
      <c r="A242" s="614">
        <v>241.0</v>
      </c>
      <c r="B242" s="615" t="s">
        <v>3742</v>
      </c>
      <c r="C242" s="614" t="s">
        <v>3578</v>
      </c>
      <c r="D242" s="614" t="s">
        <v>2</v>
      </c>
      <c r="E242" s="614" t="s">
        <v>3228</v>
      </c>
      <c r="F242" s="614" t="s">
        <v>3195</v>
      </c>
      <c r="G242" s="614" t="s">
        <v>3202</v>
      </c>
      <c r="H242" s="614">
        <v>5.0</v>
      </c>
      <c r="I242" s="614" t="s">
        <v>692</v>
      </c>
      <c r="J242" s="614" t="s">
        <v>3204</v>
      </c>
      <c r="K242" s="614" t="str">
        <f>IFERROR(__xludf.DUMMYFUNCTION("LET(
  r, C242,
  t, J242,
  cons, LOWER(TO_TEXT(O242))=""true"",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42" s="616" t="str">
        <f t="shared" si="1"/>
        <v>Минор</v>
      </c>
      <c r="M242" s="616"/>
      <c r="N242" s="615">
        <v>0.0</v>
      </c>
      <c r="O242" s="616" t="b">
        <v>0</v>
      </c>
      <c r="P242" s="614">
        <v>1.0</v>
      </c>
      <c r="Q242" s="617" t="s">
        <v>3743</v>
      </c>
      <c r="R242" s="616">
        <f t="shared" si="2"/>
        <v>2250</v>
      </c>
    </row>
    <row r="243">
      <c r="A243" s="614">
        <v>242.0</v>
      </c>
      <c r="B243" s="615" t="s">
        <v>3744</v>
      </c>
      <c r="C243" s="614" t="s">
        <v>3578</v>
      </c>
      <c r="D243" s="614" t="s">
        <v>2</v>
      </c>
      <c r="E243" s="614" t="s">
        <v>3228</v>
      </c>
      <c r="F243" s="614" t="s">
        <v>3195</v>
      </c>
      <c r="G243" s="614" t="s">
        <v>3202</v>
      </c>
      <c r="H243" s="614">
        <v>6.0</v>
      </c>
      <c r="I243" s="614" t="s">
        <v>3203</v>
      </c>
      <c r="J243" s="614" t="s">
        <v>3218</v>
      </c>
      <c r="K243" s="614" t="str">
        <f>IFERROR(__xludf.DUMMYFUNCTION("LET(
  r, C243,
  t, J243,
  cons, LOWER(TO_TEXT(O243))=""true"",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43" s="616" t="str">
        <f t="shared" si="1"/>
        <v>Мажор</v>
      </c>
      <c r="M243" s="616"/>
      <c r="N243" s="615">
        <v>0.0</v>
      </c>
      <c r="O243" s="616" t="b">
        <v>0</v>
      </c>
      <c r="P243" s="614">
        <v>1.0</v>
      </c>
      <c r="Q243" s="617" t="s">
        <v>3745</v>
      </c>
      <c r="R243" s="616">
        <f t="shared" si="2"/>
        <v>5000</v>
      </c>
    </row>
    <row r="244">
      <c r="A244" s="614">
        <v>243.0</v>
      </c>
      <c r="B244" s="615" t="s">
        <v>3746</v>
      </c>
      <c r="C244" s="614" t="s">
        <v>3578</v>
      </c>
      <c r="D244" s="614" t="s">
        <v>1070</v>
      </c>
      <c r="E244" s="614" t="s">
        <v>3747</v>
      </c>
      <c r="F244" s="614" t="s">
        <v>3234</v>
      </c>
      <c r="G244" s="614" t="s">
        <v>3316</v>
      </c>
      <c r="H244" s="614">
        <v>6.0</v>
      </c>
      <c r="I244" s="614" t="s">
        <v>3203</v>
      </c>
      <c r="J244" s="614" t="s">
        <v>3218</v>
      </c>
      <c r="K244" s="614" t="str">
        <f>IFERROR(__xludf.DUMMYFUNCTION("LET(
  r, C244,
  t, J244,
  cons, LOWER(TO_TEXT(O244))=""true"",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44" s="616" t="str">
        <f t="shared" si="1"/>
        <v>Мажор</v>
      </c>
      <c r="M244" s="616"/>
      <c r="N244" s="615">
        <v>0.0</v>
      </c>
      <c r="O244" s="616" t="b">
        <v>0</v>
      </c>
      <c r="P244" s="614">
        <v>1.0</v>
      </c>
      <c r="Q244" s="617" t="s">
        <v>3748</v>
      </c>
      <c r="R244" s="616">
        <f t="shared" si="2"/>
        <v>5000</v>
      </c>
    </row>
    <row r="245">
      <c r="A245" s="614">
        <v>244.0</v>
      </c>
      <c r="B245" s="615" t="s">
        <v>3749</v>
      </c>
      <c r="C245" s="614" t="s">
        <v>3578</v>
      </c>
      <c r="D245" s="614" t="s">
        <v>1913</v>
      </c>
      <c r="E245" s="614"/>
      <c r="F245" s="614" t="s">
        <v>3328</v>
      </c>
      <c r="G245" s="614" t="s">
        <v>3750</v>
      </c>
      <c r="H245" s="614">
        <v>6.0</v>
      </c>
      <c r="I245" s="614" t="s">
        <v>692</v>
      </c>
      <c r="J245" s="614" t="s">
        <v>3218</v>
      </c>
      <c r="K245" s="614" t="str">
        <f>IFERROR(__xludf.DUMMYFUNCTION("LET(
  r, C245,
  t, J245,
  cons, LOWER(TO_TEXT(O245))=""true"",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45" s="616" t="str">
        <f t="shared" si="1"/>
        <v>Мажор</v>
      </c>
      <c r="M245" s="616"/>
      <c r="N245" s="615">
        <v>0.0</v>
      </c>
      <c r="O245" s="616" t="b">
        <v>0</v>
      </c>
      <c r="P245" s="614">
        <v>0.0</v>
      </c>
      <c r="Q245" s="617" t="s">
        <v>3751</v>
      </c>
      <c r="R245" s="616">
        <f t="shared" si="2"/>
        <v>5000</v>
      </c>
    </row>
    <row r="246">
      <c r="A246" s="614">
        <v>245.0</v>
      </c>
      <c r="B246" s="615" t="s">
        <v>3752</v>
      </c>
      <c r="C246" s="614" t="s">
        <v>3578</v>
      </c>
      <c r="D246" s="614" t="s">
        <v>1913</v>
      </c>
      <c r="E246" s="614"/>
      <c r="F246" s="614" t="s">
        <v>3201</v>
      </c>
      <c r="G246" s="614" t="s">
        <v>3202</v>
      </c>
      <c r="H246" s="614">
        <v>6.0</v>
      </c>
      <c r="I246" s="614" t="s">
        <v>3203</v>
      </c>
      <c r="J246" s="614" t="s">
        <v>3221</v>
      </c>
      <c r="K246" s="614" t="str">
        <f>IFERROR(__xludf.DUMMYFUNCTION("LET(
  r, C246,
  t, J246,
  cons, LOWER(TO_TEXT(O246))=""true"",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)"),"2d6kh1*1000 зм")</f>
        <v>2d6kh1*1000 зм</v>
      </c>
      <c r="L246" s="616" t="str">
        <f t="shared" si="1"/>
        <v>Мажор</v>
      </c>
      <c r="M246" s="616"/>
      <c r="N246" s="615" t="s">
        <v>3455</v>
      </c>
      <c r="O246" s="616" t="b">
        <v>0</v>
      </c>
      <c r="P246" s="614">
        <v>0.0</v>
      </c>
      <c r="Q246" s="617" t="s">
        <v>3753</v>
      </c>
      <c r="R246" s="616">
        <f t="shared" si="2"/>
        <v>5500</v>
      </c>
    </row>
    <row r="247">
      <c r="A247" s="614">
        <v>246.0</v>
      </c>
      <c r="B247" s="615" t="s">
        <v>3754</v>
      </c>
      <c r="C247" s="614" t="s">
        <v>3578</v>
      </c>
      <c r="D247" s="614" t="s">
        <v>1913</v>
      </c>
      <c r="E247" s="614"/>
      <c r="F247" s="614" t="s">
        <v>3217</v>
      </c>
      <c r="G247" s="614" t="s">
        <v>3202</v>
      </c>
      <c r="H247" s="614">
        <v>5.0</v>
      </c>
      <c r="I247" s="614" t="s">
        <v>3203</v>
      </c>
      <c r="J247" s="614" t="s">
        <v>3204</v>
      </c>
      <c r="K247" s="614" t="str">
        <f>IFERROR(__xludf.DUMMYFUNCTION("LET(
  r, C247,
  t, J247,
  cons, LOWER(TO_TEXT(O247))=""true"",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)"),"2d6kl1*500 зм")</f>
        <v>2d6kl1*500 зм</v>
      </c>
      <c r="L247" s="616" t="str">
        <f t="shared" si="1"/>
        <v>Минор</v>
      </c>
      <c r="M247" s="616"/>
      <c r="N247" s="615">
        <v>0.0</v>
      </c>
      <c r="O247" s="616" t="b">
        <v>1</v>
      </c>
      <c r="P247" s="614">
        <v>0.0</v>
      </c>
      <c r="Q247" s="617" t="s">
        <v>3755</v>
      </c>
      <c r="R247" s="616">
        <f t="shared" si="2"/>
        <v>2250</v>
      </c>
    </row>
    <row r="248">
      <c r="A248" s="614">
        <v>247.0</v>
      </c>
      <c r="B248" s="615" t="s">
        <v>3756</v>
      </c>
      <c r="C248" s="614" t="s">
        <v>3578</v>
      </c>
      <c r="D248" s="614" t="s">
        <v>1913</v>
      </c>
      <c r="E248" s="614"/>
      <c r="F248" s="614" t="s">
        <v>26</v>
      </c>
      <c r="G248" s="614" t="s">
        <v>3202</v>
      </c>
      <c r="H248" s="614">
        <v>5.0</v>
      </c>
      <c r="I248" s="614" t="s">
        <v>3203</v>
      </c>
      <c r="J248" s="614" t="s">
        <v>3237</v>
      </c>
      <c r="K248" s="614" t="str">
        <f>IFERROR(__xludf.DUMMYFUNCTION("LET(
  r, C248,
  t, J248,
  cons, LOWER(TO_TEXT(O248))=""true"",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f>
        <v>—</v>
      </c>
      <c r="L248" s="616" t="str">
        <f t="shared" si="1"/>
        <v>Минор</v>
      </c>
      <c r="M248" s="616"/>
      <c r="N248" s="615">
        <v>0.0</v>
      </c>
      <c r="O248" s="616" t="b">
        <v>0</v>
      </c>
      <c r="P248" s="614">
        <v>0.0</v>
      </c>
      <c r="Q248" s="617" t="s">
        <v>3757</v>
      </c>
      <c r="R248" s="616">
        <f t="shared" si="2"/>
        <v>10000</v>
      </c>
    </row>
    <row r="249">
      <c r="A249" s="614">
        <v>248.0</v>
      </c>
      <c r="B249" s="615" t="s">
        <v>3758</v>
      </c>
      <c r="C249" s="614" t="s">
        <v>3578</v>
      </c>
      <c r="D249" s="614" t="s">
        <v>2</v>
      </c>
      <c r="E249" s="614" t="s">
        <v>1978</v>
      </c>
      <c r="F249" s="614" t="s">
        <v>3217</v>
      </c>
      <c r="G249" s="614" t="s">
        <v>3244</v>
      </c>
      <c r="H249" s="614">
        <v>5.0</v>
      </c>
      <c r="I249" s="614" t="s">
        <v>3208</v>
      </c>
      <c r="J249" s="614" t="s">
        <v>3204</v>
      </c>
      <c r="K249" s="614" t="str">
        <f>IFERROR(__xludf.DUMMYFUNCTION("LET(
  r, C249,
  t, J249,
  cons, LOWER(TO_TEXT(O249))=""true"",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49" s="616" t="str">
        <f t="shared" si="1"/>
        <v>Минор</v>
      </c>
      <c r="M249" s="616"/>
      <c r="N249" s="615">
        <v>0.0</v>
      </c>
      <c r="O249" s="616" t="b">
        <v>0</v>
      </c>
      <c r="P249" s="614">
        <v>0.0</v>
      </c>
      <c r="Q249" s="617" t="s">
        <v>3759</v>
      </c>
      <c r="R249" s="616">
        <f t="shared" si="2"/>
        <v>2250</v>
      </c>
    </row>
    <row r="250">
      <c r="A250" s="614">
        <v>249.0</v>
      </c>
      <c r="B250" s="615" t="s">
        <v>3760</v>
      </c>
      <c r="C250" s="614" t="s">
        <v>3578</v>
      </c>
      <c r="D250" s="614" t="s">
        <v>1913</v>
      </c>
      <c r="E250" s="614"/>
      <c r="F250" s="614" t="s">
        <v>1978</v>
      </c>
      <c r="G250" s="614" t="s">
        <v>3293</v>
      </c>
      <c r="H250" s="614">
        <v>6.0</v>
      </c>
      <c r="I250" s="614" t="s">
        <v>3203</v>
      </c>
      <c r="J250" s="614" t="s">
        <v>3221</v>
      </c>
      <c r="K250" s="614" t="str">
        <f>IFERROR(__xludf.DUMMYFUNCTION("LET(
  r, C250,
  t, J250,
  cons, LOWER(TO_TEXT(O250))=""true"",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)"),"2d6kh1*1000 зм")</f>
        <v>2d6kh1*1000 зм</v>
      </c>
      <c r="L250" s="616" t="str">
        <f t="shared" si="1"/>
        <v>Мажор</v>
      </c>
      <c r="M250" s="616"/>
      <c r="N250" s="615" t="s">
        <v>3588</v>
      </c>
      <c r="O250" s="616" t="b">
        <v>0</v>
      </c>
      <c r="P250" s="614">
        <v>1.0</v>
      </c>
      <c r="Q250" s="617" t="s">
        <v>3761</v>
      </c>
      <c r="R250" s="616">
        <f t="shared" si="2"/>
        <v>5500</v>
      </c>
    </row>
    <row r="251">
      <c r="A251" s="614">
        <v>250.0</v>
      </c>
      <c r="B251" s="615" t="s">
        <v>3762</v>
      </c>
      <c r="C251" s="614" t="s">
        <v>3578</v>
      </c>
      <c r="D251" s="614" t="s">
        <v>1913</v>
      </c>
      <c r="E251" s="614"/>
      <c r="F251" s="614" t="s">
        <v>1978</v>
      </c>
      <c r="G251" s="614" t="s">
        <v>3293</v>
      </c>
      <c r="H251" s="614">
        <v>6.0</v>
      </c>
      <c r="I251" s="614" t="s">
        <v>3203</v>
      </c>
      <c r="J251" s="614" t="s">
        <v>3253</v>
      </c>
      <c r="K251" s="614" t="str">
        <f>IFERROR(__xludf.DUMMYFUNCTION("LET(
  r, C251,
  t, J251,
  cons, LOWER(TO_TEXT(O251))=""true"",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)"),"6000 зм")</f>
        <v>6000 зм</v>
      </c>
      <c r="L251" s="616" t="str">
        <f t="shared" si="1"/>
        <v>Мажор</v>
      </c>
      <c r="M251" s="616"/>
      <c r="N251" s="615" t="s">
        <v>3588</v>
      </c>
      <c r="O251" s="616" t="b">
        <v>0</v>
      </c>
      <c r="P251" s="614">
        <v>1.0</v>
      </c>
      <c r="Q251" s="617" t="s">
        <v>3763</v>
      </c>
      <c r="R251" s="616">
        <f t="shared" si="2"/>
        <v>6000</v>
      </c>
    </row>
    <row r="252">
      <c r="A252" s="614">
        <v>251.0</v>
      </c>
      <c r="B252" s="615" t="s">
        <v>3764</v>
      </c>
      <c r="C252" s="614" t="s">
        <v>3578</v>
      </c>
      <c r="D252" s="614" t="s">
        <v>1913</v>
      </c>
      <c r="E252" s="614"/>
      <c r="F252" s="614" t="s">
        <v>1978</v>
      </c>
      <c r="G252" s="614" t="s">
        <v>3293</v>
      </c>
      <c r="H252" s="614">
        <v>6.0</v>
      </c>
      <c r="I252" s="614" t="s">
        <v>3203</v>
      </c>
      <c r="J252" s="614" t="s">
        <v>3218</v>
      </c>
      <c r="K252" s="614" t="str">
        <f>IFERROR(__xludf.DUMMYFUNCTION("LET(
  r, C252,
  t, J252,
  cons, LOWER(TO_TEXT(O252))=""true"",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52" s="616" t="str">
        <f t="shared" si="1"/>
        <v>Мажор</v>
      </c>
      <c r="M252" s="616"/>
      <c r="N252" s="615" t="s">
        <v>3588</v>
      </c>
      <c r="O252" s="616" t="b">
        <v>0</v>
      </c>
      <c r="P252" s="614">
        <v>1.0</v>
      </c>
      <c r="Q252" s="617" t="s">
        <v>3765</v>
      </c>
      <c r="R252" s="616">
        <f t="shared" si="2"/>
        <v>5000</v>
      </c>
    </row>
    <row r="253">
      <c r="A253" s="614">
        <v>252.0</v>
      </c>
      <c r="B253" s="615" t="s">
        <v>3766</v>
      </c>
      <c r="C253" s="614" t="s">
        <v>3578</v>
      </c>
      <c r="D253" s="614" t="s">
        <v>1913</v>
      </c>
      <c r="E253" s="614"/>
      <c r="F253" s="614" t="s">
        <v>1978</v>
      </c>
      <c r="G253" s="614" t="s">
        <v>3293</v>
      </c>
      <c r="H253" s="614">
        <v>6.0</v>
      </c>
      <c r="I253" s="614" t="s">
        <v>3203</v>
      </c>
      <c r="J253" s="614" t="s">
        <v>3218</v>
      </c>
      <c r="K253" s="614" t="str">
        <f>IFERROR(__xludf.DUMMYFUNCTION("LET(
  r, C253,
  t, J253,
  cons, LOWER(TO_TEXT(O253))=""true"",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53" s="616" t="str">
        <f t="shared" si="1"/>
        <v>Мажор</v>
      </c>
      <c r="M253" s="616"/>
      <c r="N253" s="615" t="s">
        <v>3588</v>
      </c>
      <c r="O253" s="616" t="b">
        <v>0</v>
      </c>
      <c r="P253" s="614">
        <v>1.0</v>
      </c>
      <c r="Q253" s="617" t="s">
        <v>3767</v>
      </c>
      <c r="R253" s="616">
        <f t="shared" si="2"/>
        <v>5000</v>
      </c>
    </row>
    <row r="254">
      <c r="A254" s="614">
        <v>253.0</v>
      </c>
      <c r="B254" s="615" t="s">
        <v>3768</v>
      </c>
      <c r="C254" s="614" t="s">
        <v>3578</v>
      </c>
      <c r="D254" s="614" t="s">
        <v>1913</v>
      </c>
      <c r="E254" s="614"/>
      <c r="F254" s="614" t="s">
        <v>3195</v>
      </c>
      <c r="G254" s="614" t="s">
        <v>3214</v>
      </c>
      <c r="H254" s="614">
        <v>6.0</v>
      </c>
      <c r="I254" s="614" t="s">
        <v>3203</v>
      </c>
      <c r="J254" s="614" t="s">
        <v>3253</v>
      </c>
      <c r="K254" s="614" t="str">
        <f>IFERROR(__xludf.DUMMYFUNCTION("LET(
  r, C254,
  t, J254,
  cons, LOWER(TO_TEXT(O254))=""true"",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)"),"6000 зм")</f>
        <v>6000 зм</v>
      </c>
      <c r="L254" s="616" t="str">
        <f t="shared" si="1"/>
        <v>Мажор</v>
      </c>
      <c r="M254" s="616"/>
      <c r="N254" s="615">
        <v>0.0</v>
      </c>
      <c r="O254" s="616" t="b">
        <v>0</v>
      </c>
      <c r="P254" s="614">
        <v>0.0</v>
      </c>
      <c r="Q254" s="617" t="s">
        <v>3769</v>
      </c>
      <c r="R254" s="616">
        <f t="shared" si="2"/>
        <v>6000</v>
      </c>
    </row>
    <row r="255">
      <c r="A255" s="614">
        <v>254.0</v>
      </c>
      <c r="B255" s="615" t="s">
        <v>3770</v>
      </c>
      <c r="C255" s="614" t="s">
        <v>3578</v>
      </c>
      <c r="D255" s="614" t="s">
        <v>1913</v>
      </c>
      <c r="E255" s="614"/>
      <c r="F255" s="614" t="s">
        <v>3217</v>
      </c>
      <c r="G255" s="614" t="s">
        <v>3202</v>
      </c>
      <c r="H255" s="614">
        <v>5.0</v>
      </c>
      <c r="I255" s="614" t="s">
        <v>3203</v>
      </c>
      <c r="J255" s="614" t="s">
        <v>3218</v>
      </c>
      <c r="K255" s="614" t="str">
        <f>IFERROR(__xludf.DUMMYFUNCTION("LET(
  r, C255,
  t, J255,
  cons, LOWER(TO_TEXT(O255))=""true"",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55" s="616" t="str">
        <f t="shared" si="1"/>
        <v>Минор</v>
      </c>
      <c r="M255" s="616"/>
      <c r="N255" s="615">
        <v>0.0</v>
      </c>
      <c r="O255" s="616" t="b">
        <v>0</v>
      </c>
      <c r="P255" s="614">
        <v>0.0</v>
      </c>
      <c r="Q255" s="617" t="s">
        <v>3771</v>
      </c>
      <c r="R255" s="616">
        <f t="shared" si="2"/>
        <v>2500</v>
      </c>
    </row>
    <row r="256">
      <c r="A256" s="614">
        <v>255.0</v>
      </c>
      <c r="B256" s="615" t="s">
        <v>3772</v>
      </c>
      <c r="C256" s="614" t="s">
        <v>3578</v>
      </c>
      <c r="D256" s="614" t="s">
        <v>1913</v>
      </c>
      <c r="E256" s="614"/>
      <c r="F256" s="614" t="s">
        <v>3217</v>
      </c>
      <c r="G256" s="614" t="s">
        <v>3202</v>
      </c>
      <c r="H256" s="614">
        <v>5.0</v>
      </c>
      <c r="I256" s="614" t="s">
        <v>692</v>
      </c>
      <c r="J256" s="614" t="s">
        <v>3218</v>
      </c>
      <c r="K256" s="614" t="str">
        <f>IFERROR(__xludf.DUMMYFUNCTION("LET(
  r, C256,
  t, J256,
  cons, LOWER(TO_TEXT(O256))=""true"",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)"),"1d6*500 зм")</f>
        <v>1d6*500 зм</v>
      </c>
      <c r="L256" s="616" t="str">
        <f t="shared" si="1"/>
        <v>Минор</v>
      </c>
      <c r="M256" s="616"/>
      <c r="N256" s="615">
        <v>0.0</v>
      </c>
      <c r="O256" s="616" t="b">
        <v>1</v>
      </c>
      <c r="P256" s="614">
        <v>0.0</v>
      </c>
      <c r="Q256" s="617" t="s">
        <v>3773</v>
      </c>
      <c r="R256" s="616">
        <f t="shared" si="2"/>
        <v>2500</v>
      </c>
    </row>
    <row r="257">
      <c r="A257" s="614">
        <v>256.0</v>
      </c>
      <c r="B257" s="615" t="s">
        <v>3774</v>
      </c>
      <c r="C257" s="614" t="s">
        <v>3578</v>
      </c>
      <c r="D257" s="614" t="s">
        <v>1913</v>
      </c>
      <c r="E257" s="614"/>
      <c r="F257" s="614" t="s">
        <v>3309</v>
      </c>
      <c r="G257" s="614" t="s">
        <v>3202</v>
      </c>
      <c r="H257" s="614">
        <v>5.0</v>
      </c>
      <c r="I257" s="614" t="s">
        <v>692</v>
      </c>
      <c r="J257" s="614" t="s">
        <v>3204</v>
      </c>
      <c r="K257" s="614" t="str">
        <f>IFERROR(__xludf.DUMMYFUNCTION("LET(
  r, C257,
  t, J257,
  cons, LOWER(TO_TEXT(O257))=""true"",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57" s="616" t="str">
        <f t="shared" si="1"/>
        <v>Минор</v>
      </c>
      <c r="M257" s="616"/>
      <c r="N257" s="615">
        <v>0.0</v>
      </c>
      <c r="O257" s="616" t="b">
        <v>0</v>
      </c>
      <c r="P257" s="614">
        <v>1.0</v>
      </c>
      <c r="Q257" s="617" t="s">
        <v>3775</v>
      </c>
      <c r="R257" s="616">
        <f t="shared" si="2"/>
        <v>2250</v>
      </c>
    </row>
    <row r="258">
      <c r="A258" s="614">
        <v>257.0</v>
      </c>
      <c r="B258" s="615" t="s">
        <v>3776</v>
      </c>
      <c r="C258" s="614" t="s">
        <v>3578</v>
      </c>
      <c r="D258" s="614" t="s">
        <v>1913</v>
      </c>
      <c r="E258" s="614"/>
      <c r="F258" s="614" t="s">
        <v>3309</v>
      </c>
      <c r="G258" s="614" t="s">
        <v>3202</v>
      </c>
      <c r="H258" s="614">
        <v>6.0</v>
      </c>
      <c r="I258" s="614" t="s">
        <v>3203</v>
      </c>
      <c r="J258" s="614" t="s">
        <v>3253</v>
      </c>
      <c r="K258" s="614" t="str">
        <f>IFERROR(__xludf.DUMMYFUNCTION("LET(
  r, C258,
  t, J258,
  cons, LOWER(TO_TEXT(O258))=""true"",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)"),"6000 зм")</f>
        <v>6000 зм</v>
      </c>
      <c r="L258" s="616" t="str">
        <f t="shared" si="1"/>
        <v>Мажор</v>
      </c>
      <c r="M258" s="616"/>
      <c r="N258" s="615">
        <v>0.0</v>
      </c>
      <c r="O258" s="616" t="b">
        <v>0</v>
      </c>
      <c r="P258" s="614">
        <v>0.0</v>
      </c>
      <c r="Q258" s="617" t="s">
        <v>3777</v>
      </c>
      <c r="R258" s="616">
        <f t="shared" si="2"/>
        <v>6000</v>
      </c>
    </row>
    <row r="259">
      <c r="A259" s="614">
        <v>258.0</v>
      </c>
      <c r="B259" s="615" t="s">
        <v>3778</v>
      </c>
      <c r="C259" s="614" t="s">
        <v>3578</v>
      </c>
      <c r="D259" s="614" t="s">
        <v>1913</v>
      </c>
      <c r="E259" s="614"/>
      <c r="F259" s="614" t="s">
        <v>3309</v>
      </c>
      <c r="G259" s="614" t="s">
        <v>3202</v>
      </c>
      <c r="H259" s="614">
        <v>5.0</v>
      </c>
      <c r="I259" s="614" t="s">
        <v>692</v>
      </c>
      <c r="J259" s="614" t="s">
        <v>3221</v>
      </c>
      <c r="K259" s="614" t="str">
        <f>IFERROR(__xludf.DUMMYFUNCTION("LET(
  r, C259,
  t, J259,
  cons, LOWER(TO_TEXT(O259))=""true"",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)"),"2d6kh1*1000 зм")</f>
        <v>2d6kh1*1000 зм</v>
      </c>
      <c r="L259" s="616" t="str">
        <f t="shared" si="1"/>
        <v>Минор</v>
      </c>
      <c r="M259" s="616"/>
      <c r="N259" s="615">
        <v>0.0</v>
      </c>
      <c r="O259" s="616" t="b">
        <v>0</v>
      </c>
      <c r="P259" s="614">
        <v>0.0</v>
      </c>
      <c r="Q259" s="617" t="s">
        <v>3779</v>
      </c>
      <c r="R259" s="616">
        <f t="shared" si="2"/>
        <v>2750</v>
      </c>
    </row>
    <row r="260">
      <c r="A260" s="614">
        <v>259.0</v>
      </c>
      <c r="B260" s="615" t="s">
        <v>3780</v>
      </c>
      <c r="C260" s="614" t="s">
        <v>3578</v>
      </c>
      <c r="D260" s="614" t="s">
        <v>1913</v>
      </c>
      <c r="E260" s="614"/>
      <c r="F260" s="614" t="s">
        <v>3195</v>
      </c>
      <c r="G260" s="614" t="s">
        <v>3207</v>
      </c>
      <c r="H260" s="614">
        <v>6.0</v>
      </c>
      <c r="I260" s="614" t="s">
        <v>692</v>
      </c>
      <c r="J260" s="614" t="s">
        <v>3221</v>
      </c>
      <c r="K260" s="614" t="str">
        <f>IFERROR(__xludf.DUMMYFUNCTION("LET(
  r, C260,
  t, J260,
  cons, LOWER(TO_TEXT(O260))=""true"",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)"),"2d6kh1*1000 зм")</f>
        <v>2d6kh1*1000 зм</v>
      </c>
      <c r="L260" s="616" t="str">
        <f t="shared" si="1"/>
        <v>Мажор</v>
      </c>
      <c r="M260" s="616"/>
      <c r="N260" s="615">
        <v>0.0</v>
      </c>
      <c r="O260" s="616" t="b">
        <v>0</v>
      </c>
      <c r="P260" s="614">
        <v>1.0</v>
      </c>
      <c r="Q260" s="617" t="s">
        <v>3781</v>
      </c>
      <c r="R260" s="616">
        <f t="shared" si="2"/>
        <v>5500</v>
      </c>
    </row>
    <row r="261">
      <c r="A261" s="614">
        <v>260.0</v>
      </c>
      <c r="B261" s="615" t="s">
        <v>3782</v>
      </c>
      <c r="C261" s="614" t="s">
        <v>3578</v>
      </c>
      <c r="D261" s="614" t="s">
        <v>2</v>
      </c>
      <c r="E261" s="614" t="s">
        <v>92</v>
      </c>
      <c r="F261" s="614" t="s">
        <v>3195</v>
      </c>
      <c r="G261" s="614" t="s">
        <v>3662</v>
      </c>
      <c r="H261" s="614">
        <v>6.0</v>
      </c>
      <c r="I261" s="614" t="s">
        <v>3203</v>
      </c>
      <c r="J261" s="614" t="s">
        <v>3237</v>
      </c>
      <c r="K261" s="614" t="str">
        <f>IFERROR(__xludf.DUMMYFUNCTION("LET(
  r, C261,
  t, J261,
  cons, LOWER(TO_TEXT(O261))=""true"",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f>
        <v>—</v>
      </c>
      <c r="L261" s="616" t="str">
        <f t="shared" si="1"/>
        <v>Мажор</v>
      </c>
      <c r="M261" s="616"/>
      <c r="N261" s="615" t="s">
        <v>3783</v>
      </c>
      <c r="O261" s="616" t="b">
        <v>0</v>
      </c>
      <c r="P261" s="614">
        <v>1.0</v>
      </c>
      <c r="Q261" s="617" t="s">
        <v>3784</v>
      </c>
      <c r="R261" s="616">
        <f t="shared" si="2"/>
        <v>20000</v>
      </c>
    </row>
    <row r="262">
      <c r="A262" s="614">
        <v>261.0</v>
      </c>
      <c r="B262" s="615" t="s">
        <v>3785</v>
      </c>
      <c r="C262" s="614" t="s">
        <v>3578</v>
      </c>
      <c r="D262" s="614" t="s">
        <v>1913</v>
      </c>
      <c r="E262" s="614"/>
      <c r="F262" s="614" t="s">
        <v>3342</v>
      </c>
      <c r="G262" s="614" t="s">
        <v>3202</v>
      </c>
      <c r="H262" s="614">
        <v>5.0</v>
      </c>
      <c r="I262" s="614" t="s">
        <v>692</v>
      </c>
      <c r="J262" s="614" t="s">
        <v>3218</v>
      </c>
      <c r="K262" s="614" t="str">
        <f>IFERROR(__xludf.DUMMYFUNCTION("LET(
  r, C262,
  t, J262,
  cons, LOWER(TO_TEXT(O262))=""true"",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62" s="616" t="str">
        <f t="shared" si="1"/>
        <v>Минор</v>
      </c>
      <c r="M262" s="616"/>
      <c r="N262" s="615">
        <v>0.0</v>
      </c>
      <c r="O262" s="616" t="b">
        <v>0</v>
      </c>
      <c r="P262" s="614">
        <v>0.0</v>
      </c>
      <c r="Q262" s="617" t="s">
        <v>3786</v>
      </c>
      <c r="R262" s="616">
        <f t="shared" si="2"/>
        <v>2500</v>
      </c>
    </row>
    <row r="263">
      <c r="A263" s="614">
        <v>262.0</v>
      </c>
      <c r="B263" s="615" t="s">
        <v>3787</v>
      </c>
      <c r="C263" s="614" t="s">
        <v>3578</v>
      </c>
      <c r="D263" s="614" t="s">
        <v>3349</v>
      </c>
      <c r="E263" s="614"/>
      <c r="F263" s="614" t="s">
        <v>3195</v>
      </c>
      <c r="G263" s="614" t="s">
        <v>3202</v>
      </c>
      <c r="H263" s="614">
        <v>5.0</v>
      </c>
      <c r="I263" s="614" t="s">
        <v>692</v>
      </c>
      <c r="J263" s="614" t="s">
        <v>3204</v>
      </c>
      <c r="K263" s="614" t="str">
        <f>IFERROR(__xludf.DUMMYFUNCTION("LET(
  r, C263,
  t, J263,
  cons, LOWER(TO_TEXT(O263))=""true"",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63" s="616" t="str">
        <f t="shared" si="1"/>
        <v>Минор</v>
      </c>
      <c r="M263" s="616"/>
      <c r="N263" s="615" t="s">
        <v>3788</v>
      </c>
      <c r="O263" s="616" t="b">
        <v>0</v>
      </c>
      <c r="P263" s="614">
        <v>1.0</v>
      </c>
      <c r="Q263" s="617" t="s">
        <v>3789</v>
      </c>
      <c r="R263" s="616">
        <f t="shared" si="2"/>
        <v>2250</v>
      </c>
    </row>
    <row r="264">
      <c r="A264" s="614">
        <v>263.0</v>
      </c>
      <c r="B264" s="615" t="s">
        <v>3790</v>
      </c>
      <c r="C264" s="614" t="s">
        <v>3578</v>
      </c>
      <c r="D264" s="614" t="s">
        <v>3349</v>
      </c>
      <c r="E264" s="614"/>
      <c r="F264" s="614" t="s">
        <v>3195</v>
      </c>
      <c r="G264" s="614" t="s">
        <v>3207</v>
      </c>
      <c r="H264" s="614">
        <v>5.0</v>
      </c>
      <c r="I264" s="614" t="s">
        <v>3208</v>
      </c>
      <c r="J264" s="614" t="s">
        <v>3204</v>
      </c>
      <c r="K264" s="614" t="str">
        <f>IFERROR(__xludf.DUMMYFUNCTION("LET(
  r, C264,
  t, J264,
  cons, LOWER(TO_TEXT(O264))=""true"",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64" s="616" t="str">
        <f t="shared" si="1"/>
        <v>Минор</v>
      </c>
      <c r="M264" s="616"/>
      <c r="N264" s="615">
        <v>0.0</v>
      </c>
      <c r="O264" s="616" t="b">
        <v>0</v>
      </c>
      <c r="P264" s="614">
        <v>1.0</v>
      </c>
      <c r="Q264" s="617" t="s">
        <v>3791</v>
      </c>
      <c r="R264" s="616">
        <f t="shared" si="2"/>
        <v>2250</v>
      </c>
    </row>
    <row r="265">
      <c r="A265" s="614">
        <v>264.0</v>
      </c>
      <c r="B265" s="615" t="s">
        <v>3792</v>
      </c>
      <c r="C265" s="614" t="s">
        <v>3578</v>
      </c>
      <c r="D265" s="614" t="s">
        <v>3349</v>
      </c>
      <c r="E265" s="614"/>
      <c r="F265" s="614" t="s">
        <v>3195</v>
      </c>
      <c r="G265" s="614" t="s">
        <v>3244</v>
      </c>
      <c r="H265" s="614">
        <v>6.0</v>
      </c>
      <c r="I265" s="614" t="s">
        <v>3208</v>
      </c>
      <c r="J265" s="614" t="s">
        <v>3204</v>
      </c>
      <c r="K265" s="614" t="str">
        <f>IFERROR(__xludf.DUMMYFUNCTION("LET(
  r, C265,
  t, J265,
  cons, LOWER(TO_TEXT(O265))=""true"",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65" s="616" t="str">
        <f t="shared" si="1"/>
        <v>Мажор</v>
      </c>
      <c r="M265" s="616"/>
      <c r="N265" s="615" t="s">
        <v>3248</v>
      </c>
      <c r="O265" s="616" t="b">
        <v>0</v>
      </c>
      <c r="P265" s="614">
        <v>1.0</v>
      </c>
      <c r="Q265" s="617" t="s">
        <v>3793</v>
      </c>
      <c r="R265" s="616">
        <f t="shared" si="2"/>
        <v>4500</v>
      </c>
    </row>
    <row r="266">
      <c r="A266" s="614">
        <v>265.0</v>
      </c>
      <c r="B266" s="615" t="s">
        <v>3794</v>
      </c>
      <c r="C266" s="614" t="s">
        <v>3578</v>
      </c>
      <c r="D266" s="614" t="s">
        <v>3349</v>
      </c>
      <c r="E266" s="614"/>
      <c r="F266" s="614" t="s">
        <v>3195</v>
      </c>
      <c r="G266" s="614" t="s">
        <v>3202</v>
      </c>
      <c r="H266" s="614">
        <v>5.0</v>
      </c>
      <c r="I266" s="614" t="s">
        <v>692</v>
      </c>
      <c r="J266" s="614" t="s">
        <v>3204</v>
      </c>
      <c r="K266" s="614" t="str">
        <f>IFERROR(__xludf.DUMMYFUNCTION("LET(
  r, C266,
  t, J266,
  cons, LOWER(TO_TEXT(O266))=""true"",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66" s="616" t="str">
        <f t="shared" si="1"/>
        <v>Минор</v>
      </c>
      <c r="M266" s="616"/>
      <c r="N266" s="615" t="s">
        <v>3795</v>
      </c>
      <c r="O266" s="616" t="b">
        <v>0</v>
      </c>
      <c r="P266" s="614">
        <v>1.0</v>
      </c>
      <c r="Q266" s="617" t="s">
        <v>3796</v>
      </c>
      <c r="R266" s="616">
        <f t="shared" si="2"/>
        <v>2250</v>
      </c>
    </row>
    <row r="267">
      <c r="A267" s="614">
        <v>266.0</v>
      </c>
      <c r="B267" s="615" t="s">
        <v>3797</v>
      </c>
      <c r="C267" s="614" t="s">
        <v>3578</v>
      </c>
      <c r="D267" s="614" t="s">
        <v>3349</v>
      </c>
      <c r="E267" s="614"/>
      <c r="F267" s="614" t="s">
        <v>3195</v>
      </c>
      <c r="G267" s="614" t="s">
        <v>3202</v>
      </c>
      <c r="H267" s="614">
        <v>5.0</v>
      </c>
      <c r="I267" s="614" t="s">
        <v>3208</v>
      </c>
      <c r="J267" s="614" t="s">
        <v>3204</v>
      </c>
      <c r="K267" s="614" t="str">
        <f>IFERROR(__xludf.DUMMYFUNCTION("LET(
  r, C267,
  t, J267,
  cons, LOWER(TO_TEXT(O267))=""true"",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67" s="616" t="str">
        <f t="shared" si="1"/>
        <v>Минор</v>
      </c>
      <c r="M267" s="616"/>
      <c r="N267" s="615" t="s">
        <v>3798</v>
      </c>
      <c r="O267" s="616" t="b">
        <v>0</v>
      </c>
      <c r="P267" s="614">
        <v>1.0</v>
      </c>
      <c r="Q267" s="617" t="s">
        <v>3799</v>
      </c>
      <c r="R267" s="616">
        <f t="shared" si="2"/>
        <v>2250</v>
      </c>
    </row>
    <row r="268">
      <c r="A268" s="614">
        <v>267.0</v>
      </c>
      <c r="B268" s="615" t="s">
        <v>3800</v>
      </c>
      <c r="C268" s="614" t="s">
        <v>3578</v>
      </c>
      <c r="D268" s="614" t="s">
        <v>3349</v>
      </c>
      <c r="E268" s="614"/>
      <c r="F268" s="614" t="s">
        <v>3195</v>
      </c>
      <c r="G268" s="614" t="s">
        <v>3202</v>
      </c>
      <c r="H268" s="614">
        <v>5.0</v>
      </c>
      <c r="I268" s="614" t="s">
        <v>3203</v>
      </c>
      <c r="J268" s="614" t="s">
        <v>3204</v>
      </c>
      <c r="K268" s="614" t="str">
        <f>IFERROR(__xludf.DUMMYFUNCTION("LET(
  r, C268,
  t, J268,
  cons, LOWER(TO_TEXT(O268))=""true"",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68" s="616" t="str">
        <f t="shared" si="1"/>
        <v>Минор</v>
      </c>
      <c r="M268" s="616"/>
      <c r="N268" s="615" t="s">
        <v>3801</v>
      </c>
      <c r="O268" s="616" t="b">
        <v>0</v>
      </c>
      <c r="P268" s="614">
        <v>1.0</v>
      </c>
      <c r="Q268" s="617" t="s">
        <v>3802</v>
      </c>
      <c r="R268" s="616">
        <f t="shared" si="2"/>
        <v>2250</v>
      </c>
    </row>
    <row r="269">
      <c r="A269" s="614">
        <v>268.0</v>
      </c>
      <c r="B269" s="615" t="s">
        <v>3803</v>
      </c>
      <c r="C269" s="614" t="s">
        <v>3578</v>
      </c>
      <c r="D269" s="614" t="s">
        <v>3349</v>
      </c>
      <c r="E269" s="614"/>
      <c r="F269" s="614" t="s">
        <v>3195</v>
      </c>
      <c r="G269" s="614" t="s">
        <v>3202</v>
      </c>
      <c r="H269" s="614">
        <v>5.0</v>
      </c>
      <c r="I269" s="614" t="s">
        <v>692</v>
      </c>
      <c r="J269" s="614" t="s">
        <v>3204</v>
      </c>
      <c r="K269" s="614" t="str">
        <f>IFERROR(__xludf.DUMMYFUNCTION("LET(
  r, C269,
  t, J269,
  cons, LOWER(TO_TEXT(O269))=""true"",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69" s="616" t="str">
        <f t="shared" si="1"/>
        <v>Минор</v>
      </c>
      <c r="M269" s="616"/>
      <c r="N269" s="615" t="s">
        <v>3801</v>
      </c>
      <c r="O269" s="616" t="b">
        <v>0</v>
      </c>
      <c r="P269" s="614">
        <v>1.0</v>
      </c>
      <c r="Q269" s="617" t="s">
        <v>3804</v>
      </c>
      <c r="R269" s="616">
        <f t="shared" si="2"/>
        <v>2250</v>
      </c>
    </row>
    <row r="270">
      <c r="A270" s="614">
        <v>269.0</v>
      </c>
      <c r="B270" s="615" t="s">
        <v>3805</v>
      </c>
      <c r="C270" s="614" t="s">
        <v>3578</v>
      </c>
      <c r="D270" s="614" t="s">
        <v>1913</v>
      </c>
      <c r="E270" s="614"/>
      <c r="F270" s="614" t="s">
        <v>3571</v>
      </c>
      <c r="G270" s="614" t="s">
        <v>3202</v>
      </c>
      <c r="H270" s="614">
        <v>6.0</v>
      </c>
      <c r="I270" s="614" t="s">
        <v>692</v>
      </c>
      <c r="J270" s="614" t="s">
        <v>3221</v>
      </c>
      <c r="K270" s="614" t="str">
        <f>IFERROR(__xludf.DUMMYFUNCTION("LET(
  r, C270,
  t, J270,
  cons, LOWER(TO_TEXT(O270))=""true"",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)"),"2d6kh1*1000 зм")</f>
        <v>2d6kh1*1000 зм</v>
      </c>
      <c r="L270" s="616" t="str">
        <f t="shared" si="1"/>
        <v>Мажор</v>
      </c>
      <c r="M270" s="616"/>
      <c r="N270" s="615">
        <v>0.0</v>
      </c>
      <c r="O270" s="616" t="b">
        <v>0</v>
      </c>
      <c r="P270" s="614">
        <v>0.0</v>
      </c>
      <c r="Q270" s="617" t="s">
        <v>3806</v>
      </c>
      <c r="R270" s="616">
        <f t="shared" si="2"/>
        <v>5500</v>
      </c>
    </row>
    <row r="271">
      <c r="A271" s="614">
        <v>270.0</v>
      </c>
      <c r="B271" s="615" t="s">
        <v>3807</v>
      </c>
      <c r="C271" s="614" t="s">
        <v>3578</v>
      </c>
      <c r="D271" s="614" t="s">
        <v>2</v>
      </c>
      <c r="E271" s="614" t="s">
        <v>76</v>
      </c>
      <c r="F271" s="614" t="s">
        <v>3195</v>
      </c>
      <c r="G271" s="614" t="s">
        <v>3374</v>
      </c>
      <c r="H271" s="614">
        <v>6.0</v>
      </c>
      <c r="I271" s="614" t="s">
        <v>692</v>
      </c>
      <c r="J271" s="614" t="s">
        <v>3218</v>
      </c>
      <c r="K271" s="614" t="str">
        <f>IFERROR(__xludf.DUMMYFUNCTION("LET(
  r, C271,
  t, J271,
  cons, LOWER(TO_TEXT(O271))=""true"",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71" s="616" t="str">
        <f t="shared" si="1"/>
        <v>Мажор</v>
      </c>
      <c r="M271" s="616"/>
      <c r="N271" s="615">
        <v>0.0</v>
      </c>
      <c r="O271" s="616" t="b">
        <v>0</v>
      </c>
      <c r="P271" s="614">
        <v>0.0</v>
      </c>
      <c r="Q271" s="617" t="s">
        <v>3808</v>
      </c>
      <c r="R271" s="616">
        <f t="shared" si="2"/>
        <v>5000</v>
      </c>
    </row>
    <row r="272">
      <c r="A272" s="614">
        <v>271.0</v>
      </c>
      <c r="B272" s="615" t="s">
        <v>3809</v>
      </c>
      <c r="C272" s="614" t="s">
        <v>3578</v>
      </c>
      <c r="D272" s="614" t="s">
        <v>2</v>
      </c>
      <c r="E272" s="614" t="s">
        <v>56</v>
      </c>
      <c r="F272" s="614" t="s">
        <v>3195</v>
      </c>
      <c r="G272" s="614" t="s">
        <v>3214</v>
      </c>
      <c r="H272" s="614">
        <v>6.0</v>
      </c>
      <c r="I272" s="614" t="s">
        <v>692</v>
      </c>
      <c r="J272" s="614" t="s">
        <v>3204</v>
      </c>
      <c r="K272" s="614" t="str">
        <f>IFERROR(__xludf.DUMMYFUNCTION("LET(
  r, C272,
  t, J272,
  cons, LOWER(TO_TEXT(O272))=""true"",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72" s="616" t="str">
        <f t="shared" si="1"/>
        <v>Мажор</v>
      </c>
      <c r="M272" s="616"/>
      <c r="N272" s="615">
        <v>0.0</v>
      </c>
      <c r="O272" s="616" t="b">
        <v>0</v>
      </c>
      <c r="P272" s="614">
        <v>1.0</v>
      </c>
      <c r="Q272" s="617" t="s">
        <v>3810</v>
      </c>
      <c r="R272" s="616">
        <f t="shared" si="2"/>
        <v>4500</v>
      </c>
    </row>
    <row r="273">
      <c r="A273" s="614">
        <v>272.0</v>
      </c>
      <c r="B273" s="615" t="s">
        <v>3811</v>
      </c>
      <c r="C273" s="614" t="s">
        <v>3578</v>
      </c>
      <c r="D273" s="614" t="s">
        <v>1913</v>
      </c>
      <c r="E273" s="614" t="s">
        <v>3394</v>
      </c>
      <c r="F273" s="614" t="s">
        <v>3234</v>
      </c>
      <c r="G273" s="614" t="s">
        <v>3374</v>
      </c>
      <c r="H273" s="614">
        <v>6.0</v>
      </c>
      <c r="I273" s="614" t="s">
        <v>692</v>
      </c>
      <c r="J273" s="614" t="s">
        <v>3221</v>
      </c>
      <c r="K273" s="614" t="str">
        <f>IFERROR(__xludf.DUMMYFUNCTION("LET(
  r, C273,
  t, J273,
  cons, LOWER(TO_TEXT(O273))=""true"",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)"),"2d6kh1*1000 зм")</f>
        <v>2d6kh1*1000 зм</v>
      </c>
      <c r="L273" s="616" t="str">
        <f t="shared" si="1"/>
        <v>Мажор</v>
      </c>
      <c r="M273" s="616"/>
      <c r="N273" s="615">
        <v>0.0</v>
      </c>
      <c r="O273" s="616" t="b">
        <v>0</v>
      </c>
      <c r="P273" s="614">
        <v>1.0</v>
      </c>
      <c r="Q273" s="617" t="s">
        <v>3812</v>
      </c>
      <c r="R273" s="616">
        <f t="shared" si="2"/>
        <v>5500</v>
      </c>
    </row>
    <row r="274">
      <c r="A274" s="614">
        <v>273.0</v>
      </c>
      <c r="B274" s="615" t="s">
        <v>3813</v>
      </c>
      <c r="C274" s="614" t="s">
        <v>3578</v>
      </c>
      <c r="D274" s="614" t="s">
        <v>1913</v>
      </c>
      <c r="E274" s="614"/>
      <c r="F274" s="614" t="s">
        <v>3195</v>
      </c>
      <c r="G274" s="614" t="s">
        <v>3202</v>
      </c>
      <c r="H274" s="614">
        <v>5.0</v>
      </c>
      <c r="I274" s="614" t="s">
        <v>3208</v>
      </c>
      <c r="J274" s="614" t="s">
        <v>3257</v>
      </c>
      <c r="K274" s="614" t="str">
        <f>IFERROR(__xludf.DUMMYFUNCTION("LET(
  r, C274,
  t, J274,
  cons, LOWER(TO_TEXT(O274))=""true"",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)"),"1000 зм")</f>
        <v>1000 зм</v>
      </c>
      <c r="L274" s="616" t="str">
        <f t="shared" si="1"/>
        <v>Минор</v>
      </c>
      <c r="M274" s="616"/>
      <c r="N274" s="615">
        <v>0.0</v>
      </c>
      <c r="O274" s="616" t="b">
        <v>0</v>
      </c>
      <c r="P274" s="614">
        <v>1.0</v>
      </c>
      <c r="Q274" s="617" t="s">
        <v>3814</v>
      </c>
      <c r="R274" s="616">
        <f t="shared" si="2"/>
        <v>2000</v>
      </c>
    </row>
    <row r="275">
      <c r="A275" s="614">
        <v>274.0</v>
      </c>
      <c r="B275" s="615" t="s">
        <v>3815</v>
      </c>
      <c r="C275" s="614" t="s">
        <v>3578</v>
      </c>
      <c r="D275" s="614" t="s">
        <v>1913</v>
      </c>
      <c r="E275" s="614"/>
      <c r="F275" s="614" t="s">
        <v>3342</v>
      </c>
      <c r="G275" s="614" t="s">
        <v>3202</v>
      </c>
      <c r="H275" s="614">
        <v>5.0</v>
      </c>
      <c r="I275" s="614" t="s">
        <v>692</v>
      </c>
      <c r="J275" s="614" t="s">
        <v>3204</v>
      </c>
      <c r="K275" s="614" t="str">
        <f>IFERROR(__xludf.DUMMYFUNCTION("LET(
  r, C275,
  t, J275,
  cons, LOWER(TO_TEXT(O275))=""true"",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75" s="616" t="str">
        <f t="shared" si="1"/>
        <v>Минор</v>
      </c>
      <c r="M275" s="616"/>
      <c r="N275" s="615">
        <v>0.0</v>
      </c>
      <c r="O275" s="616" t="b">
        <v>0</v>
      </c>
      <c r="P275" s="614">
        <v>0.0</v>
      </c>
      <c r="Q275" s="617" t="s">
        <v>3816</v>
      </c>
      <c r="R275" s="616">
        <f t="shared" si="2"/>
        <v>2250</v>
      </c>
    </row>
    <row r="276">
      <c r="A276" s="614">
        <v>275.0</v>
      </c>
      <c r="B276" s="615" t="s">
        <v>3817</v>
      </c>
      <c r="C276" s="614" t="s">
        <v>3578</v>
      </c>
      <c r="D276" s="614" t="s">
        <v>1913</v>
      </c>
      <c r="E276" s="614"/>
      <c r="F276" s="614" t="s">
        <v>3342</v>
      </c>
      <c r="G276" s="614" t="s">
        <v>3202</v>
      </c>
      <c r="H276" s="614">
        <v>6.0</v>
      </c>
      <c r="I276" s="614" t="s">
        <v>692</v>
      </c>
      <c r="J276" s="614" t="s">
        <v>3253</v>
      </c>
      <c r="K276" s="614" t="str">
        <f>IFERROR(__xludf.DUMMYFUNCTION("LET(
  r, C276,
  t, J276,
  cons, LOWER(TO_TEXT(O276))=""true"",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)"),"6000 зм")</f>
        <v>6000 зм</v>
      </c>
      <c r="L276" s="616" t="str">
        <f t="shared" si="1"/>
        <v>Мажор</v>
      </c>
      <c r="M276" s="616"/>
      <c r="N276" s="615">
        <v>0.0</v>
      </c>
      <c r="O276" s="616" t="b">
        <v>0</v>
      </c>
      <c r="P276" s="614">
        <v>1.0</v>
      </c>
      <c r="Q276" s="617" t="s">
        <v>3818</v>
      </c>
      <c r="R276" s="616">
        <f t="shared" si="2"/>
        <v>6000</v>
      </c>
    </row>
    <row r="277">
      <c r="A277" s="614">
        <v>276.0</v>
      </c>
      <c r="B277" s="615" t="s">
        <v>3819</v>
      </c>
      <c r="C277" s="614" t="s">
        <v>3578</v>
      </c>
      <c r="D277" s="614" t="s">
        <v>1913</v>
      </c>
      <c r="E277" s="614"/>
      <c r="F277" s="614" t="s">
        <v>3342</v>
      </c>
      <c r="G277" s="614" t="s">
        <v>3207</v>
      </c>
      <c r="H277" s="614">
        <v>5.0</v>
      </c>
      <c r="I277" s="614" t="s">
        <v>692</v>
      </c>
      <c r="J277" s="614" t="s">
        <v>3204</v>
      </c>
      <c r="K277" s="614" t="str">
        <f>IFERROR(__xludf.DUMMYFUNCTION("LET(
  r, C277,
  t, J277,
  cons, LOWER(TO_TEXT(O277))=""true"",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77" s="616" t="str">
        <f t="shared" si="1"/>
        <v>Минор</v>
      </c>
      <c r="M277" s="616"/>
      <c r="N277" s="615">
        <v>0.0</v>
      </c>
      <c r="O277" s="616" t="b">
        <v>0</v>
      </c>
      <c r="P277" s="614">
        <v>0.0</v>
      </c>
      <c r="Q277" s="617" t="s">
        <v>3820</v>
      </c>
      <c r="R277" s="616">
        <f t="shared" si="2"/>
        <v>2250</v>
      </c>
    </row>
    <row r="278">
      <c r="A278" s="614">
        <v>277.0</v>
      </c>
      <c r="B278" s="615" t="s">
        <v>3821</v>
      </c>
      <c r="C278" s="614" t="s">
        <v>3578</v>
      </c>
      <c r="D278" s="614" t="s">
        <v>1913</v>
      </c>
      <c r="E278" s="614"/>
      <c r="F278" s="614" t="s">
        <v>3217</v>
      </c>
      <c r="G278" s="614" t="s">
        <v>3293</v>
      </c>
      <c r="H278" s="614">
        <v>5.0</v>
      </c>
      <c r="I278" s="614" t="s">
        <v>3208</v>
      </c>
      <c r="J278" s="614" t="s">
        <v>3204</v>
      </c>
      <c r="K278" s="614" t="str">
        <f>IFERROR(__xludf.DUMMYFUNCTION("LET(
  r, C278,
  t, J278,
  cons, LOWER(TO_TEXT(O278))=""true"",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78" s="616" t="str">
        <f t="shared" si="1"/>
        <v>Минор</v>
      </c>
      <c r="M278" s="616"/>
      <c r="N278" s="615">
        <v>0.0</v>
      </c>
      <c r="O278" s="616" t="b">
        <v>0</v>
      </c>
      <c r="P278" s="614">
        <v>0.0</v>
      </c>
      <c r="Q278" s="617" t="s">
        <v>3822</v>
      </c>
      <c r="R278" s="616">
        <f t="shared" si="2"/>
        <v>2250</v>
      </c>
    </row>
    <row r="279">
      <c r="A279" s="614">
        <v>278.0</v>
      </c>
      <c r="B279" s="615" t="s">
        <v>3823</v>
      </c>
      <c r="C279" s="614" t="s">
        <v>3578</v>
      </c>
      <c r="D279" s="614" t="s">
        <v>2</v>
      </c>
      <c r="E279" s="614" t="s">
        <v>3304</v>
      </c>
      <c r="F279" s="614" t="s">
        <v>3195</v>
      </c>
      <c r="G279" s="614" t="s">
        <v>3214</v>
      </c>
      <c r="H279" s="614">
        <v>6.0</v>
      </c>
      <c r="I279" s="614" t="s">
        <v>3203</v>
      </c>
      <c r="J279" s="614" t="s">
        <v>3221</v>
      </c>
      <c r="K279" s="614" t="str">
        <f>IFERROR(__xludf.DUMMYFUNCTION("LET(
  r, C279,
  t, J279,
  cons, LOWER(TO_TEXT(O279))=""true"",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)"),"2d6kh1*1000 зм")</f>
        <v>2d6kh1*1000 зм</v>
      </c>
      <c r="L279" s="616" t="str">
        <f t="shared" si="1"/>
        <v>Мажор</v>
      </c>
      <c r="M279" s="616"/>
      <c r="N279" s="615">
        <v>0.0</v>
      </c>
      <c r="O279" s="616" t="b">
        <v>0</v>
      </c>
      <c r="P279" s="614">
        <v>0.0</v>
      </c>
      <c r="Q279" s="617" t="s">
        <v>3824</v>
      </c>
      <c r="R279" s="616">
        <f t="shared" si="2"/>
        <v>5500</v>
      </c>
    </row>
    <row r="280">
      <c r="A280" s="614">
        <v>279.0</v>
      </c>
      <c r="B280" s="615" t="s">
        <v>3825</v>
      </c>
      <c r="C280" s="614" t="s">
        <v>3578</v>
      </c>
      <c r="D280" s="614" t="s">
        <v>1913</v>
      </c>
      <c r="E280" s="614"/>
      <c r="F280" s="614" t="s">
        <v>3217</v>
      </c>
      <c r="G280" s="614" t="s">
        <v>3207</v>
      </c>
      <c r="H280" s="614">
        <v>5.0</v>
      </c>
      <c r="I280" s="614" t="s">
        <v>692</v>
      </c>
      <c r="J280" s="614" t="s">
        <v>3218</v>
      </c>
      <c r="K280" s="614" t="str">
        <f>IFERROR(__xludf.DUMMYFUNCTION("LET(
  r, C280,
  t, J280,
  cons, LOWER(TO_TEXT(O280))=""true"",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)"),"1d6*500 зм")</f>
        <v>1d6*500 зм</v>
      </c>
      <c r="L280" s="616" t="str">
        <f t="shared" si="1"/>
        <v>Минор</v>
      </c>
      <c r="M280" s="616"/>
      <c r="N280" s="615">
        <v>0.0</v>
      </c>
      <c r="O280" s="616" t="b">
        <v>1</v>
      </c>
      <c r="P280" s="614">
        <v>0.0</v>
      </c>
      <c r="Q280" s="617" t="s">
        <v>3826</v>
      </c>
      <c r="R280" s="616">
        <f t="shared" si="2"/>
        <v>2500</v>
      </c>
    </row>
    <row r="281">
      <c r="A281" s="614">
        <v>280.0</v>
      </c>
      <c r="B281" s="615" t="s">
        <v>3827</v>
      </c>
      <c r="C281" s="614" t="s">
        <v>3578</v>
      </c>
      <c r="D281" s="614" t="s">
        <v>3828</v>
      </c>
      <c r="E281" s="614"/>
      <c r="F281" s="614" t="s">
        <v>3217</v>
      </c>
      <c r="G281" s="614" t="s">
        <v>3202</v>
      </c>
      <c r="H281" s="614">
        <v>5.0</v>
      </c>
      <c r="I281" s="614" t="s">
        <v>3208</v>
      </c>
      <c r="J281" s="614" t="s">
        <v>3204</v>
      </c>
      <c r="K281" s="614" t="str">
        <f>IFERROR(__xludf.DUMMYFUNCTION("LET(
  r, C281,
  t, J281,
  cons, LOWER(TO_TEXT(O281))=""true"",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)"),"2d6kl1*500 зм")</f>
        <v>2d6kl1*500 зм</v>
      </c>
      <c r="L281" s="616" t="str">
        <f t="shared" si="1"/>
        <v>Минор</v>
      </c>
      <c r="M281" s="616"/>
      <c r="N281" s="615">
        <v>0.0</v>
      </c>
      <c r="O281" s="616" t="b">
        <v>1</v>
      </c>
      <c r="P281" s="614">
        <v>1.0</v>
      </c>
      <c r="Q281" s="617" t="s">
        <v>3829</v>
      </c>
      <c r="R281" s="616">
        <f t="shared" si="2"/>
        <v>2250</v>
      </c>
    </row>
    <row r="282">
      <c r="A282" s="614">
        <v>281.0</v>
      </c>
      <c r="B282" s="615" t="s">
        <v>3830</v>
      </c>
      <c r="C282" s="614" t="s">
        <v>3578</v>
      </c>
      <c r="D282" s="614" t="s">
        <v>1913</v>
      </c>
      <c r="E282" s="614"/>
      <c r="F282" s="614" t="s">
        <v>3217</v>
      </c>
      <c r="G282" s="614" t="s">
        <v>3202</v>
      </c>
      <c r="H282" s="614">
        <v>5.0</v>
      </c>
      <c r="I282" s="614" t="s">
        <v>692</v>
      </c>
      <c r="J282" s="614" t="s">
        <v>3257</v>
      </c>
      <c r="K282" s="614" t="str">
        <f>IFERROR(__xludf.DUMMYFUNCTION("LET(
  r, C282,
  t, J282,
  cons, LOWER(TO_TEXT(O282))=""true"",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)"),"1000 зм")</f>
        <v>1000 зм</v>
      </c>
      <c r="L282" s="616" t="str">
        <f t="shared" si="1"/>
        <v>Минор</v>
      </c>
      <c r="M282" s="616"/>
      <c r="N282" s="615">
        <v>0.0</v>
      </c>
      <c r="O282" s="616" t="b">
        <v>0</v>
      </c>
      <c r="P282" s="614">
        <v>1.0</v>
      </c>
      <c r="Q282" s="617" t="s">
        <v>3831</v>
      </c>
      <c r="R282" s="616">
        <f t="shared" si="2"/>
        <v>2000</v>
      </c>
    </row>
    <row r="283">
      <c r="A283" s="614">
        <v>282.0</v>
      </c>
      <c r="B283" s="615" t="s">
        <v>3832</v>
      </c>
      <c r="C283" s="614" t="s">
        <v>3578</v>
      </c>
      <c r="D283" s="614" t="s">
        <v>2</v>
      </c>
      <c r="E283" s="614" t="s">
        <v>3228</v>
      </c>
      <c r="F283" s="614" t="s">
        <v>3195</v>
      </c>
      <c r="G283" s="614" t="s">
        <v>3202</v>
      </c>
      <c r="H283" s="614">
        <v>6.0</v>
      </c>
      <c r="I283" s="614" t="s">
        <v>692</v>
      </c>
      <c r="J283" s="614" t="s">
        <v>3218</v>
      </c>
      <c r="K283" s="614" t="str">
        <f>IFERROR(__xludf.DUMMYFUNCTION("LET(
  r, C283,
  t, J283,
  cons, LOWER(TO_TEXT(O283))=""true"",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83" s="616" t="str">
        <f t="shared" si="1"/>
        <v>Мажор</v>
      </c>
      <c r="M283" s="616"/>
      <c r="N283" s="615">
        <v>0.0</v>
      </c>
      <c r="O283" s="616" t="b">
        <v>0</v>
      </c>
      <c r="P283" s="614">
        <v>1.0</v>
      </c>
      <c r="Q283" s="617" t="s">
        <v>3833</v>
      </c>
      <c r="R283" s="616">
        <f t="shared" si="2"/>
        <v>5000</v>
      </c>
    </row>
    <row r="284">
      <c r="A284" s="614">
        <v>283.0</v>
      </c>
      <c r="B284" s="615" t="s">
        <v>3834</v>
      </c>
      <c r="C284" s="614" t="s">
        <v>3578</v>
      </c>
      <c r="D284" s="614" t="s">
        <v>2</v>
      </c>
      <c r="E284" s="614" t="s">
        <v>75</v>
      </c>
      <c r="F284" s="614" t="s">
        <v>3195</v>
      </c>
      <c r="G284" s="614" t="s">
        <v>3316</v>
      </c>
      <c r="H284" s="614">
        <v>6.0</v>
      </c>
      <c r="I284" s="614" t="s">
        <v>692</v>
      </c>
      <c r="J284" s="614" t="s">
        <v>3204</v>
      </c>
      <c r="K284" s="614" t="str">
        <f>IFERROR(__xludf.DUMMYFUNCTION("LET(
  r, C284,
  t, J284,
  cons, LOWER(TO_TEXT(O284))=""true"",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84" s="616" t="str">
        <f t="shared" si="1"/>
        <v>Мажор</v>
      </c>
      <c r="M284" s="616"/>
      <c r="N284" s="615">
        <v>0.0</v>
      </c>
      <c r="O284" s="616" t="b">
        <v>0</v>
      </c>
      <c r="P284" s="614">
        <v>1.0</v>
      </c>
      <c r="Q284" s="617" t="s">
        <v>3835</v>
      </c>
      <c r="R284" s="616">
        <f t="shared" si="2"/>
        <v>4500</v>
      </c>
    </row>
    <row r="285">
      <c r="A285" s="614">
        <v>284.0</v>
      </c>
      <c r="B285" s="615" t="s">
        <v>3836</v>
      </c>
      <c r="C285" s="614" t="s">
        <v>3578</v>
      </c>
      <c r="D285" s="614" t="s">
        <v>3349</v>
      </c>
      <c r="E285" s="614" t="s">
        <v>66</v>
      </c>
      <c r="F285" s="614" t="s">
        <v>3195</v>
      </c>
      <c r="G285" s="614" t="s">
        <v>3214</v>
      </c>
      <c r="H285" s="614">
        <v>6.0</v>
      </c>
      <c r="I285" s="614" t="s">
        <v>3208</v>
      </c>
      <c r="J285" s="614" t="s">
        <v>3204</v>
      </c>
      <c r="K285" s="614" t="str">
        <f>IFERROR(__xludf.DUMMYFUNCTION("LET(
  r, C285,
  t, J285,
  cons, LOWER(TO_TEXT(O285))=""true"",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85" s="616" t="str">
        <f t="shared" si="1"/>
        <v>Мажор</v>
      </c>
      <c r="M285" s="616"/>
      <c r="N285" s="615" t="s">
        <v>3837</v>
      </c>
      <c r="O285" s="616" t="b">
        <v>0</v>
      </c>
      <c r="P285" s="614">
        <v>1.0</v>
      </c>
      <c r="Q285" s="617" t="s">
        <v>3838</v>
      </c>
      <c r="R285" s="616">
        <f t="shared" si="2"/>
        <v>4500</v>
      </c>
    </row>
    <row r="286">
      <c r="A286" s="614">
        <v>285.0</v>
      </c>
      <c r="B286" s="615" t="s">
        <v>3839</v>
      </c>
      <c r="C286" s="614" t="s">
        <v>3578</v>
      </c>
      <c r="D286" s="614" t="s">
        <v>1913</v>
      </c>
      <c r="E286" s="614"/>
      <c r="F286" s="614" t="s">
        <v>3217</v>
      </c>
      <c r="G286" s="614" t="s">
        <v>3202</v>
      </c>
      <c r="H286" s="614">
        <v>5.0</v>
      </c>
      <c r="I286" s="614" t="s">
        <v>3203</v>
      </c>
      <c r="J286" s="614" t="s">
        <v>3411</v>
      </c>
      <c r="K286" s="614" t="str">
        <f>IFERROR(__xludf.DUMMYFUNCTION("LET(
  r, C286,
  t, J286,
  cons, LOWER(TO_TEXT(O286))=""true"",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)"),"1d6*500 зм")</f>
        <v>1d6*500 зм</v>
      </c>
      <c r="L286" s="616" t="str">
        <f t="shared" si="1"/>
        <v>Минор</v>
      </c>
      <c r="M286" s="616"/>
      <c r="N286" s="615">
        <v>0.0</v>
      </c>
      <c r="O286" s="616" t="b">
        <v>1</v>
      </c>
      <c r="P286" s="614">
        <v>0.0</v>
      </c>
      <c r="Q286" s="617" t="s">
        <v>3840</v>
      </c>
      <c r="R286" s="616">
        <f t="shared" si="2"/>
        <v>2500</v>
      </c>
    </row>
    <row r="287">
      <c r="A287" s="614">
        <v>286.0</v>
      </c>
      <c r="B287" s="615" t="s">
        <v>3841</v>
      </c>
      <c r="C287" s="614" t="s">
        <v>3578</v>
      </c>
      <c r="D287" s="614" t="s">
        <v>1913</v>
      </c>
      <c r="E287" s="614"/>
      <c r="F287" s="614" t="s">
        <v>3195</v>
      </c>
      <c r="G287" s="614" t="s">
        <v>3214</v>
      </c>
      <c r="H287" s="614">
        <v>5.0</v>
      </c>
      <c r="I287" s="614" t="s">
        <v>3203</v>
      </c>
      <c r="J287" s="614" t="s">
        <v>3204</v>
      </c>
      <c r="K287" s="614" t="str">
        <f>IFERROR(__xludf.DUMMYFUNCTION("LET(
  r, C287,
  t, J287,
  cons, LOWER(TO_TEXT(O287))=""true"",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87" s="616" t="str">
        <f t="shared" si="1"/>
        <v>Минор</v>
      </c>
      <c r="M287" s="616"/>
      <c r="N287" s="615">
        <v>0.0</v>
      </c>
      <c r="O287" s="616" t="b">
        <v>0</v>
      </c>
      <c r="P287" s="614">
        <v>1.0</v>
      </c>
      <c r="Q287" s="617" t="s">
        <v>3842</v>
      </c>
      <c r="R287" s="616">
        <f t="shared" si="2"/>
        <v>2250</v>
      </c>
    </row>
    <row r="288">
      <c r="A288" s="614">
        <v>287.0</v>
      </c>
      <c r="B288" s="615" t="s">
        <v>3843</v>
      </c>
      <c r="C288" s="614" t="s">
        <v>3578</v>
      </c>
      <c r="D288" s="614" t="s">
        <v>14</v>
      </c>
      <c r="E288" s="614" t="s">
        <v>650</v>
      </c>
      <c r="F288" s="614" t="s">
        <v>3195</v>
      </c>
      <c r="G288" s="614" t="s">
        <v>3244</v>
      </c>
      <c r="H288" s="614">
        <v>5.0</v>
      </c>
      <c r="I288" s="614" t="s">
        <v>692</v>
      </c>
      <c r="J288" s="614" t="s">
        <v>3218</v>
      </c>
      <c r="K288" s="614" t="str">
        <f>IFERROR(__xludf.DUMMYFUNCTION("LET(
  r, C288,
  t, J288,
  cons, LOWER(TO_TEXT(O288))=""true"",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88" s="616" t="str">
        <f t="shared" si="1"/>
        <v>Минор</v>
      </c>
      <c r="M288" s="616"/>
      <c r="N288" s="615">
        <v>0.0</v>
      </c>
      <c r="O288" s="616" t="b">
        <v>0</v>
      </c>
      <c r="P288" s="614">
        <v>1.0</v>
      </c>
      <c r="Q288" s="617" t="s">
        <v>3844</v>
      </c>
      <c r="R288" s="616">
        <f t="shared" si="2"/>
        <v>2500</v>
      </c>
    </row>
    <row r="289">
      <c r="A289" s="614">
        <v>288.0</v>
      </c>
      <c r="B289" s="615" t="s">
        <v>3845</v>
      </c>
      <c r="C289" s="614" t="s">
        <v>3578</v>
      </c>
      <c r="D289" s="614" t="s">
        <v>1913</v>
      </c>
      <c r="E289" s="614" t="s">
        <v>3394</v>
      </c>
      <c r="F289" s="614" t="s">
        <v>3217</v>
      </c>
      <c r="G289" s="614" t="s">
        <v>3293</v>
      </c>
      <c r="H289" s="614">
        <v>5.0</v>
      </c>
      <c r="I289" s="614" t="s">
        <v>3203</v>
      </c>
      <c r="J289" s="614" t="s">
        <v>3204</v>
      </c>
      <c r="K289" s="614" t="str">
        <f>IFERROR(__xludf.DUMMYFUNCTION("LET(
  r, C289,
  t, J289,
  cons, LOWER(TO_TEXT(O289))=""true"",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89" s="616" t="str">
        <f t="shared" si="1"/>
        <v>Минор</v>
      </c>
      <c r="M289" s="616"/>
      <c r="N289" s="615">
        <v>0.0</v>
      </c>
      <c r="O289" s="616" t="b">
        <v>0</v>
      </c>
      <c r="P289" s="614">
        <v>1.0</v>
      </c>
      <c r="Q289" s="617" t="s">
        <v>3846</v>
      </c>
      <c r="R289" s="616">
        <f t="shared" si="2"/>
        <v>2250</v>
      </c>
    </row>
    <row r="290">
      <c r="A290" s="614">
        <v>289.0</v>
      </c>
      <c r="B290" s="615" t="s">
        <v>3847</v>
      </c>
      <c r="C290" s="614" t="s">
        <v>3578</v>
      </c>
      <c r="D290" s="614" t="s">
        <v>2</v>
      </c>
      <c r="E290" s="614" t="s">
        <v>1194</v>
      </c>
      <c r="F290" s="614" t="s">
        <v>3195</v>
      </c>
      <c r="G290" s="614" t="s">
        <v>3202</v>
      </c>
      <c r="H290" s="614">
        <v>6.0</v>
      </c>
      <c r="I290" s="614" t="s">
        <v>692</v>
      </c>
      <c r="J290" s="614" t="s">
        <v>3218</v>
      </c>
      <c r="K290" s="614" t="str">
        <f>IFERROR(__xludf.DUMMYFUNCTION("LET(
  r, C290,
  t, J290,
  cons, LOWER(TO_TEXT(O290))=""true"",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90" s="616" t="str">
        <f t="shared" si="1"/>
        <v>Мажор</v>
      </c>
      <c r="M290" s="616"/>
      <c r="N290" s="615">
        <v>0.0</v>
      </c>
      <c r="O290" s="616" t="b">
        <v>0</v>
      </c>
      <c r="P290" s="614">
        <v>1.0</v>
      </c>
      <c r="Q290" s="617" t="s">
        <v>3848</v>
      </c>
      <c r="R290" s="616">
        <f t="shared" si="2"/>
        <v>5000</v>
      </c>
    </row>
    <row r="291">
      <c r="A291" s="614">
        <v>290.0</v>
      </c>
      <c r="B291" s="615" t="s">
        <v>3849</v>
      </c>
      <c r="C291" s="614" t="s">
        <v>3578</v>
      </c>
      <c r="D291" s="614" t="s">
        <v>2</v>
      </c>
      <c r="E291" s="614" t="s">
        <v>3333</v>
      </c>
      <c r="F291" s="614" t="s">
        <v>3195</v>
      </c>
      <c r="G291" s="614" t="s">
        <v>3202</v>
      </c>
      <c r="H291" s="614">
        <v>5.0</v>
      </c>
      <c r="I291" s="614" t="s">
        <v>692</v>
      </c>
      <c r="J291" s="614" t="s">
        <v>3204</v>
      </c>
      <c r="K291" s="614" t="str">
        <f>IFERROR(__xludf.DUMMYFUNCTION("LET(
  r, C291,
  t, J291,
  cons, LOWER(TO_TEXT(O291))=""true"",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91" s="616" t="str">
        <f t="shared" si="1"/>
        <v>Минор</v>
      </c>
      <c r="M291" s="616"/>
      <c r="N291" s="615">
        <v>0.0</v>
      </c>
      <c r="O291" s="616" t="b">
        <v>0</v>
      </c>
      <c r="P291" s="614">
        <v>0.0</v>
      </c>
      <c r="Q291" s="617" t="s">
        <v>3850</v>
      </c>
      <c r="R291" s="616">
        <f t="shared" si="2"/>
        <v>2250</v>
      </c>
    </row>
    <row r="292">
      <c r="A292" s="614">
        <v>291.0</v>
      </c>
      <c r="B292" s="615" t="s">
        <v>3851</v>
      </c>
      <c r="C292" s="614" t="s">
        <v>3578</v>
      </c>
      <c r="D292" s="614" t="s">
        <v>2</v>
      </c>
      <c r="E292" s="614" t="s">
        <v>3333</v>
      </c>
      <c r="F292" s="614" t="s">
        <v>3195</v>
      </c>
      <c r="G292" s="614" t="s">
        <v>3202</v>
      </c>
      <c r="H292" s="614">
        <v>5.0</v>
      </c>
      <c r="I292" s="614" t="s">
        <v>692</v>
      </c>
      <c r="J292" s="614" t="s">
        <v>3218</v>
      </c>
      <c r="K292" s="614" t="str">
        <f>IFERROR(__xludf.DUMMYFUNCTION("LET(
  r, C292,
  t, J292,
  cons, LOWER(TO_TEXT(O292))=""true"",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92" s="616" t="str">
        <f t="shared" si="1"/>
        <v>Минор</v>
      </c>
      <c r="M292" s="616"/>
      <c r="N292" s="615">
        <v>0.0</v>
      </c>
      <c r="O292" s="616" t="b">
        <v>0</v>
      </c>
      <c r="P292" s="614">
        <v>0.0</v>
      </c>
      <c r="Q292" s="617" t="s">
        <v>3852</v>
      </c>
      <c r="R292" s="616">
        <f t="shared" si="2"/>
        <v>2500</v>
      </c>
    </row>
    <row r="293">
      <c r="A293" s="614">
        <v>292.0</v>
      </c>
      <c r="B293" s="615" t="s">
        <v>3853</v>
      </c>
      <c r="C293" s="614" t="s">
        <v>3578</v>
      </c>
      <c r="D293" s="614" t="s">
        <v>2</v>
      </c>
      <c r="E293" s="614" t="s">
        <v>3333</v>
      </c>
      <c r="F293" s="614" t="s">
        <v>3195</v>
      </c>
      <c r="G293" s="614" t="s">
        <v>3244</v>
      </c>
      <c r="H293" s="614">
        <v>5.0</v>
      </c>
      <c r="I293" s="614" t="s">
        <v>692</v>
      </c>
      <c r="J293" s="614" t="s">
        <v>3257</v>
      </c>
      <c r="K293" s="614" t="str">
        <f>IFERROR(__xludf.DUMMYFUNCTION("LET(
  r, C293,
  t, J293,
  cons, LOWER(TO_TEXT(O293))=""true"",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)"),"1000 зм")</f>
        <v>1000 зм</v>
      </c>
      <c r="L293" s="616" t="str">
        <f t="shared" si="1"/>
        <v>Минор</v>
      </c>
      <c r="M293" s="616"/>
      <c r="N293" s="615">
        <v>0.0</v>
      </c>
      <c r="O293" s="616" t="b">
        <v>0</v>
      </c>
      <c r="P293" s="614">
        <v>1.0</v>
      </c>
      <c r="Q293" s="617" t="s">
        <v>3854</v>
      </c>
      <c r="R293" s="616">
        <f t="shared" si="2"/>
        <v>2000</v>
      </c>
    </row>
    <row r="294">
      <c r="A294" s="614">
        <v>293.0</v>
      </c>
      <c r="B294" s="615" t="s">
        <v>3855</v>
      </c>
      <c r="C294" s="614" t="s">
        <v>3578</v>
      </c>
      <c r="D294" s="614" t="s">
        <v>1913</v>
      </c>
      <c r="E294" s="614"/>
      <c r="F294" s="614" t="s">
        <v>3217</v>
      </c>
      <c r="G294" s="614" t="s">
        <v>3202</v>
      </c>
      <c r="H294" s="614">
        <v>5.0</v>
      </c>
      <c r="I294" s="614" t="s">
        <v>3203</v>
      </c>
      <c r="J294" s="614" t="s">
        <v>3253</v>
      </c>
      <c r="K294" s="614" t="str">
        <f>IFERROR(__xludf.DUMMYFUNCTION("LET(
  r, C294,
  t, J294,
  cons, LOWER(TO_TEXT(O294))=""true"",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)"),"6000 зм")</f>
        <v>6000 зм</v>
      </c>
      <c r="L294" s="616" t="str">
        <f t="shared" si="1"/>
        <v>Минор</v>
      </c>
      <c r="M294" s="616"/>
      <c r="N294" s="615">
        <v>0.0</v>
      </c>
      <c r="O294" s="616" t="b">
        <v>0</v>
      </c>
      <c r="P294" s="614">
        <v>0.0</v>
      </c>
      <c r="Q294" s="617" t="s">
        <v>3856</v>
      </c>
      <c r="R294" s="616">
        <f t="shared" si="2"/>
        <v>3000</v>
      </c>
    </row>
    <row r="295">
      <c r="A295" s="614">
        <v>294.0</v>
      </c>
      <c r="B295" s="615" t="s">
        <v>3857</v>
      </c>
      <c r="C295" s="614" t="s">
        <v>3578</v>
      </c>
      <c r="D295" s="614" t="s">
        <v>1913</v>
      </c>
      <c r="E295" s="614"/>
      <c r="F295" s="614" t="s">
        <v>3309</v>
      </c>
      <c r="G295" s="614" t="s">
        <v>3244</v>
      </c>
      <c r="H295" s="614">
        <v>6.0</v>
      </c>
      <c r="I295" s="614" t="s">
        <v>3203</v>
      </c>
      <c r="J295" s="614" t="s">
        <v>3221</v>
      </c>
      <c r="K295" s="614" t="str">
        <f>IFERROR(__xludf.DUMMYFUNCTION("LET(
  r, C295,
  t, J295,
  cons, LOWER(TO_TEXT(O295))=""true"",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)"),"2d6kh1*1000 зм")</f>
        <v>2d6kh1*1000 зм</v>
      </c>
      <c r="L295" s="616" t="str">
        <f t="shared" si="1"/>
        <v>Мажор</v>
      </c>
      <c r="M295" s="616"/>
      <c r="N295" s="615">
        <v>0.0</v>
      </c>
      <c r="O295" s="616" t="b">
        <v>0</v>
      </c>
      <c r="P295" s="614">
        <v>1.0</v>
      </c>
      <c r="Q295" s="617" t="s">
        <v>3858</v>
      </c>
      <c r="R295" s="616">
        <f t="shared" si="2"/>
        <v>5500</v>
      </c>
    </row>
    <row r="296">
      <c r="A296" s="614">
        <v>295.0</v>
      </c>
      <c r="B296" s="615" t="s">
        <v>3859</v>
      </c>
      <c r="C296" s="614" t="s">
        <v>3578</v>
      </c>
      <c r="D296" s="614" t="s">
        <v>1913</v>
      </c>
      <c r="E296" s="614"/>
      <c r="F296" s="614" t="s">
        <v>3217</v>
      </c>
      <c r="G296" s="614" t="s">
        <v>3293</v>
      </c>
      <c r="H296" s="614">
        <v>5.0</v>
      </c>
      <c r="I296" s="614" t="s">
        <v>3208</v>
      </c>
      <c r="J296" s="614" t="s">
        <v>3204</v>
      </c>
      <c r="K296" s="614" t="str">
        <f>IFERROR(__xludf.DUMMYFUNCTION("LET(
  r, C296,
  t, J296,
  cons, LOWER(TO_TEXT(O296))=""true"",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96" s="616" t="str">
        <f t="shared" si="1"/>
        <v>Минор</v>
      </c>
      <c r="M296" s="616"/>
      <c r="N296" s="615">
        <v>0.0</v>
      </c>
      <c r="O296" s="616" t="b">
        <v>0</v>
      </c>
      <c r="P296" s="614">
        <v>1.0</v>
      </c>
      <c r="Q296" s="617" t="s">
        <v>3860</v>
      </c>
      <c r="R296" s="616">
        <f t="shared" si="2"/>
        <v>2250</v>
      </c>
    </row>
    <row r="297">
      <c r="A297" s="614">
        <v>296.0</v>
      </c>
      <c r="B297" s="615" t="s">
        <v>3861</v>
      </c>
      <c r="C297" s="614" t="s">
        <v>3578</v>
      </c>
      <c r="D297" s="614" t="s">
        <v>2</v>
      </c>
      <c r="E297" s="614" t="s">
        <v>92</v>
      </c>
      <c r="F297" s="614" t="s">
        <v>3195</v>
      </c>
      <c r="G297" s="614" t="s">
        <v>3214</v>
      </c>
      <c r="H297" s="614">
        <v>6.0</v>
      </c>
      <c r="I297" s="614" t="s">
        <v>692</v>
      </c>
      <c r="J297" s="614" t="s">
        <v>3204</v>
      </c>
      <c r="K297" s="614" t="str">
        <f>IFERROR(__xludf.DUMMYFUNCTION("LET(
  r, C297,
  t, J297,
  cons, LOWER(TO_TEXT(O297))=""true"",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297" s="616" t="str">
        <f t="shared" si="1"/>
        <v>Мажор</v>
      </c>
      <c r="M297" s="616"/>
      <c r="N297" s="615">
        <v>0.0</v>
      </c>
      <c r="O297" s="616" t="b">
        <v>0</v>
      </c>
      <c r="P297" s="614">
        <v>1.0</v>
      </c>
      <c r="Q297" s="617" t="s">
        <v>3862</v>
      </c>
      <c r="R297" s="616">
        <f t="shared" si="2"/>
        <v>4500</v>
      </c>
    </row>
    <row r="298">
      <c r="A298" s="614">
        <v>297.0</v>
      </c>
      <c r="B298" s="615" t="s">
        <v>3863</v>
      </c>
      <c r="C298" s="614" t="s">
        <v>3578</v>
      </c>
      <c r="D298" s="614" t="s">
        <v>2</v>
      </c>
      <c r="E298" s="614" t="s">
        <v>3228</v>
      </c>
      <c r="F298" s="614" t="s">
        <v>3195</v>
      </c>
      <c r="G298" s="614" t="s">
        <v>3196</v>
      </c>
      <c r="H298" s="614">
        <v>5.0</v>
      </c>
      <c r="I298" s="614" t="s">
        <v>3208</v>
      </c>
      <c r="J298" s="614" t="s">
        <v>3257</v>
      </c>
      <c r="K298" s="614" t="str">
        <f>IFERROR(__xludf.DUMMYFUNCTION("LET(
  r, C298,
  t, J298,
  cons, LOWER(TO_TEXT(O298))=""true"",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)"),"1000 зм")</f>
        <v>1000 зм</v>
      </c>
      <c r="L298" s="616" t="str">
        <f t="shared" si="1"/>
        <v>Минор</v>
      </c>
      <c r="M298" s="616"/>
      <c r="N298" s="615">
        <v>0.0</v>
      </c>
      <c r="O298" s="616" t="b">
        <v>0</v>
      </c>
      <c r="P298" s="614">
        <v>1.0</v>
      </c>
      <c r="Q298" s="617" t="s">
        <v>3864</v>
      </c>
      <c r="R298" s="616">
        <f t="shared" si="2"/>
        <v>2000</v>
      </c>
    </row>
    <row r="299">
      <c r="A299" s="614">
        <v>298.0</v>
      </c>
      <c r="B299" s="615" t="s">
        <v>3865</v>
      </c>
      <c r="C299" s="614" t="s">
        <v>3578</v>
      </c>
      <c r="D299" s="614" t="s">
        <v>1913</v>
      </c>
      <c r="E299" s="614"/>
      <c r="F299" s="614" t="s">
        <v>3217</v>
      </c>
      <c r="G299" s="614" t="s">
        <v>3202</v>
      </c>
      <c r="H299" s="614">
        <v>5.0</v>
      </c>
      <c r="I299" s="614" t="s">
        <v>3203</v>
      </c>
      <c r="J299" s="614" t="s">
        <v>3218</v>
      </c>
      <c r="K299" s="614" t="str">
        <f>IFERROR(__xludf.DUMMYFUNCTION("LET(
  r, C299,
  t, J299,
  cons, LOWER(TO_TEXT(O299))=""true"",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299" s="616" t="str">
        <f t="shared" si="1"/>
        <v>Минор</v>
      </c>
      <c r="M299" s="616"/>
      <c r="N299" s="615">
        <v>0.0</v>
      </c>
      <c r="O299" s="616" t="b">
        <v>0</v>
      </c>
      <c r="P299" s="614">
        <v>1.0</v>
      </c>
      <c r="Q299" s="617" t="s">
        <v>3866</v>
      </c>
      <c r="R299" s="616">
        <f t="shared" si="2"/>
        <v>2500</v>
      </c>
    </row>
    <row r="300">
      <c r="A300" s="614">
        <v>299.0</v>
      </c>
      <c r="B300" s="615" t="s">
        <v>3867</v>
      </c>
      <c r="C300" s="614" t="s">
        <v>3578</v>
      </c>
      <c r="D300" s="614" t="s">
        <v>1913</v>
      </c>
      <c r="E300" s="614"/>
      <c r="F300" s="614" t="s">
        <v>3272</v>
      </c>
      <c r="G300" s="614" t="s">
        <v>3374</v>
      </c>
      <c r="H300" s="614">
        <v>5.0</v>
      </c>
      <c r="I300" s="614" t="s">
        <v>3203</v>
      </c>
      <c r="J300" s="614" t="s">
        <v>3204</v>
      </c>
      <c r="K300" s="614" t="str">
        <f>IFERROR(__xludf.DUMMYFUNCTION("LET(
  r, C300,
  t, J300,
  cons, LOWER(TO_TEXT(O300))=""true"",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300" s="616" t="str">
        <f t="shared" si="1"/>
        <v>Минор</v>
      </c>
      <c r="M300" s="616"/>
      <c r="N300" s="615">
        <v>0.0</v>
      </c>
      <c r="O300" s="616" t="b">
        <v>0</v>
      </c>
      <c r="P300" s="614">
        <v>1.0</v>
      </c>
      <c r="Q300" s="617" t="s">
        <v>3868</v>
      </c>
      <c r="R300" s="616">
        <f t="shared" si="2"/>
        <v>2250</v>
      </c>
    </row>
    <row r="301">
      <c r="A301" s="614">
        <v>300.0</v>
      </c>
      <c r="B301" s="615" t="s">
        <v>3869</v>
      </c>
      <c r="C301" s="614" t="s">
        <v>3578</v>
      </c>
      <c r="D301" s="614" t="s">
        <v>1913</v>
      </c>
      <c r="E301" s="614"/>
      <c r="F301" s="614" t="s">
        <v>3272</v>
      </c>
      <c r="G301" s="614" t="s">
        <v>3202</v>
      </c>
      <c r="H301" s="614">
        <v>6.0</v>
      </c>
      <c r="I301" s="614" t="s">
        <v>3203</v>
      </c>
      <c r="J301" s="614" t="s">
        <v>3411</v>
      </c>
      <c r="K301" s="614" t="str">
        <f>IFERROR(__xludf.DUMMYFUNCTION("LET(
  r, C301,
  t, J301,
  cons, LOWER(TO_TEXT(O301))=""true"",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301" s="616" t="str">
        <f t="shared" si="1"/>
        <v>Мажор</v>
      </c>
      <c r="M301" s="616"/>
      <c r="N301" s="615">
        <v>0.0</v>
      </c>
      <c r="O301" s="616" t="b">
        <v>0</v>
      </c>
      <c r="P301" s="614">
        <v>0.0</v>
      </c>
      <c r="Q301" s="617" t="s">
        <v>3870</v>
      </c>
      <c r="R301" s="616">
        <f t="shared" si="2"/>
        <v>5000</v>
      </c>
    </row>
    <row r="302">
      <c r="A302" s="614">
        <v>301.0</v>
      </c>
      <c r="B302" s="615" t="s">
        <v>3871</v>
      </c>
      <c r="C302" s="614" t="s">
        <v>3578</v>
      </c>
      <c r="D302" s="614" t="s">
        <v>14</v>
      </c>
      <c r="E302" s="614" t="s">
        <v>650</v>
      </c>
      <c r="F302" s="614" t="s">
        <v>3195</v>
      </c>
      <c r="G302" s="614" t="s">
        <v>3662</v>
      </c>
      <c r="H302" s="614">
        <v>5.0</v>
      </c>
      <c r="I302" s="614" t="s">
        <v>3203</v>
      </c>
      <c r="J302" s="614" t="s">
        <v>3237</v>
      </c>
      <c r="K302" s="614" t="str">
        <f>IFERROR(__xludf.DUMMYFUNCTION("LET(
  r, C302,
  t, J302,
  cons, LOWER(TO_TEXT(O302))=""true"",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f>
        <v>—</v>
      </c>
      <c r="L302" s="616" t="str">
        <f t="shared" si="1"/>
        <v>Минор</v>
      </c>
      <c r="M302" s="616"/>
      <c r="N302" s="615">
        <v>0.0</v>
      </c>
      <c r="O302" s="616" t="b">
        <v>0</v>
      </c>
      <c r="P302" s="614">
        <v>1.0</v>
      </c>
      <c r="Q302" s="617" t="s">
        <v>3872</v>
      </c>
      <c r="R302" s="616">
        <f t="shared" si="2"/>
        <v>10000</v>
      </c>
    </row>
    <row r="303">
      <c r="A303" s="614">
        <v>302.0</v>
      </c>
      <c r="B303" s="615" t="s">
        <v>3873</v>
      </c>
      <c r="C303" s="614" t="s">
        <v>3578</v>
      </c>
      <c r="D303" s="614" t="s">
        <v>14</v>
      </c>
      <c r="E303" s="614" t="s">
        <v>650</v>
      </c>
      <c r="F303" s="614" t="s">
        <v>3195</v>
      </c>
      <c r="G303" s="614" t="s">
        <v>3316</v>
      </c>
      <c r="H303" s="614">
        <v>6.0</v>
      </c>
      <c r="I303" s="614" t="s">
        <v>3203</v>
      </c>
      <c r="J303" s="614" t="s">
        <v>3237</v>
      </c>
      <c r="K303" s="614" t="str">
        <f>IFERROR(__xludf.DUMMYFUNCTION("LET(
  r, C303,
  t, J303,
  cons, LOWER(TO_TEXT(O303))=""true"",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f>
        <v>—</v>
      </c>
      <c r="L303" s="616" t="str">
        <f t="shared" si="1"/>
        <v>Мажор</v>
      </c>
      <c r="M303" s="616"/>
      <c r="N303" s="615">
        <v>0.0</v>
      </c>
      <c r="O303" s="616" t="b">
        <v>0</v>
      </c>
      <c r="P303" s="614">
        <v>0.0</v>
      </c>
      <c r="Q303" s="617" t="s">
        <v>3874</v>
      </c>
      <c r="R303" s="616">
        <f t="shared" si="2"/>
        <v>20000</v>
      </c>
    </row>
    <row r="304">
      <c r="A304" s="614">
        <v>303.0</v>
      </c>
      <c r="B304" s="615" t="s">
        <v>3875</v>
      </c>
      <c r="C304" s="614" t="s">
        <v>3578</v>
      </c>
      <c r="D304" s="614" t="s">
        <v>14</v>
      </c>
      <c r="E304" s="614" t="s">
        <v>650</v>
      </c>
      <c r="F304" s="614" t="s">
        <v>3195</v>
      </c>
      <c r="G304" s="614" t="s">
        <v>3202</v>
      </c>
      <c r="H304" s="614">
        <v>6.0</v>
      </c>
      <c r="I304" s="614" t="s">
        <v>3203</v>
      </c>
      <c r="J304" s="614" t="s">
        <v>3221</v>
      </c>
      <c r="K304" s="614" t="str">
        <f>IFERROR(__xludf.DUMMYFUNCTION("LET(
  r, C304,
  t, J304,
  cons, LOWER(TO_TEXT(O304))=""true"",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)"),"2d6kh1*1000 зм")</f>
        <v>2d6kh1*1000 зм</v>
      </c>
      <c r="L304" s="616" t="str">
        <f t="shared" si="1"/>
        <v>Мажор</v>
      </c>
      <c r="M304" s="616"/>
      <c r="N304" s="615">
        <v>0.0</v>
      </c>
      <c r="O304" s="616" t="b">
        <v>0</v>
      </c>
      <c r="P304" s="614">
        <v>0.0</v>
      </c>
      <c r="Q304" s="617" t="s">
        <v>3876</v>
      </c>
      <c r="R304" s="616">
        <f t="shared" si="2"/>
        <v>5500</v>
      </c>
    </row>
    <row r="305">
      <c r="A305" s="614">
        <v>304.0</v>
      </c>
      <c r="B305" s="615" t="s">
        <v>3877</v>
      </c>
      <c r="C305" s="614" t="s">
        <v>3578</v>
      </c>
      <c r="D305" s="614" t="s">
        <v>14</v>
      </c>
      <c r="E305" s="614" t="s">
        <v>645</v>
      </c>
      <c r="F305" s="614" t="s">
        <v>3234</v>
      </c>
      <c r="G305" s="614" t="s">
        <v>3202</v>
      </c>
      <c r="H305" s="614">
        <v>6.0</v>
      </c>
      <c r="I305" s="614" t="s">
        <v>3203</v>
      </c>
      <c r="J305" s="614" t="s">
        <v>3204</v>
      </c>
      <c r="K305" s="614" t="str">
        <f>IFERROR(__xludf.DUMMYFUNCTION("LET(
  r, C305,
  t, J305,
  cons, LOWER(TO_TEXT(O305))=""true"",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305" s="616" t="str">
        <f t="shared" si="1"/>
        <v>Мажор</v>
      </c>
      <c r="M305" s="616"/>
      <c r="N305" s="615">
        <v>0.0</v>
      </c>
      <c r="O305" s="616" t="b">
        <v>0</v>
      </c>
      <c r="P305" s="614">
        <v>1.0</v>
      </c>
      <c r="Q305" s="617" t="s">
        <v>3878</v>
      </c>
      <c r="R305" s="616">
        <f t="shared" si="2"/>
        <v>4500</v>
      </c>
    </row>
    <row r="306">
      <c r="A306" s="614">
        <v>305.0</v>
      </c>
      <c r="B306" s="615" t="s">
        <v>2212</v>
      </c>
      <c r="C306" s="614" t="s">
        <v>3578</v>
      </c>
      <c r="D306" s="614" t="s">
        <v>2</v>
      </c>
      <c r="E306" s="614" t="s">
        <v>3228</v>
      </c>
      <c r="F306" s="614" t="s">
        <v>3195</v>
      </c>
      <c r="G306" s="614" t="s">
        <v>3202</v>
      </c>
      <c r="H306" s="614">
        <v>6.0</v>
      </c>
      <c r="I306" s="614" t="s">
        <v>692</v>
      </c>
      <c r="J306" s="614" t="s">
        <v>3221</v>
      </c>
      <c r="K306" s="614" t="str">
        <f>IFERROR(__xludf.DUMMYFUNCTION("LET(
  r, C306,
  t, J306,
  cons, LOWER(TO_TEXT(O306))=""true"",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)"),"2d6kh1*1000 зм")</f>
        <v>2d6kh1*1000 зм</v>
      </c>
      <c r="L306" s="616" t="str">
        <f t="shared" si="1"/>
        <v>Мажор</v>
      </c>
      <c r="M306" s="616"/>
      <c r="N306" s="615">
        <v>0.0</v>
      </c>
      <c r="O306" s="616" t="b">
        <v>0</v>
      </c>
      <c r="P306" s="614">
        <v>0.0</v>
      </c>
      <c r="Q306" s="617" t="s">
        <v>3879</v>
      </c>
      <c r="R306" s="616">
        <f t="shared" si="2"/>
        <v>5500</v>
      </c>
    </row>
    <row r="307">
      <c r="A307" s="614">
        <v>306.0</v>
      </c>
      <c r="B307" s="615" t="s">
        <v>3880</v>
      </c>
      <c r="C307" s="614" t="s">
        <v>3674</v>
      </c>
      <c r="D307" s="614" t="s">
        <v>3881</v>
      </c>
      <c r="E307" s="614" t="s">
        <v>26</v>
      </c>
      <c r="F307" s="614" t="s">
        <v>3217</v>
      </c>
      <c r="G307" s="614" t="s">
        <v>3202</v>
      </c>
      <c r="H307" s="614">
        <v>3.0</v>
      </c>
      <c r="I307" s="614" t="s">
        <v>3203</v>
      </c>
      <c r="J307" s="614" t="s">
        <v>3411</v>
      </c>
      <c r="K307" s="614" t="str">
        <f>IFERROR(__xludf.DUMMYFUNCTION("LET(
  r, C307,
  t, J307,
  cons, LOWER(TO_TEXT(O307))=""true"",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07" s="616" t="str">
        <f t="shared" si="1"/>
        <v>Минор</v>
      </c>
      <c r="M307" s="616"/>
      <c r="N307" s="615">
        <v>0.0</v>
      </c>
      <c r="O307" s="616" t="b">
        <v>0</v>
      </c>
      <c r="P307" s="614">
        <v>0.0</v>
      </c>
      <c r="Q307" s="617" t="s">
        <v>3882</v>
      </c>
      <c r="R307" s="616">
        <f t="shared" si="2"/>
        <v>500</v>
      </c>
    </row>
    <row r="308">
      <c r="A308" s="614">
        <v>307.0</v>
      </c>
      <c r="B308" s="615" t="s">
        <v>2186</v>
      </c>
      <c r="C308" s="614" t="s">
        <v>3674</v>
      </c>
      <c r="D308" s="614" t="s">
        <v>3881</v>
      </c>
      <c r="E308" s="614" t="s">
        <v>26</v>
      </c>
      <c r="F308" s="614" t="s">
        <v>3201</v>
      </c>
      <c r="G308" s="614" t="s">
        <v>3202</v>
      </c>
      <c r="H308" s="614">
        <v>3.0</v>
      </c>
      <c r="I308" s="614" t="s">
        <v>3203</v>
      </c>
      <c r="J308" s="614" t="s">
        <v>3221</v>
      </c>
      <c r="K308" s="614" t="str">
        <f>IFERROR(__xludf.DUMMYFUNCTION("LET(
  r, C308,
  t, J308,
  cons, LOWER(TO_TEXT(O308))=""true"",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 зм")</f>
        <v>2d6kh1*100 зм</v>
      </c>
      <c r="L308" s="616" t="str">
        <f t="shared" si="1"/>
        <v>Минор</v>
      </c>
      <c r="M308" s="616"/>
      <c r="N308" s="615">
        <v>0.0</v>
      </c>
      <c r="O308" s="616" t="b">
        <v>0</v>
      </c>
      <c r="P308" s="614">
        <v>0.0</v>
      </c>
      <c r="Q308" s="617" t="s">
        <v>3883</v>
      </c>
      <c r="R308" s="616">
        <f t="shared" si="2"/>
        <v>550</v>
      </c>
    </row>
    <row r="309">
      <c r="A309" s="614">
        <v>308.0</v>
      </c>
      <c r="B309" s="615" t="s">
        <v>3884</v>
      </c>
      <c r="C309" s="614" t="s">
        <v>3674</v>
      </c>
      <c r="D309" s="614" t="s">
        <v>3881</v>
      </c>
      <c r="E309" s="614" t="s">
        <v>26</v>
      </c>
      <c r="F309" s="614" t="s">
        <v>3201</v>
      </c>
      <c r="G309" s="614" t="s">
        <v>3202</v>
      </c>
      <c r="H309" s="614">
        <v>3.0</v>
      </c>
      <c r="I309" s="614" t="s">
        <v>692</v>
      </c>
      <c r="J309" s="614" t="s">
        <v>3204</v>
      </c>
      <c r="K309" s="614" t="str">
        <f>IFERROR(__xludf.DUMMYFUNCTION("LET(
  r, C309,
  t, J309,
  cons, LOWER(TO_TEXT(O309))=""true"",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09" s="616" t="str">
        <f t="shared" si="1"/>
        <v>Минор</v>
      </c>
      <c r="M309" s="616"/>
      <c r="N309" s="615">
        <v>0.0</v>
      </c>
      <c r="O309" s="616" t="b">
        <v>0</v>
      </c>
      <c r="P309" s="614">
        <v>0.0</v>
      </c>
      <c r="Q309" s="617" t="s">
        <v>3885</v>
      </c>
      <c r="R309" s="616">
        <f t="shared" si="2"/>
        <v>450</v>
      </c>
    </row>
    <row r="310">
      <c r="A310" s="614">
        <v>309.0</v>
      </c>
      <c r="B310" s="615" t="s">
        <v>3886</v>
      </c>
      <c r="C310" s="614" t="s">
        <v>3674</v>
      </c>
      <c r="D310" s="614" t="s">
        <v>3881</v>
      </c>
      <c r="E310" s="614" t="s">
        <v>26</v>
      </c>
      <c r="F310" s="614" t="s">
        <v>3195</v>
      </c>
      <c r="G310" s="614" t="s">
        <v>3202</v>
      </c>
      <c r="H310" s="614">
        <v>4.0</v>
      </c>
      <c r="I310" s="614" t="s">
        <v>692</v>
      </c>
      <c r="J310" s="614" t="s">
        <v>3204</v>
      </c>
      <c r="K310" s="614" t="str">
        <f>IFERROR(__xludf.DUMMYFUNCTION("LET(
  r, C310,
  t, J310,
  cons, LOWER(TO_TEXT(O310))=""true"",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10" s="616" t="str">
        <f t="shared" si="1"/>
        <v>Мажор</v>
      </c>
      <c r="M310" s="616"/>
      <c r="N310" s="615">
        <v>0.0</v>
      </c>
      <c r="O310" s="616" t="b">
        <v>0</v>
      </c>
      <c r="P310" s="614">
        <v>1.0</v>
      </c>
      <c r="Q310" s="617" t="s">
        <v>3887</v>
      </c>
      <c r="R310" s="616">
        <f t="shared" si="2"/>
        <v>900</v>
      </c>
    </row>
    <row r="311">
      <c r="A311" s="614">
        <v>310.0</v>
      </c>
      <c r="B311" s="615" t="s">
        <v>3888</v>
      </c>
      <c r="C311" s="614" t="s">
        <v>3674</v>
      </c>
      <c r="D311" s="614" t="s">
        <v>3881</v>
      </c>
      <c r="E311" s="614" t="s">
        <v>26</v>
      </c>
      <c r="F311" s="614" t="s">
        <v>3272</v>
      </c>
      <c r="G311" s="614" t="s">
        <v>3202</v>
      </c>
      <c r="H311" s="614">
        <v>3.0</v>
      </c>
      <c r="I311" s="614" t="s">
        <v>3203</v>
      </c>
      <c r="J311" s="614" t="s">
        <v>3221</v>
      </c>
      <c r="K311" s="614" t="str">
        <f>IFERROR(__xludf.DUMMYFUNCTION("LET(
  r, C311,
  t, J311,
  cons, LOWER(TO_TEXT(O311))=""true"",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 зм")</f>
        <v>2d6kh1*100 зм</v>
      </c>
      <c r="L311" s="616" t="str">
        <f t="shared" si="1"/>
        <v>Минор</v>
      </c>
      <c r="M311" s="616"/>
      <c r="N311" s="615">
        <v>0.0</v>
      </c>
      <c r="O311" s="616" t="b">
        <v>0</v>
      </c>
      <c r="P311" s="614">
        <v>0.0</v>
      </c>
      <c r="Q311" s="617" t="s">
        <v>3889</v>
      </c>
      <c r="R311" s="616">
        <f t="shared" si="2"/>
        <v>550</v>
      </c>
    </row>
    <row r="312">
      <c r="A312" s="614">
        <v>311.0</v>
      </c>
      <c r="B312" s="615" t="s">
        <v>3890</v>
      </c>
      <c r="C312" s="614" t="s">
        <v>3674</v>
      </c>
      <c r="D312" s="614" t="s">
        <v>3881</v>
      </c>
      <c r="E312" s="614" t="s">
        <v>26</v>
      </c>
      <c r="F312" s="614" t="s">
        <v>3272</v>
      </c>
      <c r="G312" s="614" t="s">
        <v>3202</v>
      </c>
      <c r="H312" s="614">
        <v>4.0</v>
      </c>
      <c r="I312" s="614" t="s">
        <v>692</v>
      </c>
      <c r="J312" s="614" t="s">
        <v>3221</v>
      </c>
      <c r="K312" s="614" t="str">
        <f>IFERROR(__xludf.DUMMYFUNCTION("LET(
  r, C312,
  t, J312,
  cons, LOWER(TO_TEXT(O312))=""true"",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 зм")</f>
        <v>2d6kh1*100 зм</v>
      </c>
      <c r="L312" s="616" t="str">
        <f t="shared" si="1"/>
        <v>Мажор</v>
      </c>
      <c r="M312" s="616"/>
      <c r="N312" s="615">
        <v>0.0</v>
      </c>
      <c r="O312" s="616" t="b">
        <v>0</v>
      </c>
      <c r="P312" s="614">
        <v>0.0</v>
      </c>
      <c r="Q312" s="617" t="s">
        <v>3891</v>
      </c>
      <c r="R312" s="616">
        <f t="shared" si="2"/>
        <v>1100</v>
      </c>
    </row>
    <row r="313">
      <c r="A313" s="614">
        <v>312.0</v>
      </c>
      <c r="B313" s="615" t="s">
        <v>3892</v>
      </c>
      <c r="C313" s="614" t="s">
        <v>3674</v>
      </c>
      <c r="D313" s="614" t="s">
        <v>3881</v>
      </c>
      <c r="E313" s="614" t="s">
        <v>26</v>
      </c>
      <c r="F313" s="614" t="s">
        <v>3217</v>
      </c>
      <c r="G313" s="614" t="s">
        <v>3202</v>
      </c>
      <c r="H313" s="614">
        <v>3.0</v>
      </c>
      <c r="I313" s="614" t="s">
        <v>692</v>
      </c>
      <c r="J313" s="614" t="s">
        <v>3257</v>
      </c>
      <c r="K313" s="614" t="str">
        <f>IFERROR(__xludf.DUMMYFUNCTION("LET(
  r, C313,
  t, J313,
  cons, LOWER(TO_TEXT(O313))=""true"",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)"),"100 зм")</f>
        <v>100 зм</v>
      </c>
      <c r="L313" s="616" t="str">
        <f t="shared" si="1"/>
        <v>Минор</v>
      </c>
      <c r="M313" s="616"/>
      <c r="N313" s="615">
        <v>0.0</v>
      </c>
      <c r="O313" s="616" t="b">
        <v>0</v>
      </c>
      <c r="P313" s="614">
        <v>0.0</v>
      </c>
      <c r="Q313" s="617" t="s">
        <v>3893</v>
      </c>
      <c r="R313" s="616">
        <f t="shared" si="2"/>
        <v>400</v>
      </c>
    </row>
    <row r="314">
      <c r="A314" s="614">
        <v>313.0</v>
      </c>
      <c r="B314" s="615" t="s">
        <v>3894</v>
      </c>
      <c r="C314" s="614" t="s">
        <v>3674</v>
      </c>
      <c r="D314" s="614" t="s">
        <v>3881</v>
      </c>
      <c r="E314" s="614" t="s">
        <v>26</v>
      </c>
      <c r="F314" s="614" t="s">
        <v>3217</v>
      </c>
      <c r="G314" s="614" t="s">
        <v>3202</v>
      </c>
      <c r="H314" s="614">
        <v>3.0</v>
      </c>
      <c r="I314" s="614" t="s">
        <v>692</v>
      </c>
      <c r="J314" s="614" t="s">
        <v>3218</v>
      </c>
      <c r="K314" s="614" t="str">
        <f>IFERROR(__xludf.DUMMYFUNCTION("LET(
  r, C314,
  t, J314,
  cons, LOWER(TO_TEXT(O314))=""true"",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14" s="616" t="str">
        <f t="shared" si="1"/>
        <v>Минор</v>
      </c>
      <c r="M314" s="616"/>
      <c r="N314" s="615">
        <v>0.0</v>
      </c>
      <c r="O314" s="616" t="b">
        <v>0</v>
      </c>
      <c r="P314" s="614">
        <v>1.0</v>
      </c>
      <c r="Q314" s="617" t="s">
        <v>3895</v>
      </c>
      <c r="R314" s="616">
        <f t="shared" si="2"/>
        <v>500</v>
      </c>
    </row>
    <row r="315">
      <c r="A315" s="614">
        <v>314.0</v>
      </c>
      <c r="B315" s="615" t="s">
        <v>3896</v>
      </c>
      <c r="C315" s="614" t="s">
        <v>3674</v>
      </c>
      <c r="D315" s="614" t="s">
        <v>3881</v>
      </c>
      <c r="E315" s="614" t="s">
        <v>26</v>
      </c>
      <c r="F315" s="614" t="s">
        <v>3195</v>
      </c>
      <c r="G315" s="614" t="s">
        <v>3202</v>
      </c>
      <c r="H315" s="614">
        <v>4.0</v>
      </c>
      <c r="I315" s="614" t="s">
        <v>692</v>
      </c>
      <c r="J315" s="614" t="s">
        <v>3221</v>
      </c>
      <c r="K315" s="614" t="str">
        <f>IFERROR(__xludf.DUMMYFUNCTION("LET(
  r, C315,
  t, J315,
  cons, LOWER(TO_TEXT(O315))=""true"",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 зм")</f>
        <v>2d6kh1*100 зм</v>
      </c>
      <c r="L315" s="616" t="str">
        <f t="shared" si="1"/>
        <v>Мажор</v>
      </c>
      <c r="M315" s="616"/>
      <c r="N315" s="615">
        <v>0.0</v>
      </c>
      <c r="O315" s="616" t="b">
        <v>0</v>
      </c>
      <c r="P315" s="614">
        <v>0.0</v>
      </c>
      <c r="Q315" s="617" t="s">
        <v>3897</v>
      </c>
      <c r="R315" s="616">
        <f t="shared" si="2"/>
        <v>1100</v>
      </c>
    </row>
    <row r="316">
      <c r="A316" s="614">
        <v>315.0</v>
      </c>
      <c r="B316" s="615" t="s">
        <v>3898</v>
      </c>
      <c r="C316" s="614" t="s">
        <v>3674</v>
      </c>
      <c r="D316" s="614" t="s">
        <v>3881</v>
      </c>
      <c r="E316" s="614" t="s">
        <v>26</v>
      </c>
      <c r="F316" s="614" t="s">
        <v>3272</v>
      </c>
      <c r="G316" s="614" t="s">
        <v>3214</v>
      </c>
      <c r="H316" s="614">
        <v>3.0</v>
      </c>
      <c r="I316" s="614" t="s">
        <v>3208</v>
      </c>
      <c r="J316" s="614" t="s">
        <v>3204</v>
      </c>
      <c r="K316" s="614" t="str">
        <f>IFERROR(__xludf.DUMMYFUNCTION("LET(
  r, C316,
  t, J316,
  cons, LOWER(TO_TEXT(O316))=""true"",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16" s="616" t="str">
        <f t="shared" si="1"/>
        <v>Минор</v>
      </c>
      <c r="M316" s="616"/>
      <c r="N316" s="615">
        <v>0.0</v>
      </c>
      <c r="O316" s="616" t="b">
        <v>0</v>
      </c>
      <c r="P316" s="614">
        <v>1.0</v>
      </c>
      <c r="Q316" s="617" t="s">
        <v>3899</v>
      </c>
      <c r="R316" s="616">
        <f t="shared" si="2"/>
        <v>450</v>
      </c>
    </row>
    <row r="317">
      <c r="A317" s="614">
        <v>316.0</v>
      </c>
      <c r="B317" s="615" t="s">
        <v>3900</v>
      </c>
      <c r="C317" s="614" t="s">
        <v>3674</v>
      </c>
      <c r="D317" s="614" t="s">
        <v>3224</v>
      </c>
      <c r="E317" s="614" t="s">
        <v>26</v>
      </c>
      <c r="F317" s="614" t="s">
        <v>3195</v>
      </c>
      <c r="G317" s="614" t="s">
        <v>3202</v>
      </c>
      <c r="H317" s="614">
        <v>3.0</v>
      </c>
      <c r="I317" s="614" t="s">
        <v>692</v>
      </c>
      <c r="J317" s="614" t="s">
        <v>3221</v>
      </c>
      <c r="K317" s="614" t="str">
        <f>IFERROR(__xludf.DUMMYFUNCTION("LET(
  r, C317,
  t, J317,
  cons, LOWER(TO_TEXT(O317))=""true"",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 зм")</f>
        <v>2d6kh1*100 зм</v>
      </c>
      <c r="L317" s="616" t="str">
        <f t="shared" si="1"/>
        <v>Минор</v>
      </c>
      <c r="M317" s="616"/>
      <c r="N317" s="615">
        <v>0.0</v>
      </c>
      <c r="O317" s="616" t="b">
        <v>0</v>
      </c>
      <c r="P317" s="614">
        <v>0.0</v>
      </c>
      <c r="Q317" s="617" t="s">
        <v>3901</v>
      </c>
      <c r="R317" s="616">
        <f t="shared" si="2"/>
        <v>550</v>
      </c>
    </row>
    <row r="318">
      <c r="A318" s="614">
        <v>317.0</v>
      </c>
      <c r="B318" s="615" t="s">
        <v>3902</v>
      </c>
      <c r="C318" s="614" t="s">
        <v>3674</v>
      </c>
      <c r="D318" s="614" t="s">
        <v>3224</v>
      </c>
      <c r="E318" s="614" t="s">
        <v>26</v>
      </c>
      <c r="F318" s="614" t="s">
        <v>3195</v>
      </c>
      <c r="G318" s="614" t="s">
        <v>3202</v>
      </c>
      <c r="H318" s="614">
        <v>3.0</v>
      </c>
      <c r="I318" s="614" t="s">
        <v>692</v>
      </c>
      <c r="J318" s="614" t="s">
        <v>3218</v>
      </c>
      <c r="K318" s="614" t="str">
        <f>IFERROR(__xludf.DUMMYFUNCTION("LET(
  r, C318,
  t, J318,
  cons, LOWER(TO_TEXT(O318))=""true"",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18" s="616" t="str">
        <f t="shared" si="1"/>
        <v>Минор</v>
      </c>
      <c r="M318" s="616"/>
      <c r="N318" s="615" t="s">
        <v>3903</v>
      </c>
      <c r="O318" s="616" t="b">
        <v>0</v>
      </c>
      <c r="P318" s="614">
        <v>0.0</v>
      </c>
      <c r="Q318" s="617" t="s">
        <v>3904</v>
      </c>
      <c r="R318" s="616">
        <f t="shared" si="2"/>
        <v>500</v>
      </c>
    </row>
    <row r="319">
      <c r="A319" s="614">
        <v>318.0</v>
      </c>
      <c r="B319" s="615" t="s">
        <v>3905</v>
      </c>
      <c r="C319" s="614" t="s">
        <v>3674</v>
      </c>
      <c r="D319" s="614" t="s">
        <v>3224</v>
      </c>
      <c r="E319" s="614" t="s">
        <v>26</v>
      </c>
      <c r="F319" s="614" t="s">
        <v>3195</v>
      </c>
      <c r="G319" s="614" t="s">
        <v>3202</v>
      </c>
      <c r="H319" s="614">
        <v>3.0</v>
      </c>
      <c r="I319" s="614" t="s">
        <v>692</v>
      </c>
      <c r="J319" s="614" t="s">
        <v>3218</v>
      </c>
      <c r="K319" s="614" t="str">
        <f>IFERROR(__xludf.DUMMYFUNCTION("LET(
  r, C319,
  t, J319,
  cons, LOWER(TO_TEXT(O319))=""true"",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19" s="616" t="str">
        <f t="shared" si="1"/>
        <v>Минор</v>
      </c>
      <c r="M319" s="616"/>
      <c r="N319" s="615">
        <v>0.0</v>
      </c>
      <c r="O319" s="616" t="b">
        <v>0</v>
      </c>
      <c r="P319" s="614">
        <v>0.0</v>
      </c>
      <c r="Q319" s="617" t="s">
        <v>3906</v>
      </c>
      <c r="R319" s="616">
        <f t="shared" si="2"/>
        <v>500</v>
      </c>
    </row>
    <row r="320">
      <c r="A320" s="614">
        <v>319.0</v>
      </c>
      <c r="B320" s="615" t="s">
        <v>3907</v>
      </c>
      <c r="C320" s="614" t="s">
        <v>3674</v>
      </c>
      <c r="D320" s="614" t="s">
        <v>3224</v>
      </c>
      <c r="E320" s="614" t="s">
        <v>26</v>
      </c>
      <c r="F320" s="614" t="s">
        <v>3195</v>
      </c>
      <c r="G320" s="614" t="s">
        <v>3202</v>
      </c>
      <c r="H320" s="614">
        <v>4.0</v>
      </c>
      <c r="I320" s="614" t="s">
        <v>692</v>
      </c>
      <c r="J320" s="614" t="s">
        <v>3218</v>
      </c>
      <c r="K320" s="614" t="str">
        <f>IFERROR(__xludf.DUMMYFUNCTION("LET(
  r, C320,
  t, J320,
  cons, LOWER(TO_TEXT(O320))=""true"",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20" s="616" t="str">
        <f t="shared" si="1"/>
        <v>Мажор</v>
      </c>
      <c r="M320" s="616"/>
      <c r="N320" s="615">
        <v>0.0</v>
      </c>
      <c r="O320" s="616" t="b">
        <v>0</v>
      </c>
      <c r="P320" s="614">
        <v>0.0</v>
      </c>
      <c r="Q320" s="617" t="s">
        <v>3908</v>
      </c>
      <c r="R320" s="616">
        <f t="shared" si="2"/>
        <v>1000</v>
      </c>
    </row>
    <row r="321">
      <c r="A321" s="614">
        <v>320.0</v>
      </c>
      <c r="B321" s="615" t="s">
        <v>3909</v>
      </c>
      <c r="C321" s="614" t="s">
        <v>3674</v>
      </c>
      <c r="D321" s="614" t="s">
        <v>3881</v>
      </c>
      <c r="E321" s="614" t="s">
        <v>26</v>
      </c>
      <c r="F321" s="614" t="s">
        <v>3217</v>
      </c>
      <c r="G321" s="614" t="s">
        <v>3202</v>
      </c>
      <c r="H321" s="614">
        <v>3.0</v>
      </c>
      <c r="I321" s="614" t="s">
        <v>3203</v>
      </c>
      <c r="J321" s="614" t="s">
        <v>3411</v>
      </c>
      <c r="K321" s="614" t="str">
        <f>IFERROR(__xludf.DUMMYFUNCTION("LET(
  r, C321,
  t, J321,
  cons, LOWER(TO_TEXT(O321))=""true"",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21" s="616" t="str">
        <f t="shared" si="1"/>
        <v>Минор</v>
      </c>
      <c r="M321" s="616"/>
      <c r="N321" s="615">
        <v>0.0</v>
      </c>
      <c r="O321" s="616" t="b">
        <v>0</v>
      </c>
      <c r="P321" s="614">
        <v>0.0</v>
      </c>
      <c r="Q321" s="617" t="s">
        <v>3910</v>
      </c>
      <c r="R321" s="616">
        <f t="shared" si="2"/>
        <v>500</v>
      </c>
    </row>
    <row r="322">
      <c r="A322" s="614">
        <v>321.0</v>
      </c>
      <c r="B322" s="615" t="s">
        <v>3911</v>
      </c>
      <c r="C322" s="614" t="s">
        <v>3674</v>
      </c>
      <c r="D322" s="614" t="s">
        <v>14</v>
      </c>
      <c r="E322" s="614" t="s">
        <v>26</v>
      </c>
      <c r="F322" s="614" t="s">
        <v>3234</v>
      </c>
      <c r="G322" s="614" t="s">
        <v>3202</v>
      </c>
      <c r="H322" s="614">
        <v>4.0</v>
      </c>
      <c r="I322" s="614" t="s">
        <v>692</v>
      </c>
      <c r="J322" s="614" t="s">
        <v>3218</v>
      </c>
      <c r="K322" s="614" t="str">
        <f>IFERROR(__xludf.DUMMYFUNCTION("LET(
  r, C322,
  t, J322,
  cons, LOWER(TO_TEXT(O322))=""true"",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22" s="616" t="str">
        <f t="shared" si="1"/>
        <v>Мажор</v>
      </c>
      <c r="M322" s="616"/>
      <c r="N322" s="615">
        <v>0.0</v>
      </c>
      <c r="O322" s="616" t="b">
        <v>0</v>
      </c>
      <c r="P322" s="614">
        <v>1.0</v>
      </c>
      <c r="Q322" s="617" t="s">
        <v>3912</v>
      </c>
      <c r="R322" s="616">
        <f t="shared" si="2"/>
        <v>1000</v>
      </c>
    </row>
    <row r="323">
      <c r="A323" s="614">
        <v>322.0</v>
      </c>
      <c r="B323" s="615" t="s">
        <v>3913</v>
      </c>
      <c r="C323" s="614" t="s">
        <v>3674</v>
      </c>
      <c r="D323" s="614" t="s">
        <v>14</v>
      </c>
      <c r="E323" s="614" t="s">
        <v>26</v>
      </c>
      <c r="F323" s="614" t="s">
        <v>3234</v>
      </c>
      <c r="G323" s="614" t="s">
        <v>3202</v>
      </c>
      <c r="H323" s="614">
        <v>4.0</v>
      </c>
      <c r="I323" s="614" t="s">
        <v>692</v>
      </c>
      <c r="J323" s="614" t="s">
        <v>3204</v>
      </c>
      <c r="K323" s="614" t="str">
        <f>IFERROR(__xludf.DUMMYFUNCTION("LET(
  r, C323,
  t, J323,
  cons, LOWER(TO_TEXT(O323))=""true"",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23" s="616" t="str">
        <f t="shared" si="1"/>
        <v>Мажор</v>
      </c>
      <c r="M323" s="616"/>
      <c r="N323" s="615">
        <v>0.0</v>
      </c>
      <c r="O323" s="616" t="b">
        <v>0</v>
      </c>
      <c r="P323" s="614">
        <v>0.0</v>
      </c>
      <c r="Q323" s="617" t="s">
        <v>3914</v>
      </c>
      <c r="R323" s="616">
        <f t="shared" si="2"/>
        <v>900</v>
      </c>
    </row>
    <row r="324">
      <c r="A324" s="614">
        <v>323.0</v>
      </c>
      <c r="B324" s="615" t="s">
        <v>3915</v>
      </c>
      <c r="C324" s="614" t="s">
        <v>3674</v>
      </c>
      <c r="D324" s="614" t="s">
        <v>14</v>
      </c>
      <c r="E324" s="614" t="s">
        <v>26</v>
      </c>
      <c r="F324" s="614" t="s">
        <v>3234</v>
      </c>
      <c r="G324" s="614" t="s">
        <v>3202</v>
      </c>
      <c r="H324" s="614">
        <v>4.0</v>
      </c>
      <c r="I324" s="614" t="s">
        <v>692</v>
      </c>
      <c r="J324" s="614" t="s">
        <v>3218</v>
      </c>
      <c r="K324" s="614" t="str">
        <f>IFERROR(__xludf.DUMMYFUNCTION("LET(
  r, C324,
  t, J324,
  cons, LOWER(TO_TEXT(O324))=""true"",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24" s="616" t="str">
        <f t="shared" si="1"/>
        <v>Мажор</v>
      </c>
      <c r="M324" s="616"/>
      <c r="N324" s="615">
        <v>0.0</v>
      </c>
      <c r="O324" s="616" t="b">
        <v>0</v>
      </c>
      <c r="P324" s="614">
        <v>0.0</v>
      </c>
      <c r="Q324" s="617" t="s">
        <v>3916</v>
      </c>
      <c r="R324" s="616">
        <f t="shared" si="2"/>
        <v>1000</v>
      </c>
    </row>
    <row r="325">
      <c r="A325" s="614">
        <v>324.0</v>
      </c>
      <c r="B325" s="615" t="s">
        <v>3917</v>
      </c>
      <c r="C325" s="614" t="s">
        <v>3674</v>
      </c>
      <c r="D325" s="614" t="s">
        <v>14</v>
      </c>
      <c r="E325" s="614" t="s">
        <v>26</v>
      </c>
      <c r="F325" s="614" t="s">
        <v>3234</v>
      </c>
      <c r="G325" s="614" t="s">
        <v>3214</v>
      </c>
      <c r="H325" s="614">
        <v>4.0</v>
      </c>
      <c r="I325" s="614" t="s">
        <v>3203</v>
      </c>
      <c r="J325" s="614" t="s">
        <v>3204</v>
      </c>
      <c r="K325" s="614" t="str">
        <f>IFERROR(__xludf.DUMMYFUNCTION("LET(
  r, C325,
  t, J325,
  cons, LOWER(TO_TEXT(O325))=""true"",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25" s="616" t="str">
        <f t="shared" si="1"/>
        <v>Мажор</v>
      </c>
      <c r="M325" s="616"/>
      <c r="N325" s="615">
        <v>0.0</v>
      </c>
      <c r="O325" s="616" t="b">
        <v>0</v>
      </c>
      <c r="P325" s="614">
        <v>0.0</v>
      </c>
      <c r="Q325" s="617" t="s">
        <v>3918</v>
      </c>
      <c r="R325" s="616">
        <f t="shared" si="2"/>
        <v>900</v>
      </c>
    </row>
    <row r="326">
      <c r="A326" s="614">
        <v>325.0</v>
      </c>
      <c r="B326" s="615" t="s">
        <v>3919</v>
      </c>
      <c r="C326" s="614" t="s">
        <v>3674</v>
      </c>
      <c r="D326" s="614" t="s">
        <v>3881</v>
      </c>
      <c r="E326" s="614" t="s">
        <v>26</v>
      </c>
      <c r="F326" s="614" t="s">
        <v>3283</v>
      </c>
      <c r="G326" s="614" t="s">
        <v>3202</v>
      </c>
      <c r="H326" s="614">
        <v>3.0</v>
      </c>
      <c r="I326" s="614" t="s">
        <v>692</v>
      </c>
      <c r="J326" s="614" t="s">
        <v>3221</v>
      </c>
      <c r="K326" s="614" t="str">
        <f>IFERROR(__xludf.DUMMYFUNCTION("LET(
  r, C326,
  t, J326,
  cons, LOWER(TO_TEXT(O326))=""true"",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 зм")</f>
        <v>2d6kh1*100 зм</v>
      </c>
      <c r="L326" s="616" t="str">
        <f t="shared" si="1"/>
        <v>Минор</v>
      </c>
      <c r="M326" s="616"/>
      <c r="N326" s="615">
        <v>0.0</v>
      </c>
      <c r="O326" s="616" t="b">
        <v>0</v>
      </c>
      <c r="P326" s="614">
        <v>0.0</v>
      </c>
      <c r="Q326" s="617" t="s">
        <v>3920</v>
      </c>
      <c r="R326" s="616">
        <f t="shared" si="2"/>
        <v>550</v>
      </c>
    </row>
    <row r="327">
      <c r="A327" s="614">
        <v>326.0</v>
      </c>
      <c r="B327" s="615" t="s">
        <v>3921</v>
      </c>
      <c r="C327" s="614" t="s">
        <v>3674</v>
      </c>
      <c r="D327" s="614" t="s">
        <v>3247</v>
      </c>
      <c r="E327" s="614" t="s">
        <v>26</v>
      </c>
      <c r="F327" s="614" t="s">
        <v>3195</v>
      </c>
      <c r="G327" s="614" t="s">
        <v>3202</v>
      </c>
      <c r="H327" s="614">
        <v>4.0</v>
      </c>
      <c r="I327" s="614" t="s">
        <v>692</v>
      </c>
      <c r="J327" s="614" t="s">
        <v>3204</v>
      </c>
      <c r="K327" s="614" t="str">
        <f>IFERROR(__xludf.DUMMYFUNCTION("LET(
  r, C327,
  t, J327,
  cons, LOWER(TO_TEXT(O327))=""true"",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27" s="616" t="str">
        <f t="shared" si="1"/>
        <v>Мажор</v>
      </c>
      <c r="M327" s="616"/>
      <c r="N327" s="615">
        <v>0.0</v>
      </c>
      <c r="O327" s="616" t="b">
        <v>0</v>
      </c>
      <c r="P327" s="614">
        <v>0.0</v>
      </c>
      <c r="Q327" s="617" t="s">
        <v>3922</v>
      </c>
      <c r="R327" s="616">
        <f t="shared" si="2"/>
        <v>900</v>
      </c>
    </row>
    <row r="328">
      <c r="A328" s="614">
        <v>327.0</v>
      </c>
      <c r="B328" s="615" t="s">
        <v>3923</v>
      </c>
      <c r="C328" s="614" t="s">
        <v>3674</v>
      </c>
      <c r="D328" s="614" t="s">
        <v>3881</v>
      </c>
      <c r="E328" s="614" t="s">
        <v>26</v>
      </c>
      <c r="F328" s="614" t="s">
        <v>3217</v>
      </c>
      <c r="G328" s="614" t="s">
        <v>3202</v>
      </c>
      <c r="H328" s="614">
        <v>3.0</v>
      </c>
      <c r="I328" s="614" t="s">
        <v>692</v>
      </c>
      <c r="J328" s="614" t="s">
        <v>3218</v>
      </c>
      <c r="K328" s="614" t="str">
        <f>IFERROR(__xludf.DUMMYFUNCTION("LET(
  r, C328,
  t, J328,
  cons, LOWER(TO_TEXT(O328))=""true"",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28" s="616" t="str">
        <f t="shared" si="1"/>
        <v>Минор</v>
      </c>
      <c r="M328" s="616"/>
      <c r="N328" s="615">
        <v>0.0</v>
      </c>
      <c r="O328" s="616" t="b">
        <v>0</v>
      </c>
      <c r="P328" s="614">
        <v>0.0</v>
      </c>
      <c r="Q328" s="617" t="s">
        <v>3924</v>
      </c>
      <c r="R328" s="616">
        <f t="shared" si="2"/>
        <v>500</v>
      </c>
    </row>
    <row r="329">
      <c r="A329" s="614">
        <v>328.0</v>
      </c>
      <c r="B329" s="615" t="s">
        <v>3925</v>
      </c>
      <c r="C329" s="614" t="s">
        <v>3674</v>
      </c>
      <c r="D329" s="614" t="s">
        <v>3881</v>
      </c>
      <c r="E329" s="614" t="s">
        <v>26</v>
      </c>
      <c r="F329" s="614" t="s">
        <v>3195</v>
      </c>
      <c r="G329" s="614" t="s">
        <v>3256</v>
      </c>
      <c r="H329" s="614">
        <v>3.0</v>
      </c>
      <c r="I329" s="614" t="s">
        <v>692</v>
      </c>
      <c r="J329" s="614" t="s">
        <v>3218</v>
      </c>
      <c r="K329" s="614" t="str">
        <f>IFERROR(__xludf.DUMMYFUNCTION("LET(
  r, C329,
  t, J329,
  cons, LOWER(TO_TEXT(O329))=""true"",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29" s="616" t="str">
        <f t="shared" si="1"/>
        <v>Минор</v>
      </c>
      <c r="M329" s="616"/>
      <c r="N329" s="615">
        <v>0.0</v>
      </c>
      <c r="O329" s="619" t="b">
        <v>0</v>
      </c>
      <c r="P329" s="615">
        <v>0.0</v>
      </c>
      <c r="Q329" s="617" t="s">
        <v>3926</v>
      </c>
      <c r="R329" s="616">
        <f t="shared" si="2"/>
        <v>500</v>
      </c>
    </row>
    <row r="330">
      <c r="A330" s="614">
        <v>329.0</v>
      </c>
      <c r="B330" s="615" t="s">
        <v>3927</v>
      </c>
      <c r="C330" s="614" t="s">
        <v>3674</v>
      </c>
      <c r="D330" s="614" t="s">
        <v>3881</v>
      </c>
      <c r="E330" s="614" t="s">
        <v>26</v>
      </c>
      <c r="F330" s="614" t="s">
        <v>3342</v>
      </c>
      <c r="G330" s="614" t="s">
        <v>3202</v>
      </c>
      <c r="H330" s="614">
        <v>3.0</v>
      </c>
      <c r="I330" s="614" t="s">
        <v>692</v>
      </c>
      <c r="J330" s="614" t="s">
        <v>3204</v>
      </c>
      <c r="K330" s="614" t="str">
        <f>IFERROR(__xludf.DUMMYFUNCTION("LET(
  r, C330,
  t, J330,
  cons, LOWER(TO_TEXT(O330))=""true"",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30" s="616" t="str">
        <f t="shared" si="1"/>
        <v>Минор</v>
      </c>
      <c r="M330" s="616"/>
      <c r="N330" s="615">
        <v>0.0</v>
      </c>
      <c r="O330" s="619" t="b">
        <v>0</v>
      </c>
      <c r="P330" s="615">
        <v>0.0</v>
      </c>
      <c r="Q330" s="617" t="s">
        <v>3928</v>
      </c>
      <c r="R330" s="616">
        <f t="shared" si="2"/>
        <v>450</v>
      </c>
    </row>
    <row r="331">
      <c r="A331" s="614">
        <v>330.0</v>
      </c>
      <c r="B331" s="615" t="s">
        <v>3929</v>
      </c>
      <c r="C331" s="614" t="s">
        <v>3674</v>
      </c>
      <c r="D331" s="614" t="s">
        <v>3881</v>
      </c>
      <c r="E331" s="614" t="s">
        <v>26</v>
      </c>
      <c r="F331" s="614" t="s">
        <v>3217</v>
      </c>
      <c r="G331" s="614" t="s">
        <v>3202</v>
      </c>
      <c r="H331" s="614">
        <v>3.0</v>
      </c>
      <c r="I331" s="614" t="s">
        <v>692</v>
      </c>
      <c r="J331" s="614" t="s">
        <v>3257</v>
      </c>
      <c r="K331" s="614" t="str">
        <f>IFERROR(__xludf.DUMMYFUNCTION("LET(
  r, C331,
  t, J331,
  cons, LOWER(TO_TEXT(O331))=""true"",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)"),"100 зм")</f>
        <v>100 зм</v>
      </c>
      <c r="L331" s="616" t="str">
        <f t="shared" si="1"/>
        <v>Минор</v>
      </c>
      <c r="M331" s="616"/>
      <c r="N331" s="615">
        <v>0.0</v>
      </c>
      <c r="O331" s="619" t="b">
        <v>0</v>
      </c>
      <c r="P331" s="615">
        <v>0.0</v>
      </c>
      <c r="Q331" s="617" t="s">
        <v>3930</v>
      </c>
      <c r="R331" s="616">
        <f t="shared" si="2"/>
        <v>400</v>
      </c>
    </row>
    <row r="332">
      <c r="A332" s="614">
        <v>331.0</v>
      </c>
      <c r="B332" s="615" t="s">
        <v>3931</v>
      </c>
      <c r="C332" s="614" t="s">
        <v>3674</v>
      </c>
      <c r="D332" s="614" t="s">
        <v>3881</v>
      </c>
      <c r="E332" s="614" t="s">
        <v>26</v>
      </c>
      <c r="F332" s="614" t="s">
        <v>3217</v>
      </c>
      <c r="G332" s="614" t="s">
        <v>3202</v>
      </c>
      <c r="H332" s="614">
        <v>3.0</v>
      </c>
      <c r="I332" s="614" t="s">
        <v>692</v>
      </c>
      <c r="J332" s="614" t="s">
        <v>3218</v>
      </c>
      <c r="K332" s="614" t="str">
        <f>IFERROR(__xludf.DUMMYFUNCTION("LET(
  r, C332,
  t, J332,
  cons, LOWER(TO_TEXT(O332))=""true"",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32" s="616" t="str">
        <f t="shared" si="1"/>
        <v>Минор</v>
      </c>
      <c r="M332" s="616"/>
      <c r="N332" s="615">
        <v>0.0</v>
      </c>
      <c r="O332" s="619" t="b">
        <v>0</v>
      </c>
      <c r="P332" s="615">
        <v>0.0</v>
      </c>
      <c r="Q332" s="617" t="s">
        <v>3932</v>
      </c>
      <c r="R332" s="616">
        <f t="shared" si="2"/>
        <v>500</v>
      </c>
    </row>
    <row r="333">
      <c r="A333" s="614">
        <v>332.0</v>
      </c>
      <c r="B333" s="615" t="s">
        <v>3933</v>
      </c>
      <c r="C333" s="614" t="s">
        <v>3674</v>
      </c>
      <c r="D333" s="614" t="s">
        <v>3881</v>
      </c>
      <c r="E333" s="614" t="s">
        <v>26</v>
      </c>
      <c r="F333" s="614" t="s">
        <v>3217</v>
      </c>
      <c r="G333" s="614" t="s">
        <v>3202</v>
      </c>
      <c r="H333" s="614">
        <v>4.0</v>
      </c>
      <c r="I333" s="614" t="s">
        <v>3203</v>
      </c>
      <c r="J333" s="614" t="s">
        <v>3253</v>
      </c>
      <c r="K333" s="614" t="str">
        <f>IFERROR(__xludf.DUMMYFUNCTION("LET(
  r, C333,
  t, J333,
  cons, LOWER(TO_TEXT(O333))=""true"",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 зм")</f>
        <v>600 зм</v>
      </c>
      <c r="L333" s="616" t="str">
        <f t="shared" si="1"/>
        <v>Мажор</v>
      </c>
      <c r="M333" s="616"/>
      <c r="N333" s="615">
        <v>0.0</v>
      </c>
      <c r="O333" s="619" t="b">
        <v>0</v>
      </c>
      <c r="P333" s="615">
        <v>0.0</v>
      </c>
      <c r="Q333" s="617" t="s">
        <v>3934</v>
      </c>
      <c r="R333" s="616">
        <f t="shared" si="2"/>
        <v>1200</v>
      </c>
    </row>
    <row r="334">
      <c r="A334" s="614">
        <v>333.0</v>
      </c>
      <c r="B334" s="615" t="s">
        <v>3935</v>
      </c>
      <c r="C334" s="614" t="s">
        <v>3674</v>
      </c>
      <c r="D334" s="614" t="s">
        <v>1913</v>
      </c>
      <c r="E334" s="614" t="s">
        <v>26</v>
      </c>
      <c r="F334" s="614" t="s">
        <v>3217</v>
      </c>
      <c r="G334" s="614" t="s">
        <v>3202</v>
      </c>
      <c r="H334" s="614">
        <v>3.0</v>
      </c>
      <c r="I334" s="614" t="s">
        <v>3203</v>
      </c>
      <c r="J334" s="614" t="s">
        <v>3218</v>
      </c>
      <c r="K334" s="614" t="str">
        <f>IFERROR(__xludf.DUMMYFUNCTION("LET(
  r, C334,
  t, J334,
  cons, LOWER(TO_TEXT(O334))=""true"",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34" s="616" t="str">
        <f t="shared" si="1"/>
        <v>Минор</v>
      </c>
      <c r="M334" s="616"/>
      <c r="N334" s="615">
        <v>0.0</v>
      </c>
      <c r="O334" s="619" t="b">
        <v>0</v>
      </c>
      <c r="P334" s="615">
        <v>0.0</v>
      </c>
      <c r="Q334" s="617" t="s">
        <v>3936</v>
      </c>
      <c r="R334" s="616">
        <f t="shared" si="2"/>
        <v>500</v>
      </c>
    </row>
    <row r="335">
      <c r="A335" s="614">
        <v>334.0</v>
      </c>
      <c r="B335" s="615" t="s">
        <v>3937</v>
      </c>
      <c r="C335" s="614" t="s">
        <v>3674</v>
      </c>
      <c r="D335" s="614" t="s">
        <v>1913</v>
      </c>
      <c r="E335" s="614" t="s">
        <v>26</v>
      </c>
      <c r="F335" s="614" t="s">
        <v>3217</v>
      </c>
      <c r="G335" s="614" t="s">
        <v>3202</v>
      </c>
      <c r="H335" s="614">
        <v>3.0</v>
      </c>
      <c r="I335" s="614" t="s">
        <v>692</v>
      </c>
      <c r="J335" s="614" t="s">
        <v>3218</v>
      </c>
      <c r="K335" s="614" t="str">
        <f>IFERROR(__xludf.DUMMYFUNCTION("LET(
  r, C335,
  t, J335,
  cons, LOWER(TO_TEXT(O335))=""true"",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35" s="616" t="str">
        <f t="shared" si="1"/>
        <v>Минор</v>
      </c>
      <c r="M335" s="616"/>
      <c r="N335" s="615">
        <v>0.0</v>
      </c>
      <c r="O335" s="619" t="b">
        <v>0</v>
      </c>
      <c r="P335" s="615">
        <v>0.0</v>
      </c>
      <c r="Q335" s="617" t="s">
        <v>3936</v>
      </c>
      <c r="R335" s="616">
        <f t="shared" si="2"/>
        <v>500</v>
      </c>
    </row>
    <row r="336">
      <c r="A336" s="614">
        <v>335.0</v>
      </c>
      <c r="B336" s="615" t="s">
        <v>3938</v>
      </c>
      <c r="C336" s="614" t="s">
        <v>3674</v>
      </c>
      <c r="D336" s="614" t="s">
        <v>1913</v>
      </c>
      <c r="E336" s="614" t="s">
        <v>26</v>
      </c>
      <c r="F336" s="614" t="s">
        <v>3217</v>
      </c>
      <c r="G336" s="614" t="s">
        <v>3214</v>
      </c>
      <c r="H336" s="614">
        <v>4.0</v>
      </c>
      <c r="I336" s="614" t="s">
        <v>3203</v>
      </c>
      <c r="J336" s="614" t="s">
        <v>3204</v>
      </c>
      <c r="K336" s="614" t="str">
        <f>IFERROR(__xludf.DUMMYFUNCTION("LET(
  r, C336,
  t, J336,
  cons, LOWER(TO_TEXT(O336))=""true"",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36" s="616" t="str">
        <f t="shared" si="1"/>
        <v>Мажор</v>
      </c>
      <c r="M336" s="616"/>
      <c r="N336" s="615">
        <v>0.0</v>
      </c>
      <c r="O336" s="619" t="b">
        <v>0</v>
      </c>
      <c r="P336" s="615">
        <v>0.0</v>
      </c>
      <c r="Q336" s="617" t="s">
        <v>3939</v>
      </c>
      <c r="R336" s="616">
        <f t="shared" si="2"/>
        <v>900</v>
      </c>
    </row>
    <row r="337">
      <c r="A337" s="614">
        <v>336.0</v>
      </c>
      <c r="B337" s="615" t="s">
        <v>3940</v>
      </c>
      <c r="C337" s="614" t="s">
        <v>3674</v>
      </c>
      <c r="D337" s="614" t="s">
        <v>1913</v>
      </c>
      <c r="E337" s="614" t="s">
        <v>26</v>
      </c>
      <c r="F337" s="614" t="s">
        <v>3217</v>
      </c>
      <c r="G337" s="614" t="s">
        <v>3214</v>
      </c>
      <c r="H337" s="614">
        <v>3.0</v>
      </c>
      <c r="I337" s="614" t="s">
        <v>3203</v>
      </c>
      <c r="J337" s="614" t="s">
        <v>3204</v>
      </c>
      <c r="K337" s="614" t="str">
        <f>IFERROR(__xludf.DUMMYFUNCTION("LET(
  r, C337,
  t, J337,
  cons, LOWER(TO_TEXT(O337))=""true"",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37" s="616" t="str">
        <f t="shared" si="1"/>
        <v>Минор</v>
      </c>
      <c r="M337" s="616"/>
      <c r="N337" s="615">
        <v>0.0</v>
      </c>
      <c r="O337" s="619" t="b">
        <v>0</v>
      </c>
      <c r="P337" s="615">
        <v>0.0</v>
      </c>
      <c r="Q337" s="617" t="s">
        <v>3941</v>
      </c>
      <c r="R337" s="616">
        <f t="shared" si="2"/>
        <v>450</v>
      </c>
    </row>
    <row r="338">
      <c r="A338" s="614">
        <v>337.0</v>
      </c>
      <c r="B338" s="615" t="s">
        <v>3942</v>
      </c>
      <c r="C338" s="614" t="s">
        <v>3674</v>
      </c>
      <c r="D338" s="614" t="s">
        <v>1913</v>
      </c>
      <c r="E338" s="614" t="s">
        <v>26</v>
      </c>
      <c r="F338" s="614" t="s">
        <v>3195</v>
      </c>
      <c r="G338" s="614" t="s">
        <v>3214</v>
      </c>
      <c r="H338" s="614">
        <v>4.0</v>
      </c>
      <c r="I338" s="614" t="s">
        <v>692</v>
      </c>
      <c r="J338" s="614" t="s">
        <v>3218</v>
      </c>
      <c r="K338" s="614" t="str">
        <f>IFERROR(__xludf.DUMMYFUNCTION("LET(
  r, C338,
  t, J338,
  cons, LOWER(TO_TEXT(O338))=""true"",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38" s="616" t="str">
        <f t="shared" si="1"/>
        <v>Мажор</v>
      </c>
      <c r="M338" s="616"/>
      <c r="N338" s="615">
        <v>0.0</v>
      </c>
      <c r="O338" s="619" t="b">
        <v>0</v>
      </c>
      <c r="P338" s="615">
        <v>0.0</v>
      </c>
      <c r="Q338" s="617" t="s">
        <v>3943</v>
      </c>
      <c r="R338" s="616">
        <f t="shared" si="2"/>
        <v>1000</v>
      </c>
    </row>
    <row r="339">
      <c r="A339" s="614">
        <v>338.0</v>
      </c>
      <c r="B339" s="615" t="s">
        <v>3944</v>
      </c>
      <c r="C339" s="614" t="s">
        <v>3674</v>
      </c>
      <c r="D339" s="614" t="s">
        <v>3283</v>
      </c>
      <c r="E339" s="614" t="s">
        <v>26</v>
      </c>
      <c r="F339" s="614" t="s">
        <v>3283</v>
      </c>
      <c r="G339" s="614" t="s">
        <v>3202</v>
      </c>
      <c r="H339" s="614">
        <v>4.0</v>
      </c>
      <c r="I339" s="614" t="s">
        <v>3203</v>
      </c>
      <c r="J339" s="614" t="s">
        <v>3253</v>
      </c>
      <c r="K339" s="614" t="str">
        <f>IFERROR(__xludf.DUMMYFUNCTION("LET(
  r, C339,
  t, J339,
  cons, LOWER(TO_TEXT(O339))=""true"",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 зм")</f>
        <v>600 зм</v>
      </c>
      <c r="L339" s="616" t="str">
        <f t="shared" si="1"/>
        <v>Мажор</v>
      </c>
      <c r="M339" s="616"/>
      <c r="N339" s="615">
        <v>0.0</v>
      </c>
      <c r="O339" s="619" t="b">
        <v>0</v>
      </c>
      <c r="P339" s="615">
        <v>0.0</v>
      </c>
      <c r="Q339" s="617" t="s">
        <v>3945</v>
      </c>
      <c r="R339" s="616">
        <f t="shared" si="2"/>
        <v>1200</v>
      </c>
    </row>
    <row r="340">
      <c r="A340" s="614">
        <v>339.0</v>
      </c>
      <c r="B340" s="615" t="s">
        <v>3946</v>
      </c>
      <c r="C340" s="614" t="s">
        <v>3674</v>
      </c>
      <c r="D340" s="614" t="s">
        <v>3283</v>
      </c>
      <c r="E340" s="614" t="s">
        <v>26</v>
      </c>
      <c r="F340" s="614" t="s">
        <v>3283</v>
      </c>
      <c r="G340" s="614" t="s">
        <v>3244</v>
      </c>
      <c r="H340" s="614">
        <v>3.0</v>
      </c>
      <c r="I340" s="614" t="s">
        <v>692</v>
      </c>
      <c r="J340" s="614" t="s">
        <v>3221</v>
      </c>
      <c r="K340" s="614" t="str">
        <f>IFERROR(__xludf.DUMMYFUNCTION("LET(
  r, C340,
  t, J340,
  cons, LOWER(TO_TEXT(O340))=""true"",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 зм")</f>
        <v>2d6kh1*100 зм</v>
      </c>
      <c r="L340" s="616" t="str">
        <f t="shared" si="1"/>
        <v>Минор</v>
      </c>
      <c r="M340" s="616"/>
      <c r="N340" s="615">
        <v>0.0</v>
      </c>
      <c r="O340" s="619" t="b">
        <v>0</v>
      </c>
      <c r="P340" s="615">
        <v>0.0</v>
      </c>
      <c r="Q340" s="617" t="s">
        <v>3947</v>
      </c>
      <c r="R340" s="616">
        <f t="shared" si="2"/>
        <v>550</v>
      </c>
    </row>
    <row r="341">
      <c r="A341" s="614">
        <v>340.0</v>
      </c>
      <c r="B341" s="615" t="s">
        <v>3948</v>
      </c>
      <c r="C341" s="614" t="s">
        <v>3674</v>
      </c>
      <c r="D341" s="614" t="s">
        <v>1913</v>
      </c>
      <c r="E341" s="614" t="s">
        <v>26</v>
      </c>
      <c r="F341" s="614" t="s">
        <v>3217</v>
      </c>
      <c r="G341" s="614" t="s">
        <v>3202</v>
      </c>
      <c r="H341" s="614">
        <v>3.0</v>
      </c>
      <c r="I341" s="614" t="s">
        <v>692</v>
      </c>
      <c r="J341" s="614" t="s">
        <v>3218</v>
      </c>
      <c r="K341" s="614" t="str">
        <f>IFERROR(__xludf.DUMMYFUNCTION("LET(
  r, C341,
  t, J341,
  cons, LOWER(TO_TEXT(O341))=""true"",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41" s="616" t="str">
        <f t="shared" si="1"/>
        <v>Минор</v>
      </c>
      <c r="M341" s="616"/>
      <c r="N341" s="615">
        <v>0.0</v>
      </c>
      <c r="O341" s="619" t="b">
        <v>0</v>
      </c>
      <c r="P341" s="615">
        <v>0.0</v>
      </c>
      <c r="Q341" s="617" t="s">
        <v>3949</v>
      </c>
      <c r="R341" s="616">
        <f t="shared" si="2"/>
        <v>500</v>
      </c>
    </row>
    <row r="342">
      <c r="A342" s="614">
        <v>341.0</v>
      </c>
      <c r="B342" s="615" t="s">
        <v>3950</v>
      </c>
      <c r="C342" s="614" t="s">
        <v>3674</v>
      </c>
      <c r="D342" s="614" t="s">
        <v>3283</v>
      </c>
      <c r="E342" s="614" t="s">
        <v>26</v>
      </c>
      <c r="F342" s="614" t="s">
        <v>3283</v>
      </c>
      <c r="G342" s="614" t="s">
        <v>3202</v>
      </c>
      <c r="H342" s="614">
        <v>3.0</v>
      </c>
      <c r="I342" s="614" t="s">
        <v>692</v>
      </c>
      <c r="J342" s="614" t="s">
        <v>3204</v>
      </c>
      <c r="K342" s="614" t="str">
        <f>IFERROR(__xludf.DUMMYFUNCTION("LET(
  r, C342,
  t, J342,
  cons, LOWER(TO_TEXT(O342))=""true"",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42" s="616" t="str">
        <f t="shared" si="1"/>
        <v>Минор</v>
      </c>
      <c r="M342" s="616"/>
      <c r="N342" s="615">
        <v>0.0</v>
      </c>
      <c r="O342" s="619" t="b">
        <v>0</v>
      </c>
      <c r="P342" s="615">
        <v>0.0</v>
      </c>
      <c r="Q342" s="617" t="s">
        <v>3951</v>
      </c>
      <c r="R342" s="616">
        <f t="shared" si="2"/>
        <v>450</v>
      </c>
    </row>
    <row r="343">
      <c r="A343" s="614">
        <v>342.0</v>
      </c>
      <c r="B343" s="615" t="s">
        <v>3952</v>
      </c>
      <c r="C343" s="614" t="s">
        <v>3674</v>
      </c>
      <c r="D343" s="614" t="s">
        <v>3283</v>
      </c>
      <c r="E343" s="614" t="s">
        <v>26</v>
      </c>
      <c r="F343" s="614" t="s">
        <v>3283</v>
      </c>
      <c r="G343" s="614" t="s">
        <v>3202</v>
      </c>
      <c r="H343" s="614">
        <v>3.0</v>
      </c>
      <c r="I343" s="614" t="s">
        <v>692</v>
      </c>
      <c r="J343" s="614" t="s">
        <v>3218</v>
      </c>
      <c r="K343" s="614" t="str">
        <f>IFERROR(__xludf.DUMMYFUNCTION("LET(
  r, C343,
  t, J343,
  cons, LOWER(TO_TEXT(O343))=""true"",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43" s="616" t="str">
        <f t="shared" si="1"/>
        <v>Минор</v>
      </c>
      <c r="M343" s="616"/>
      <c r="N343" s="615">
        <v>0.0</v>
      </c>
      <c r="O343" s="619" t="b">
        <v>0</v>
      </c>
      <c r="P343" s="615">
        <v>0.0</v>
      </c>
      <c r="Q343" s="617" t="s">
        <v>3953</v>
      </c>
      <c r="R343" s="616">
        <f t="shared" si="2"/>
        <v>500</v>
      </c>
    </row>
    <row r="344">
      <c r="A344" s="614">
        <v>343.0</v>
      </c>
      <c r="B344" s="615" t="s">
        <v>3954</v>
      </c>
      <c r="C344" s="614" t="s">
        <v>3674</v>
      </c>
      <c r="D344" s="614" t="s">
        <v>3283</v>
      </c>
      <c r="E344" s="614" t="s">
        <v>26</v>
      </c>
      <c r="F344" s="614" t="s">
        <v>3283</v>
      </c>
      <c r="G344" s="614" t="s">
        <v>3202</v>
      </c>
      <c r="H344" s="614">
        <v>3.0</v>
      </c>
      <c r="I344" s="614" t="s">
        <v>692</v>
      </c>
      <c r="J344" s="614" t="s">
        <v>3218</v>
      </c>
      <c r="K344" s="614" t="str">
        <f>IFERROR(__xludf.DUMMYFUNCTION("LET(
  r, C344,
  t, J344,
  cons, LOWER(TO_TEXT(O344))=""true"",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44" s="616" t="str">
        <f t="shared" si="1"/>
        <v>Минор</v>
      </c>
      <c r="M344" s="616"/>
      <c r="N344" s="615">
        <v>0.0</v>
      </c>
      <c r="O344" s="619" t="b">
        <v>0</v>
      </c>
      <c r="P344" s="615">
        <v>0.0</v>
      </c>
      <c r="Q344" s="617" t="s">
        <v>3955</v>
      </c>
      <c r="R344" s="616">
        <f t="shared" si="2"/>
        <v>500</v>
      </c>
    </row>
    <row r="345">
      <c r="A345" s="614">
        <v>344.0</v>
      </c>
      <c r="B345" s="615" t="s">
        <v>3956</v>
      </c>
      <c r="C345" s="614" t="s">
        <v>3674</v>
      </c>
      <c r="D345" s="614" t="s">
        <v>3283</v>
      </c>
      <c r="E345" s="614" t="s">
        <v>26</v>
      </c>
      <c r="F345" s="614" t="s">
        <v>3283</v>
      </c>
      <c r="G345" s="614" t="s">
        <v>3202</v>
      </c>
      <c r="H345" s="614">
        <v>3.0</v>
      </c>
      <c r="I345" s="614" t="s">
        <v>3203</v>
      </c>
      <c r="J345" s="614" t="s">
        <v>3204</v>
      </c>
      <c r="K345" s="614" t="str">
        <f>IFERROR(__xludf.DUMMYFUNCTION("LET(
  r, C345,
  t, J345,
  cons, LOWER(TO_TEXT(O345))=""true"",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45" s="616" t="str">
        <f t="shared" si="1"/>
        <v>Минор</v>
      </c>
      <c r="M345" s="616"/>
      <c r="N345" s="615">
        <v>0.0</v>
      </c>
      <c r="O345" s="619" t="b">
        <v>0</v>
      </c>
      <c r="P345" s="615">
        <v>0.0</v>
      </c>
      <c r="Q345" s="617" t="s">
        <v>3957</v>
      </c>
      <c r="R345" s="616">
        <f t="shared" si="2"/>
        <v>450</v>
      </c>
    </row>
    <row r="346">
      <c r="A346" s="614">
        <v>345.0</v>
      </c>
      <c r="B346" s="615" t="s">
        <v>3958</v>
      </c>
      <c r="C346" s="614" t="s">
        <v>3674</v>
      </c>
      <c r="D346" s="614" t="s">
        <v>3881</v>
      </c>
      <c r="E346" s="614" t="s">
        <v>26</v>
      </c>
      <c r="F346" s="614" t="s">
        <v>3342</v>
      </c>
      <c r="G346" s="614" t="s">
        <v>3202</v>
      </c>
      <c r="H346" s="614">
        <v>4.0</v>
      </c>
      <c r="I346" s="614" t="s">
        <v>3203</v>
      </c>
      <c r="J346" s="614" t="s">
        <v>3253</v>
      </c>
      <c r="K346" s="614" t="str">
        <f>IFERROR(__xludf.DUMMYFUNCTION("LET(
  r, C346,
  t, J346,
  cons, LOWER(TO_TEXT(O346))=""true"",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 зм")</f>
        <v>600 зм</v>
      </c>
      <c r="L346" s="616" t="str">
        <f t="shared" si="1"/>
        <v>Мажор</v>
      </c>
      <c r="M346" s="616"/>
      <c r="N346" s="615">
        <v>0.0</v>
      </c>
      <c r="O346" s="619" t="b">
        <v>0</v>
      </c>
      <c r="P346" s="615">
        <v>1.0</v>
      </c>
      <c r="Q346" s="617" t="s">
        <v>3959</v>
      </c>
      <c r="R346" s="616">
        <f t="shared" si="2"/>
        <v>1200</v>
      </c>
    </row>
    <row r="347">
      <c r="A347" s="614">
        <v>346.0</v>
      </c>
      <c r="B347" s="615" t="s">
        <v>3960</v>
      </c>
      <c r="C347" s="614" t="s">
        <v>3674</v>
      </c>
      <c r="D347" s="614"/>
      <c r="E347" s="614" t="s">
        <v>26</v>
      </c>
      <c r="F347" s="614" t="s">
        <v>26</v>
      </c>
      <c r="G347" s="614" t="s">
        <v>3202</v>
      </c>
      <c r="H347" s="614">
        <v>3.0</v>
      </c>
      <c r="I347" s="614" t="s">
        <v>692</v>
      </c>
      <c r="J347" s="614" t="s">
        <v>3218</v>
      </c>
      <c r="K347" s="614" t="str">
        <f>IFERROR(__xludf.DUMMYFUNCTION("LET(
  r, C347,
  t, J347,
  cons, LOWER(TO_TEXT(O347))=""true"",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47" s="616" t="str">
        <f t="shared" si="1"/>
        <v>Минор</v>
      </c>
      <c r="M347" s="616"/>
      <c r="N347" s="615">
        <v>0.0</v>
      </c>
      <c r="O347" s="619" t="b">
        <v>0</v>
      </c>
      <c r="P347" s="615">
        <v>1.0</v>
      </c>
      <c r="Q347" s="617" t="s">
        <v>3961</v>
      </c>
      <c r="R347" s="616">
        <f t="shared" si="2"/>
        <v>500</v>
      </c>
    </row>
    <row r="348">
      <c r="A348" s="614">
        <v>347.0</v>
      </c>
      <c r="B348" s="615" t="s">
        <v>3962</v>
      </c>
      <c r="C348" s="614" t="s">
        <v>3674</v>
      </c>
      <c r="D348" s="614" t="s">
        <v>3283</v>
      </c>
      <c r="E348" s="614" t="s">
        <v>26</v>
      </c>
      <c r="F348" s="614" t="s">
        <v>3283</v>
      </c>
      <c r="G348" s="614" t="s">
        <v>3202</v>
      </c>
      <c r="H348" s="614">
        <v>3.0</v>
      </c>
      <c r="I348" s="614" t="s">
        <v>692</v>
      </c>
      <c r="J348" s="614" t="s">
        <v>3204</v>
      </c>
      <c r="K348" s="614" t="str">
        <f>IFERROR(__xludf.DUMMYFUNCTION("LET(
  r, C348,
  t, J348,
  cons, LOWER(TO_TEXT(O348))=""true"",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48" s="616" t="str">
        <f t="shared" si="1"/>
        <v>Минор</v>
      </c>
      <c r="M348" s="616"/>
      <c r="N348" s="615">
        <v>0.0</v>
      </c>
      <c r="O348" s="619" t="b">
        <v>0</v>
      </c>
      <c r="P348" s="615">
        <v>0.0</v>
      </c>
      <c r="Q348" s="617" t="s">
        <v>3963</v>
      </c>
      <c r="R348" s="616">
        <f t="shared" si="2"/>
        <v>450</v>
      </c>
    </row>
    <row r="349">
      <c r="A349" s="614">
        <v>348.0</v>
      </c>
      <c r="B349" s="615" t="s">
        <v>3964</v>
      </c>
      <c r="C349" s="614" t="s">
        <v>3674</v>
      </c>
      <c r="D349" s="614" t="s">
        <v>1070</v>
      </c>
      <c r="E349" s="614" t="s">
        <v>26</v>
      </c>
      <c r="F349" s="614" t="s">
        <v>3234</v>
      </c>
      <c r="G349" s="614" t="s">
        <v>3214</v>
      </c>
      <c r="H349" s="614">
        <v>4.0</v>
      </c>
      <c r="I349" s="614" t="s">
        <v>3203</v>
      </c>
      <c r="J349" s="614" t="s">
        <v>3218</v>
      </c>
      <c r="K349" s="614" t="str">
        <f>IFERROR(__xludf.DUMMYFUNCTION("LET(
  r, C349,
  t, J349,
  cons, LOWER(TO_TEXT(O349))=""true"",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49" s="616" t="str">
        <f t="shared" si="1"/>
        <v>Мажор</v>
      </c>
      <c r="M349" s="616"/>
      <c r="N349" s="615">
        <v>0.0</v>
      </c>
      <c r="O349" s="619" t="b">
        <v>0</v>
      </c>
      <c r="P349" s="615">
        <v>0.0</v>
      </c>
      <c r="Q349" s="617" t="s">
        <v>3965</v>
      </c>
      <c r="R349" s="616">
        <f t="shared" si="2"/>
        <v>1000</v>
      </c>
    </row>
    <row r="350">
      <c r="A350" s="614">
        <v>349.0</v>
      </c>
      <c r="B350" s="615" t="s">
        <v>3966</v>
      </c>
      <c r="C350" s="614" t="s">
        <v>3674</v>
      </c>
      <c r="D350" s="614" t="s">
        <v>3881</v>
      </c>
      <c r="E350" s="614" t="s">
        <v>26</v>
      </c>
      <c r="F350" s="614" t="s">
        <v>3195</v>
      </c>
      <c r="G350" s="614" t="s">
        <v>3202</v>
      </c>
      <c r="H350" s="614">
        <v>4.0</v>
      </c>
      <c r="I350" s="614" t="s">
        <v>692</v>
      </c>
      <c r="J350" s="614" t="s">
        <v>3257</v>
      </c>
      <c r="K350" s="614" t="str">
        <f>IFERROR(__xludf.DUMMYFUNCTION("LET(
  r, C350,
  t, J350,
  cons, LOWER(TO_TEXT(O350))=""true"",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)"),"100 зм")</f>
        <v>100 зм</v>
      </c>
      <c r="L350" s="616" t="str">
        <f t="shared" si="1"/>
        <v>Мажор</v>
      </c>
      <c r="M350" s="616"/>
      <c r="N350" s="615">
        <v>0.0</v>
      </c>
      <c r="O350" s="619" t="b">
        <v>0</v>
      </c>
      <c r="P350" s="615">
        <v>1.0</v>
      </c>
      <c r="Q350" s="617" t="s">
        <v>3967</v>
      </c>
      <c r="R350" s="616">
        <f t="shared" si="2"/>
        <v>800</v>
      </c>
    </row>
    <row r="351">
      <c r="A351" s="614">
        <v>350.0</v>
      </c>
      <c r="B351" s="615" t="s">
        <v>3968</v>
      </c>
      <c r="C351" s="614" t="s">
        <v>3674</v>
      </c>
      <c r="D351" s="614" t="s">
        <v>3881</v>
      </c>
      <c r="E351" s="614" t="s">
        <v>26</v>
      </c>
      <c r="F351" s="614" t="s">
        <v>3309</v>
      </c>
      <c r="G351" s="614" t="s">
        <v>3202</v>
      </c>
      <c r="H351" s="614">
        <v>4.0</v>
      </c>
      <c r="I351" s="614" t="s">
        <v>3203</v>
      </c>
      <c r="J351" s="614" t="s">
        <v>3253</v>
      </c>
      <c r="K351" s="614" t="str">
        <f>IFERROR(__xludf.DUMMYFUNCTION("LET(
  r, C351,
  t, J351,
  cons, LOWER(TO_TEXT(O351))=""true"",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 зм")</f>
        <v>600 зм</v>
      </c>
      <c r="L351" s="616" t="str">
        <f t="shared" si="1"/>
        <v>Мажор</v>
      </c>
      <c r="M351" s="616"/>
      <c r="N351" s="615">
        <v>0.0</v>
      </c>
      <c r="O351" s="619" t="b">
        <v>0</v>
      </c>
      <c r="P351" s="615">
        <v>0.0</v>
      </c>
      <c r="Q351" s="617" t="s">
        <v>3969</v>
      </c>
      <c r="R351" s="616">
        <f t="shared" si="2"/>
        <v>1200</v>
      </c>
    </row>
    <row r="352">
      <c r="A352" s="614">
        <v>351.0</v>
      </c>
      <c r="B352" s="615" t="s">
        <v>3970</v>
      </c>
      <c r="C352" s="614" t="s">
        <v>3674</v>
      </c>
      <c r="D352" s="614" t="s">
        <v>3881</v>
      </c>
      <c r="E352" s="614" t="s">
        <v>26</v>
      </c>
      <c r="F352" s="614" t="s">
        <v>3309</v>
      </c>
      <c r="G352" s="614" t="s">
        <v>3202</v>
      </c>
      <c r="H352" s="614">
        <v>3.0</v>
      </c>
      <c r="I352" s="614" t="s">
        <v>692</v>
      </c>
      <c r="J352" s="614" t="s">
        <v>3204</v>
      </c>
      <c r="K352" s="614" t="str">
        <f>IFERROR(__xludf.DUMMYFUNCTION("LET(
  r, C352,
  t, J352,
  cons, LOWER(TO_TEXT(O352))=""true"",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52" s="616" t="str">
        <f t="shared" si="1"/>
        <v>Минор</v>
      </c>
      <c r="M352" s="616"/>
      <c r="N352" s="615" t="s">
        <v>3971</v>
      </c>
      <c r="O352" s="619" t="b">
        <v>0</v>
      </c>
      <c r="P352" s="615">
        <v>0.0</v>
      </c>
      <c r="Q352" s="617" t="s">
        <v>3972</v>
      </c>
      <c r="R352" s="616">
        <f t="shared" si="2"/>
        <v>450</v>
      </c>
    </row>
    <row r="353">
      <c r="A353" s="614">
        <v>352.0</v>
      </c>
      <c r="B353" s="615" t="s">
        <v>3973</v>
      </c>
      <c r="C353" s="614" t="s">
        <v>3674</v>
      </c>
      <c r="D353" s="614" t="s">
        <v>3881</v>
      </c>
      <c r="E353" s="614" t="s">
        <v>26</v>
      </c>
      <c r="F353" s="614" t="s">
        <v>3201</v>
      </c>
      <c r="G353" s="614" t="s">
        <v>3202</v>
      </c>
      <c r="H353" s="614">
        <v>4.0</v>
      </c>
      <c r="I353" s="614" t="s">
        <v>692</v>
      </c>
      <c r="J353" s="614" t="s">
        <v>3253</v>
      </c>
      <c r="K353" s="614" t="str">
        <f>IFERROR(__xludf.DUMMYFUNCTION("LET(
  r, C353,
  t, J353,
  cons, LOWER(TO_TEXT(O353))=""true"",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 зм")</f>
        <v>600 зм</v>
      </c>
      <c r="L353" s="616" t="str">
        <f>IF(ISEVEN(H351),"Мажор","Минор")</f>
        <v>Мажор</v>
      </c>
      <c r="M353" s="616"/>
      <c r="N353" s="615">
        <v>0.0</v>
      </c>
      <c r="O353" s="619" t="b">
        <v>0</v>
      </c>
      <c r="P353" s="615">
        <v>0.0</v>
      </c>
      <c r="Q353" s="617" t="s">
        <v>3974</v>
      </c>
      <c r="R353" s="616">
        <f t="shared" si="2"/>
        <v>1200</v>
      </c>
    </row>
    <row r="354">
      <c r="A354" s="614">
        <v>353.0</v>
      </c>
      <c r="B354" s="615" t="s">
        <v>3975</v>
      </c>
      <c r="C354" s="614" t="s">
        <v>3674</v>
      </c>
      <c r="D354" s="614" t="s">
        <v>3881</v>
      </c>
      <c r="E354" s="614" t="s">
        <v>26</v>
      </c>
      <c r="F354" s="614" t="s">
        <v>3201</v>
      </c>
      <c r="G354" s="614" t="s">
        <v>3202</v>
      </c>
      <c r="H354" s="614">
        <v>3.0</v>
      </c>
      <c r="I354" s="614" t="s">
        <v>3203</v>
      </c>
      <c r="J354" s="614" t="s">
        <v>3253</v>
      </c>
      <c r="K354" s="614" t="str">
        <f>IFERROR(__xludf.DUMMYFUNCTION("LET(
  r, C354,
  t, J354,
  cons, LOWER(TO_TEXT(O354))=""true"",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 зм")</f>
        <v>600 зм</v>
      </c>
      <c r="L354" s="616" t="str">
        <f t="shared" ref="L354:L389" si="3">SWITCH(H354,10,"Мажор",9,"Минор",8,"Мажор",7,"Минор",6,"Мажор",5,"Минор",4,"Мажор",3,"Минор",2,"Мажор",1,"Минор",)</f>
        <v>Минор</v>
      </c>
      <c r="M354" s="616"/>
      <c r="N354" s="615">
        <v>0.0</v>
      </c>
      <c r="O354" s="619" t="b">
        <v>0</v>
      </c>
      <c r="P354" s="615">
        <v>0.0</v>
      </c>
      <c r="Q354" s="617" t="s">
        <v>3976</v>
      </c>
      <c r="R354" s="616">
        <f t="shared" si="2"/>
        <v>600</v>
      </c>
    </row>
    <row r="355">
      <c r="A355" s="614">
        <v>354.0</v>
      </c>
      <c r="B355" s="615" t="s">
        <v>3977</v>
      </c>
      <c r="C355" s="614" t="s">
        <v>3674</v>
      </c>
      <c r="D355" s="614" t="s">
        <v>3881</v>
      </c>
      <c r="E355" s="614" t="s">
        <v>26</v>
      </c>
      <c r="F355" s="614" t="s">
        <v>3201</v>
      </c>
      <c r="G355" s="614" t="s">
        <v>3202</v>
      </c>
      <c r="H355" s="614">
        <v>3.0</v>
      </c>
      <c r="I355" s="614" t="s">
        <v>3203</v>
      </c>
      <c r="J355" s="614" t="s">
        <v>3411</v>
      </c>
      <c r="K355" s="614" t="str">
        <f>IFERROR(__xludf.DUMMYFUNCTION("LET(
  r, C355,
  t, J355,
  cons, LOWER(TO_TEXT(O355))=""true"",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55" s="616" t="str">
        <f t="shared" si="3"/>
        <v>Минор</v>
      </c>
      <c r="M355" s="616"/>
      <c r="N355" s="615">
        <v>0.0</v>
      </c>
      <c r="O355" s="619" t="b">
        <v>0</v>
      </c>
      <c r="P355" s="615">
        <v>0.0</v>
      </c>
      <c r="Q355" s="617" t="s">
        <v>3978</v>
      </c>
      <c r="R355" s="616">
        <f t="shared" si="2"/>
        <v>500</v>
      </c>
    </row>
    <row r="356">
      <c r="A356" s="614">
        <v>355.0</v>
      </c>
      <c r="B356" s="615" t="s">
        <v>3979</v>
      </c>
      <c r="C356" s="614" t="s">
        <v>3674</v>
      </c>
      <c r="D356" s="614" t="s">
        <v>2</v>
      </c>
      <c r="E356" s="614" t="s">
        <v>3450</v>
      </c>
      <c r="F356" s="614" t="s">
        <v>3195</v>
      </c>
      <c r="G356" s="614" t="s">
        <v>3202</v>
      </c>
      <c r="H356" s="614">
        <v>4.0</v>
      </c>
      <c r="I356" s="614" t="s">
        <v>692</v>
      </c>
      <c r="J356" s="614" t="s">
        <v>3204</v>
      </c>
      <c r="K356" s="614" t="str">
        <f>IFERROR(__xludf.DUMMYFUNCTION("LET(
  r, C356,
  t, J356,
  cons, LOWER(TO_TEXT(O356))=""true"",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56" s="616" t="str">
        <f t="shared" si="3"/>
        <v>Мажор</v>
      </c>
      <c r="M356" s="616"/>
      <c r="N356" s="615">
        <v>0.0</v>
      </c>
      <c r="O356" s="619" t="b">
        <v>0</v>
      </c>
      <c r="P356" s="615">
        <v>0.0</v>
      </c>
      <c r="Q356" s="617" t="s">
        <v>3980</v>
      </c>
      <c r="R356" s="616">
        <f t="shared" si="2"/>
        <v>900</v>
      </c>
    </row>
    <row r="357">
      <c r="A357" s="614">
        <v>356.0</v>
      </c>
      <c r="B357" s="615" t="s">
        <v>3981</v>
      </c>
      <c r="C357" s="614" t="s">
        <v>3674</v>
      </c>
      <c r="D357" s="614" t="s">
        <v>2</v>
      </c>
      <c r="E357" s="614" t="s">
        <v>3228</v>
      </c>
      <c r="F357" s="614" t="s">
        <v>3195</v>
      </c>
      <c r="G357" s="614" t="s">
        <v>3202</v>
      </c>
      <c r="H357" s="614">
        <v>4.0</v>
      </c>
      <c r="I357" s="614" t="s">
        <v>3203</v>
      </c>
      <c r="J357" s="614" t="s">
        <v>3257</v>
      </c>
      <c r="K357" s="614" t="str">
        <f>IFERROR(__xludf.DUMMYFUNCTION("LET(
  r, C357,
  t, J357,
  cons, LOWER(TO_TEXT(O357))=""true"",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)"),"100 зм")</f>
        <v>100 зм</v>
      </c>
      <c r="L357" s="616" t="str">
        <f t="shared" si="3"/>
        <v>Мажор</v>
      </c>
      <c r="M357" s="616"/>
      <c r="N357" s="615">
        <v>0.0</v>
      </c>
      <c r="O357" s="619" t="b">
        <v>0</v>
      </c>
      <c r="P357" s="615">
        <v>0.0</v>
      </c>
      <c r="Q357" s="617" t="s">
        <v>3982</v>
      </c>
      <c r="R357" s="616">
        <f t="shared" si="2"/>
        <v>800</v>
      </c>
    </row>
    <row r="358">
      <c r="A358" s="614">
        <v>357.0</v>
      </c>
      <c r="B358" s="615" t="s">
        <v>3983</v>
      </c>
      <c r="C358" s="614" t="s">
        <v>3674</v>
      </c>
      <c r="D358" s="614" t="s">
        <v>3881</v>
      </c>
      <c r="E358" s="614" t="s">
        <v>26</v>
      </c>
      <c r="F358" s="614" t="s">
        <v>3328</v>
      </c>
      <c r="G358" s="614" t="s">
        <v>3202</v>
      </c>
      <c r="H358" s="614">
        <v>4.0</v>
      </c>
      <c r="I358" s="614" t="s">
        <v>692</v>
      </c>
      <c r="J358" s="614" t="s">
        <v>3218</v>
      </c>
      <c r="K358" s="614" t="str">
        <f>IFERROR(__xludf.DUMMYFUNCTION("LET(
  r, C358,
  t, J358,
  cons, LOWER(TO_TEXT(O358))=""true"",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58" s="616" t="str">
        <f t="shared" si="3"/>
        <v>Мажор</v>
      </c>
      <c r="M358" s="616"/>
      <c r="N358" s="615">
        <v>0.0</v>
      </c>
      <c r="O358" s="619" t="b">
        <v>0</v>
      </c>
      <c r="P358" s="615">
        <v>0.0</v>
      </c>
      <c r="Q358" s="617" t="s">
        <v>3984</v>
      </c>
      <c r="R358" s="616">
        <f t="shared" si="2"/>
        <v>1000</v>
      </c>
    </row>
    <row r="359">
      <c r="A359" s="614">
        <v>358.0</v>
      </c>
      <c r="B359" s="615" t="s">
        <v>3985</v>
      </c>
      <c r="C359" s="614" t="s">
        <v>3674</v>
      </c>
      <c r="D359" s="614" t="s">
        <v>3247</v>
      </c>
      <c r="E359" s="614" t="s">
        <v>26</v>
      </c>
      <c r="F359" s="614" t="s">
        <v>3217</v>
      </c>
      <c r="G359" s="614" t="s">
        <v>3202</v>
      </c>
      <c r="H359" s="614">
        <v>3.0</v>
      </c>
      <c r="I359" s="614" t="s">
        <v>692</v>
      </c>
      <c r="J359" s="614" t="s">
        <v>3221</v>
      </c>
      <c r="K359" s="614" t="str">
        <f>IFERROR(__xludf.DUMMYFUNCTION("LET(
  r, C359,
  t, J359,
  cons, LOWER(TO_TEXT(O359))=""true"",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 зм")</f>
        <v>2d6kh1*100 зм</v>
      </c>
      <c r="L359" s="616" t="str">
        <f t="shared" si="3"/>
        <v>Минор</v>
      </c>
      <c r="M359" s="616"/>
      <c r="N359" s="615">
        <v>0.0</v>
      </c>
      <c r="O359" s="619" t="b">
        <v>0</v>
      </c>
      <c r="P359" s="615">
        <v>0.0</v>
      </c>
      <c r="Q359" s="617" t="s">
        <v>3986</v>
      </c>
      <c r="R359" s="616">
        <f t="shared" si="2"/>
        <v>550</v>
      </c>
    </row>
    <row r="360">
      <c r="A360" s="614">
        <v>359.0</v>
      </c>
      <c r="B360" s="615" t="s">
        <v>3987</v>
      </c>
      <c r="C360" s="614" t="s">
        <v>3674</v>
      </c>
      <c r="D360" s="614" t="s">
        <v>3881</v>
      </c>
      <c r="E360" s="614" t="s">
        <v>26</v>
      </c>
      <c r="F360" s="614" t="s">
        <v>3272</v>
      </c>
      <c r="G360" s="614" t="s">
        <v>3202</v>
      </c>
      <c r="H360" s="614">
        <v>3.0</v>
      </c>
      <c r="I360" s="614" t="s">
        <v>692</v>
      </c>
      <c r="J360" s="614" t="s">
        <v>3253</v>
      </c>
      <c r="K360" s="614" t="str">
        <f>IFERROR(__xludf.DUMMYFUNCTION("LET(
  r, C360,
  t, J360,
  cons, LOWER(TO_TEXT(O360))=""true"",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 зм")</f>
        <v>600 зм</v>
      </c>
      <c r="L360" s="616" t="str">
        <f t="shared" si="3"/>
        <v>Минор</v>
      </c>
      <c r="M360" s="616"/>
      <c r="N360" s="615">
        <v>0.0</v>
      </c>
      <c r="O360" s="619" t="b">
        <v>0</v>
      </c>
      <c r="P360" s="615">
        <v>0.0</v>
      </c>
      <c r="Q360" s="617" t="s">
        <v>3988</v>
      </c>
      <c r="R360" s="616">
        <f t="shared" si="2"/>
        <v>600</v>
      </c>
    </row>
    <row r="361">
      <c r="A361" s="614">
        <v>360.0</v>
      </c>
      <c r="B361" s="615" t="s">
        <v>3989</v>
      </c>
      <c r="C361" s="614" t="s">
        <v>3674</v>
      </c>
      <c r="D361" s="614" t="s">
        <v>3881</v>
      </c>
      <c r="E361" s="614" t="s">
        <v>26</v>
      </c>
      <c r="F361" s="614" t="s">
        <v>3217</v>
      </c>
      <c r="G361" s="614" t="s">
        <v>3202</v>
      </c>
      <c r="H361" s="614">
        <v>3.0</v>
      </c>
      <c r="I361" s="614" t="s">
        <v>692</v>
      </c>
      <c r="J361" s="614" t="s">
        <v>3218</v>
      </c>
      <c r="K361" s="614" t="str">
        <f>IFERROR(__xludf.DUMMYFUNCTION("LET(
  r, C361,
  t, J361,
  cons, LOWER(TO_TEXT(O361))=""true"",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61" s="616" t="str">
        <f t="shared" si="3"/>
        <v>Минор</v>
      </c>
      <c r="M361" s="616"/>
      <c r="N361" s="615">
        <v>0.0</v>
      </c>
      <c r="O361" s="619" t="b">
        <v>0</v>
      </c>
      <c r="P361" s="615">
        <v>0.0</v>
      </c>
      <c r="Q361" s="617" t="s">
        <v>3990</v>
      </c>
      <c r="R361" s="616">
        <f t="shared" si="2"/>
        <v>500</v>
      </c>
    </row>
    <row r="362">
      <c r="A362" s="614">
        <v>361.0</v>
      </c>
      <c r="B362" s="615" t="s">
        <v>3991</v>
      </c>
      <c r="C362" s="614" t="s">
        <v>3674</v>
      </c>
      <c r="D362" s="614" t="s">
        <v>3881</v>
      </c>
      <c r="E362" s="614" t="s">
        <v>26</v>
      </c>
      <c r="F362" s="614" t="s">
        <v>3201</v>
      </c>
      <c r="G362" s="614" t="s">
        <v>3202</v>
      </c>
      <c r="H362" s="614">
        <v>3.0</v>
      </c>
      <c r="I362" s="614" t="s">
        <v>692</v>
      </c>
      <c r="J362" s="614" t="s">
        <v>3253</v>
      </c>
      <c r="K362" s="614" t="str">
        <f>IFERROR(__xludf.DUMMYFUNCTION("LET(
  r, C362,
  t, J362,
  cons, LOWER(TO_TEXT(O362))=""true"",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 зм")</f>
        <v>600 зм</v>
      </c>
      <c r="L362" s="616" t="str">
        <f t="shared" si="3"/>
        <v>Минор</v>
      </c>
      <c r="M362" s="616"/>
      <c r="N362" s="615">
        <v>0.0</v>
      </c>
      <c r="O362" s="619" t="b">
        <v>0</v>
      </c>
      <c r="P362" s="615">
        <v>0.0</v>
      </c>
      <c r="Q362" s="617" t="s">
        <v>3992</v>
      </c>
      <c r="R362" s="616">
        <f t="shared" si="2"/>
        <v>600</v>
      </c>
    </row>
    <row r="363">
      <c r="A363" s="614">
        <v>362.0</v>
      </c>
      <c r="B363" s="615" t="s">
        <v>3993</v>
      </c>
      <c r="C363" s="614" t="s">
        <v>3674</v>
      </c>
      <c r="D363" s="614" t="s">
        <v>2</v>
      </c>
      <c r="E363" s="614" t="s">
        <v>3994</v>
      </c>
      <c r="F363" s="614" t="s">
        <v>3195</v>
      </c>
      <c r="G363" s="614" t="s">
        <v>3202</v>
      </c>
      <c r="H363" s="614">
        <v>3.0</v>
      </c>
      <c r="I363" s="614" t="s">
        <v>692</v>
      </c>
      <c r="J363" s="614" t="s">
        <v>3218</v>
      </c>
      <c r="K363" s="614" t="str">
        <f>IFERROR(__xludf.DUMMYFUNCTION("LET(
  r, C363,
  t, J363,
  cons, LOWER(TO_TEXT(O363))=""true"",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63" s="616" t="str">
        <f t="shared" si="3"/>
        <v>Минор</v>
      </c>
      <c r="M363" s="616"/>
      <c r="N363" s="615">
        <v>0.0</v>
      </c>
      <c r="O363" s="619" t="b">
        <v>0</v>
      </c>
      <c r="P363" s="615">
        <v>0.0</v>
      </c>
      <c r="Q363" s="617" t="s">
        <v>3995</v>
      </c>
      <c r="R363" s="616">
        <f t="shared" si="2"/>
        <v>500</v>
      </c>
    </row>
    <row r="364">
      <c r="A364" s="614">
        <v>363.0</v>
      </c>
      <c r="B364" s="615" t="s">
        <v>3996</v>
      </c>
      <c r="C364" s="614" t="s">
        <v>3674</v>
      </c>
      <c r="D364" s="614" t="s">
        <v>3881</v>
      </c>
      <c r="E364" s="614" t="s">
        <v>26</v>
      </c>
      <c r="F364" s="614" t="s">
        <v>1978</v>
      </c>
      <c r="G364" s="614" t="s">
        <v>3202</v>
      </c>
      <c r="H364" s="614">
        <v>4.0</v>
      </c>
      <c r="I364" s="614" t="s">
        <v>3203</v>
      </c>
      <c r="J364" s="614" t="s">
        <v>3218</v>
      </c>
      <c r="K364" s="614" t="str">
        <f>IFERROR(__xludf.DUMMYFUNCTION("LET(
  r, C364,
  t, J364,
  cons, LOWER(TO_TEXT(O364))=""true"",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64" s="616" t="str">
        <f t="shared" si="3"/>
        <v>Мажор</v>
      </c>
      <c r="M364" s="616"/>
      <c r="N364" s="615" t="s">
        <v>3588</v>
      </c>
      <c r="O364" s="619" t="b">
        <v>0</v>
      </c>
      <c r="P364" s="615">
        <v>0.0</v>
      </c>
      <c r="Q364" s="617" t="s">
        <v>3997</v>
      </c>
      <c r="R364" s="616">
        <f t="shared" si="2"/>
        <v>1000</v>
      </c>
    </row>
    <row r="365">
      <c r="A365" s="614">
        <v>364.0</v>
      </c>
      <c r="B365" s="615" t="s">
        <v>3998</v>
      </c>
      <c r="C365" s="614" t="s">
        <v>3674</v>
      </c>
      <c r="D365" s="614" t="s">
        <v>3881</v>
      </c>
      <c r="E365" s="614" t="s">
        <v>26</v>
      </c>
      <c r="F365" s="614" t="s">
        <v>3272</v>
      </c>
      <c r="G365" s="614" t="s">
        <v>3202</v>
      </c>
      <c r="H365" s="614">
        <v>3.0</v>
      </c>
      <c r="I365" s="614" t="s">
        <v>692</v>
      </c>
      <c r="J365" s="614" t="s">
        <v>3218</v>
      </c>
      <c r="K365" s="614" t="str">
        <f>IFERROR(__xludf.DUMMYFUNCTION("LET(
  r, C365,
  t, J365,
  cons, LOWER(TO_TEXT(O365))=""true"",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65" s="616" t="str">
        <f t="shared" si="3"/>
        <v>Минор</v>
      </c>
      <c r="M365" s="616"/>
      <c r="N365" s="615">
        <v>0.0</v>
      </c>
      <c r="O365" s="619" t="b">
        <v>0</v>
      </c>
      <c r="P365" s="615">
        <v>0.0</v>
      </c>
      <c r="Q365" s="617" t="s">
        <v>3999</v>
      </c>
      <c r="R365" s="616">
        <f t="shared" si="2"/>
        <v>500</v>
      </c>
    </row>
    <row r="366">
      <c r="A366" s="614">
        <v>365.0</v>
      </c>
      <c r="B366" s="615" t="s">
        <v>4000</v>
      </c>
      <c r="C366" s="614" t="s">
        <v>3674</v>
      </c>
      <c r="D366" s="614" t="s">
        <v>3881</v>
      </c>
      <c r="E366" s="614" t="s">
        <v>26</v>
      </c>
      <c r="F366" s="614" t="s">
        <v>3272</v>
      </c>
      <c r="G366" s="614" t="s">
        <v>3202</v>
      </c>
      <c r="H366" s="614">
        <v>3.0</v>
      </c>
      <c r="I366" s="614" t="s">
        <v>692</v>
      </c>
      <c r="J366" s="614" t="s">
        <v>3218</v>
      </c>
      <c r="K366" s="614" t="str">
        <f>IFERROR(__xludf.DUMMYFUNCTION("LET(
  r, C366,
  t, J366,
  cons, LOWER(TO_TEXT(O366))=""true"",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66" s="616" t="str">
        <f t="shared" si="3"/>
        <v>Минор</v>
      </c>
      <c r="M366" s="616"/>
      <c r="N366" s="615">
        <v>0.0</v>
      </c>
      <c r="O366" s="619" t="b">
        <v>0</v>
      </c>
      <c r="P366" s="615">
        <v>0.0</v>
      </c>
      <c r="Q366" s="617" t="s">
        <v>4001</v>
      </c>
      <c r="R366" s="616">
        <f t="shared" si="2"/>
        <v>500</v>
      </c>
    </row>
    <row r="367">
      <c r="A367" s="614">
        <v>366.0</v>
      </c>
      <c r="B367" s="615" t="s">
        <v>4002</v>
      </c>
      <c r="C367" s="614" t="s">
        <v>3674</v>
      </c>
      <c r="D367" s="614" t="s">
        <v>3881</v>
      </c>
      <c r="E367" s="614" t="s">
        <v>26</v>
      </c>
      <c r="F367" s="614" t="s">
        <v>3272</v>
      </c>
      <c r="G367" s="614" t="s">
        <v>3202</v>
      </c>
      <c r="H367" s="614">
        <v>3.0</v>
      </c>
      <c r="I367" s="614" t="s">
        <v>692</v>
      </c>
      <c r="J367" s="614" t="s">
        <v>3218</v>
      </c>
      <c r="K367" s="614" t="str">
        <f>IFERROR(__xludf.DUMMYFUNCTION("LET(
  r, C367,
  t, J367,
  cons, LOWER(TO_TEXT(O367))=""true"",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67" s="616" t="str">
        <f t="shared" si="3"/>
        <v>Минор</v>
      </c>
      <c r="M367" s="616"/>
      <c r="N367" s="615">
        <v>0.0</v>
      </c>
      <c r="O367" s="619" t="b">
        <v>0</v>
      </c>
      <c r="P367" s="615">
        <v>0.0</v>
      </c>
      <c r="Q367" s="617" t="s">
        <v>4003</v>
      </c>
      <c r="R367" s="616">
        <f t="shared" si="2"/>
        <v>500</v>
      </c>
    </row>
    <row r="368">
      <c r="A368" s="614">
        <v>367.0</v>
      </c>
      <c r="B368" s="615" t="s">
        <v>4004</v>
      </c>
      <c r="C368" s="614" t="s">
        <v>3674</v>
      </c>
      <c r="D368" s="614" t="s">
        <v>3881</v>
      </c>
      <c r="E368" s="614" t="s">
        <v>26</v>
      </c>
      <c r="F368" s="614" t="s">
        <v>3272</v>
      </c>
      <c r="G368" s="614" t="s">
        <v>3202</v>
      </c>
      <c r="H368" s="614">
        <v>3.0</v>
      </c>
      <c r="I368" s="614" t="s">
        <v>692</v>
      </c>
      <c r="J368" s="614" t="s">
        <v>3218</v>
      </c>
      <c r="K368" s="614" t="str">
        <f>IFERROR(__xludf.DUMMYFUNCTION("LET(
  r, C368,
  t, J368,
  cons, LOWER(TO_TEXT(O368))=""true"",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68" s="616" t="str">
        <f t="shared" si="3"/>
        <v>Минор</v>
      </c>
      <c r="M368" s="616"/>
      <c r="N368" s="615">
        <v>0.0</v>
      </c>
      <c r="O368" s="619" t="b">
        <v>0</v>
      </c>
      <c r="P368" s="615">
        <v>0.0</v>
      </c>
      <c r="Q368" s="617" t="s">
        <v>4005</v>
      </c>
      <c r="R368" s="616">
        <f t="shared" si="2"/>
        <v>500</v>
      </c>
    </row>
    <row r="369">
      <c r="A369" s="614">
        <v>368.0</v>
      </c>
      <c r="B369" s="615" t="s">
        <v>4006</v>
      </c>
      <c r="C369" s="614" t="s">
        <v>3674</v>
      </c>
      <c r="D369" s="614" t="s">
        <v>1070</v>
      </c>
      <c r="E369" s="614" t="s">
        <v>26</v>
      </c>
      <c r="F369" s="614" t="s">
        <v>3234</v>
      </c>
      <c r="G369" s="614" t="s">
        <v>3662</v>
      </c>
      <c r="H369" s="614">
        <v>4.0</v>
      </c>
      <c r="I369" s="614" t="s">
        <v>3203</v>
      </c>
      <c r="J369" s="614" t="s">
        <v>3221</v>
      </c>
      <c r="K369" s="614" t="str">
        <f>IFERROR(__xludf.DUMMYFUNCTION("LET(
  r, C369,
  t, J369,
  cons, LOWER(TO_TEXT(O369))=""true"",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 зм")</f>
        <v>2d6kh1*100 зм</v>
      </c>
      <c r="L369" s="616" t="str">
        <f t="shared" si="3"/>
        <v>Мажор</v>
      </c>
      <c r="M369" s="616"/>
      <c r="N369" s="615">
        <v>0.0</v>
      </c>
      <c r="O369" s="619" t="b">
        <v>0</v>
      </c>
      <c r="P369" s="615">
        <v>0.0</v>
      </c>
      <c r="Q369" s="617" t="s">
        <v>4007</v>
      </c>
      <c r="R369" s="616">
        <f t="shared" si="2"/>
        <v>1100</v>
      </c>
    </row>
    <row r="370">
      <c r="A370" s="614">
        <v>369.0</v>
      </c>
      <c r="B370" s="615" t="s">
        <v>4008</v>
      </c>
      <c r="C370" s="614" t="s">
        <v>3674</v>
      </c>
      <c r="D370" s="614" t="s">
        <v>3881</v>
      </c>
      <c r="E370" s="614" t="s">
        <v>26</v>
      </c>
      <c r="F370" s="614" t="s">
        <v>3195</v>
      </c>
      <c r="G370" s="614" t="s">
        <v>3202</v>
      </c>
      <c r="H370" s="614">
        <v>3.0</v>
      </c>
      <c r="I370" s="614" t="s">
        <v>692</v>
      </c>
      <c r="J370" s="614" t="s">
        <v>3204</v>
      </c>
      <c r="K370" s="614" t="str">
        <f>IFERROR(__xludf.DUMMYFUNCTION("LET(
  r, C370,
  t, J370,
  cons, LOWER(TO_TEXT(O370))=""true"",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70" s="616" t="str">
        <f t="shared" si="3"/>
        <v>Минор</v>
      </c>
      <c r="M370" s="616"/>
      <c r="N370" s="615">
        <v>0.0</v>
      </c>
      <c r="O370" s="619" t="b">
        <v>0</v>
      </c>
      <c r="P370" s="615">
        <v>0.0</v>
      </c>
      <c r="Q370" s="617" t="s">
        <v>4009</v>
      </c>
      <c r="R370" s="616">
        <f t="shared" si="2"/>
        <v>450</v>
      </c>
    </row>
    <row r="371">
      <c r="A371" s="614">
        <v>370.0</v>
      </c>
      <c r="B371" s="615" t="s">
        <v>4010</v>
      </c>
      <c r="C371" s="614" t="s">
        <v>3674</v>
      </c>
      <c r="D371" s="614" t="s">
        <v>3881</v>
      </c>
      <c r="E371" s="614" t="s">
        <v>26</v>
      </c>
      <c r="F371" s="614" t="s">
        <v>3328</v>
      </c>
      <c r="G371" s="614" t="s">
        <v>3202</v>
      </c>
      <c r="H371" s="614">
        <v>3.0</v>
      </c>
      <c r="I371" s="614" t="s">
        <v>692</v>
      </c>
      <c r="J371" s="614" t="s">
        <v>3218</v>
      </c>
      <c r="K371" s="614" t="str">
        <f>IFERROR(__xludf.DUMMYFUNCTION("LET(
  r, C371,
  t, J371,
  cons, LOWER(TO_TEXT(O371))=""true"",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71" s="616" t="str">
        <f t="shared" si="3"/>
        <v>Минор</v>
      </c>
      <c r="M371" s="616"/>
      <c r="N371" s="615">
        <v>0.0</v>
      </c>
      <c r="O371" s="619" t="b">
        <v>0</v>
      </c>
      <c r="P371" s="615">
        <v>0.0</v>
      </c>
      <c r="Q371" s="617" t="s">
        <v>4011</v>
      </c>
      <c r="R371" s="616">
        <f t="shared" si="2"/>
        <v>500</v>
      </c>
    </row>
    <row r="372">
      <c r="A372" s="614">
        <v>371.0</v>
      </c>
      <c r="B372" s="615" t="s">
        <v>4012</v>
      </c>
      <c r="C372" s="614" t="s">
        <v>3674</v>
      </c>
      <c r="D372" s="614" t="s">
        <v>3881</v>
      </c>
      <c r="E372" s="614" t="s">
        <v>26</v>
      </c>
      <c r="F372" s="614" t="s">
        <v>3328</v>
      </c>
      <c r="G372" s="614" t="s">
        <v>3202</v>
      </c>
      <c r="H372" s="614">
        <v>3.0</v>
      </c>
      <c r="I372" s="614" t="s">
        <v>692</v>
      </c>
      <c r="J372" s="614" t="s">
        <v>3204</v>
      </c>
      <c r="K372" s="614" t="str">
        <f>IFERROR(__xludf.DUMMYFUNCTION("LET(
  r, C372,
  t, J372,
  cons, LOWER(TO_TEXT(O372))=""true"",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72" s="616" t="str">
        <f t="shared" si="3"/>
        <v>Минор</v>
      </c>
      <c r="M372" s="616"/>
      <c r="N372" s="615">
        <v>0.0</v>
      </c>
      <c r="O372" s="619" t="b">
        <v>0</v>
      </c>
      <c r="P372" s="615">
        <v>0.0</v>
      </c>
      <c r="Q372" s="617" t="s">
        <v>4013</v>
      </c>
      <c r="R372" s="616">
        <f t="shared" si="2"/>
        <v>450</v>
      </c>
    </row>
    <row r="373">
      <c r="A373" s="614">
        <v>372.0</v>
      </c>
      <c r="B373" s="615" t="s">
        <v>4014</v>
      </c>
      <c r="C373" s="614" t="s">
        <v>3674</v>
      </c>
      <c r="D373" s="614" t="s">
        <v>3881</v>
      </c>
      <c r="E373" s="614" t="s">
        <v>26</v>
      </c>
      <c r="F373" s="614" t="s">
        <v>3328</v>
      </c>
      <c r="G373" s="614" t="s">
        <v>3202</v>
      </c>
      <c r="H373" s="614">
        <v>3.0</v>
      </c>
      <c r="I373" s="614" t="s">
        <v>692</v>
      </c>
      <c r="J373" s="614" t="s">
        <v>3204</v>
      </c>
      <c r="K373" s="614" t="str">
        <f>IFERROR(__xludf.DUMMYFUNCTION("LET(
  r, C373,
  t, J373,
  cons, LOWER(TO_TEXT(O373))=""true"",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73" s="616" t="str">
        <f t="shared" si="3"/>
        <v>Минор</v>
      </c>
      <c r="M373" s="616"/>
      <c r="N373" s="615">
        <v>0.0</v>
      </c>
      <c r="O373" s="619" t="b">
        <v>0</v>
      </c>
      <c r="P373" s="615">
        <v>0.0</v>
      </c>
      <c r="Q373" s="617" t="s">
        <v>4015</v>
      </c>
      <c r="R373" s="616">
        <f t="shared" si="2"/>
        <v>450</v>
      </c>
    </row>
    <row r="374">
      <c r="A374" s="614">
        <v>373.0</v>
      </c>
      <c r="B374" s="615" t="s">
        <v>4016</v>
      </c>
      <c r="C374" s="614" t="s">
        <v>3674</v>
      </c>
      <c r="D374" s="614" t="s">
        <v>3881</v>
      </c>
      <c r="E374" s="614" t="s">
        <v>26</v>
      </c>
      <c r="F374" s="614" t="s">
        <v>3283</v>
      </c>
      <c r="G374" s="614" t="s">
        <v>3316</v>
      </c>
      <c r="H374" s="614">
        <v>3.0</v>
      </c>
      <c r="I374" s="614" t="s">
        <v>692</v>
      </c>
      <c r="J374" s="614" t="s">
        <v>3204</v>
      </c>
      <c r="K374" s="614" t="str">
        <f>IFERROR(__xludf.DUMMYFUNCTION("LET(
  r, C374,
  t, J374,
  cons, LOWER(TO_TEXT(O374))=""true"",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74" s="616" t="str">
        <f t="shared" si="3"/>
        <v>Минор</v>
      </c>
      <c r="M374" s="616"/>
      <c r="N374" s="615">
        <v>0.0</v>
      </c>
      <c r="O374" s="619" t="b">
        <v>0</v>
      </c>
      <c r="P374" s="615">
        <v>0.0</v>
      </c>
      <c r="Q374" s="617" t="s">
        <v>4017</v>
      </c>
      <c r="R374" s="616">
        <f t="shared" si="2"/>
        <v>450</v>
      </c>
    </row>
    <row r="375">
      <c r="A375" s="614">
        <v>374.0</v>
      </c>
      <c r="B375" s="615" t="s">
        <v>4018</v>
      </c>
      <c r="C375" s="614" t="s">
        <v>3674</v>
      </c>
      <c r="D375" s="614" t="s">
        <v>3881</v>
      </c>
      <c r="E375" s="614" t="s">
        <v>26</v>
      </c>
      <c r="F375" s="614" t="s">
        <v>3283</v>
      </c>
      <c r="G375" s="614" t="s">
        <v>3316</v>
      </c>
      <c r="H375" s="614">
        <v>3.0</v>
      </c>
      <c r="I375" s="614" t="s">
        <v>692</v>
      </c>
      <c r="J375" s="614" t="s">
        <v>3204</v>
      </c>
      <c r="K375" s="614" t="str">
        <f>IFERROR(__xludf.DUMMYFUNCTION("LET(
  r, C375,
  t, J375,
  cons, LOWER(TO_TEXT(O375))=""true"",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75" s="616" t="str">
        <f t="shared" si="3"/>
        <v>Минор</v>
      </c>
      <c r="M375" s="616"/>
      <c r="N375" s="615">
        <v>0.0</v>
      </c>
      <c r="O375" s="619" t="b">
        <v>0</v>
      </c>
      <c r="P375" s="615">
        <v>0.0</v>
      </c>
      <c r="Q375" s="617" t="s">
        <v>4019</v>
      </c>
      <c r="R375" s="616">
        <f t="shared" si="2"/>
        <v>450</v>
      </c>
    </row>
    <row r="376">
      <c r="A376" s="614">
        <v>375.0</v>
      </c>
      <c r="B376" s="615" t="s">
        <v>4020</v>
      </c>
      <c r="C376" s="614" t="s">
        <v>3674</v>
      </c>
      <c r="D376" s="614" t="s">
        <v>3881</v>
      </c>
      <c r="E376" s="614" t="s">
        <v>26</v>
      </c>
      <c r="F376" s="614" t="s">
        <v>3283</v>
      </c>
      <c r="G376" s="614" t="s">
        <v>3316</v>
      </c>
      <c r="H376" s="614">
        <v>3.0</v>
      </c>
      <c r="I376" s="614" t="s">
        <v>692</v>
      </c>
      <c r="J376" s="614" t="s">
        <v>3204</v>
      </c>
      <c r="K376" s="614" t="str">
        <f>IFERROR(__xludf.DUMMYFUNCTION("LET(
  r, C376,
  t, J376,
  cons, LOWER(TO_TEXT(O376))=""true"",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76" s="616" t="str">
        <f t="shared" si="3"/>
        <v>Минор</v>
      </c>
      <c r="M376" s="616"/>
      <c r="N376" s="615">
        <v>0.0</v>
      </c>
      <c r="O376" s="616" t="b">
        <v>0</v>
      </c>
      <c r="P376" s="614">
        <v>0.0</v>
      </c>
      <c r="Q376" s="617" t="s">
        <v>4021</v>
      </c>
      <c r="R376" s="616">
        <f t="shared" si="2"/>
        <v>450</v>
      </c>
    </row>
    <row r="377">
      <c r="A377" s="614">
        <v>376.0</v>
      </c>
      <c r="B377" s="615" t="s">
        <v>4022</v>
      </c>
      <c r="C377" s="614" t="s">
        <v>3674</v>
      </c>
      <c r="D377" s="614" t="s">
        <v>3881</v>
      </c>
      <c r="E377" s="614" t="s">
        <v>26</v>
      </c>
      <c r="F377" s="614" t="s">
        <v>3283</v>
      </c>
      <c r="G377" s="614" t="s">
        <v>3316</v>
      </c>
      <c r="H377" s="614">
        <v>3.0</v>
      </c>
      <c r="I377" s="614" t="s">
        <v>692</v>
      </c>
      <c r="J377" s="614" t="s">
        <v>3204</v>
      </c>
      <c r="K377" s="614" t="str">
        <f>IFERROR(__xludf.DUMMYFUNCTION("LET(
  r, C377,
  t, J377,
  cons, LOWER(TO_TEXT(O377))=""true"",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77" s="616" t="str">
        <f t="shared" si="3"/>
        <v>Минор</v>
      </c>
      <c r="M377" s="616"/>
      <c r="N377" s="615">
        <v>0.0</v>
      </c>
      <c r="O377" s="616" t="b">
        <v>0</v>
      </c>
      <c r="P377" s="614">
        <v>0.0</v>
      </c>
      <c r="Q377" s="617" t="s">
        <v>4023</v>
      </c>
      <c r="R377" s="616">
        <f t="shared" si="2"/>
        <v>450</v>
      </c>
    </row>
    <row r="378">
      <c r="A378" s="614">
        <v>377.0</v>
      </c>
      <c r="B378" s="615" t="s">
        <v>4024</v>
      </c>
      <c r="C378" s="614" t="s">
        <v>3674</v>
      </c>
      <c r="D378" s="614" t="s">
        <v>3881</v>
      </c>
      <c r="E378" s="614" t="s">
        <v>26</v>
      </c>
      <c r="F378" s="614" t="s">
        <v>3283</v>
      </c>
      <c r="G378" s="614" t="s">
        <v>3316</v>
      </c>
      <c r="H378" s="614">
        <v>3.0</v>
      </c>
      <c r="I378" s="614" t="s">
        <v>692</v>
      </c>
      <c r="J378" s="614" t="s">
        <v>3204</v>
      </c>
      <c r="K378" s="614" t="str">
        <f>IFERROR(__xludf.DUMMYFUNCTION("LET(
  r, C378,
  t, J378,
  cons, LOWER(TO_TEXT(O378))=""true"",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78" s="616" t="str">
        <f t="shared" si="3"/>
        <v>Минор</v>
      </c>
      <c r="M378" s="616"/>
      <c r="N378" s="615">
        <v>0.0</v>
      </c>
      <c r="O378" s="616" t="b">
        <v>0</v>
      </c>
      <c r="P378" s="614">
        <v>0.0</v>
      </c>
      <c r="Q378" s="617" t="s">
        <v>4025</v>
      </c>
      <c r="R378" s="616">
        <f t="shared" si="2"/>
        <v>450</v>
      </c>
    </row>
    <row r="379">
      <c r="A379" s="614">
        <v>378.0</v>
      </c>
      <c r="B379" s="615" t="s">
        <v>4026</v>
      </c>
      <c r="C379" s="614" t="s">
        <v>3674</v>
      </c>
      <c r="D379" s="614" t="s">
        <v>3881</v>
      </c>
      <c r="E379" s="614" t="s">
        <v>26</v>
      </c>
      <c r="F379" s="614" t="s">
        <v>3283</v>
      </c>
      <c r="G379" s="614" t="s">
        <v>3316</v>
      </c>
      <c r="H379" s="614">
        <v>3.0</v>
      </c>
      <c r="I379" s="614" t="s">
        <v>692</v>
      </c>
      <c r="J379" s="614" t="s">
        <v>3204</v>
      </c>
      <c r="K379" s="614" t="str">
        <f>IFERROR(__xludf.DUMMYFUNCTION("LET(
  r, C379,
  t, J379,
  cons, LOWER(TO_TEXT(O379))=""true"",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79" s="616" t="str">
        <f t="shared" si="3"/>
        <v>Минор</v>
      </c>
      <c r="M379" s="616"/>
      <c r="N379" s="615">
        <v>0.0</v>
      </c>
      <c r="O379" s="616" t="b">
        <v>0</v>
      </c>
      <c r="P379" s="614">
        <v>0.0</v>
      </c>
      <c r="Q379" s="617" t="s">
        <v>4027</v>
      </c>
      <c r="R379" s="616">
        <f t="shared" si="2"/>
        <v>450</v>
      </c>
    </row>
    <row r="380">
      <c r="A380" s="614">
        <v>379.0</v>
      </c>
      <c r="B380" s="615" t="s">
        <v>4028</v>
      </c>
      <c r="C380" s="614" t="s">
        <v>3674</v>
      </c>
      <c r="D380" s="614" t="s">
        <v>3881</v>
      </c>
      <c r="E380" s="614" t="s">
        <v>26</v>
      </c>
      <c r="F380" s="614" t="s">
        <v>3283</v>
      </c>
      <c r="G380" s="614" t="s">
        <v>3316</v>
      </c>
      <c r="H380" s="614">
        <v>3.0</v>
      </c>
      <c r="I380" s="614" t="s">
        <v>692</v>
      </c>
      <c r="J380" s="614" t="s">
        <v>3204</v>
      </c>
      <c r="K380" s="614" t="str">
        <f>IFERROR(__xludf.DUMMYFUNCTION("LET(
  r, C380,
  t, J380,
  cons, LOWER(TO_TEXT(O380))=""true"",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80" s="616" t="str">
        <f t="shared" si="3"/>
        <v>Минор</v>
      </c>
      <c r="M380" s="616"/>
      <c r="N380" s="615">
        <v>0.0</v>
      </c>
      <c r="O380" s="616" t="b">
        <v>0</v>
      </c>
      <c r="P380" s="614">
        <v>0.0</v>
      </c>
      <c r="Q380" s="617" t="s">
        <v>4029</v>
      </c>
      <c r="R380" s="616">
        <f t="shared" si="2"/>
        <v>450</v>
      </c>
    </row>
    <row r="381">
      <c r="A381" s="614">
        <v>380.0</v>
      </c>
      <c r="B381" s="615" t="s">
        <v>4030</v>
      </c>
      <c r="C381" s="614" t="s">
        <v>3674</v>
      </c>
      <c r="D381" s="614" t="s">
        <v>3881</v>
      </c>
      <c r="E381" s="614" t="s">
        <v>26</v>
      </c>
      <c r="F381" s="614" t="s">
        <v>3283</v>
      </c>
      <c r="G381" s="614" t="s">
        <v>3316</v>
      </c>
      <c r="H381" s="614">
        <v>3.0</v>
      </c>
      <c r="I381" s="614" t="s">
        <v>692</v>
      </c>
      <c r="J381" s="614" t="s">
        <v>3204</v>
      </c>
      <c r="K381" s="614" t="str">
        <f>IFERROR(__xludf.DUMMYFUNCTION("LET(
  r, C381,
  t, J381,
  cons, LOWER(TO_TEXT(O381))=""true"",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81" s="616" t="str">
        <f t="shared" si="3"/>
        <v>Минор</v>
      </c>
      <c r="M381" s="616"/>
      <c r="N381" s="615">
        <v>0.0</v>
      </c>
      <c r="O381" s="616" t="b">
        <v>0</v>
      </c>
      <c r="P381" s="614">
        <v>0.0</v>
      </c>
      <c r="Q381" s="617" t="s">
        <v>4031</v>
      </c>
      <c r="R381" s="616">
        <f t="shared" si="2"/>
        <v>450</v>
      </c>
    </row>
    <row r="382">
      <c r="A382" s="614">
        <v>381.0</v>
      </c>
      <c r="B382" s="615" t="s">
        <v>4032</v>
      </c>
      <c r="C382" s="614" t="s">
        <v>3674</v>
      </c>
      <c r="D382" s="614" t="s">
        <v>3881</v>
      </c>
      <c r="E382" s="614" t="s">
        <v>26</v>
      </c>
      <c r="F382" s="614" t="s">
        <v>3283</v>
      </c>
      <c r="G382" s="614" t="s">
        <v>3316</v>
      </c>
      <c r="H382" s="614">
        <v>3.0</v>
      </c>
      <c r="I382" s="614" t="s">
        <v>692</v>
      </c>
      <c r="J382" s="614" t="s">
        <v>3204</v>
      </c>
      <c r="K382" s="614" t="str">
        <f>IFERROR(__xludf.DUMMYFUNCTION("LET(
  r, C382,
  t, J382,
  cons, LOWER(TO_TEXT(O382))=""true"",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82" s="616" t="str">
        <f t="shared" si="3"/>
        <v>Минор</v>
      </c>
      <c r="M382" s="616"/>
      <c r="N382" s="615">
        <v>0.0</v>
      </c>
      <c r="O382" s="616" t="b">
        <v>0</v>
      </c>
      <c r="P382" s="614">
        <v>0.0</v>
      </c>
      <c r="Q382" s="617" t="s">
        <v>4033</v>
      </c>
      <c r="R382" s="616">
        <f t="shared" si="2"/>
        <v>450</v>
      </c>
    </row>
    <row r="383">
      <c r="A383" s="614">
        <v>382.0</v>
      </c>
      <c r="B383" s="615" t="s">
        <v>4034</v>
      </c>
      <c r="C383" s="614" t="s">
        <v>3674</v>
      </c>
      <c r="D383" s="614" t="s">
        <v>3881</v>
      </c>
      <c r="E383" s="614" t="s">
        <v>26</v>
      </c>
      <c r="F383" s="614" t="s">
        <v>3283</v>
      </c>
      <c r="G383" s="614" t="s">
        <v>3316</v>
      </c>
      <c r="H383" s="614">
        <v>3.0</v>
      </c>
      <c r="I383" s="614" t="s">
        <v>692</v>
      </c>
      <c r="J383" s="614" t="s">
        <v>3204</v>
      </c>
      <c r="K383" s="614" t="str">
        <f>IFERROR(__xludf.DUMMYFUNCTION("LET(
  r, C383,
  t, J383,
  cons, LOWER(TO_TEXT(O383))=""true"",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83" s="616" t="str">
        <f t="shared" si="3"/>
        <v>Минор</v>
      </c>
      <c r="M383" s="616"/>
      <c r="N383" s="615">
        <v>0.0</v>
      </c>
      <c r="O383" s="616" t="b">
        <v>0</v>
      </c>
      <c r="P383" s="614">
        <v>0.0</v>
      </c>
      <c r="Q383" s="617" t="s">
        <v>4035</v>
      </c>
      <c r="R383" s="616">
        <f t="shared" si="2"/>
        <v>450</v>
      </c>
    </row>
    <row r="384">
      <c r="A384" s="614">
        <v>383.0</v>
      </c>
      <c r="B384" s="615" t="s">
        <v>4036</v>
      </c>
      <c r="C384" s="614" t="s">
        <v>3674</v>
      </c>
      <c r="D384" s="614" t="s">
        <v>3881</v>
      </c>
      <c r="E384" s="614" t="s">
        <v>26</v>
      </c>
      <c r="F384" s="614" t="s">
        <v>3195</v>
      </c>
      <c r="G384" s="614" t="s">
        <v>3316</v>
      </c>
      <c r="H384" s="614">
        <v>4.0</v>
      </c>
      <c r="I384" s="614" t="s">
        <v>3203</v>
      </c>
      <c r="J384" s="614" t="s">
        <v>3204</v>
      </c>
      <c r="K384" s="614" t="str">
        <f>IFERROR(__xludf.DUMMYFUNCTION("LET(
  r, C384,
  t, J384,
  cons, LOWER(TO_TEXT(O384))=""true"",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84" s="616" t="str">
        <f t="shared" si="3"/>
        <v>Мажор</v>
      </c>
      <c r="M384" s="616"/>
      <c r="N384" s="615">
        <v>0.0</v>
      </c>
      <c r="O384" s="616" t="b">
        <v>0</v>
      </c>
      <c r="P384" s="614">
        <v>1.0</v>
      </c>
      <c r="Q384" s="617" t="s">
        <v>4037</v>
      </c>
      <c r="R384" s="616">
        <f t="shared" si="2"/>
        <v>900</v>
      </c>
    </row>
    <row r="385">
      <c r="A385" s="614">
        <v>384.0</v>
      </c>
      <c r="B385" s="615" t="s">
        <v>4038</v>
      </c>
      <c r="C385" s="614" t="s">
        <v>3674</v>
      </c>
      <c r="D385" s="614" t="s">
        <v>3881</v>
      </c>
      <c r="E385" s="614" t="s">
        <v>26</v>
      </c>
      <c r="F385" s="614" t="s">
        <v>3309</v>
      </c>
      <c r="G385" s="614" t="s">
        <v>3675</v>
      </c>
      <c r="H385" s="614">
        <v>4.0</v>
      </c>
      <c r="I385" s="614" t="s">
        <v>3203</v>
      </c>
      <c r="J385" s="614" t="s">
        <v>3221</v>
      </c>
      <c r="K385" s="614" t="str">
        <f>IFERROR(__xludf.DUMMYFUNCTION("LET(
  r, C385,
  t, J385,
  cons, LOWER(TO_TEXT(O385))=""true"",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 зм")</f>
        <v>2d6kh1*100 зм</v>
      </c>
      <c r="L385" s="616" t="str">
        <f t="shared" si="3"/>
        <v>Мажор</v>
      </c>
      <c r="M385" s="616"/>
      <c r="N385" s="615">
        <v>0.0</v>
      </c>
      <c r="O385" s="616" t="b">
        <v>0</v>
      </c>
      <c r="P385" s="614" t="s">
        <v>3676</v>
      </c>
      <c r="Q385" s="617" t="s">
        <v>4039</v>
      </c>
      <c r="R385" s="616">
        <f t="shared" si="2"/>
        <v>1100</v>
      </c>
    </row>
    <row r="386">
      <c r="A386" s="614">
        <v>385.0</v>
      </c>
      <c r="B386" s="615" t="s">
        <v>4040</v>
      </c>
      <c r="C386" s="614" t="s">
        <v>3578</v>
      </c>
      <c r="D386" s="614" t="s">
        <v>3881</v>
      </c>
      <c r="E386" s="614"/>
      <c r="F386" s="614" t="s">
        <v>3309</v>
      </c>
      <c r="G386" s="614" t="s">
        <v>3675</v>
      </c>
      <c r="H386" s="614">
        <v>6.0</v>
      </c>
      <c r="I386" s="614" t="s">
        <v>3203</v>
      </c>
      <c r="J386" s="614" t="s">
        <v>3221</v>
      </c>
      <c r="K386" s="614" t="str">
        <f>IFERROR(__xludf.DUMMYFUNCTION("LET(
  r, C386,
  t, J386,
  cons, LOWER(TO_TEXT(O386))=""true"",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)"),"2d6kh1*1000 зм")</f>
        <v>2d6kh1*1000 зм</v>
      </c>
      <c r="L386" s="616" t="str">
        <f t="shared" si="3"/>
        <v>Мажор</v>
      </c>
      <c r="M386" s="616"/>
      <c r="N386" s="615">
        <v>0.0</v>
      </c>
      <c r="O386" s="616" t="b">
        <v>0</v>
      </c>
      <c r="P386" s="614" t="s">
        <v>3676</v>
      </c>
      <c r="Q386" s="617" t="s">
        <v>4041</v>
      </c>
      <c r="R386" s="616">
        <f t="shared" si="2"/>
        <v>5500</v>
      </c>
    </row>
    <row r="387">
      <c r="A387" s="614">
        <v>386.0</v>
      </c>
      <c r="B387" s="615" t="s">
        <v>4042</v>
      </c>
      <c r="C387" s="614" t="s">
        <v>3194</v>
      </c>
      <c r="D387" s="614" t="s">
        <v>3881</v>
      </c>
      <c r="E387" s="614"/>
      <c r="F387" s="614" t="s">
        <v>3309</v>
      </c>
      <c r="G387" s="614" t="s">
        <v>3675</v>
      </c>
      <c r="H387" s="614">
        <v>8.0</v>
      </c>
      <c r="I387" s="614" t="s">
        <v>3203</v>
      </c>
      <c r="J387" s="614" t="s">
        <v>3221</v>
      </c>
      <c r="K387" s="614" t="str">
        <f>IFERROR(__xludf.DUMMYFUNCTION("LET(
  r, C387,
  t, J387,
  cons, LOWER(TO_TEXT(O387))=""true"",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)"),"(2d8kh1+1)*5000 зм")</f>
        <v>(2d8kh1+1)*5000 зм</v>
      </c>
      <c r="L387" s="616" t="str">
        <f t="shared" si="3"/>
        <v>Мажор</v>
      </c>
      <c r="M387" s="616"/>
      <c r="N387" s="615">
        <v>0.0</v>
      </c>
      <c r="O387" s="616" t="b">
        <v>0</v>
      </c>
      <c r="P387" s="614" t="s">
        <v>3676</v>
      </c>
      <c r="Q387" s="617" t="s">
        <v>4043</v>
      </c>
      <c r="R387" s="616">
        <f t="shared" si="2"/>
        <v>16500</v>
      </c>
    </row>
    <row r="388">
      <c r="A388" s="614">
        <v>387.0</v>
      </c>
      <c r="B388" s="615" t="s">
        <v>4044</v>
      </c>
      <c r="C388" s="614" t="s">
        <v>3674</v>
      </c>
      <c r="D388" s="614" t="s">
        <v>3881</v>
      </c>
      <c r="E388" s="614" t="s">
        <v>26</v>
      </c>
      <c r="F388" s="614" t="s">
        <v>3309</v>
      </c>
      <c r="G388" s="614" t="s">
        <v>3202</v>
      </c>
      <c r="H388" s="614">
        <v>4.0</v>
      </c>
      <c r="I388" s="614" t="s">
        <v>692</v>
      </c>
      <c r="J388" s="614" t="s">
        <v>3218</v>
      </c>
      <c r="K388" s="614" t="str">
        <f>IFERROR(__xludf.DUMMYFUNCTION("LET(
  r, C388,
  t, J388,
  cons, LOWER(TO_TEXT(O388))=""true"",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88" s="616" t="str">
        <f t="shared" si="3"/>
        <v>Мажор</v>
      </c>
      <c r="M388" s="616"/>
      <c r="N388" s="615">
        <v>0.0</v>
      </c>
      <c r="O388" s="616" t="b">
        <v>0</v>
      </c>
      <c r="P388" s="614">
        <v>0.0</v>
      </c>
      <c r="Q388" s="617" t="s">
        <v>4045</v>
      </c>
      <c r="R388" s="616">
        <f t="shared" si="2"/>
        <v>1000</v>
      </c>
    </row>
    <row r="389">
      <c r="A389" s="614">
        <v>388.0</v>
      </c>
      <c r="B389" s="615" t="s">
        <v>4046</v>
      </c>
      <c r="C389" s="614" t="s">
        <v>3674</v>
      </c>
      <c r="D389" s="614" t="s">
        <v>3881</v>
      </c>
      <c r="E389" s="614" t="s">
        <v>26</v>
      </c>
      <c r="F389" s="614" t="s">
        <v>3272</v>
      </c>
      <c r="G389" s="614" t="s">
        <v>3202</v>
      </c>
      <c r="H389" s="614">
        <v>4.0</v>
      </c>
      <c r="I389" s="614" t="s">
        <v>3203</v>
      </c>
      <c r="J389" s="614" t="s">
        <v>3253</v>
      </c>
      <c r="K389" s="614" t="str">
        <f>IFERROR(__xludf.DUMMYFUNCTION("LET(
  r, C389,
  t, J389,
  cons, LOWER(TO_TEXT(O389))=""true"",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 зм")</f>
        <v>600 зм</v>
      </c>
      <c r="L389" s="616" t="str">
        <f t="shared" si="3"/>
        <v>Мажор</v>
      </c>
      <c r="M389" s="616"/>
      <c r="N389" s="615">
        <v>0.0</v>
      </c>
      <c r="O389" s="616" t="b">
        <v>0</v>
      </c>
      <c r="P389" s="614" t="s">
        <v>3676</v>
      </c>
      <c r="Q389" s="617" t="s">
        <v>4047</v>
      </c>
      <c r="R389" s="616">
        <f t="shared" si="2"/>
        <v>1200</v>
      </c>
    </row>
    <row r="390">
      <c r="A390" s="614">
        <v>389.0</v>
      </c>
      <c r="B390" s="615" t="s">
        <v>4048</v>
      </c>
      <c r="C390" s="614" t="s">
        <v>3194</v>
      </c>
      <c r="D390" s="614" t="s">
        <v>3881</v>
      </c>
      <c r="E390" s="614" t="s">
        <v>26</v>
      </c>
      <c r="F390" s="614" t="s">
        <v>3272</v>
      </c>
      <c r="G390" s="614" t="s">
        <v>3675</v>
      </c>
      <c r="H390" s="614">
        <v>8.0</v>
      </c>
      <c r="I390" s="614" t="s">
        <v>3203</v>
      </c>
      <c r="J390" s="614" t="s">
        <v>3253</v>
      </c>
      <c r="K390" s="614" t="str">
        <f>IFERROR(__xludf.DUMMYFUNCTION("LET(
  r, C390,
  t, J390,
  cons, LOWER(TO_TEXT(O390))=""true"",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)"),"45000 зм")</f>
        <v>45000 зм</v>
      </c>
      <c r="L390" s="614" t="s">
        <v>4049</v>
      </c>
      <c r="M390" s="616"/>
      <c r="N390" s="615">
        <v>0.0</v>
      </c>
      <c r="O390" s="616" t="b">
        <v>0</v>
      </c>
      <c r="P390" s="614" t="s">
        <v>3676</v>
      </c>
      <c r="Q390" s="617" t="s">
        <v>4050</v>
      </c>
      <c r="R390" s="616">
        <f t="shared" si="2"/>
        <v>18000</v>
      </c>
    </row>
    <row r="391">
      <c r="A391" s="614">
        <v>390.0</v>
      </c>
      <c r="B391" s="615" t="s">
        <v>4051</v>
      </c>
      <c r="C391" s="614" t="s">
        <v>3674</v>
      </c>
      <c r="D391" s="614" t="s">
        <v>3881</v>
      </c>
      <c r="E391" s="614" t="s">
        <v>26</v>
      </c>
      <c r="F391" s="614" t="s">
        <v>3217</v>
      </c>
      <c r="G391" s="614" t="s">
        <v>3202</v>
      </c>
      <c r="H391" s="614">
        <v>4.0</v>
      </c>
      <c r="I391" s="614" t="s">
        <v>3203</v>
      </c>
      <c r="J391" s="614" t="s">
        <v>3253</v>
      </c>
      <c r="K391" s="614" t="str">
        <f>IFERROR(__xludf.DUMMYFUNCTION("LET(
  r, C391,
  t, J391,
  cons, LOWER(TO_TEXT(O391))=""true"",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 зм")</f>
        <v>600 зм</v>
      </c>
      <c r="L391" s="616" t="str">
        <f t="shared" ref="L391:L533" si="4">SWITCH(H391,10,"Мажор",9,"Минор",8,"Мажор",7,"Минор",6,"Мажор",5,"Минор",4,"Мажор",3,"Минор",2,"Мажор",1,"Минор",)</f>
        <v>Мажор</v>
      </c>
      <c r="M391" s="616"/>
      <c r="N391" s="615">
        <v>0.0</v>
      </c>
      <c r="O391" s="616" t="b">
        <v>0</v>
      </c>
      <c r="P391" s="614">
        <v>0.0</v>
      </c>
      <c r="Q391" s="617" t="s">
        <v>4052</v>
      </c>
      <c r="R391" s="616">
        <f t="shared" si="2"/>
        <v>1200</v>
      </c>
    </row>
    <row r="392">
      <c r="A392" s="614">
        <v>391.0</v>
      </c>
      <c r="B392" s="615" t="s">
        <v>4053</v>
      </c>
      <c r="C392" s="614" t="s">
        <v>3674</v>
      </c>
      <c r="D392" s="614" t="s">
        <v>3881</v>
      </c>
      <c r="E392" s="614" t="s">
        <v>26</v>
      </c>
      <c r="F392" s="614" t="s">
        <v>3217</v>
      </c>
      <c r="G392" s="614" t="s">
        <v>3202</v>
      </c>
      <c r="H392" s="614">
        <v>3.0</v>
      </c>
      <c r="I392" s="614" t="s">
        <v>692</v>
      </c>
      <c r="J392" s="614" t="s">
        <v>3218</v>
      </c>
      <c r="K392" s="614" t="str">
        <f>IFERROR(__xludf.DUMMYFUNCTION("LET(
  r, C392,
  t, J392,
  cons, LOWER(TO_TEXT(O392))=""true"",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92" s="616" t="str">
        <f t="shared" si="4"/>
        <v>Минор</v>
      </c>
      <c r="M392" s="616"/>
      <c r="N392" s="615">
        <v>0.0</v>
      </c>
      <c r="O392" s="616" t="b">
        <v>0</v>
      </c>
      <c r="P392" s="614">
        <v>0.0</v>
      </c>
      <c r="Q392" s="617" t="s">
        <v>4054</v>
      </c>
      <c r="R392" s="616">
        <f t="shared" si="2"/>
        <v>500</v>
      </c>
    </row>
    <row r="393">
      <c r="A393" s="614">
        <v>392.0</v>
      </c>
      <c r="B393" s="615" t="s">
        <v>4055</v>
      </c>
      <c r="C393" s="614" t="s">
        <v>3674</v>
      </c>
      <c r="D393" s="614" t="s">
        <v>3881</v>
      </c>
      <c r="E393" s="614" t="s">
        <v>26</v>
      </c>
      <c r="F393" s="614" t="s">
        <v>3217</v>
      </c>
      <c r="G393" s="614" t="s">
        <v>3202</v>
      </c>
      <c r="H393" s="614">
        <v>3.0</v>
      </c>
      <c r="I393" s="614" t="s">
        <v>692</v>
      </c>
      <c r="J393" s="614" t="s">
        <v>3218</v>
      </c>
      <c r="K393" s="614" t="str">
        <f>IFERROR(__xludf.DUMMYFUNCTION("LET(
  r, C393,
  t, J393,
  cons, LOWER(TO_TEXT(O393))=""true"",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)"),"1d6*50 зм")</f>
        <v>1d6*50 зм</v>
      </c>
      <c r="L393" s="616" t="str">
        <f t="shared" si="4"/>
        <v>Минор</v>
      </c>
      <c r="M393" s="616"/>
      <c r="N393" s="615">
        <v>0.0</v>
      </c>
      <c r="O393" s="616" t="b">
        <v>1</v>
      </c>
      <c r="P393" s="614">
        <v>0.0</v>
      </c>
      <c r="Q393" s="617" t="s">
        <v>4056</v>
      </c>
      <c r="R393" s="616">
        <f t="shared" si="2"/>
        <v>500</v>
      </c>
    </row>
    <row r="394">
      <c r="A394" s="614">
        <v>393.0</v>
      </c>
      <c r="B394" s="615" t="s">
        <v>4057</v>
      </c>
      <c r="C394" s="614" t="s">
        <v>3674</v>
      </c>
      <c r="D394" s="614" t="s">
        <v>3881</v>
      </c>
      <c r="E394" s="614" t="s">
        <v>26</v>
      </c>
      <c r="F394" s="614" t="s">
        <v>3217</v>
      </c>
      <c r="G394" s="614" t="s">
        <v>3202</v>
      </c>
      <c r="H394" s="614">
        <v>3.0</v>
      </c>
      <c r="I394" s="614" t="s">
        <v>692</v>
      </c>
      <c r="J394" s="614" t="s">
        <v>3204</v>
      </c>
      <c r="K394" s="614" t="str">
        <f>IFERROR(__xludf.DUMMYFUNCTION("LET(
  r, C394,
  t, J394,
  cons, LOWER(TO_TEXT(O394))=""true"",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94" s="616" t="str">
        <f t="shared" si="4"/>
        <v>Минор</v>
      </c>
      <c r="M394" s="616"/>
      <c r="N394" s="615">
        <v>0.0</v>
      </c>
      <c r="O394" s="616" t="b">
        <v>0</v>
      </c>
      <c r="P394" s="614">
        <v>0.0</v>
      </c>
      <c r="Q394" s="617" t="s">
        <v>4058</v>
      </c>
      <c r="R394" s="616">
        <f t="shared" si="2"/>
        <v>450</v>
      </c>
    </row>
    <row r="395">
      <c r="A395" s="614">
        <v>394.0</v>
      </c>
      <c r="B395" s="615" t="s">
        <v>4059</v>
      </c>
      <c r="C395" s="614" t="s">
        <v>3674</v>
      </c>
      <c r="D395" s="614" t="s">
        <v>3881</v>
      </c>
      <c r="E395" s="614" t="s">
        <v>26</v>
      </c>
      <c r="F395" s="614" t="s">
        <v>3217</v>
      </c>
      <c r="G395" s="614" t="s">
        <v>3202</v>
      </c>
      <c r="H395" s="614">
        <v>3.0</v>
      </c>
      <c r="I395" s="614" t="s">
        <v>692</v>
      </c>
      <c r="J395" s="614" t="s">
        <v>3204</v>
      </c>
      <c r="K395" s="614" t="str">
        <f>IFERROR(__xludf.DUMMYFUNCTION("LET(
  r, C395,
  t, J395,
  cons, LOWER(TO_TEXT(O395))=""true"",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95" s="616" t="str">
        <f t="shared" si="4"/>
        <v>Минор</v>
      </c>
      <c r="M395" s="616"/>
      <c r="N395" s="615">
        <v>0.0</v>
      </c>
      <c r="O395" s="616" t="b">
        <v>0</v>
      </c>
      <c r="P395" s="614">
        <v>0.0</v>
      </c>
      <c r="Q395" s="617" t="s">
        <v>4060</v>
      </c>
      <c r="R395" s="616">
        <f t="shared" si="2"/>
        <v>450</v>
      </c>
    </row>
    <row r="396">
      <c r="A396" s="614">
        <v>395.0</v>
      </c>
      <c r="B396" s="615" t="s">
        <v>4061</v>
      </c>
      <c r="C396" s="614" t="s">
        <v>3674</v>
      </c>
      <c r="D396" s="614" t="s">
        <v>3349</v>
      </c>
      <c r="E396" s="614" t="s">
        <v>26</v>
      </c>
      <c r="F396" s="614" t="s">
        <v>3195</v>
      </c>
      <c r="G396" s="614" t="s">
        <v>3202</v>
      </c>
      <c r="H396" s="614">
        <v>4.0</v>
      </c>
      <c r="I396" s="614" t="s">
        <v>3203</v>
      </c>
      <c r="J396" s="614" t="s">
        <v>3218</v>
      </c>
      <c r="K396" s="614" t="str">
        <f>IFERROR(__xludf.DUMMYFUNCTION("LET(
  r, C396,
  t, J396,
  cons, LOWER(TO_TEXT(O396))=""true"",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96" s="616" t="str">
        <f t="shared" si="4"/>
        <v>Мажор</v>
      </c>
      <c r="M396" s="616"/>
      <c r="N396" s="615">
        <v>0.0</v>
      </c>
      <c r="O396" s="616" t="b">
        <v>0</v>
      </c>
      <c r="P396" s="614">
        <v>0.0</v>
      </c>
      <c r="Q396" s="617" t="s">
        <v>4062</v>
      </c>
      <c r="R396" s="616">
        <f t="shared" si="2"/>
        <v>1000</v>
      </c>
    </row>
    <row r="397">
      <c r="A397" s="614">
        <v>396.0</v>
      </c>
      <c r="B397" s="615" t="s">
        <v>4063</v>
      </c>
      <c r="C397" s="614" t="s">
        <v>3674</v>
      </c>
      <c r="D397" s="614" t="s">
        <v>3349</v>
      </c>
      <c r="E397" s="614" t="s">
        <v>26</v>
      </c>
      <c r="F397" s="614" t="s">
        <v>3195</v>
      </c>
      <c r="G397" s="614" t="s">
        <v>3202</v>
      </c>
      <c r="H397" s="614">
        <v>4.0</v>
      </c>
      <c r="I397" s="614" t="s">
        <v>692</v>
      </c>
      <c r="J397" s="614" t="s">
        <v>3218</v>
      </c>
      <c r="K397" s="614" t="str">
        <f>IFERROR(__xludf.DUMMYFUNCTION("LET(
  r, C397,
  t, J397,
  cons, LOWER(TO_TEXT(O397))=""true"",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397" s="616" t="str">
        <f t="shared" si="4"/>
        <v>Мажор</v>
      </c>
      <c r="M397" s="616"/>
      <c r="N397" s="615">
        <v>0.0</v>
      </c>
      <c r="O397" s="616" t="b">
        <v>0</v>
      </c>
      <c r="P397" s="614">
        <v>0.0</v>
      </c>
      <c r="Q397" s="617" t="s">
        <v>4064</v>
      </c>
      <c r="R397" s="616">
        <f t="shared" si="2"/>
        <v>1000</v>
      </c>
    </row>
    <row r="398">
      <c r="A398" s="614">
        <v>397.0</v>
      </c>
      <c r="B398" s="615" t="s">
        <v>4065</v>
      </c>
      <c r="C398" s="614" t="s">
        <v>3674</v>
      </c>
      <c r="D398" s="614" t="s">
        <v>3349</v>
      </c>
      <c r="E398" s="614" t="s">
        <v>26</v>
      </c>
      <c r="F398" s="614" t="s">
        <v>3195</v>
      </c>
      <c r="G398" s="614" t="s">
        <v>3316</v>
      </c>
      <c r="H398" s="614">
        <v>4.0</v>
      </c>
      <c r="I398" s="614" t="s">
        <v>3208</v>
      </c>
      <c r="J398" s="614" t="s">
        <v>3204</v>
      </c>
      <c r="K398" s="614" t="str">
        <f>IFERROR(__xludf.DUMMYFUNCTION("LET(
  r, C398,
  t, J398,
  cons, LOWER(TO_TEXT(O398))=""true"",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98" s="616" t="str">
        <f t="shared" si="4"/>
        <v>Мажор</v>
      </c>
      <c r="M398" s="616"/>
      <c r="N398" s="615">
        <v>0.0</v>
      </c>
      <c r="O398" s="616" t="b">
        <v>0</v>
      </c>
      <c r="P398" s="614">
        <v>0.0</v>
      </c>
      <c r="Q398" s="617" t="s">
        <v>4066</v>
      </c>
      <c r="R398" s="616">
        <f t="shared" si="2"/>
        <v>900</v>
      </c>
    </row>
    <row r="399">
      <c r="A399" s="614">
        <v>398.0</v>
      </c>
      <c r="B399" s="615" t="s">
        <v>4067</v>
      </c>
      <c r="C399" s="614" t="s">
        <v>3674</v>
      </c>
      <c r="D399" s="614" t="s">
        <v>2</v>
      </c>
      <c r="E399" s="614" t="s">
        <v>76</v>
      </c>
      <c r="F399" s="614" t="s">
        <v>3195</v>
      </c>
      <c r="G399" s="614" t="s">
        <v>3202</v>
      </c>
      <c r="H399" s="614">
        <v>4.0</v>
      </c>
      <c r="I399" s="614" t="s">
        <v>3203</v>
      </c>
      <c r="J399" s="614" t="s">
        <v>3204</v>
      </c>
      <c r="K399" s="614" t="str">
        <f>IFERROR(__xludf.DUMMYFUNCTION("LET(
  r, C399,
  t, J399,
  cons, LOWER(TO_TEXT(O399))=""true"",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399" s="616" t="str">
        <f t="shared" si="4"/>
        <v>Мажор</v>
      </c>
      <c r="M399" s="616"/>
      <c r="N399" s="615">
        <v>0.0</v>
      </c>
      <c r="O399" s="616" t="b">
        <v>0</v>
      </c>
      <c r="P399" s="614">
        <v>0.0</v>
      </c>
      <c r="Q399" s="617" t="s">
        <v>4068</v>
      </c>
      <c r="R399" s="616">
        <f t="shared" si="2"/>
        <v>900</v>
      </c>
    </row>
    <row r="400">
      <c r="A400" s="614">
        <v>399.0</v>
      </c>
      <c r="B400" s="615" t="s">
        <v>4069</v>
      </c>
      <c r="C400" s="614" t="s">
        <v>3674</v>
      </c>
      <c r="D400" s="614" t="s">
        <v>3881</v>
      </c>
      <c r="E400" s="614" t="s">
        <v>26</v>
      </c>
      <c r="F400" s="614" t="s">
        <v>3195</v>
      </c>
      <c r="G400" s="614" t="s">
        <v>3202</v>
      </c>
      <c r="H400" s="614">
        <v>4.0</v>
      </c>
      <c r="I400" s="614" t="s">
        <v>3203</v>
      </c>
      <c r="J400" s="614" t="s">
        <v>3253</v>
      </c>
      <c r="K400" s="614" t="str">
        <f>IFERROR(__xludf.DUMMYFUNCTION("LET(
  r, C400,
  t, J400,
  cons, LOWER(TO_TEXT(O400))=""true"",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 зм")</f>
        <v>600 зм</v>
      </c>
      <c r="L400" s="616" t="str">
        <f t="shared" si="4"/>
        <v>Мажор</v>
      </c>
      <c r="M400" s="616"/>
      <c r="N400" s="615">
        <v>0.0</v>
      </c>
      <c r="O400" s="616" t="b">
        <v>0</v>
      </c>
      <c r="P400" s="614">
        <v>1.0</v>
      </c>
      <c r="Q400" s="617" t="s">
        <v>4070</v>
      </c>
      <c r="R400" s="616">
        <f t="shared" si="2"/>
        <v>1200</v>
      </c>
    </row>
    <row r="401">
      <c r="A401" s="614">
        <v>400.0</v>
      </c>
      <c r="B401" s="615" t="s">
        <v>4071</v>
      </c>
      <c r="C401" s="614" t="s">
        <v>3674</v>
      </c>
      <c r="D401" s="614" t="s">
        <v>3881</v>
      </c>
      <c r="E401" s="614" t="s">
        <v>26</v>
      </c>
      <c r="F401" s="614" t="s">
        <v>3217</v>
      </c>
      <c r="G401" s="614" t="s">
        <v>3202</v>
      </c>
      <c r="H401" s="614">
        <v>4.0</v>
      </c>
      <c r="I401" s="614" t="s">
        <v>3203</v>
      </c>
      <c r="J401" s="614" t="s">
        <v>3218</v>
      </c>
      <c r="K401" s="614" t="str">
        <f>IFERROR(__xludf.DUMMYFUNCTION("LET(
  r, C401,
  t, J401,
  cons, LOWER(TO_TEXT(O401))=""true"",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401" s="616" t="str">
        <f t="shared" si="4"/>
        <v>Мажор</v>
      </c>
      <c r="M401" s="616"/>
      <c r="N401" s="615">
        <v>0.0</v>
      </c>
      <c r="O401" s="616" t="b">
        <v>0</v>
      </c>
      <c r="P401" s="614">
        <v>0.0</v>
      </c>
      <c r="Q401" s="617" t="s">
        <v>4072</v>
      </c>
      <c r="R401" s="616">
        <f t="shared" si="2"/>
        <v>1000</v>
      </c>
    </row>
    <row r="402">
      <c r="A402" s="614">
        <v>401.0</v>
      </c>
      <c r="B402" s="615" t="s">
        <v>4073</v>
      </c>
      <c r="C402" s="614" t="s">
        <v>3674</v>
      </c>
      <c r="D402" s="614" t="s">
        <v>3881</v>
      </c>
      <c r="E402" s="614" t="s">
        <v>26</v>
      </c>
      <c r="F402" s="614" t="s">
        <v>3217</v>
      </c>
      <c r="G402" s="614" t="s">
        <v>3202</v>
      </c>
      <c r="H402" s="614">
        <v>4.0</v>
      </c>
      <c r="I402" s="614" t="s">
        <v>3203</v>
      </c>
      <c r="J402" s="614" t="s">
        <v>3218</v>
      </c>
      <c r="K402" s="614" t="str">
        <f>IFERROR(__xludf.DUMMYFUNCTION("LET(
  r, C402,
  t, J402,
  cons, LOWER(TO_TEXT(O402))=""true"",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402" s="616" t="str">
        <f t="shared" si="4"/>
        <v>Мажор</v>
      </c>
      <c r="M402" s="616"/>
      <c r="N402" s="615">
        <v>0.0</v>
      </c>
      <c r="O402" s="616" t="b">
        <v>0</v>
      </c>
      <c r="P402" s="614">
        <v>0.0</v>
      </c>
      <c r="Q402" s="617" t="s">
        <v>4074</v>
      </c>
      <c r="R402" s="616">
        <f t="shared" si="2"/>
        <v>1000</v>
      </c>
    </row>
    <row r="403">
      <c r="A403" s="614">
        <v>402.0</v>
      </c>
      <c r="B403" s="615" t="s">
        <v>4075</v>
      </c>
      <c r="C403" s="614" t="s">
        <v>3674</v>
      </c>
      <c r="D403" s="614" t="s">
        <v>3881</v>
      </c>
      <c r="E403" s="614" t="s">
        <v>26</v>
      </c>
      <c r="F403" s="614" t="s">
        <v>3342</v>
      </c>
      <c r="G403" s="614" t="s">
        <v>3202</v>
      </c>
      <c r="H403" s="614">
        <v>4.0</v>
      </c>
      <c r="I403" s="614" t="s">
        <v>692</v>
      </c>
      <c r="J403" s="614" t="s">
        <v>3221</v>
      </c>
      <c r="K403" s="614" t="str">
        <f>IFERROR(__xludf.DUMMYFUNCTION("LET(
  r, C403,
  t, J403,
  cons, LOWER(TO_TEXT(O403))=""true"",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 зм")</f>
        <v>2d6kh1*100 зм</v>
      </c>
      <c r="L403" s="616" t="str">
        <f t="shared" si="4"/>
        <v>Мажор</v>
      </c>
      <c r="M403" s="616"/>
      <c r="N403" s="615">
        <v>0.0</v>
      </c>
      <c r="O403" s="616" t="b">
        <v>0</v>
      </c>
      <c r="P403" s="614">
        <v>0.0</v>
      </c>
      <c r="Q403" s="617" t="s">
        <v>4076</v>
      </c>
      <c r="R403" s="616">
        <f t="shared" si="2"/>
        <v>1100</v>
      </c>
    </row>
    <row r="404">
      <c r="A404" s="614">
        <v>403.0</v>
      </c>
      <c r="B404" s="615" t="s">
        <v>4077</v>
      </c>
      <c r="C404" s="614" t="s">
        <v>3674</v>
      </c>
      <c r="D404" s="614" t="s">
        <v>3881</v>
      </c>
      <c r="E404" s="614" t="s">
        <v>26</v>
      </c>
      <c r="F404" s="614" t="s">
        <v>3195</v>
      </c>
      <c r="G404" s="614" t="s">
        <v>3202</v>
      </c>
      <c r="H404" s="614">
        <v>4.0</v>
      </c>
      <c r="I404" s="614" t="s">
        <v>692</v>
      </c>
      <c r="J404" s="614" t="s">
        <v>3204</v>
      </c>
      <c r="K404" s="614" t="str">
        <f>IFERROR(__xludf.DUMMYFUNCTION("LET(
  r, C404,
  t, J404,
  cons, LOWER(TO_TEXT(O404))=""true"",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404" s="616" t="str">
        <f t="shared" si="4"/>
        <v>Мажор</v>
      </c>
      <c r="M404" s="616"/>
      <c r="N404" s="615">
        <v>0.0</v>
      </c>
      <c r="O404" s="616" t="b">
        <v>0</v>
      </c>
      <c r="P404" s="614">
        <v>0.0</v>
      </c>
      <c r="Q404" s="617" t="s">
        <v>4078</v>
      </c>
      <c r="R404" s="616">
        <f t="shared" si="2"/>
        <v>900</v>
      </c>
    </row>
    <row r="405">
      <c r="A405" s="614">
        <v>404.0</v>
      </c>
      <c r="B405" s="615" t="s">
        <v>4079</v>
      </c>
      <c r="C405" s="614" t="s">
        <v>3674</v>
      </c>
      <c r="D405" s="614" t="s">
        <v>3881</v>
      </c>
      <c r="E405" s="614" t="s">
        <v>26</v>
      </c>
      <c r="F405" s="614" t="s">
        <v>3195</v>
      </c>
      <c r="G405" s="614" t="s">
        <v>3202</v>
      </c>
      <c r="H405" s="614">
        <v>4.0</v>
      </c>
      <c r="I405" s="614" t="s">
        <v>692</v>
      </c>
      <c r="J405" s="614" t="s">
        <v>3218</v>
      </c>
      <c r="K405" s="614" t="str">
        <f>IFERROR(__xludf.DUMMYFUNCTION("LET(
  r, C405,
  t, J405,
  cons, LOWER(TO_TEXT(O405))=""true"",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405" s="616" t="str">
        <f t="shared" si="4"/>
        <v>Мажор</v>
      </c>
      <c r="M405" s="616"/>
      <c r="N405" s="615">
        <v>0.0</v>
      </c>
      <c r="O405" s="616" t="b">
        <v>0</v>
      </c>
      <c r="P405" s="614">
        <v>0.0</v>
      </c>
      <c r="Q405" s="617" t="s">
        <v>4080</v>
      </c>
      <c r="R405" s="616">
        <f t="shared" si="2"/>
        <v>1000</v>
      </c>
    </row>
    <row r="406">
      <c r="A406" s="614">
        <v>405.0</v>
      </c>
      <c r="B406" s="615" t="s">
        <v>4081</v>
      </c>
      <c r="C406" s="614" t="s">
        <v>3674</v>
      </c>
      <c r="D406" s="614" t="s">
        <v>3881</v>
      </c>
      <c r="E406" s="614" t="s">
        <v>26</v>
      </c>
      <c r="F406" s="614" t="s">
        <v>3217</v>
      </c>
      <c r="G406" s="614" t="s">
        <v>3202</v>
      </c>
      <c r="H406" s="614">
        <v>3.0</v>
      </c>
      <c r="I406" s="614" t="s">
        <v>692</v>
      </c>
      <c r="J406" s="614" t="s">
        <v>3218</v>
      </c>
      <c r="K406" s="614" t="str">
        <f>IFERROR(__xludf.DUMMYFUNCTION("LET(
  r, C406,
  t, J406,
  cons, LOWER(TO_TEXT(O406))=""true"",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406" s="616" t="str">
        <f t="shared" si="4"/>
        <v>Минор</v>
      </c>
      <c r="M406" s="616"/>
      <c r="N406" s="615">
        <v>0.0</v>
      </c>
      <c r="O406" s="616" t="b">
        <v>0</v>
      </c>
      <c r="P406" s="614">
        <v>0.0</v>
      </c>
      <c r="Q406" s="617" t="s">
        <v>4082</v>
      </c>
      <c r="R406" s="616">
        <f t="shared" si="2"/>
        <v>500</v>
      </c>
    </row>
    <row r="407">
      <c r="A407" s="614">
        <v>406.0</v>
      </c>
      <c r="B407" s="615" t="s">
        <v>4083</v>
      </c>
      <c r="C407" s="614" t="s">
        <v>3674</v>
      </c>
      <c r="D407" s="614" t="s">
        <v>2</v>
      </c>
      <c r="E407" s="614" t="s">
        <v>63</v>
      </c>
      <c r="F407" s="614" t="s">
        <v>3195</v>
      </c>
      <c r="G407" s="614" t="s">
        <v>3214</v>
      </c>
      <c r="H407" s="614">
        <v>4.0</v>
      </c>
      <c r="I407" s="614" t="s">
        <v>692</v>
      </c>
      <c r="J407" s="614" t="s">
        <v>3221</v>
      </c>
      <c r="K407" s="614" t="str">
        <f>IFERROR(__xludf.DUMMYFUNCTION("LET(
  r, C407,
  t, J407,
  cons, LOWER(TO_TEXT(O407))=""true"",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 зм")</f>
        <v>2d6kh1*100 зм</v>
      </c>
      <c r="L407" s="616" t="str">
        <f t="shared" si="4"/>
        <v>Мажор</v>
      </c>
      <c r="M407" s="616"/>
      <c r="N407" s="615">
        <v>0.0</v>
      </c>
      <c r="O407" s="616" t="b">
        <v>0</v>
      </c>
      <c r="P407" s="614">
        <v>0.0</v>
      </c>
      <c r="Q407" s="617" t="s">
        <v>4084</v>
      </c>
      <c r="R407" s="616">
        <f t="shared" si="2"/>
        <v>1100</v>
      </c>
    </row>
    <row r="408">
      <c r="A408" s="614">
        <v>407.0</v>
      </c>
      <c r="B408" s="615" t="s">
        <v>4085</v>
      </c>
      <c r="C408" s="614" t="s">
        <v>3674</v>
      </c>
      <c r="D408" s="614" t="s">
        <v>3881</v>
      </c>
      <c r="E408" s="614" t="s">
        <v>26</v>
      </c>
      <c r="F408" s="614" t="s">
        <v>3217</v>
      </c>
      <c r="G408" s="614" t="s">
        <v>3202</v>
      </c>
      <c r="H408" s="614">
        <v>3.0</v>
      </c>
      <c r="I408" s="614" t="s">
        <v>3203</v>
      </c>
      <c r="J408" s="614" t="s">
        <v>3221</v>
      </c>
      <c r="K408" s="614" t="str">
        <f>IFERROR(__xludf.DUMMYFUNCTION("LET(
  r, C408,
  t, J408,
  cons, LOWER(TO_TEXT(O408))=""true"",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 зм")</f>
        <v>2d6kh1*100 зм</v>
      </c>
      <c r="L408" s="616" t="str">
        <f t="shared" si="4"/>
        <v>Минор</v>
      </c>
      <c r="M408" s="616"/>
      <c r="N408" s="615">
        <v>0.0</v>
      </c>
      <c r="O408" s="616" t="b">
        <v>0</v>
      </c>
      <c r="P408" s="614">
        <v>0.0</v>
      </c>
      <c r="Q408" s="617" t="s">
        <v>4086</v>
      </c>
      <c r="R408" s="616">
        <f t="shared" si="2"/>
        <v>550</v>
      </c>
    </row>
    <row r="409">
      <c r="A409" s="614">
        <v>408.0</v>
      </c>
      <c r="B409" s="615" t="s">
        <v>4087</v>
      </c>
      <c r="C409" s="614" t="s">
        <v>3674</v>
      </c>
      <c r="D409" s="614" t="s">
        <v>3881</v>
      </c>
      <c r="E409" s="614" t="s">
        <v>26</v>
      </c>
      <c r="F409" s="614" t="s">
        <v>3217</v>
      </c>
      <c r="G409" s="614" t="s">
        <v>3202</v>
      </c>
      <c r="H409" s="614">
        <v>3.0</v>
      </c>
      <c r="I409" s="614" t="s">
        <v>3203</v>
      </c>
      <c r="J409" s="614" t="s">
        <v>3253</v>
      </c>
      <c r="K409" s="614" t="str">
        <f>IFERROR(__xludf.DUMMYFUNCTION("LET(
  r, C409,
  t, J409,
  cons, LOWER(TO_TEXT(O409))=""true"",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 зм")</f>
        <v>600 зм</v>
      </c>
      <c r="L409" s="616" t="str">
        <f t="shared" si="4"/>
        <v>Минор</v>
      </c>
      <c r="M409" s="616"/>
      <c r="N409" s="615">
        <v>0.0</v>
      </c>
      <c r="O409" s="616" t="b">
        <v>0</v>
      </c>
      <c r="P409" s="614">
        <v>0.0</v>
      </c>
      <c r="Q409" s="617" t="s">
        <v>4088</v>
      </c>
      <c r="R409" s="616">
        <f t="shared" si="2"/>
        <v>600</v>
      </c>
    </row>
    <row r="410">
      <c r="A410" s="614">
        <v>409.0</v>
      </c>
      <c r="B410" s="615" t="s">
        <v>4089</v>
      </c>
      <c r="C410" s="614" t="s">
        <v>3674</v>
      </c>
      <c r="D410" s="614" t="s">
        <v>2</v>
      </c>
      <c r="E410" s="614" t="s">
        <v>183</v>
      </c>
      <c r="F410" s="614" t="s">
        <v>26</v>
      </c>
      <c r="G410" s="614" t="s">
        <v>3214</v>
      </c>
      <c r="H410" s="614">
        <v>3.0</v>
      </c>
      <c r="I410" s="614" t="s">
        <v>3203</v>
      </c>
      <c r="J410" s="614" t="s">
        <v>3218</v>
      </c>
      <c r="K410" s="614" t="str">
        <f>IFERROR(__xludf.DUMMYFUNCTION("LET(
  r, C410,
  t, J410,
  cons, LOWER(TO_TEXT(O410))=""true"",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410" s="616" t="str">
        <f t="shared" si="4"/>
        <v>Минор</v>
      </c>
      <c r="M410" s="616"/>
      <c r="N410" s="615">
        <v>0.0</v>
      </c>
      <c r="O410" s="616" t="b">
        <v>0</v>
      </c>
      <c r="P410" s="614">
        <v>0.0</v>
      </c>
      <c r="Q410" s="617" t="s">
        <v>4090</v>
      </c>
      <c r="R410" s="616">
        <f t="shared" si="2"/>
        <v>500</v>
      </c>
    </row>
    <row r="411">
      <c r="A411" s="614">
        <v>410.0</v>
      </c>
      <c r="B411" s="615" t="s">
        <v>4091</v>
      </c>
      <c r="C411" s="614" t="s">
        <v>3674</v>
      </c>
      <c r="D411" s="614" t="s">
        <v>3881</v>
      </c>
      <c r="E411" s="614" t="s">
        <v>3394</v>
      </c>
      <c r="F411" s="614" t="s">
        <v>3195</v>
      </c>
      <c r="G411" s="614" t="s">
        <v>3202</v>
      </c>
      <c r="H411" s="614">
        <v>4.0</v>
      </c>
      <c r="I411" s="614" t="s">
        <v>692</v>
      </c>
      <c r="J411" s="614" t="s">
        <v>3221</v>
      </c>
      <c r="K411" s="614" t="str">
        <f>IFERROR(__xludf.DUMMYFUNCTION("LET(
  r, C411,
  t, J411,
  cons, LOWER(TO_TEXT(O411))=""true"",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 зм")</f>
        <v>2d6kh1*100 зм</v>
      </c>
      <c r="L411" s="616" t="str">
        <f t="shared" si="4"/>
        <v>Мажор</v>
      </c>
      <c r="M411" s="616"/>
      <c r="N411" s="615">
        <v>0.0</v>
      </c>
      <c r="O411" s="616" t="b">
        <v>0</v>
      </c>
      <c r="P411" s="614">
        <v>0.0</v>
      </c>
      <c r="Q411" s="617" t="s">
        <v>4092</v>
      </c>
      <c r="R411" s="616">
        <f t="shared" si="2"/>
        <v>1100</v>
      </c>
    </row>
    <row r="412">
      <c r="A412" s="614">
        <v>411.0</v>
      </c>
      <c r="B412" s="615" t="s">
        <v>4093</v>
      </c>
      <c r="C412" s="614" t="s">
        <v>3674</v>
      </c>
      <c r="D412" s="614" t="s">
        <v>3881</v>
      </c>
      <c r="E412" s="614" t="s">
        <v>3394</v>
      </c>
      <c r="F412" s="614" t="s">
        <v>3195</v>
      </c>
      <c r="G412" s="614" t="s">
        <v>3202</v>
      </c>
      <c r="H412" s="614">
        <v>4.0</v>
      </c>
      <c r="I412" s="614" t="s">
        <v>692</v>
      </c>
      <c r="J412" s="614" t="s">
        <v>3218</v>
      </c>
      <c r="K412" s="614" t="str">
        <f>IFERROR(__xludf.DUMMYFUNCTION("LET(
  r, C412,
  t, J412,
  cons, LOWER(TO_TEXT(O412))=""true"",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412" s="616" t="str">
        <f t="shared" si="4"/>
        <v>Мажор</v>
      </c>
      <c r="M412" s="616"/>
      <c r="N412" s="615">
        <v>0.0</v>
      </c>
      <c r="O412" s="616" t="b">
        <v>0</v>
      </c>
      <c r="P412" s="614">
        <v>0.0</v>
      </c>
      <c r="Q412" s="617" t="s">
        <v>4094</v>
      </c>
      <c r="R412" s="616">
        <f t="shared" si="2"/>
        <v>1000</v>
      </c>
    </row>
    <row r="413">
      <c r="A413" s="614">
        <v>412.0</v>
      </c>
      <c r="B413" s="615" t="s">
        <v>4095</v>
      </c>
      <c r="C413" s="614" t="s">
        <v>3674</v>
      </c>
      <c r="D413" s="614" t="s">
        <v>4096</v>
      </c>
      <c r="E413" s="614" t="s">
        <v>103</v>
      </c>
      <c r="F413" s="614" t="s">
        <v>3195</v>
      </c>
      <c r="G413" s="614" t="s">
        <v>3202</v>
      </c>
      <c r="H413" s="614">
        <v>3.0</v>
      </c>
      <c r="I413" s="614" t="s">
        <v>3208</v>
      </c>
      <c r="J413" s="614" t="s">
        <v>3204</v>
      </c>
      <c r="K413" s="614" t="str">
        <f>IFERROR(__xludf.DUMMYFUNCTION("LET(
  r, C413,
  t, J413,
  cons, LOWER(TO_TEXT(O413))=""true"",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413" s="616" t="str">
        <f t="shared" si="4"/>
        <v>Минор</v>
      </c>
      <c r="M413" s="616"/>
      <c r="N413" s="615">
        <v>0.0</v>
      </c>
      <c r="O413" s="616" t="b">
        <v>0</v>
      </c>
      <c r="P413" s="614">
        <v>1.0</v>
      </c>
      <c r="Q413" s="617" t="s">
        <v>4097</v>
      </c>
      <c r="R413" s="616">
        <f t="shared" si="2"/>
        <v>450</v>
      </c>
    </row>
    <row r="414">
      <c r="A414" s="614">
        <v>413.0</v>
      </c>
      <c r="B414" s="615" t="s">
        <v>4098</v>
      </c>
      <c r="C414" s="614" t="s">
        <v>3674</v>
      </c>
      <c r="D414" s="614" t="s">
        <v>3881</v>
      </c>
      <c r="E414" s="614" t="s">
        <v>26</v>
      </c>
      <c r="F414" s="614" t="s">
        <v>3201</v>
      </c>
      <c r="G414" s="614" t="s">
        <v>3515</v>
      </c>
      <c r="H414" s="614">
        <v>4.0</v>
      </c>
      <c r="I414" s="614" t="s">
        <v>3203</v>
      </c>
      <c r="J414" s="614" t="s">
        <v>3218</v>
      </c>
      <c r="K414" s="614" t="str">
        <f>IFERROR(__xludf.DUMMYFUNCTION("LET(
  r, C414,
  t, J414,
  cons, LOWER(TO_TEXT(O414))=""true"",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414" s="616" t="str">
        <f t="shared" si="4"/>
        <v>Мажор</v>
      </c>
      <c r="M414" s="616"/>
      <c r="N414" s="615">
        <v>0.0</v>
      </c>
      <c r="O414" s="616" t="b">
        <v>0</v>
      </c>
      <c r="P414" s="614">
        <v>0.0</v>
      </c>
      <c r="Q414" s="617" t="s">
        <v>4099</v>
      </c>
      <c r="R414" s="616">
        <f t="shared" si="2"/>
        <v>1000</v>
      </c>
    </row>
    <row r="415">
      <c r="A415" s="614">
        <v>414.0</v>
      </c>
      <c r="B415" s="615" t="s">
        <v>4100</v>
      </c>
      <c r="C415" s="614" t="s">
        <v>3674</v>
      </c>
      <c r="D415" s="614" t="s">
        <v>3881</v>
      </c>
      <c r="E415" s="614" t="s">
        <v>26</v>
      </c>
      <c r="F415" s="614" t="s">
        <v>3272</v>
      </c>
      <c r="G415" s="614" t="s">
        <v>3202</v>
      </c>
      <c r="H415" s="614">
        <v>4.0</v>
      </c>
      <c r="I415" s="614" t="s">
        <v>3203</v>
      </c>
      <c r="J415" s="614" t="s">
        <v>3218</v>
      </c>
      <c r="K415" s="614" t="str">
        <f>IFERROR(__xludf.DUMMYFUNCTION("LET(
  r, C415,
  t, J415,
  cons, LOWER(TO_TEXT(O415))=""true"",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415" s="616" t="str">
        <f t="shared" si="4"/>
        <v>Мажор</v>
      </c>
      <c r="M415" s="616"/>
      <c r="N415" s="615">
        <v>0.0</v>
      </c>
      <c r="O415" s="616" t="b">
        <v>0</v>
      </c>
      <c r="P415" s="614">
        <v>0.0</v>
      </c>
      <c r="Q415" s="617" t="s">
        <v>4101</v>
      </c>
      <c r="R415" s="616">
        <f t="shared" si="2"/>
        <v>1000</v>
      </c>
    </row>
    <row r="416">
      <c r="A416" s="614">
        <v>415.0</v>
      </c>
      <c r="B416" s="615" t="s">
        <v>4102</v>
      </c>
      <c r="C416" s="614" t="s">
        <v>3674</v>
      </c>
      <c r="D416" s="614" t="s">
        <v>3881</v>
      </c>
      <c r="E416" s="614" t="s">
        <v>26</v>
      </c>
      <c r="F416" s="614" t="s">
        <v>3217</v>
      </c>
      <c r="G416" s="614" t="s">
        <v>3202</v>
      </c>
      <c r="H416" s="614">
        <v>3.0</v>
      </c>
      <c r="I416" s="614" t="s">
        <v>3203</v>
      </c>
      <c r="J416" s="614" t="s">
        <v>3218</v>
      </c>
      <c r="K416" s="614" t="str">
        <f>IFERROR(__xludf.DUMMYFUNCTION("LET(
  r, C416,
  t, J416,
  cons, LOWER(TO_TEXT(O416))=""true"",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416" s="616" t="str">
        <f t="shared" si="4"/>
        <v>Минор</v>
      </c>
      <c r="M416" s="616"/>
      <c r="N416" s="615">
        <v>0.0</v>
      </c>
      <c r="O416" s="616" t="b">
        <v>0</v>
      </c>
      <c r="P416" s="614">
        <v>0.0</v>
      </c>
      <c r="Q416" s="617" t="s">
        <v>4103</v>
      </c>
      <c r="R416" s="616">
        <f t="shared" si="2"/>
        <v>500</v>
      </c>
    </row>
    <row r="417">
      <c r="A417" s="614">
        <v>416.0</v>
      </c>
      <c r="B417" s="615" t="s">
        <v>4104</v>
      </c>
      <c r="C417" s="614" t="s">
        <v>3674</v>
      </c>
      <c r="D417" s="614" t="s">
        <v>3881</v>
      </c>
      <c r="E417" s="614" t="s">
        <v>26</v>
      </c>
      <c r="F417" s="614" t="s">
        <v>3195</v>
      </c>
      <c r="G417" s="614" t="s">
        <v>3202</v>
      </c>
      <c r="H417" s="614">
        <v>4.0</v>
      </c>
      <c r="I417" s="614" t="s">
        <v>692</v>
      </c>
      <c r="J417" s="614" t="s">
        <v>3204</v>
      </c>
      <c r="K417" s="614" t="str">
        <f>IFERROR(__xludf.DUMMYFUNCTION("LET(
  r, C417,
  t, J417,
  cons, LOWER(TO_TEXT(O417))=""true"",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417" s="616" t="str">
        <f t="shared" si="4"/>
        <v>Мажор</v>
      </c>
      <c r="M417" s="616"/>
      <c r="N417" s="615" t="s">
        <v>3211</v>
      </c>
      <c r="O417" s="616" t="b">
        <v>0</v>
      </c>
      <c r="P417" s="614">
        <v>0.0</v>
      </c>
      <c r="Q417" s="617" t="s">
        <v>4105</v>
      </c>
      <c r="R417" s="616">
        <f t="shared" si="2"/>
        <v>900</v>
      </c>
    </row>
    <row r="418">
      <c r="A418" s="614">
        <v>417.0</v>
      </c>
      <c r="B418" s="615" t="s">
        <v>4106</v>
      </c>
      <c r="C418" s="614" t="s">
        <v>3674</v>
      </c>
      <c r="D418" s="614" t="s">
        <v>3881</v>
      </c>
      <c r="E418" s="614" t="s">
        <v>26</v>
      </c>
      <c r="F418" s="614" t="s">
        <v>3272</v>
      </c>
      <c r="G418" s="614" t="s">
        <v>3202</v>
      </c>
      <c r="H418" s="614">
        <v>3.0</v>
      </c>
      <c r="I418" s="614" t="s">
        <v>692</v>
      </c>
      <c r="J418" s="614" t="s">
        <v>3411</v>
      </c>
      <c r="K418" s="614" t="str">
        <f>IFERROR(__xludf.DUMMYFUNCTION("LET(
  r, C418,
  t, J418,
  cons, LOWER(TO_TEXT(O418))=""true"",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418" s="616" t="str">
        <f t="shared" si="4"/>
        <v>Минор</v>
      </c>
      <c r="M418" s="616"/>
      <c r="N418" s="615">
        <v>0.0</v>
      </c>
      <c r="O418" s="616" t="b">
        <v>0</v>
      </c>
      <c r="P418" s="614">
        <v>0.0</v>
      </c>
      <c r="Q418" s="617" t="s">
        <v>4107</v>
      </c>
      <c r="R418" s="616">
        <f t="shared" si="2"/>
        <v>500</v>
      </c>
    </row>
    <row r="419">
      <c r="A419" s="614">
        <v>418.0</v>
      </c>
      <c r="B419" s="615" t="s">
        <v>4108</v>
      </c>
      <c r="C419" s="614" t="s">
        <v>3674</v>
      </c>
      <c r="D419" s="614" t="s">
        <v>3881</v>
      </c>
      <c r="E419" s="614" t="s">
        <v>26</v>
      </c>
      <c r="F419" s="614" t="s">
        <v>3272</v>
      </c>
      <c r="G419" s="614" t="s">
        <v>3202</v>
      </c>
      <c r="H419" s="614">
        <v>3.0</v>
      </c>
      <c r="I419" s="614" t="s">
        <v>692</v>
      </c>
      <c r="J419" s="614" t="s">
        <v>3204</v>
      </c>
      <c r="K419" s="614" t="str">
        <f>IFERROR(__xludf.DUMMYFUNCTION("LET(
  r, C419,
  t, J419,
  cons, LOWER(TO_TEXT(O419))=""true"",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419" s="616" t="str">
        <f t="shared" si="4"/>
        <v>Минор</v>
      </c>
      <c r="M419" s="616"/>
      <c r="N419" s="615">
        <v>0.0</v>
      </c>
      <c r="O419" s="616" t="b">
        <v>0</v>
      </c>
      <c r="P419" s="614">
        <v>0.0</v>
      </c>
      <c r="Q419" s="617" t="s">
        <v>4109</v>
      </c>
      <c r="R419" s="616">
        <f t="shared" si="2"/>
        <v>450</v>
      </c>
    </row>
    <row r="420">
      <c r="A420" s="614">
        <v>419.0</v>
      </c>
      <c r="B420" s="615" t="s">
        <v>4110</v>
      </c>
      <c r="C420" s="614" t="s">
        <v>3674</v>
      </c>
      <c r="D420" s="614" t="s">
        <v>3881</v>
      </c>
      <c r="E420" s="614" t="s">
        <v>26</v>
      </c>
      <c r="F420" s="614" t="s">
        <v>3272</v>
      </c>
      <c r="G420" s="614" t="s">
        <v>3202</v>
      </c>
      <c r="H420" s="614">
        <v>3.0</v>
      </c>
      <c r="I420" s="614" t="s">
        <v>3208</v>
      </c>
      <c r="J420" s="614" t="s">
        <v>3221</v>
      </c>
      <c r="K420" s="614" t="str">
        <f>IFERROR(__xludf.DUMMYFUNCTION("LET(
  r, C420,
  t, J420,
  cons, LOWER(TO_TEXT(O420))=""true"",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 зм")</f>
        <v>2d6kh1*100 зм</v>
      </c>
      <c r="L420" s="616" t="str">
        <f t="shared" si="4"/>
        <v>Минор</v>
      </c>
      <c r="M420" s="616"/>
      <c r="N420" s="615">
        <v>0.0</v>
      </c>
      <c r="O420" s="616" t="b">
        <v>0</v>
      </c>
      <c r="P420" s="614">
        <v>0.0</v>
      </c>
      <c r="Q420" s="617" t="s">
        <v>4111</v>
      </c>
      <c r="R420" s="616">
        <f t="shared" si="2"/>
        <v>550</v>
      </c>
    </row>
    <row r="421">
      <c r="A421" s="614">
        <v>420.0</v>
      </c>
      <c r="B421" s="615" t="s">
        <v>4112</v>
      </c>
      <c r="C421" s="614" t="s">
        <v>3674</v>
      </c>
      <c r="D421" s="614" t="s">
        <v>3881</v>
      </c>
      <c r="E421" s="614" t="s">
        <v>26</v>
      </c>
      <c r="F421" s="614" t="s">
        <v>3272</v>
      </c>
      <c r="G421" s="614" t="s">
        <v>3202</v>
      </c>
      <c r="H421" s="614">
        <v>3.0</v>
      </c>
      <c r="I421" s="614" t="s">
        <v>3203</v>
      </c>
      <c r="J421" s="614" t="s">
        <v>3253</v>
      </c>
      <c r="K421" s="614" t="str">
        <f>IFERROR(__xludf.DUMMYFUNCTION("LET(
  r, C421,
  t, J421,
  cons, LOWER(TO_TEXT(O421))=""true"",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 зм")</f>
        <v>600 зм</v>
      </c>
      <c r="L421" s="616" t="str">
        <f t="shared" si="4"/>
        <v>Минор</v>
      </c>
      <c r="M421" s="616"/>
      <c r="N421" s="615">
        <v>0.0</v>
      </c>
      <c r="O421" s="616" t="b">
        <v>0</v>
      </c>
      <c r="P421" s="614">
        <v>0.0</v>
      </c>
      <c r="Q421" s="617" t="s">
        <v>4113</v>
      </c>
      <c r="R421" s="616">
        <f t="shared" si="2"/>
        <v>600</v>
      </c>
    </row>
    <row r="422">
      <c r="A422" s="614">
        <v>421.0</v>
      </c>
      <c r="B422" s="615" t="s">
        <v>4114</v>
      </c>
      <c r="C422" s="614" t="s">
        <v>3674</v>
      </c>
      <c r="D422" s="614" t="s">
        <v>3881</v>
      </c>
      <c r="E422" s="614" t="s">
        <v>26</v>
      </c>
      <c r="F422" s="614" t="s">
        <v>3195</v>
      </c>
      <c r="G422" s="614" t="s">
        <v>3202</v>
      </c>
      <c r="H422" s="614">
        <v>3.0</v>
      </c>
      <c r="I422" s="614" t="s">
        <v>3203</v>
      </c>
      <c r="J422" s="614" t="s">
        <v>3253</v>
      </c>
      <c r="K422" s="614" t="str">
        <f>IFERROR(__xludf.DUMMYFUNCTION("LET(
  r, C422,
  t, J422,
  cons, LOWER(TO_TEXT(O422))=""true"",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 зм")</f>
        <v>600 зм</v>
      </c>
      <c r="L422" s="616" t="str">
        <f t="shared" si="4"/>
        <v>Минор</v>
      </c>
      <c r="M422" s="616"/>
      <c r="N422" s="615">
        <v>0.0</v>
      </c>
      <c r="O422" s="616" t="b">
        <v>0</v>
      </c>
      <c r="P422" s="614">
        <v>0.0</v>
      </c>
      <c r="Q422" s="617" t="s">
        <v>4115</v>
      </c>
      <c r="R422" s="616">
        <f t="shared" si="2"/>
        <v>600</v>
      </c>
    </row>
    <row r="423">
      <c r="A423" s="614">
        <v>422.0</v>
      </c>
      <c r="B423" s="615" t="s">
        <v>4116</v>
      </c>
      <c r="C423" s="614" t="s">
        <v>3674</v>
      </c>
      <c r="D423" s="614" t="s">
        <v>3881</v>
      </c>
      <c r="E423" s="614" t="s">
        <v>26</v>
      </c>
      <c r="F423" s="614" t="s">
        <v>26</v>
      </c>
      <c r="G423" s="614" t="s">
        <v>3202</v>
      </c>
      <c r="H423" s="614">
        <v>3.0</v>
      </c>
      <c r="I423" s="614" t="s">
        <v>3203</v>
      </c>
      <c r="J423" s="614" t="s">
        <v>3218</v>
      </c>
      <c r="K423" s="614" t="str">
        <f>IFERROR(__xludf.DUMMYFUNCTION("LET(
  r, C423,
  t, J423,
  cons, LOWER(TO_TEXT(O423))=""true"",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423" s="616" t="str">
        <f t="shared" si="4"/>
        <v>Минор</v>
      </c>
      <c r="M423" s="616"/>
      <c r="N423" s="615">
        <v>0.0</v>
      </c>
      <c r="O423" s="616" t="b">
        <v>0</v>
      </c>
      <c r="P423" s="614">
        <v>0.0</v>
      </c>
      <c r="Q423" s="617" t="s">
        <v>4117</v>
      </c>
      <c r="R423" s="616">
        <f t="shared" si="2"/>
        <v>500</v>
      </c>
    </row>
    <row r="424">
      <c r="A424" s="614">
        <v>423.0</v>
      </c>
      <c r="B424" s="615" t="s">
        <v>4118</v>
      </c>
      <c r="C424" s="614" t="s">
        <v>3674</v>
      </c>
      <c r="D424" s="614" t="s">
        <v>1070</v>
      </c>
      <c r="E424" s="614" t="s">
        <v>650</v>
      </c>
      <c r="F424" s="614" t="s">
        <v>3195</v>
      </c>
      <c r="G424" s="614" t="s">
        <v>3202</v>
      </c>
      <c r="H424" s="614">
        <v>4.0</v>
      </c>
      <c r="I424" s="614" t="s">
        <v>692</v>
      </c>
      <c r="J424" s="614" t="s">
        <v>3221</v>
      </c>
      <c r="K424" s="614" t="str">
        <f>IFERROR(__xludf.DUMMYFUNCTION("LET(
  r, C424,
  t, J424,
  cons, LOWER(TO_TEXT(O424))=""true"",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 зм")</f>
        <v>2d6kh1*100 зм</v>
      </c>
      <c r="L424" s="616" t="str">
        <f t="shared" si="4"/>
        <v>Мажор</v>
      </c>
      <c r="M424" s="616"/>
      <c r="N424" s="615">
        <v>0.0</v>
      </c>
      <c r="O424" s="616" t="b">
        <v>0</v>
      </c>
      <c r="P424" s="614">
        <v>0.0</v>
      </c>
      <c r="Q424" s="617" t="s">
        <v>4119</v>
      </c>
      <c r="R424" s="616">
        <f t="shared" si="2"/>
        <v>1100</v>
      </c>
    </row>
    <row r="425">
      <c r="A425" s="614">
        <v>424.0</v>
      </c>
      <c r="B425" s="615" t="s">
        <v>4120</v>
      </c>
      <c r="C425" s="614" t="s">
        <v>3674</v>
      </c>
      <c r="D425" s="614" t="s">
        <v>1070</v>
      </c>
      <c r="E425" s="614" t="s">
        <v>650</v>
      </c>
      <c r="F425" s="614" t="s">
        <v>3195</v>
      </c>
      <c r="G425" s="614" t="s">
        <v>3214</v>
      </c>
      <c r="H425" s="614">
        <v>4.0</v>
      </c>
      <c r="I425" s="614" t="s">
        <v>692</v>
      </c>
      <c r="J425" s="614" t="s">
        <v>3204</v>
      </c>
      <c r="K425" s="614" t="str">
        <f>IFERROR(__xludf.DUMMYFUNCTION("LET(
  r, C425,
  t, J425,
  cons, LOWER(TO_TEXT(O425))=""true"",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425" s="616" t="str">
        <f t="shared" si="4"/>
        <v>Мажор</v>
      </c>
      <c r="M425" s="616"/>
      <c r="N425" s="615">
        <v>0.0</v>
      </c>
      <c r="O425" s="616" t="b">
        <v>0</v>
      </c>
      <c r="P425" s="614">
        <v>0.0</v>
      </c>
      <c r="Q425" s="617" t="s">
        <v>4121</v>
      </c>
      <c r="R425" s="616">
        <f t="shared" si="2"/>
        <v>900</v>
      </c>
    </row>
    <row r="426">
      <c r="A426" s="614">
        <v>425.0</v>
      </c>
      <c r="B426" s="615" t="s">
        <v>4122</v>
      </c>
      <c r="C426" s="614" t="s">
        <v>3674</v>
      </c>
      <c r="D426" s="614" t="s">
        <v>1070</v>
      </c>
      <c r="E426" s="614" t="s">
        <v>650</v>
      </c>
      <c r="F426" s="614" t="s">
        <v>3195</v>
      </c>
      <c r="G426" s="614" t="s">
        <v>3202</v>
      </c>
      <c r="H426" s="614">
        <v>4.0</v>
      </c>
      <c r="I426" s="614" t="s">
        <v>3208</v>
      </c>
      <c r="J426" s="614" t="s">
        <v>3218</v>
      </c>
      <c r="K426" s="614" t="str">
        <f>IFERROR(__xludf.DUMMYFUNCTION("LET(
  r, C426,
  t, J426,
  cons, LOWER(TO_TEXT(O426))=""true"",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426" s="616" t="str">
        <f t="shared" si="4"/>
        <v>Мажор</v>
      </c>
      <c r="M426" s="616"/>
      <c r="N426" s="615">
        <v>0.0</v>
      </c>
      <c r="O426" s="616" t="b">
        <v>0</v>
      </c>
      <c r="P426" s="614">
        <v>0.0</v>
      </c>
      <c r="Q426" s="617" t="s">
        <v>4123</v>
      </c>
      <c r="R426" s="616">
        <f t="shared" si="2"/>
        <v>1000</v>
      </c>
    </row>
    <row r="427">
      <c r="A427" s="614">
        <v>426.0</v>
      </c>
      <c r="B427" s="615" t="s">
        <v>4124</v>
      </c>
      <c r="C427" s="614" t="s">
        <v>3674</v>
      </c>
      <c r="D427" s="614" t="s">
        <v>3881</v>
      </c>
      <c r="E427" s="614" t="s">
        <v>26</v>
      </c>
      <c r="F427" s="614" t="s">
        <v>3342</v>
      </c>
      <c r="G427" s="614" t="s">
        <v>3202</v>
      </c>
      <c r="H427" s="614">
        <v>3.0</v>
      </c>
      <c r="I427" s="614" t="s">
        <v>692</v>
      </c>
      <c r="J427" s="614" t="s">
        <v>3218</v>
      </c>
      <c r="K427" s="614" t="str">
        <f>IFERROR(__xludf.DUMMYFUNCTION("LET(
  r, C427,
  t, J427,
  cons, LOWER(TO_TEXT(O427))=""true"",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427" s="616" t="str">
        <f t="shared" si="4"/>
        <v>Минор</v>
      </c>
      <c r="M427" s="616"/>
      <c r="N427" s="615">
        <v>0.0</v>
      </c>
      <c r="O427" s="616" t="b">
        <v>0</v>
      </c>
      <c r="P427" s="614">
        <v>0.0</v>
      </c>
      <c r="Q427" s="617" t="s">
        <v>4125</v>
      </c>
      <c r="R427" s="616">
        <f t="shared" si="2"/>
        <v>500</v>
      </c>
    </row>
    <row r="428">
      <c r="A428" s="614">
        <v>427.0</v>
      </c>
      <c r="B428" s="615" t="s">
        <v>2148</v>
      </c>
      <c r="C428" s="614" t="s">
        <v>3674</v>
      </c>
      <c r="D428" s="614" t="s">
        <v>3881</v>
      </c>
      <c r="E428" s="614" t="s">
        <v>26</v>
      </c>
      <c r="F428" s="614" t="s">
        <v>3309</v>
      </c>
      <c r="G428" s="614" t="s">
        <v>3202</v>
      </c>
      <c r="H428" s="614">
        <v>3.0</v>
      </c>
      <c r="I428" s="614" t="s">
        <v>692</v>
      </c>
      <c r="J428" s="614" t="s">
        <v>3218</v>
      </c>
      <c r="K428" s="614" t="str">
        <f>IFERROR(__xludf.DUMMYFUNCTION("LET(
  r, C428,
  t, J428,
  cons, LOWER(TO_TEXT(O428))=""true"",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428" s="616" t="str">
        <f t="shared" si="4"/>
        <v>Минор</v>
      </c>
      <c r="M428" s="616"/>
      <c r="N428" s="615">
        <v>0.0</v>
      </c>
      <c r="O428" s="616" t="b">
        <v>0</v>
      </c>
      <c r="P428" s="614">
        <v>0.0</v>
      </c>
      <c r="Q428" s="617" t="s">
        <v>4126</v>
      </c>
      <c r="R428" s="616">
        <f t="shared" si="2"/>
        <v>500</v>
      </c>
    </row>
    <row r="429">
      <c r="A429" s="614">
        <v>428.0</v>
      </c>
      <c r="B429" s="615" t="s">
        <v>4127</v>
      </c>
      <c r="C429" s="614" t="s">
        <v>3674</v>
      </c>
      <c r="D429" s="614" t="s">
        <v>3881</v>
      </c>
      <c r="E429" s="614" t="s">
        <v>4128</v>
      </c>
      <c r="F429" s="614" t="s">
        <v>3195</v>
      </c>
      <c r="G429" s="614" t="s">
        <v>3202</v>
      </c>
      <c r="H429" s="614">
        <v>3.0</v>
      </c>
      <c r="I429" s="614" t="s">
        <v>692</v>
      </c>
      <c r="J429" s="614" t="s">
        <v>3218</v>
      </c>
      <c r="K429" s="614" t="str">
        <f>IFERROR(__xludf.DUMMYFUNCTION("LET(
  r, C429,
  t, J429,
  cons, LOWER(TO_TEXT(O429))=""true"",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429" s="616" t="str">
        <f t="shared" si="4"/>
        <v>Минор</v>
      </c>
      <c r="M429" s="616"/>
      <c r="N429" s="615" t="s">
        <v>3653</v>
      </c>
      <c r="O429" s="616" t="b">
        <v>0</v>
      </c>
      <c r="P429" s="614">
        <v>0.0</v>
      </c>
      <c r="Q429" s="617" t="s">
        <v>4129</v>
      </c>
      <c r="R429" s="616">
        <f t="shared" si="2"/>
        <v>500</v>
      </c>
    </row>
    <row r="430">
      <c r="A430" s="614">
        <v>429.0</v>
      </c>
      <c r="B430" s="615" t="s">
        <v>4130</v>
      </c>
      <c r="C430" s="614" t="s">
        <v>4131</v>
      </c>
      <c r="D430" s="614" t="s">
        <v>3881</v>
      </c>
      <c r="E430" s="614" t="s">
        <v>26</v>
      </c>
      <c r="F430" s="614" t="s">
        <v>3201</v>
      </c>
      <c r="G430" s="614" t="s">
        <v>3202</v>
      </c>
      <c r="H430" s="614">
        <v>2.0</v>
      </c>
      <c r="I430" s="614" t="s">
        <v>692</v>
      </c>
      <c r="J430" s="614" t="s">
        <v>3221</v>
      </c>
      <c r="K430" s="614" t="str">
        <f>IFERROR(__xludf.DUMMYFUNCTION("LET(
  r, C430,
  t, J430,
  cons, LOWER(TO_TEXT(O430))=""true"",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)"),"(2d6kh1+1)*10 зм")</f>
        <v>(2d6kh1+1)*10 зм</v>
      </c>
      <c r="L430" s="616" t="str">
        <f t="shared" si="4"/>
        <v>Мажор</v>
      </c>
      <c r="M430" s="616"/>
      <c r="N430" s="615" t="s">
        <v>4132</v>
      </c>
      <c r="O430" s="616" t="b">
        <v>0</v>
      </c>
      <c r="P430" s="614">
        <v>0.0</v>
      </c>
      <c r="Q430" s="617" t="s">
        <v>4133</v>
      </c>
      <c r="R430" s="616">
        <f t="shared" si="2"/>
        <v>330</v>
      </c>
    </row>
    <row r="431">
      <c r="A431" s="614">
        <v>430.0</v>
      </c>
      <c r="B431" s="615" t="s">
        <v>4134</v>
      </c>
      <c r="C431" s="614" t="s">
        <v>4131</v>
      </c>
      <c r="D431" s="614" t="s">
        <v>3881</v>
      </c>
      <c r="E431" s="614" t="s">
        <v>26</v>
      </c>
      <c r="F431" s="614" t="s">
        <v>26</v>
      </c>
      <c r="G431" s="614" t="s">
        <v>3202</v>
      </c>
      <c r="H431" s="614">
        <v>1.0</v>
      </c>
      <c r="I431" s="614" t="s">
        <v>692</v>
      </c>
      <c r="J431" s="614" t="s">
        <v>3253</v>
      </c>
      <c r="K431" s="614" t="str">
        <f>IFERROR(__xludf.DUMMYFUNCTION("LET(
  r, C431,
  t, J431,
  cons, LOWER(TO_TEXT(O431))=""true"",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)"),"70 зм")</f>
        <v>70 зм</v>
      </c>
      <c r="L431" s="616" t="str">
        <f t="shared" si="4"/>
        <v>Минор</v>
      </c>
      <c r="M431" s="616"/>
      <c r="N431" s="615">
        <v>0.0</v>
      </c>
      <c r="O431" s="616" t="b">
        <v>0</v>
      </c>
      <c r="P431" s="614">
        <v>0.0</v>
      </c>
      <c r="Q431" s="617" t="s">
        <v>4135</v>
      </c>
      <c r="R431" s="616">
        <f t="shared" si="2"/>
        <v>180</v>
      </c>
    </row>
    <row r="432">
      <c r="A432" s="614">
        <v>431.0</v>
      </c>
      <c r="B432" s="615" t="s">
        <v>4136</v>
      </c>
      <c r="C432" s="614" t="s">
        <v>4131</v>
      </c>
      <c r="D432" s="614" t="s">
        <v>3881</v>
      </c>
      <c r="E432" s="614" t="s">
        <v>26</v>
      </c>
      <c r="F432" s="614" t="s">
        <v>3217</v>
      </c>
      <c r="G432" s="614" t="s">
        <v>3256</v>
      </c>
      <c r="H432" s="614">
        <v>1.0</v>
      </c>
      <c r="I432" s="614" t="s">
        <v>692</v>
      </c>
      <c r="J432" s="614" t="s">
        <v>3218</v>
      </c>
      <c r="K432" s="614" t="str">
        <f>IFERROR(__xludf.DUMMYFUNCTION("LET(
  r, C432,
  t, J432,
  cons, LOWER(TO_TEXT(O432))=""true"",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32" s="616" t="str">
        <f t="shared" si="4"/>
        <v>Минор</v>
      </c>
      <c r="M432" s="616"/>
      <c r="N432" s="615">
        <v>0.0</v>
      </c>
      <c r="O432" s="616" t="b">
        <v>0</v>
      </c>
      <c r="P432" s="614">
        <v>0.0</v>
      </c>
      <c r="Q432" s="617" t="s">
        <v>4137</v>
      </c>
      <c r="R432" s="616">
        <f t="shared" si="2"/>
        <v>150</v>
      </c>
    </row>
    <row r="433">
      <c r="A433" s="614">
        <v>432.0</v>
      </c>
      <c r="B433" s="615" t="s">
        <v>4138</v>
      </c>
      <c r="C433" s="614" t="s">
        <v>4131</v>
      </c>
      <c r="D433" s="614" t="s">
        <v>3881</v>
      </c>
      <c r="E433" s="614" t="s">
        <v>26</v>
      </c>
      <c r="F433" s="614" t="s">
        <v>3217</v>
      </c>
      <c r="G433" s="614" t="s">
        <v>4139</v>
      </c>
      <c r="H433" s="614">
        <v>1.0</v>
      </c>
      <c r="I433" s="614" t="s">
        <v>692</v>
      </c>
      <c r="J433" s="614" t="s">
        <v>3204</v>
      </c>
      <c r="K433" s="614" t="str">
        <f>IFERROR(__xludf.DUMMYFUNCTION("LET(
  r, C433,
  t, J433,
  cons, LOWER(TO_TEXT(O433))=""true"",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)"),"(2d6kl1+1)*10 зм")</f>
        <v>(2d6kl1+1)*10 зм</v>
      </c>
      <c r="L433" s="616" t="str">
        <f t="shared" si="4"/>
        <v>Минор</v>
      </c>
      <c r="M433" s="616"/>
      <c r="N433" s="615">
        <v>0.0</v>
      </c>
      <c r="O433" s="616" t="b">
        <v>0</v>
      </c>
      <c r="P433" s="614">
        <v>0.0</v>
      </c>
      <c r="Q433" s="617" t="s">
        <v>4140</v>
      </c>
      <c r="R433" s="616">
        <f t="shared" si="2"/>
        <v>135</v>
      </c>
    </row>
    <row r="434">
      <c r="A434" s="614">
        <v>433.0</v>
      </c>
      <c r="B434" s="615" t="s">
        <v>4141</v>
      </c>
      <c r="C434" s="614" t="s">
        <v>4131</v>
      </c>
      <c r="D434" s="614" t="s">
        <v>3881</v>
      </c>
      <c r="E434" s="614" t="s">
        <v>26</v>
      </c>
      <c r="F434" s="614" t="s">
        <v>26</v>
      </c>
      <c r="G434" s="614" t="s">
        <v>4139</v>
      </c>
      <c r="H434" s="614">
        <v>1.0</v>
      </c>
      <c r="I434" s="614" t="s">
        <v>692</v>
      </c>
      <c r="J434" s="614" t="s">
        <v>3204</v>
      </c>
      <c r="K434" s="614" t="str">
        <f>IFERROR(__xludf.DUMMYFUNCTION("LET(
  r, C434,
  t, J434,
  cons, LOWER(TO_TEXT(O434))=""true"",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)"),"(2d6kl1+1)*10 зм")</f>
        <v>(2d6kl1+1)*10 зм</v>
      </c>
      <c r="L434" s="616" t="str">
        <f t="shared" si="4"/>
        <v>Минор</v>
      </c>
      <c r="M434" s="616"/>
      <c r="N434" s="615">
        <v>0.0</v>
      </c>
      <c r="O434" s="616" t="b">
        <v>0</v>
      </c>
      <c r="P434" s="614">
        <v>0.0</v>
      </c>
      <c r="Q434" s="617" t="s">
        <v>4142</v>
      </c>
      <c r="R434" s="616">
        <f t="shared" si="2"/>
        <v>135</v>
      </c>
    </row>
    <row r="435">
      <c r="A435" s="614">
        <v>434.0</v>
      </c>
      <c r="B435" s="615" t="s">
        <v>4143</v>
      </c>
      <c r="C435" s="614" t="s">
        <v>4131</v>
      </c>
      <c r="D435" s="614" t="s">
        <v>3224</v>
      </c>
      <c r="E435" s="614" t="s">
        <v>26</v>
      </c>
      <c r="F435" s="614" t="s">
        <v>3195</v>
      </c>
      <c r="G435" s="614" t="s">
        <v>4139</v>
      </c>
      <c r="H435" s="614">
        <v>1.0</v>
      </c>
      <c r="I435" s="614" t="s">
        <v>3208</v>
      </c>
      <c r="J435" s="614" t="s">
        <v>3204</v>
      </c>
      <c r="K435" s="614" t="str">
        <f>IFERROR(__xludf.DUMMYFUNCTION("LET(
  r, C435,
  t, J435,
  cons, LOWER(TO_TEXT(O435))=""true"",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)"),"(2d6kl1+1)*10 зм")</f>
        <v>(2d6kl1+1)*10 зм</v>
      </c>
      <c r="L435" s="616" t="str">
        <f t="shared" si="4"/>
        <v>Минор</v>
      </c>
      <c r="M435" s="616"/>
      <c r="N435" s="615">
        <v>0.0</v>
      </c>
      <c r="O435" s="616" t="b">
        <v>0</v>
      </c>
      <c r="P435" s="614">
        <v>0.0</v>
      </c>
      <c r="Q435" s="617" t="s">
        <v>4144</v>
      </c>
      <c r="R435" s="616">
        <f t="shared" si="2"/>
        <v>135</v>
      </c>
    </row>
    <row r="436">
      <c r="A436" s="614">
        <v>435.0</v>
      </c>
      <c r="B436" s="615" t="s">
        <v>4145</v>
      </c>
      <c r="C436" s="614" t="s">
        <v>4131</v>
      </c>
      <c r="D436" s="614" t="s">
        <v>1070</v>
      </c>
      <c r="E436" s="614" t="s">
        <v>1978</v>
      </c>
      <c r="F436" s="614" t="s">
        <v>3234</v>
      </c>
      <c r="G436" s="614" t="s">
        <v>4139</v>
      </c>
      <c r="H436" s="614">
        <v>2.0</v>
      </c>
      <c r="I436" s="614" t="s">
        <v>692</v>
      </c>
      <c r="J436" s="614" t="s">
        <v>3221</v>
      </c>
      <c r="K436" s="614" t="str">
        <f>IFERROR(__xludf.DUMMYFUNCTION("LET(
  r, C436,
  t, J436,
  cons, LOWER(TO_TEXT(O436))=""true"",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)"),"(2d6kh1+1)*10 зм")</f>
        <v>(2d6kh1+1)*10 зм</v>
      </c>
      <c r="L436" s="616" t="str">
        <f t="shared" si="4"/>
        <v>Мажор</v>
      </c>
      <c r="M436" s="616"/>
      <c r="N436" s="615">
        <v>0.0</v>
      </c>
      <c r="O436" s="616" t="b">
        <v>0</v>
      </c>
      <c r="P436" s="614">
        <v>0.0</v>
      </c>
      <c r="Q436" s="617" t="s">
        <v>4146</v>
      </c>
      <c r="R436" s="616">
        <f t="shared" si="2"/>
        <v>330</v>
      </c>
    </row>
    <row r="437">
      <c r="A437" s="614">
        <v>436.0</v>
      </c>
      <c r="B437" s="615" t="s">
        <v>4147</v>
      </c>
      <c r="C437" s="614" t="s">
        <v>4131</v>
      </c>
      <c r="D437" s="614" t="s">
        <v>1070</v>
      </c>
      <c r="E437" s="614" t="s">
        <v>1978</v>
      </c>
      <c r="F437" s="614" t="s">
        <v>3234</v>
      </c>
      <c r="G437" s="614" t="s">
        <v>3202</v>
      </c>
      <c r="H437" s="614">
        <v>1.0</v>
      </c>
      <c r="I437" s="614" t="s">
        <v>692</v>
      </c>
      <c r="J437" s="614" t="s">
        <v>3204</v>
      </c>
      <c r="K437" s="614" t="str">
        <f>IFERROR(__xludf.DUMMYFUNCTION("LET(
  r, C437,
  t, J437,
  cons, LOWER(TO_TEXT(O437))=""true"",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)"),"(2d6kl1+1)*10 зм")</f>
        <v>(2d6kl1+1)*10 зм</v>
      </c>
      <c r="L437" s="616" t="str">
        <f t="shared" si="4"/>
        <v>Минор</v>
      </c>
      <c r="M437" s="616"/>
      <c r="N437" s="615">
        <v>0.0</v>
      </c>
      <c r="O437" s="616" t="b">
        <v>0</v>
      </c>
      <c r="P437" s="614">
        <v>0.0</v>
      </c>
      <c r="Q437" s="617" t="s">
        <v>4148</v>
      </c>
      <c r="R437" s="616">
        <f t="shared" si="2"/>
        <v>135</v>
      </c>
    </row>
    <row r="438">
      <c r="A438" s="614">
        <v>437.0</v>
      </c>
      <c r="B438" s="615" t="s">
        <v>4149</v>
      </c>
      <c r="C438" s="614" t="s">
        <v>4131</v>
      </c>
      <c r="D438" s="614" t="s">
        <v>3881</v>
      </c>
      <c r="E438" s="614" t="s">
        <v>26</v>
      </c>
      <c r="F438" s="614" t="s">
        <v>3217</v>
      </c>
      <c r="G438" s="614" t="s">
        <v>3244</v>
      </c>
      <c r="H438" s="614">
        <v>1.0</v>
      </c>
      <c r="I438" s="614" t="s">
        <v>692</v>
      </c>
      <c r="J438" s="614" t="s">
        <v>3218</v>
      </c>
      <c r="K438" s="614" t="str">
        <f>IFERROR(__xludf.DUMMYFUNCTION("LET(
  r, C438,
  t, J438,
  cons, LOWER(TO_TEXT(O438))=""true"",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38" s="616" t="str">
        <f t="shared" si="4"/>
        <v>Минор</v>
      </c>
      <c r="M438" s="616"/>
      <c r="N438" s="615">
        <v>0.0</v>
      </c>
      <c r="O438" s="616" t="b">
        <v>0</v>
      </c>
      <c r="P438" s="614">
        <v>0.0</v>
      </c>
      <c r="Q438" s="617" t="s">
        <v>4150</v>
      </c>
      <c r="R438" s="616">
        <f t="shared" si="2"/>
        <v>150</v>
      </c>
    </row>
    <row r="439">
      <c r="A439" s="614">
        <v>438.0</v>
      </c>
      <c r="B439" s="615" t="s">
        <v>4151</v>
      </c>
      <c r="C439" s="614" t="s">
        <v>4131</v>
      </c>
      <c r="D439" s="614" t="s">
        <v>3881</v>
      </c>
      <c r="E439" s="614" t="s">
        <v>26</v>
      </c>
      <c r="F439" s="614" t="s">
        <v>3217</v>
      </c>
      <c r="G439" s="614" t="s">
        <v>3256</v>
      </c>
      <c r="H439" s="614">
        <v>1.0</v>
      </c>
      <c r="I439" s="614" t="s">
        <v>692</v>
      </c>
      <c r="J439" s="614" t="s">
        <v>3218</v>
      </c>
      <c r="K439" s="614" t="str">
        <f>IFERROR(__xludf.DUMMYFUNCTION("LET(
  r, C439,
  t, J439,
  cons, LOWER(TO_TEXT(O439))=""true"",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39" s="616" t="str">
        <f t="shared" si="4"/>
        <v>Минор</v>
      </c>
      <c r="M439" s="616"/>
      <c r="N439" s="615">
        <v>0.0</v>
      </c>
      <c r="O439" s="616" t="b">
        <v>0</v>
      </c>
      <c r="P439" s="614">
        <v>0.0</v>
      </c>
      <c r="Q439" s="617" t="s">
        <v>4152</v>
      </c>
      <c r="R439" s="616">
        <f t="shared" si="2"/>
        <v>150</v>
      </c>
    </row>
    <row r="440">
      <c r="A440" s="614">
        <v>439.0</v>
      </c>
      <c r="B440" s="615" t="s">
        <v>4153</v>
      </c>
      <c r="C440" s="614" t="s">
        <v>4131</v>
      </c>
      <c r="D440" s="614" t="s">
        <v>3881</v>
      </c>
      <c r="E440" s="614" t="s">
        <v>26</v>
      </c>
      <c r="F440" s="614" t="s">
        <v>3195</v>
      </c>
      <c r="G440" s="614" t="s">
        <v>3202</v>
      </c>
      <c r="H440" s="614">
        <v>2.0</v>
      </c>
      <c r="I440" s="614" t="s">
        <v>692</v>
      </c>
      <c r="J440" s="614" t="s">
        <v>3218</v>
      </c>
      <c r="K440" s="614" t="str">
        <f>IFERROR(__xludf.DUMMYFUNCTION("LET(
  r, C440,
  t, J440,
  cons, LOWER(TO_TEXT(O440))=""true"",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40" s="616" t="str">
        <f t="shared" si="4"/>
        <v>Мажор</v>
      </c>
      <c r="M440" s="616"/>
      <c r="N440" s="615">
        <v>0.0</v>
      </c>
      <c r="O440" s="616" t="b">
        <v>0</v>
      </c>
      <c r="P440" s="614">
        <v>0.0</v>
      </c>
      <c r="Q440" s="617" t="s">
        <v>4154</v>
      </c>
      <c r="R440" s="616">
        <f t="shared" si="2"/>
        <v>300</v>
      </c>
    </row>
    <row r="441">
      <c r="A441" s="614">
        <v>440.0</v>
      </c>
      <c r="B441" s="615" t="s">
        <v>4155</v>
      </c>
      <c r="C441" s="614" t="s">
        <v>4131</v>
      </c>
      <c r="D441" s="614" t="s">
        <v>3881</v>
      </c>
      <c r="E441" s="614" t="s">
        <v>26</v>
      </c>
      <c r="F441" s="614" t="s">
        <v>3309</v>
      </c>
      <c r="G441" s="614" t="s">
        <v>3256</v>
      </c>
      <c r="H441" s="614">
        <v>1.0</v>
      </c>
      <c r="I441" s="614" t="s">
        <v>3208</v>
      </c>
      <c r="J441" s="614" t="s">
        <v>3218</v>
      </c>
      <c r="K441" s="614" t="str">
        <f>IFERROR(__xludf.DUMMYFUNCTION("LET(
  r, C441,
  t, J441,
  cons, LOWER(TO_TEXT(O441))=""true"",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41" s="616" t="str">
        <f t="shared" si="4"/>
        <v>Минор</v>
      </c>
      <c r="M441" s="616"/>
      <c r="N441" s="615">
        <v>0.0</v>
      </c>
      <c r="O441" s="616" t="b">
        <v>0</v>
      </c>
      <c r="P441" s="614">
        <v>0.0</v>
      </c>
      <c r="Q441" s="617" t="s">
        <v>4156</v>
      </c>
      <c r="R441" s="616">
        <f t="shared" si="2"/>
        <v>150</v>
      </c>
    </row>
    <row r="442">
      <c r="A442" s="614">
        <v>441.0</v>
      </c>
      <c r="B442" s="615" t="s">
        <v>4157</v>
      </c>
      <c r="C442" s="614" t="s">
        <v>4131</v>
      </c>
      <c r="D442" s="614" t="s">
        <v>3881</v>
      </c>
      <c r="E442" s="614" t="s">
        <v>26</v>
      </c>
      <c r="F442" s="614" t="s">
        <v>3217</v>
      </c>
      <c r="G442" s="614" t="s">
        <v>4139</v>
      </c>
      <c r="H442" s="614">
        <v>1.0</v>
      </c>
      <c r="I442" s="614" t="s">
        <v>3208</v>
      </c>
      <c r="J442" s="614" t="s">
        <v>3204</v>
      </c>
      <c r="K442" s="614" t="str">
        <f>IFERROR(__xludf.DUMMYFUNCTION("LET(
  r, C442,
  t, J442,
  cons, LOWER(TO_TEXT(O442))=""true"",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)"),"(2d6kl1+1)*10 зм")</f>
        <v>(2d6kl1+1)*10 зм</v>
      </c>
      <c r="L442" s="616" t="str">
        <f t="shared" si="4"/>
        <v>Минор</v>
      </c>
      <c r="M442" s="616"/>
      <c r="N442" s="615">
        <v>0.0</v>
      </c>
      <c r="O442" s="616" t="b">
        <v>0</v>
      </c>
      <c r="P442" s="614">
        <v>0.0</v>
      </c>
      <c r="Q442" s="617" t="s">
        <v>4158</v>
      </c>
      <c r="R442" s="616">
        <f t="shared" si="2"/>
        <v>135</v>
      </c>
    </row>
    <row r="443">
      <c r="A443" s="614">
        <v>442.0</v>
      </c>
      <c r="B443" s="615" t="s">
        <v>4159</v>
      </c>
      <c r="C443" s="614" t="s">
        <v>4131</v>
      </c>
      <c r="D443" s="614" t="s">
        <v>3881</v>
      </c>
      <c r="E443" s="614" t="s">
        <v>26</v>
      </c>
      <c r="F443" s="614" t="s">
        <v>3195</v>
      </c>
      <c r="G443" s="614" t="s">
        <v>4139</v>
      </c>
      <c r="H443" s="614">
        <v>1.0</v>
      </c>
      <c r="I443" s="614" t="s">
        <v>3208</v>
      </c>
      <c r="J443" s="614" t="s">
        <v>3218</v>
      </c>
      <c r="K443" s="614" t="str">
        <f>IFERROR(__xludf.DUMMYFUNCTION("LET(
  r, C443,
  t, J443,
  cons, LOWER(TO_TEXT(O443))=""true"",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43" s="616" t="str">
        <f t="shared" si="4"/>
        <v>Минор</v>
      </c>
      <c r="M443" s="616"/>
      <c r="N443" s="615">
        <v>0.0</v>
      </c>
      <c r="O443" s="616" t="b">
        <v>0</v>
      </c>
      <c r="P443" s="614">
        <v>0.0</v>
      </c>
      <c r="Q443" s="617" t="s">
        <v>4160</v>
      </c>
      <c r="R443" s="616">
        <f t="shared" si="2"/>
        <v>150</v>
      </c>
    </row>
    <row r="444">
      <c r="A444" s="614">
        <v>443.0</v>
      </c>
      <c r="B444" s="615" t="s">
        <v>4161</v>
      </c>
      <c r="C444" s="614" t="s">
        <v>4131</v>
      </c>
      <c r="D444" s="614" t="s">
        <v>3881</v>
      </c>
      <c r="E444" s="614" t="s">
        <v>26</v>
      </c>
      <c r="F444" s="614" t="s">
        <v>3195</v>
      </c>
      <c r="G444" s="614" t="s">
        <v>4139</v>
      </c>
      <c r="H444" s="614">
        <v>1.0</v>
      </c>
      <c r="I444" s="614" t="s">
        <v>3208</v>
      </c>
      <c r="J444" s="614" t="s">
        <v>3218</v>
      </c>
      <c r="K444" s="614" t="str">
        <f>IFERROR(__xludf.DUMMYFUNCTION("LET(
  r, C444,
  t, J444,
  cons, LOWER(TO_TEXT(O444))=""true"",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44" s="616" t="str">
        <f t="shared" si="4"/>
        <v>Минор</v>
      </c>
      <c r="M444" s="616"/>
      <c r="N444" s="615">
        <v>0.0</v>
      </c>
      <c r="O444" s="616" t="b">
        <v>0</v>
      </c>
      <c r="P444" s="614">
        <v>0.0</v>
      </c>
      <c r="Q444" s="617" t="s">
        <v>4162</v>
      </c>
      <c r="R444" s="616">
        <f t="shared" si="2"/>
        <v>150</v>
      </c>
    </row>
    <row r="445">
      <c r="A445" s="614">
        <v>444.0</v>
      </c>
      <c r="B445" s="615" t="s">
        <v>4163</v>
      </c>
      <c r="C445" s="614" t="s">
        <v>4131</v>
      </c>
      <c r="D445" s="614" t="s">
        <v>3881</v>
      </c>
      <c r="E445" s="614" t="s">
        <v>26</v>
      </c>
      <c r="F445" s="614" t="s">
        <v>3195</v>
      </c>
      <c r="G445" s="614" t="s">
        <v>3244</v>
      </c>
      <c r="H445" s="614">
        <v>1.0</v>
      </c>
      <c r="I445" s="614" t="s">
        <v>692</v>
      </c>
      <c r="J445" s="614" t="s">
        <v>3221</v>
      </c>
      <c r="K445" s="614" t="str">
        <f>IFERROR(__xludf.DUMMYFUNCTION("LET(
  r, C445,
  t, J445,
  cons, LOWER(TO_TEXT(O445))=""true"",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)"),"(2d6kh1+1)*10 зм")</f>
        <v>(2d6kh1+1)*10 зм</v>
      </c>
      <c r="L445" s="616" t="str">
        <f t="shared" si="4"/>
        <v>Минор</v>
      </c>
      <c r="M445" s="616"/>
      <c r="N445" s="615">
        <v>0.0</v>
      </c>
      <c r="O445" s="616" t="b">
        <v>0</v>
      </c>
      <c r="P445" s="614">
        <v>0.0</v>
      </c>
      <c r="Q445" s="617" t="s">
        <v>4164</v>
      </c>
      <c r="R445" s="616">
        <f t="shared" si="2"/>
        <v>165</v>
      </c>
    </row>
    <row r="446">
      <c r="A446" s="614">
        <v>445.0</v>
      </c>
      <c r="B446" s="615" t="s">
        <v>4165</v>
      </c>
      <c r="C446" s="614" t="s">
        <v>4131</v>
      </c>
      <c r="D446" s="614" t="s">
        <v>3881</v>
      </c>
      <c r="E446" s="614" t="s">
        <v>26</v>
      </c>
      <c r="F446" s="614" t="s">
        <v>3195</v>
      </c>
      <c r="G446" s="614" t="s">
        <v>3256</v>
      </c>
      <c r="H446" s="614">
        <v>2.0</v>
      </c>
      <c r="I446" s="614" t="s">
        <v>692</v>
      </c>
      <c r="J446" s="614" t="s">
        <v>3218</v>
      </c>
      <c r="K446" s="614" t="str">
        <f>IFERROR(__xludf.DUMMYFUNCTION("LET(
  r, C446,
  t, J446,
  cons, LOWER(TO_TEXT(O446))=""true"",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46" s="616" t="str">
        <f t="shared" si="4"/>
        <v>Мажор</v>
      </c>
      <c r="M446" s="616"/>
      <c r="N446" s="615" t="s">
        <v>4166</v>
      </c>
      <c r="O446" s="616" t="b">
        <v>0</v>
      </c>
      <c r="P446" s="614">
        <v>0.0</v>
      </c>
      <c r="Q446" s="617" t="s">
        <v>4167</v>
      </c>
      <c r="R446" s="616">
        <f t="shared" si="2"/>
        <v>300</v>
      </c>
    </row>
    <row r="447">
      <c r="A447" s="614">
        <v>446.0</v>
      </c>
      <c r="B447" s="615" t="s">
        <v>4168</v>
      </c>
      <c r="C447" s="614" t="s">
        <v>4131</v>
      </c>
      <c r="D447" s="614" t="s">
        <v>3881</v>
      </c>
      <c r="E447" s="614" t="s">
        <v>26</v>
      </c>
      <c r="F447" s="614" t="s">
        <v>3195</v>
      </c>
      <c r="G447" s="614" t="s">
        <v>3202</v>
      </c>
      <c r="H447" s="614">
        <v>1.0</v>
      </c>
      <c r="I447" s="614" t="s">
        <v>692</v>
      </c>
      <c r="J447" s="614" t="s">
        <v>3253</v>
      </c>
      <c r="K447" s="614" t="str">
        <f>IFERROR(__xludf.DUMMYFUNCTION("LET(
  r, C447,
  t, J447,
  cons, LOWER(TO_TEXT(O447))=""true"",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)"),"70 зм")</f>
        <v>70 зм</v>
      </c>
      <c r="L447" s="616" t="str">
        <f t="shared" si="4"/>
        <v>Минор</v>
      </c>
      <c r="M447" s="616"/>
      <c r="N447" s="615">
        <v>0.0</v>
      </c>
      <c r="O447" s="616" t="b">
        <v>0</v>
      </c>
      <c r="P447" s="614">
        <v>0.0</v>
      </c>
      <c r="Q447" s="617" t="s">
        <v>4169</v>
      </c>
      <c r="R447" s="616">
        <f t="shared" si="2"/>
        <v>180</v>
      </c>
    </row>
    <row r="448">
      <c r="A448" s="614">
        <v>447.0</v>
      </c>
      <c r="B448" s="615" t="s">
        <v>4170</v>
      </c>
      <c r="C448" s="614" t="s">
        <v>4131</v>
      </c>
      <c r="D448" s="614" t="s">
        <v>3881</v>
      </c>
      <c r="E448" s="614" t="s">
        <v>26</v>
      </c>
      <c r="F448" s="614" t="s">
        <v>26</v>
      </c>
      <c r="G448" s="614" t="s">
        <v>3316</v>
      </c>
      <c r="H448" s="614">
        <v>1.0</v>
      </c>
      <c r="I448" s="614" t="s">
        <v>3203</v>
      </c>
      <c r="J448" s="614" t="s">
        <v>3218</v>
      </c>
      <c r="K448" s="614" t="str">
        <f>IFERROR(__xludf.DUMMYFUNCTION("LET(
  r, C448,
  t, J448,
  cons, LOWER(TO_TEXT(O448))=""true"",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48" s="616" t="str">
        <f t="shared" si="4"/>
        <v>Минор</v>
      </c>
      <c r="M448" s="616"/>
      <c r="N448" s="615">
        <v>0.0</v>
      </c>
      <c r="O448" s="616" t="b">
        <v>0</v>
      </c>
      <c r="P448" s="614">
        <v>0.0</v>
      </c>
      <c r="Q448" s="617" t="s">
        <v>4171</v>
      </c>
      <c r="R448" s="616">
        <f t="shared" si="2"/>
        <v>150</v>
      </c>
    </row>
    <row r="449">
      <c r="A449" s="614">
        <v>448.0</v>
      </c>
      <c r="B449" s="615" t="s">
        <v>4172</v>
      </c>
      <c r="C449" s="614" t="s">
        <v>4131</v>
      </c>
      <c r="D449" s="614" t="s">
        <v>3881</v>
      </c>
      <c r="E449" s="614" t="s">
        <v>26</v>
      </c>
      <c r="F449" s="614" t="s">
        <v>3217</v>
      </c>
      <c r="G449" s="614" t="s">
        <v>4139</v>
      </c>
      <c r="H449" s="614">
        <v>1.0</v>
      </c>
      <c r="I449" s="614" t="s">
        <v>3203</v>
      </c>
      <c r="J449" s="614" t="s">
        <v>3204</v>
      </c>
      <c r="K449" s="614" t="str">
        <f>IFERROR(__xludf.DUMMYFUNCTION("LET(
  r, C449,
  t, J449,
  cons, LOWER(TO_TEXT(O449))=""true"",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)"),"(2d6kl1+1)*10 зм")</f>
        <v>(2d6kl1+1)*10 зм</v>
      </c>
      <c r="L449" s="616" t="str">
        <f t="shared" si="4"/>
        <v>Минор</v>
      </c>
      <c r="M449" s="616"/>
      <c r="N449" s="615">
        <v>0.0</v>
      </c>
      <c r="O449" s="616" t="b">
        <v>0</v>
      </c>
      <c r="P449" s="614">
        <v>0.0</v>
      </c>
      <c r="Q449" s="617" t="s">
        <v>4173</v>
      </c>
      <c r="R449" s="616">
        <f t="shared" si="2"/>
        <v>135</v>
      </c>
    </row>
    <row r="450">
      <c r="A450" s="614">
        <v>449.0</v>
      </c>
      <c r="B450" s="615" t="s">
        <v>4174</v>
      </c>
      <c r="C450" s="614" t="s">
        <v>4131</v>
      </c>
      <c r="D450" s="614" t="s">
        <v>3881</v>
      </c>
      <c r="E450" s="614" t="s">
        <v>26</v>
      </c>
      <c r="F450" s="614" t="s">
        <v>3217</v>
      </c>
      <c r="G450" s="614" t="s">
        <v>3202</v>
      </c>
      <c r="H450" s="614">
        <v>2.0</v>
      </c>
      <c r="I450" s="614" t="s">
        <v>3203</v>
      </c>
      <c r="J450" s="614" t="s">
        <v>3253</v>
      </c>
      <c r="K450" s="614" t="str">
        <f>IFERROR(__xludf.DUMMYFUNCTION("LET(
  r, C450,
  t, J450,
  cons, LOWER(TO_TEXT(O450))=""true"",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)"),"70 зм")</f>
        <v>70 зм</v>
      </c>
      <c r="L450" s="616" t="str">
        <f t="shared" si="4"/>
        <v>Мажор</v>
      </c>
      <c r="M450" s="616"/>
      <c r="N450" s="615">
        <v>0.0</v>
      </c>
      <c r="O450" s="616" t="b">
        <v>0</v>
      </c>
      <c r="P450" s="614">
        <v>0.0</v>
      </c>
      <c r="Q450" s="617" t="s">
        <v>4175</v>
      </c>
      <c r="R450" s="616">
        <f t="shared" si="2"/>
        <v>360</v>
      </c>
    </row>
    <row r="451">
      <c r="A451" s="614">
        <v>450.0</v>
      </c>
      <c r="B451" s="615" t="s">
        <v>4176</v>
      </c>
      <c r="C451" s="614" t="s">
        <v>4131</v>
      </c>
      <c r="D451" s="614" t="s">
        <v>3881</v>
      </c>
      <c r="E451" s="614" t="s">
        <v>26</v>
      </c>
      <c r="F451" s="614" t="s">
        <v>3217</v>
      </c>
      <c r="G451" s="614" t="s">
        <v>3244</v>
      </c>
      <c r="H451" s="614">
        <v>1.0</v>
      </c>
      <c r="I451" s="614" t="s">
        <v>3208</v>
      </c>
      <c r="J451" s="614" t="s">
        <v>3218</v>
      </c>
      <c r="K451" s="614" t="str">
        <f>IFERROR(__xludf.DUMMYFUNCTION("LET(
  r, C451,
  t, J451,
  cons, LOWER(TO_TEXT(O451))=""true"",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51" s="616" t="str">
        <f t="shared" si="4"/>
        <v>Минор</v>
      </c>
      <c r="M451" s="616"/>
      <c r="N451" s="615">
        <v>0.0</v>
      </c>
      <c r="O451" s="616" t="b">
        <v>0</v>
      </c>
      <c r="P451" s="614">
        <v>0.0</v>
      </c>
      <c r="Q451" s="617" t="s">
        <v>4177</v>
      </c>
      <c r="R451" s="616">
        <f t="shared" si="2"/>
        <v>150</v>
      </c>
    </row>
    <row r="452">
      <c r="A452" s="614">
        <v>451.0</v>
      </c>
      <c r="B452" s="615" t="s">
        <v>4178</v>
      </c>
      <c r="C452" s="614" t="s">
        <v>4131</v>
      </c>
      <c r="D452" s="614" t="s">
        <v>4096</v>
      </c>
      <c r="E452" s="614" t="s">
        <v>3387</v>
      </c>
      <c r="F452" s="614" t="s">
        <v>26</v>
      </c>
      <c r="G452" s="614" t="s">
        <v>3202</v>
      </c>
      <c r="H452" s="614">
        <v>1.0</v>
      </c>
      <c r="I452" s="614" t="s">
        <v>692</v>
      </c>
      <c r="J452" s="614" t="s">
        <v>3218</v>
      </c>
      <c r="K452" s="614" t="str">
        <f>IFERROR(__xludf.DUMMYFUNCTION("LET(
  r, C452,
  t, J452,
  cons, LOWER(TO_TEXT(O452))=""true"",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52" s="616" t="str">
        <f t="shared" si="4"/>
        <v>Минор</v>
      </c>
      <c r="M452" s="616"/>
      <c r="N452" s="615">
        <v>0.0</v>
      </c>
      <c r="O452" s="616" t="b">
        <v>0</v>
      </c>
      <c r="P452" s="614">
        <v>0.0</v>
      </c>
      <c r="Q452" s="617" t="s">
        <v>4179</v>
      </c>
      <c r="R452" s="616">
        <f t="shared" si="2"/>
        <v>150</v>
      </c>
    </row>
    <row r="453">
      <c r="A453" s="614">
        <v>452.0</v>
      </c>
      <c r="B453" s="615" t="s">
        <v>4180</v>
      </c>
      <c r="C453" s="614" t="s">
        <v>4131</v>
      </c>
      <c r="D453" s="614" t="s">
        <v>2</v>
      </c>
      <c r="E453" s="614" t="s">
        <v>4181</v>
      </c>
      <c r="F453" s="614" t="s">
        <v>26</v>
      </c>
      <c r="G453" s="614" t="s">
        <v>4139</v>
      </c>
      <c r="H453" s="614">
        <v>1.0</v>
      </c>
      <c r="I453" s="614" t="s">
        <v>692</v>
      </c>
      <c r="J453" s="614" t="s">
        <v>3218</v>
      </c>
      <c r="K453" s="614" t="str">
        <f>IFERROR(__xludf.DUMMYFUNCTION("LET(
  r, C453,
  t, J453,
  cons, LOWER(TO_TEXT(O453))=""true"",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53" s="616" t="str">
        <f t="shared" si="4"/>
        <v>Минор</v>
      </c>
      <c r="M453" s="616"/>
      <c r="N453" s="615">
        <v>0.0</v>
      </c>
      <c r="O453" s="616" t="b">
        <v>0</v>
      </c>
      <c r="P453" s="614">
        <v>0.0</v>
      </c>
      <c r="Q453" s="617" t="s">
        <v>4182</v>
      </c>
      <c r="R453" s="616">
        <f t="shared" si="2"/>
        <v>150</v>
      </c>
    </row>
    <row r="454">
      <c r="A454" s="614">
        <v>453.0</v>
      </c>
      <c r="B454" s="615" t="s">
        <v>4183</v>
      </c>
      <c r="C454" s="614" t="s">
        <v>4131</v>
      </c>
      <c r="D454" s="614" t="s">
        <v>3881</v>
      </c>
      <c r="E454" s="614" t="s">
        <v>26</v>
      </c>
      <c r="F454" s="614" t="s">
        <v>3217</v>
      </c>
      <c r="G454" s="614" t="s">
        <v>4139</v>
      </c>
      <c r="H454" s="614">
        <v>1.0</v>
      </c>
      <c r="I454" s="614" t="s">
        <v>692</v>
      </c>
      <c r="J454" s="614" t="s">
        <v>3218</v>
      </c>
      <c r="K454" s="614" t="str">
        <f>IFERROR(__xludf.DUMMYFUNCTION("LET(
  r, C454,
  t, J454,
  cons, LOWER(TO_TEXT(O454))=""true"",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54" s="616" t="str">
        <f t="shared" si="4"/>
        <v>Минор</v>
      </c>
      <c r="M454" s="616"/>
      <c r="N454" s="615">
        <v>0.0</v>
      </c>
      <c r="O454" s="616" t="b">
        <v>0</v>
      </c>
      <c r="P454" s="614">
        <v>0.0</v>
      </c>
      <c r="Q454" s="617" t="s">
        <v>4184</v>
      </c>
      <c r="R454" s="616">
        <f t="shared" si="2"/>
        <v>150</v>
      </c>
    </row>
    <row r="455">
      <c r="A455" s="614">
        <v>454.0</v>
      </c>
      <c r="B455" s="615" t="s">
        <v>4185</v>
      </c>
      <c r="C455" s="614" t="s">
        <v>4131</v>
      </c>
      <c r="D455" s="614" t="s">
        <v>2</v>
      </c>
      <c r="E455" s="614" t="s">
        <v>3228</v>
      </c>
      <c r="F455" s="614" t="s">
        <v>3195</v>
      </c>
      <c r="G455" s="614" t="s">
        <v>3202</v>
      </c>
      <c r="H455" s="614">
        <v>2.0</v>
      </c>
      <c r="I455" s="614" t="s">
        <v>3203</v>
      </c>
      <c r="J455" s="614" t="s">
        <v>3253</v>
      </c>
      <c r="K455" s="614" t="str">
        <f>IFERROR(__xludf.DUMMYFUNCTION("LET(
  r, C455,
  t, J455,
  cons, LOWER(TO_TEXT(O455))=""true"",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)"),"70 зм")</f>
        <v>70 зм</v>
      </c>
      <c r="L455" s="616" t="str">
        <f t="shared" si="4"/>
        <v>Мажор</v>
      </c>
      <c r="M455" s="616"/>
      <c r="N455" s="615">
        <v>0.0</v>
      </c>
      <c r="O455" s="616" t="b">
        <v>0</v>
      </c>
      <c r="P455" s="614">
        <v>0.0</v>
      </c>
      <c r="Q455" s="617" t="s">
        <v>4186</v>
      </c>
      <c r="R455" s="616">
        <f t="shared" si="2"/>
        <v>360</v>
      </c>
    </row>
    <row r="456">
      <c r="A456" s="614">
        <v>455.0</v>
      </c>
      <c r="B456" s="615" t="s">
        <v>4187</v>
      </c>
      <c r="C456" s="614" t="s">
        <v>4131</v>
      </c>
      <c r="D456" s="614" t="s">
        <v>3881</v>
      </c>
      <c r="E456" s="614" t="s">
        <v>26</v>
      </c>
      <c r="F456" s="614" t="s">
        <v>3195</v>
      </c>
      <c r="G456" s="614" t="s">
        <v>3256</v>
      </c>
      <c r="H456" s="614">
        <v>2.0</v>
      </c>
      <c r="I456" s="614" t="s">
        <v>3203</v>
      </c>
      <c r="J456" s="614" t="s">
        <v>3218</v>
      </c>
      <c r="K456" s="614" t="str">
        <f>IFERROR(__xludf.DUMMYFUNCTION("LET(
  r, C456,
  t, J456,
  cons, LOWER(TO_TEXT(O456))=""true"",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56" s="616" t="str">
        <f t="shared" si="4"/>
        <v>Мажор</v>
      </c>
      <c r="M456" s="616"/>
      <c r="N456" s="615">
        <v>0.0</v>
      </c>
      <c r="O456" s="616" t="b">
        <v>0</v>
      </c>
      <c r="P456" s="614">
        <v>0.0</v>
      </c>
      <c r="Q456" s="617" t="s">
        <v>4188</v>
      </c>
      <c r="R456" s="616">
        <f t="shared" si="2"/>
        <v>300</v>
      </c>
    </row>
    <row r="457">
      <c r="A457" s="614">
        <v>456.0</v>
      </c>
      <c r="B457" s="615" t="s">
        <v>4189</v>
      </c>
      <c r="C457" s="614" t="s">
        <v>4131</v>
      </c>
      <c r="D457" s="614" t="s">
        <v>3881</v>
      </c>
      <c r="E457" s="614" t="s">
        <v>26</v>
      </c>
      <c r="F457" s="614" t="s">
        <v>3217</v>
      </c>
      <c r="G457" s="614" t="s">
        <v>3202</v>
      </c>
      <c r="H457" s="614">
        <v>1.0</v>
      </c>
      <c r="I457" s="614" t="s">
        <v>692</v>
      </c>
      <c r="J457" s="614" t="s">
        <v>3218</v>
      </c>
      <c r="K457" s="614" t="str">
        <f>IFERROR(__xludf.DUMMYFUNCTION("LET(
  r, C457,
  t, J457,
  cons, LOWER(TO_TEXT(O457))=""true"",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57" s="616" t="str">
        <f t="shared" si="4"/>
        <v>Минор</v>
      </c>
      <c r="M457" s="616"/>
      <c r="N457" s="615">
        <v>0.0</v>
      </c>
      <c r="O457" s="616" t="b">
        <v>0</v>
      </c>
      <c r="P457" s="614">
        <v>0.0</v>
      </c>
      <c r="Q457" s="617" t="s">
        <v>4190</v>
      </c>
      <c r="R457" s="616">
        <f t="shared" si="2"/>
        <v>150</v>
      </c>
    </row>
    <row r="458">
      <c r="A458" s="614">
        <v>457.0</v>
      </c>
      <c r="B458" s="615" t="s">
        <v>4191</v>
      </c>
      <c r="C458" s="614" t="s">
        <v>4131</v>
      </c>
      <c r="D458" s="614" t="s">
        <v>3224</v>
      </c>
      <c r="E458" s="614" t="s">
        <v>26</v>
      </c>
      <c r="F458" s="614" t="s">
        <v>3195</v>
      </c>
      <c r="G458" s="614" t="s">
        <v>4139</v>
      </c>
      <c r="H458" s="614">
        <v>2.0</v>
      </c>
      <c r="I458" s="614" t="s">
        <v>692</v>
      </c>
      <c r="J458" s="614" t="s">
        <v>3218</v>
      </c>
      <c r="K458" s="614" t="str">
        <f>IFERROR(__xludf.DUMMYFUNCTION("LET(
  r, C458,
  t, J458,
  cons, LOWER(TO_TEXT(O458))=""true"",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58" s="616" t="str">
        <f t="shared" si="4"/>
        <v>Мажор</v>
      </c>
      <c r="M458" s="616"/>
      <c r="N458" s="615">
        <v>0.0</v>
      </c>
      <c r="O458" s="616" t="b">
        <v>0</v>
      </c>
      <c r="P458" s="614">
        <v>0.0</v>
      </c>
      <c r="Q458" s="617" t="s">
        <v>4192</v>
      </c>
      <c r="R458" s="616">
        <f t="shared" si="2"/>
        <v>300</v>
      </c>
    </row>
    <row r="459">
      <c r="A459" s="614">
        <v>458.0</v>
      </c>
      <c r="B459" s="615" t="s">
        <v>4193</v>
      </c>
      <c r="C459" s="614" t="s">
        <v>4131</v>
      </c>
      <c r="D459" s="614" t="s">
        <v>3224</v>
      </c>
      <c r="E459" s="614" t="s">
        <v>26</v>
      </c>
      <c r="F459" s="614" t="s">
        <v>3217</v>
      </c>
      <c r="G459" s="614" t="s">
        <v>4139</v>
      </c>
      <c r="H459" s="614">
        <v>1.0</v>
      </c>
      <c r="I459" s="614" t="s">
        <v>692</v>
      </c>
      <c r="J459" s="614" t="s">
        <v>3257</v>
      </c>
      <c r="K459" s="614" t="str">
        <f>IFERROR(__xludf.DUMMYFUNCTION("LET(
  r, C459,
  t, J459,
  cons, LOWER(TO_TEXT(O459))=""true"",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)"),"20 зм")</f>
        <v>20 зм</v>
      </c>
      <c r="L459" s="616" t="str">
        <f t="shared" si="4"/>
        <v>Минор</v>
      </c>
      <c r="M459" s="616"/>
      <c r="N459" s="615">
        <v>0.0</v>
      </c>
      <c r="O459" s="616" t="b">
        <v>0</v>
      </c>
      <c r="P459" s="614">
        <v>0.0</v>
      </c>
      <c r="Q459" s="617" t="s">
        <v>4192</v>
      </c>
      <c r="R459" s="616">
        <f t="shared" si="2"/>
        <v>120</v>
      </c>
    </row>
    <row r="460">
      <c r="A460" s="614">
        <v>459.0</v>
      </c>
      <c r="B460" s="615" t="s">
        <v>4194</v>
      </c>
      <c r="C460" s="614" t="s">
        <v>4131</v>
      </c>
      <c r="D460" s="614" t="s">
        <v>3224</v>
      </c>
      <c r="E460" s="614" t="s">
        <v>26</v>
      </c>
      <c r="F460" s="614" t="s">
        <v>3195</v>
      </c>
      <c r="G460" s="614" t="s">
        <v>4139</v>
      </c>
      <c r="H460" s="614">
        <v>1.0</v>
      </c>
      <c r="I460" s="614" t="s">
        <v>692</v>
      </c>
      <c r="J460" s="614" t="s">
        <v>3257</v>
      </c>
      <c r="K460" s="614" t="str">
        <f>IFERROR(__xludf.DUMMYFUNCTION("LET(
  r, C460,
  t, J460,
  cons, LOWER(TO_TEXT(O460))=""true"",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)"),"20 зм")</f>
        <v>20 зм</v>
      </c>
      <c r="L460" s="616" t="str">
        <f t="shared" si="4"/>
        <v>Минор</v>
      </c>
      <c r="M460" s="616"/>
      <c r="N460" s="615">
        <v>0.0</v>
      </c>
      <c r="O460" s="616" t="b">
        <v>0</v>
      </c>
      <c r="P460" s="614">
        <v>0.0</v>
      </c>
      <c r="Q460" s="617" t="s">
        <v>4195</v>
      </c>
      <c r="R460" s="616">
        <f t="shared" si="2"/>
        <v>120</v>
      </c>
    </row>
    <row r="461">
      <c r="A461" s="614">
        <v>460.0</v>
      </c>
      <c r="B461" s="615" t="s">
        <v>4196</v>
      </c>
      <c r="C461" s="614" t="s">
        <v>4131</v>
      </c>
      <c r="D461" s="614" t="s">
        <v>3881</v>
      </c>
      <c r="E461" s="614" t="s">
        <v>26</v>
      </c>
      <c r="F461" s="614" t="s">
        <v>3217</v>
      </c>
      <c r="G461" s="614" t="s">
        <v>4139</v>
      </c>
      <c r="H461" s="614">
        <v>1.0</v>
      </c>
      <c r="I461" s="614" t="s">
        <v>3203</v>
      </c>
      <c r="J461" s="614" t="s">
        <v>3221</v>
      </c>
      <c r="K461" s="614" t="str">
        <f>IFERROR(__xludf.DUMMYFUNCTION("LET(
  r, C461,
  t, J461,
  cons, LOWER(TO_TEXT(O461))=""true"",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)"),"(2d6kh1+1)*10 зм")</f>
        <v>(2d6kh1+1)*10 зм</v>
      </c>
      <c r="L461" s="616" t="str">
        <f t="shared" si="4"/>
        <v>Минор</v>
      </c>
      <c r="M461" s="616"/>
      <c r="N461" s="615">
        <v>0.0</v>
      </c>
      <c r="O461" s="616" t="b">
        <v>0</v>
      </c>
      <c r="P461" s="614">
        <v>0.0</v>
      </c>
      <c r="Q461" s="617" t="s">
        <v>4197</v>
      </c>
      <c r="R461" s="616">
        <f t="shared" si="2"/>
        <v>165</v>
      </c>
    </row>
    <row r="462">
      <c r="A462" s="614">
        <v>461.0</v>
      </c>
      <c r="B462" s="615" t="s">
        <v>936</v>
      </c>
      <c r="C462" s="614" t="s">
        <v>4131</v>
      </c>
      <c r="D462" s="614" t="s">
        <v>3881</v>
      </c>
      <c r="E462" s="614" t="s">
        <v>26</v>
      </c>
      <c r="F462" s="614" t="s">
        <v>3217</v>
      </c>
      <c r="G462" s="614" t="s">
        <v>3202</v>
      </c>
      <c r="H462" s="614">
        <v>1.0</v>
      </c>
      <c r="I462" s="614" t="s">
        <v>692</v>
      </c>
      <c r="J462" s="614" t="s">
        <v>3218</v>
      </c>
      <c r="K462" s="614" t="str">
        <f>IFERROR(__xludf.DUMMYFUNCTION("LET(
  r, C462,
  t, J462,
  cons, LOWER(TO_TEXT(O462))=""true"",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62" s="616" t="str">
        <f t="shared" si="4"/>
        <v>Минор</v>
      </c>
      <c r="M462" s="616"/>
      <c r="N462" s="615" t="s">
        <v>4198</v>
      </c>
      <c r="O462" s="616" t="b">
        <v>0</v>
      </c>
      <c r="P462" s="614">
        <v>0.0</v>
      </c>
      <c r="Q462" s="617" t="s">
        <v>4199</v>
      </c>
      <c r="R462" s="616">
        <f t="shared" si="2"/>
        <v>150</v>
      </c>
    </row>
    <row r="463">
      <c r="A463" s="614">
        <v>462.0</v>
      </c>
      <c r="B463" s="615" t="s">
        <v>4200</v>
      </c>
      <c r="C463" s="614" t="s">
        <v>4131</v>
      </c>
      <c r="D463" s="614" t="s">
        <v>3881</v>
      </c>
      <c r="E463" s="614" t="s">
        <v>26</v>
      </c>
      <c r="F463" s="614" t="s">
        <v>3309</v>
      </c>
      <c r="G463" s="614" t="s">
        <v>4139</v>
      </c>
      <c r="H463" s="614">
        <v>1.0</v>
      </c>
      <c r="I463" s="614" t="s">
        <v>692</v>
      </c>
      <c r="J463" s="614" t="s">
        <v>3204</v>
      </c>
      <c r="K463" s="614" t="str">
        <f>IFERROR(__xludf.DUMMYFUNCTION("LET(
  r, C463,
  t, J463,
  cons, LOWER(TO_TEXT(O463))=""true"",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)"),"(2d6kl1+1)*10 зм")</f>
        <v>(2d6kl1+1)*10 зм</v>
      </c>
      <c r="L463" s="616" t="str">
        <f t="shared" si="4"/>
        <v>Минор</v>
      </c>
      <c r="M463" s="616"/>
      <c r="N463" s="615">
        <v>0.0</v>
      </c>
      <c r="O463" s="616" t="b">
        <v>0</v>
      </c>
      <c r="P463" s="614">
        <v>0.0</v>
      </c>
      <c r="Q463" s="617" t="s">
        <v>4201</v>
      </c>
      <c r="R463" s="616">
        <f t="shared" si="2"/>
        <v>135</v>
      </c>
    </row>
    <row r="464">
      <c r="A464" s="614">
        <v>463.0</v>
      </c>
      <c r="B464" s="615" t="s">
        <v>4202</v>
      </c>
      <c r="C464" s="614" t="s">
        <v>4131</v>
      </c>
      <c r="D464" s="614" t="s">
        <v>3881</v>
      </c>
      <c r="E464" s="614" t="s">
        <v>26</v>
      </c>
      <c r="F464" s="614" t="s">
        <v>26</v>
      </c>
      <c r="G464" s="614" t="s">
        <v>4139</v>
      </c>
      <c r="H464" s="614">
        <v>1.0</v>
      </c>
      <c r="I464" s="614" t="s">
        <v>692</v>
      </c>
      <c r="J464" s="614" t="s">
        <v>3221</v>
      </c>
      <c r="K464" s="614" t="str">
        <f>IFERROR(__xludf.DUMMYFUNCTION("LET(
  r, C464,
  t, J464,
  cons, LOWER(TO_TEXT(O464))=""true"",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)"),"(2d6kh1+1)*10 зм")</f>
        <v>(2d6kh1+1)*10 зм</v>
      </c>
      <c r="L464" s="616" t="str">
        <f t="shared" si="4"/>
        <v>Минор</v>
      </c>
      <c r="M464" s="616"/>
      <c r="N464" s="615">
        <v>0.0</v>
      </c>
      <c r="O464" s="616" t="b">
        <v>0</v>
      </c>
      <c r="P464" s="614">
        <v>0.0</v>
      </c>
      <c r="Q464" s="617" t="s">
        <v>4203</v>
      </c>
      <c r="R464" s="616">
        <f t="shared" si="2"/>
        <v>165</v>
      </c>
    </row>
    <row r="465">
      <c r="A465" s="614">
        <v>464.0</v>
      </c>
      <c r="B465" s="615" t="s">
        <v>4204</v>
      </c>
      <c r="C465" s="614" t="s">
        <v>4131</v>
      </c>
      <c r="D465" s="614" t="s">
        <v>3349</v>
      </c>
      <c r="E465" s="614" t="s">
        <v>26</v>
      </c>
      <c r="F465" s="614" t="s">
        <v>3195</v>
      </c>
      <c r="G465" s="614" t="s">
        <v>4139</v>
      </c>
      <c r="H465" s="614">
        <v>1.0</v>
      </c>
      <c r="I465" s="614" t="s">
        <v>3208</v>
      </c>
      <c r="J465" s="614" t="s">
        <v>3204</v>
      </c>
      <c r="K465" s="614" t="str">
        <f>IFERROR(__xludf.DUMMYFUNCTION("LET(
  r, C465,
  t, J465,
  cons, LOWER(TO_TEXT(O465))=""true"",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)"),"(2d6kl1+1)*10 зм")</f>
        <v>(2d6kl1+1)*10 зм</v>
      </c>
      <c r="L465" s="616" t="str">
        <f t="shared" si="4"/>
        <v>Минор</v>
      </c>
      <c r="M465" s="616"/>
      <c r="N465" s="615">
        <v>0.0</v>
      </c>
      <c r="O465" s="616" t="b">
        <v>0</v>
      </c>
      <c r="P465" s="614">
        <v>0.0</v>
      </c>
      <c r="Q465" s="617" t="s">
        <v>4205</v>
      </c>
      <c r="R465" s="616">
        <f t="shared" si="2"/>
        <v>135</v>
      </c>
    </row>
    <row r="466">
      <c r="A466" s="614">
        <v>465.0</v>
      </c>
      <c r="B466" s="615" t="s">
        <v>4206</v>
      </c>
      <c r="C466" s="614" t="s">
        <v>4131</v>
      </c>
      <c r="D466" s="614" t="s">
        <v>3349</v>
      </c>
      <c r="E466" s="614" t="s">
        <v>26</v>
      </c>
      <c r="F466" s="614" t="s">
        <v>3195</v>
      </c>
      <c r="G466" s="614" t="s">
        <v>4139</v>
      </c>
      <c r="H466" s="614">
        <v>1.0</v>
      </c>
      <c r="I466" s="614" t="s">
        <v>3208</v>
      </c>
      <c r="J466" s="614" t="s">
        <v>3257</v>
      </c>
      <c r="K466" s="614" t="str">
        <f>IFERROR(__xludf.DUMMYFUNCTION("LET(
  r, C466,
  t, J466,
  cons, LOWER(TO_TEXT(O466))=""true"",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)"),"20 зм")</f>
        <v>20 зм</v>
      </c>
      <c r="L466" s="616" t="str">
        <f t="shared" si="4"/>
        <v>Минор</v>
      </c>
      <c r="M466" s="616"/>
      <c r="N466" s="615">
        <v>0.0</v>
      </c>
      <c r="O466" s="616" t="b">
        <v>0</v>
      </c>
      <c r="P466" s="614">
        <v>0.0</v>
      </c>
      <c r="Q466" s="617" t="s">
        <v>4207</v>
      </c>
      <c r="R466" s="616">
        <f t="shared" si="2"/>
        <v>120</v>
      </c>
    </row>
    <row r="467">
      <c r="A467" s="614">
        <v>466.0</v>
      </c>
      <c r="B467" s="615" t="s">
        <v>4208</v>
      </c>
      <c r="C467" s="614" t="s">
        <v>4131</v>
      </c>
      <c r="D467" s="614" t="s">
        <v>3349</v>
      </c>
      <c r="E467" s="614" t="s">
        <v>26</v>
      </c>
      <c r="F467" s="614" t="s">
        <v>3195</v>
      </c>
      <c r="G467" s="614" t="s">
        <v>4139</v>
      </c>
      <c r="H467" s="614">
        <v>1.0</v>
      </c>
      <c r="I467" s="614" t="s">
        <v>3208</v>
      </c>
      <c r="J467" s="614" t="s">
        <v>3257</v>
      </c>
      <c r="K467" s="614" t="str">
        <f>IFERROR(__xludf.DUMMYFUNCTION("LET(
  r, C467,
  t, J467,
  cons, LOWER(TO_TEXT(O467))=""true"",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)"),"20 зм")</f>
        <v>20 зм</v>
      </c>
      <c r="L467" s="616" t="str">
        <f t="shared" si="4"/>
        <v>Минор</v>
      </c>
      <c r="M467" s="616"/>
      <c r="N467" s="615">
        <v>0.0</v>
      </c>
      <c r="O467" s="616" t="b">
        <v>0</v>
      </c>
      <c r="P467" s="614">
        <v>0.0</v>
      </c>
      <c r="Q467" s="617" t="s">
        <v>4209</v>
      </c>
      <c r="R467" s="616">
        <f t="shared" si="2"/>
        <v>120</v>
      </c>
    </row>
    <row r="468">
      <c r="A468" s="614">
        <v>467.0</v>
      </c>
      <c r="B468" s="615" t="s">
        <v>4210</v>
      </c>
      <c r="C468" s="614" t="s">
        <v>4131</v>
      </c>
      <c r="D468" s="614" t="s">
        <v>3224</v>
      </c>
      <c r="E468" s="614" t="s">
        <v>26</v>
      </c>
      <c r="F468" s="614" t="s">
        <v>3195</v>
      </c>
      <c r="G468" s="614" t="s">
        <v>3202</v>
      </c>
      <c r="H468" s="614">
        <v>2.0</v>
      </c>
      <c r="I468" s="614" t="s">
        <v>692</v>
      </c>
      <c r="J468" s="614" t="s">
        <v>3218</v>
      </c>
      <c r="K468" s="614" t="str">
        <f>IFERROR(__xludf.DUMMYFUNCTION("LET(
  r, C468,
  t, J468,
  cons, LOWER(TO_TEXT(O468))=""true"",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68" s="616" t="str">
        <f t="shared" si="4"/>
        <v>Мажор</v>
      </c>
      <c r="M468" s="616"/>
      <c r="N468" s="615">
        <v>0.0</v>
      </c>
      <c r="O468" s="616" t="b">
        <v>0</v>
      </c>
      <c r="P468" s="614">
        <v>0.0</v>
      </c>
      <c r="Q468" s="617" t="s">
        <v>4211</v>
      </c>
      <c r="R468" s="616">
        <f t="shared" si="2"/>
        <v>300</v>
      </c>
    </row>
    <row r="469">
      <c r="A469" s="614">
        <v>468.0</v>
      </c>
      <c r="B469" s="615" t="s">
        <v>4212</v>
      </c>
      <c r="C469" s="614" t="s">
        <v>4131</v>
      </c>
      <c r="D469" s="614" t="s">
        <v>3881</v>
      </c>
      <c r="E469" s="614" t="s">
        <v>26</v>
      </c>
      <c r="F469" s="614" t="s">
        <v>3309</v>
      </c>
      <c r="G469" s="614" t="s">
        <v>4139</v>
      </c>
      <c r="H469" s="614">
        <v>1.0</v>
      </c>
      <c r="I469" s="614" t="s">
        <v>692</v>
      </c>
      <c r="J469" s="614" t="s">
        <v>3257</v>
      </c>
      <c r="K469" s="614" t="str">
        <f>IFERROR(__xludf.DUMMYFUNCTION("LET(
  r, C469,
  t, J469,
  cons, LOWER(TO_TEXT(O469))=""true"",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)"),"20 зм")</f>
        <v>20 зм</v>
      </c>
      <c r="L469" s="616" t="str">
        <f t="shared" si="4"/>
        <v>Минор</v>
      </c>
      <c r="M469" s="616"/>
      <c r="N469" s="615">
        <v>0.0</v>
      </c>
      <c r="O469" s="616" t="b">
        <v>0</v>
      </c>
      <c r="P469" s="614">
        <v>0.0</v>
      </c>
      <c r="Q469" s="617" t="s">
        <v>4213</v>
      </c>
      <c r="R469" s="616">
        <f t="shared" si="2"/>
        <v>120</v>
      </c>
    </row>
    <row r="470">
      <c r="A470" s="614">
        <v>469.0</v>
      </c>
      <c r="B470" s="615" t="s">
        <v>4214</v>
      </c>
      <c r="C470" s="614" t="s">
        <v>4131</v>
      </c>
      <c r="D470" s="614" t="s">
        <v>3881</v>
      </c>
      <c r="E470" s="614" t="s">
        <v>26</v>
      </c>
      <c r="F470" s="614" t="s">
        <v>3217</v>
      </c>
      <c r="G470" s="614" t="s">
        <v>4139</v>
      </c>
      <c r="H470" s="614">
        <v>1.0</v>
      </c>
      <c r="I470" s="614" t="s">
        <v>692</v>
      </c>
      <c r="J470" s="614" t="s">
        <v>3218</v>
      </c>
      <c r="K470" s="614" t="str">
        <f>IFERROR(__xludf.DUMMYFUNCTION("LET(
  r, C470,
  t, J470,
  cons, LOWER(TO_TEXT(O470))=""true"",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70" s="616" t="str">
        <f t="shared" si="4"/>
        <v>Минор</v>
      </c>
      <c r="M470" s="616"/>
      <c r="N470" s="615">
        <v>0.0</v>
      </c>
      <c r="O470" s="616" t="b">
        <v>0</v>
      </c>
      <c r="P470" s="614">
        <v>0.0</v>
      </c>
      <c r="Q470" s="617" t="s">
        <v>4215</v>
      </c>
      <c r="R470" s="616">
        <f t="shared" si="2"/>
        <v>150</v>
      </c>
    </row>
    <row r="471">
      <c r="A471" s="614">
        <v>470.0</v>
      </c>
      <c r="B471" s="615" t="s">
        <v>4216</v>
      </c>
      <c r="C471" s="614" t="s">
        <v>4131</v>
      </c>
      <c r="D471" s="614" t="s">
        <v>3881</v>
      </c>
      <c r="E471" s="614" t="s">
        <v>26</v>
      </c>
      <c r="F471" s="614" t="s">
        <v>3195</v>
      </c>
      <c r="G471" s="614" t="s">
        <v>4139</v>
      </c>
      <c r="H471" s="614">
        <v>2.0</v>
      </c>
      <c r="I471" s="614" t="s">
        <v>692</v>
      </c>
      <c r="J471" s="614" t="s">
        <v>3253</v>
      </c>
      <c r="K471" s="614" t="str">
        <f>IFERROR(__xludf.DUMMYFUNCTION("LET(
  r, C471,
  t, J471,
  cons, LOWER(TO_TEXT(O471))=""true"",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)"),"70 зм")</f>
        <v>70 зм</v>
      </c>
      <c r="L471" s="616" t="str">
        <f t="shared" si="4"/>
        <v>Мажор</v>
      </c>
      <c r="M471" s="616"/>
      <c r="N471" s="615" t="s">
        <v>3225</v>
      </c>
      <c r="O471" s="616" t="b">
        <v>0</v>
      </c>
      <c r="P471" s="614">
        <v>0.0</v>
      </c>
      <c r="Q471" s="617" t="s">
        <v>4217</v>
      </c>
      <c r="R471" s="616">
        <f t="shared" si="2"/>
        <v>360</v>
      </c>
    </row>
    <row r="472">
      <c r="A472" s="614">
        <v>471.0</v>
      </c>
      <c r="B472" s="615" t="s">
        <v>4218</v>
      </c>
      <c r="C472" s="614" t="s">
        <v>4131</v>
      </c>
      <c r="D472" s="614" t="s">
        <v>3881</v>
      </c>
      <c r="E472" s="614" t="s">
        <v>26</v>
      </c>
      <c r="F472" s="614" t="s">
        <v>3309</v>
      </c>
      <c r="G472" s="614" t="s">
        <v>4139</v>
      </c>
      <c r="H472" s="614">
        <v>1.0</v>
      </c>
      <c r="I472" s="614" t="s">
        <v>3208</v>
      </c>
      <c r="J472" s="614" t="s">
        <v>3257</v>
      </c>
      <c r="K472" s="614" t="str">
        <f>IFERROR(__xludf.DUMMYFUNCTION("LET(
  r, C472,
  t, J472,
  cons, LOWER(TO_TEXT(O472))=""true"",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)"),"20 зм")</f>
        <v>20 зм</v>
      </c>
      <c r="L472" s="616" t="str">
        <f t="shared" si="4"/>
        <v>Минор</v>
      </c>
      <c r="M472" s="616"/>
      <c r="N472" s="615">
        <v>0.0</v>
      </c>
      <c r="O472" s="616" t="b">
        <v>0</v>
      </c>
      <c r="P472" s="614">
        <v>0.0</v>
      </c>
      <c r="Q472" s="617" t="s">
        <v>4219</v>
      </c>
      <c r="R472" s="616">
        <f t="shared" si="2"/>
        <v>120</v>
      </c>
    </row>
    <row r="473">
      <c r="A473" s="614">
        <v>472.0</v>
      </c>
      <c r="B473" s="615" t="s">
        <v>4220</v>
      </c>
      <c r="C473" s="614" t="s">
        <v>4131</v>
      </c>
      <c r="D473" s="614" t="s">
        <v>3881</v>
      </c>
      <c r="E473" s="614" t="s">
        <v>26</v>
      </c>
      <c r="F473" s="614" t="s">
        <v>3342</v>
      </c>
      <c r="G473" s="614" t="s">
        <v>4139</v>
      </c>
      <c r="H473" s="614">
        <v>1.0</v>
      </c>
      <c r="I473" s="614" t="s">
        <v>3208</v>
      </c>
      <c r="J473" s="614" t="s">
        <v>3218</v>
      </c>
      <c r="K473" s="614" t="str">
        <f>IFERROR(__xludf.DUMMYFUNCTION("LET(
  r, C473,
  t, J473,
  cons, LOWER(TO_TEXT(O473))=""true"",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73" s="616" t="str">
        <f t="shared" si="4"/>
        <v>Минор</v>
      </c>
      <c r="M473" s="616"/>
      <c r="N473" s="615">
        <v>0.0</v>
      </c>
      <c r="O473" s="616" t="b">
        <v>0</v>
      </c>
      <c r="P473" s="614">
        <v>0.0</v>
      </c>
      <c r="Q473" s="617" t="s">
        <v>4221</v>
      </c>
      <c r="R473" s="616">
        <f t="shared" si="2"/>
        <v>150</v>
      </c>
    </row>
    <row r="474">
      <c r="A474" s="614">
        <v>473.0</v>
      </c>
      <c r="B474" s="615" t="s">
        <v>4222</v>
      </c>
      <c r="C474" s="614" t="s">
        <v>4131</v>
      </c>
      <c r="D474" s="614" t="s">
        <v>1070</v>
      </c>
      <c r="E474" s="614" t="s">
        <v>3747</v>
      </c>
      <c r="F474" s="614" t="s">
        <v>3234</v>
      </c>
      <c r="G474" s="614" t="s">
        <v>4139</v>
      </c>
      <c r="H474" s="614">
        <v>1.0</v>
      </c>
      <c r="I474" s="614" t="s">
        <v>692</v>
      </c>
      <c r="J474" s="614" t="s">
        <v>3218</v>
      </c>
      <c r="K474" s="614" t="str">
        <f>IFERROR(__xludf.DUMMYFUNCTION("LET(
  r, C474,
  t, J474,
  cons, LOWER(TO_TEXT(O474))=""true"",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74" s="616" t="str">
        <f t="shared" si="4"/>
        <v>Минор</v>
      </c>
      <c r="M474" s="616"/>
      <c r="N474" s="615">
        <v>0.0</v>
      </c>
      <c r="O474" s="616" t="b">
        <v>0</v>
      </c>
      <c r="P474" s="614">
        <v>0.0</v>
      </c>
      <c r="Q474" s="617" t="s">
        <v>4223</v>
      </c>
      <c r="R474" s="616">
        <f t="shared" si="2"/>
        <v>150</v>
      </c>
    </row>
    <row r="475">
      <c r="A475" s="614">
        <v>474.0</v>
      </c>
      <c r="B475" s="615" t="s">
        <v>4224</v>
      </c>
      <c r="C475" s="614" t="s">
        <v>4131</v>
      </c>
      <c r="D475" s="614" t="s">
        <v>3881</v>
      </c>
      <c r="E475" s="614" t="s">
        <v>26</v>
      </c>
      <c r="F475" s="614" t="s">
        <v>3217</v>
      </c>
      <c r="G475" s="614" t="s">
        <v>4139</v>
      </c>
      <c r="H475" s="614">
        <v>1.0</v>
      </c>
      <c r="I475" s="614" t="s">
        <v>692</v>
      </c>
      <c r="J475" s="614" t="s">
        <v>3218</v>
      </c>
      <c r="K475" s="614" t="str">
        <f>IFERROR(__xludf.DUMMYFUNCTION("LET(
  r, C475,
  t, J475,
  cons, LOWER(TO_TEXT(O475))=""true"",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75" s="616" t="str">
        <f t="shared" si="4"/>
        <v>Минор</v>
      </c>
      <c r="M475" s="616"/>
      <c r="N475" s="615">
        <v>0.0</v>
      </c>
      <c r="O475" s="616" t="b">
        <v>0</v>
      </c>
      <c r="P475" s="614">
        <v>0.0</v>
      </c>
      <c r="Q475" s="617" t="s">
        <v>4225</v>
      </c>
      <c r="R475" s="616">
        <f t="shared" si="2"/>
        <v>150</v>
      </c>
    </row>
    <row r="476">
      <c r="A476" s="614">
        <v>475.0</v>
      </c>
      <c r="B476" s="615" t="s">
        <v>4226</v>
      </c>
      <c r="C476" s="614" t="s">
        <v>4131</v>
      </c>
      <c r="D476" s="614" t="s">
        <v>3881</v>
      </c>
      <c r="E476" s="614" t="s">
        <v>26</v>
      </c>
      <c r="F476" s="614" t="s">
        <v>3217</v>
      </c>
      <c r="G476" s="614" t="s">
        <v>4139</v>
      </c>
      <c r="H476" s="614">
        <v>1.0</v>
      </c>
      <c r="I476" s="614" t="s">
        <v>692</v>
      </c>
      <c r="J476" s="614" t="s">
        <v>3218</v>
      </c>
      <c r="K476" s="614" t="str">
        <f>IFERROR(__xludf.DUMMYFUNCTION("LET(
  r, C476,
  t, J476,
  cons, LOWER(TO_TEXT(O476))=""true"",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76" s="616" t="str">
        <f t="shared" si="4"/>
        <v>Минор</v>
      </c>
      <c r="M476" s="616"/>
      <c r="N476" s="615">
        <v>0.0</v>
      </c>
      <c r="O476" s="616" t="b">
        <v>0</v>
      </c>
      <c r="P476" s="614">
        <v>0.0</v>
      </c>
      <c r="Q476" s="617" t="s">
        <v>4227</v>
      </c>
      <c r="R476" s="616">
        <f t="shared" si="2"/>
        <v>150</v>
      </c>
    </row>
    <row r="477">
      <c r="A477" s="614">
        <v>476.0</v>
      </c>
      <c r="B477" s="615" t="s">
        <v>4228</v>
      </c>
      <c r="C477" s="614" t="s">
        <v>4131</v>
      </c>
      <c r="D477" s="614" t="s">
        <v>3881</v>
      </c>
      <c r="E477" s="614" t="s">
        <v>26</v>
      </c>
      <c r="F477" s="614" t="s">
        <v>3217</v>
      </c>
      <c r="G477" s="614" t="s">
        <v>4139</v>
      </c>
      <c r="H477" s="614">
        <v>1.0</v>
      </c>
      <c r="I477" s="614" t="s">
        <v>692</v>
      </c>
      <c r="J477" s="614" t="s">
        <v>3257</v>
      </c>
      <c r="K477" s="614" t="str">
        <f>IFERROR(__xludf.DUMMYFUNCTION("LET(
  r, C477,
  t, J477,
  cons, LOWER(TO_TEXT(O477))=""true"",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)"),"20 зм")</f>
        <v>20 зм</v>
      </c>
      <c r="L477" s="616" t="str">
        <f t="shared" si="4"/>
        <v>Минор</v>
      </c>
      <c r="M477" s="616"/>
      <c r="N477" s="615">
        <v>0.0</v>
      </c>
      <c r="O477" s="616" t="b">
        <v>0</v>
      </c>
      <c r="P477" s="614">
        <v>0.0</v>
      </c>
      <c r="Q477" s="617" t="s">
        <v>4229</v>
      </c>
      <c r="R477" s="616">
        <f t="shared" si="2"/>
        <v>120</v>
      </c>
    </row>
    <row r="478">
      <c r="A478" s="614">
        <v>477.0</v>
      </c>
      <c r="B478" s="615" t="s">
        <v>4230</v>
      </c>
      <c r="C478" s="614" t="s">
        <v>4131</v>
      </c>
      <c r="D478" s="614" t="s">
        <v>3881</v>
      </c>
      <c r="E478" s="614" t="s">
        <v>26</v>
      </c>
      <c r="F478" s="614" t="s">
        <v>3217</v>
      </c>
      <c r="G478" s="614" t="s">
        <v>4139</v>
      </c>
      <c r="H478" s="614">
        <v>1.0</v>
      </c>
      <c r="I478" s="614" t="s">
        <v>692</v>
      </c>
      <c r="J478" s="614" t="s">
        <v>3218</v>
      </c>
      <c r="K478" s="614" t="str">
        <f>IFERROR(__xludf.DUMMYFUNCTION("LET(
  r, C478,
  t, J478,
  cons, LOWER(TO_TEXT(O478))=""true"",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78" s="616" t="str">
        <f t="shared" si="4"/>
        <v>Минор</v>
      </c>
      <c r="M478" s="616"/>
      <c r="N478" s="615">
        <v>0.0</v>
      </c>
      <c r="O478" s="616" t="b">
        <v>0</v>
      </c>
      <c r="P478" s="614">
        <v>0.0</v>
      </c>
      <c r="Q478" s="617" t="s">
        <v>4231</v>
      </c>
      <c r="R478" s="616">
        <f t="shared" si="2"/>
        <v>150</v>
      </c>
    </row>
    <row r="479">
      <c r="A479" s="614">
        <v>478.0</v>
      </c>
      <c r="B479" s="615" t="s">
        <v>4232</v>
      </c>
      <c r="C479" s="614" t="s">
        <v>4131</v>
      </c>
      <c r="D479" s="614" t="s">
        <v>3881</v>
      </c>
      <c r="E479" s="614" t="s">
        <v>26</v>
      </c>
      <c r="F479" s="614" t="s">
        <v>3217</v>
      </c>
      <c r="G479" s="614" t="s">
        <v>4139</v>
      </c>
      <c r="H479" s="614">
        <v>1.0</v>
      </c>
      <c r="I479" s="614" t="s">
        <v>692</v>
      </c>
      <c r="J479" s="614" t="s">
        <v>3218</v>
      </c>
      <c r="K479" s="614" t="str">
        <f>IFERROR(__xludf.DUMMYFUNCTION("LET(
  r, C479,
  t, J479,
  cons, LOWER(TO_TEXT(O479))=""true"",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79" s="616" t="str">
        <f t="shared" si="4"/>
        <v>Минор</v>
      </c>
      <c r="M479" s="616"/>
      <c r="N479" s="615">
        <v>0.0</v>
      </c>
      <c r="O479" s="616" t="b">
        <v>0</v>
      </c>
      <c r="P479" s="614">
        <v>0.0</v>
      </c>
      <c r="Q479" s="617" t="s">
        <v>4233</v>
      </c>
      <c r="R479" s="616">
        <f t="shared" si="2"/>
        <v>150</v>
      </c>
    </row>
    <row r="480">
      <c r="A480" s="614">
        <v>479.0</v>
      </c>
      <c r="B480" s="615" t="s">
        <v>4234</v>
      </c>
      <c r="C480" s="614" t="s">
        <v>4131</v>
      </c>
      <c r="D480" s="614" t="s">
        <v>3881</v>
      </c>
      <c r="E480" s="614" t="s">
        <v>26</v>
      </c>
      <c r="F480" s="614" t="s">
        <v>3217</v>
      </c>
      <c r="G480" s="614" t="s">
        <v>4139</v>
      </c>
      <c r="H480" s="614">
        <v>1.0</v>
      </c>
      <c r="I480" s="614" t="s">
        <v>692</v>
      </c>
      <c r="J480" s="614" t="s">
        <v>3218</v>
      </c>
      <c r="K480" s="614" t="str">
        <f>IFERROR(__xludf.DUMMYFUNCTION("LET(
  r, C480,
  t, J480,
  cons, LOWER(TO_TEXT(O480))=""true"",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80" s="616" t="str">
        <f t="shared" si="4"/>
        <v>Минор</v>
      </c>
      <c r="M480" s="616"/>
      <c r="N480" s="615">
        <v>0.0</v>
      </c>
      <c r="O480" s="616" t="b">
        <v>0</v>
      </c>
      <c r="P480" s="614">
        <v>0.0</v>
      </c>
      <c r="Q480" s="617" t="s">
        <v>4235</v>
      </c>
      <c r="R480" s="616">
        <f t="shared" si="2"/>
        <v>150</v>
      </c>
    </row>
    <row r="481">
      <c r="A481" s="614">
        <v>480.0</v>
      </c>
      <c r="B481" s="615" t="s">
        <v>4236</v>
      </c>
      <c r="C481" s="614" t="s">
        <v>4131</v>
      </c>
      <c r="D481" s="614" t="s">
        <v>3881</v>
      </c>
      <c r="E481" s="614" t="s">
        <v>26</v>
      </c>
      <c r="F481" s="614" t="s">
        <v>3217</v>
      </c>
      <c r="G481" s="614" t="s">
        <v>4139</v>
      </c>
      <c r="H481" s="614">
        <v>1.0</v>
      </c>
      <c r="I481" s="614" t="s">
        <v>692</v>
      </c>
      <c r="J481" s="614" t="s">
        <v>3218</v>
      </c>
      <c r="K481" s="614" t="str">
        <f>IFERROR(__xludf.DUMMYFUNCTION("LET(
  r, C481,
  t, J481,
  cons, LOWER(TO_TEXT(O481))=""true"",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81" s="616" t="str">
        <f t="shared" si="4"/>
        <v>Минор</v>
      </c>
      <c r="M481" s="616"/>
      <c r="N481" s="615">
        <v>0.0</v>
      </c>
      <c r="O481" s="616" t="b">
        <v>0</v>
      </c>
      <c r="P481" s="614">
        <v>0.0</v>
      </c>
      <c r="Q481" s="617" t="s">
        <v>4237</v>
      </c>
      <c r="R481" s="616">
        <f t="shared" si="2"/>
        <v>150</v>
      </c>
    </row>
    <row r="482">
      <c r="A482" s="614">
        <v>481.0</v>
      </c>
      <c r="B482" s="615" t="s">
        <v>4238</v>
      </c>
      <c r="C482" s="614" t="s">
        <v>4131</v>
      </c>
      <c r="D482" s="614" t="s">
        <v>3881</v>
      </c>
      <c r="E482" s="614" t="s">
        <v>3394</v>
      </c>
      <c r="F482" s="614" t="s">
        <v>3217</v>
      </c>
      <c r="G482" s="614" t="s">
        <v>4139</v>
      </c>
      <c r="H482" s="614">
        <v>1.0</v>
      </c>
      <c r="I482" s="614" t="s">
        <v>3208</v>
      </c>
      <c r="J482" s="614" t="s">
        <v>3218</v>
      </c>
      <c r="K482" s="614" t="str">
        <f>IFERROR(__xludf.DUMMYFUNCTION("LET(
  r, C482,
  t, J482,
  cons, LOWER(TO_TEXT(O482))=""true"",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82" s="616" t="str">
        <f t="shared" si="4"/>
        <v>Минор</v>
      </c>
      <c r="M482" s="616"/>
      <c r="N482" s="615">
        <v>0.0</v>
      </c>
      <c r="O482" s="616" t="b">
        <v>0</v>
      </c>
      <c r="P482" s="614">
        <v>0.0</v>
      </c>
      <c r="Q482" s="617" t="s">
        <v>4239</v>
      </c>
      <c r="R482" s="616">
        <f t="shared" si="2"/>
        <v>150</v>
      </c>
    </row>
    <row r="483">
      <c r="A483" s="614">
        <v>482.0</v>
      </c>
      <c r="B483" s="615" t="s">
        <v>4240</v>
      </c>
      <c r="C483" s="614" t="s">
        <v>4131</v>
      </c>
      <c r="D483" s="614" t="s">
        <v>3881</v>
      </c>
      <c r="E483" s="614" t="s">
        <v>3394</v>
      </c>
      <c r="F483" s="614" t="s">
        <v>3217</v>
      </c>
      <c r="G483" s="614" t="s">
        <v>4139</v>
      </c>
      <c r="H483" s="614">
        <v>1.0</v>
      </c>
      <c r="I483" s="614" t="s">
        <v>3208</v>
      </c>
      <c r="J483" s="614" t="s">
        <v>3218</v>
      </c>
      <c r="K483" s="614" t="str">
        <f>IFERROR(__xludf.DUMMYFUNCTION("LET(
  r, C483,
  t, J483,
  cons, LOWER(TO_TEXT(O483))=""true"",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83" s="616" t="str">
        <f t="shared" si="4"/>
        <v>Минор</v>
      </c>
      <c r="M483" s="616"/>
      <c r="N483" s="615">
        <v>0.0</v>
      </c>
      <c r="O483" s="616" t="b">
        <v>0</v>
      </c>
      <c r="P483" s="614">
        <v>0.0</v>
      </c>
      <c r="Q483" s="617" t="s">
        <v>4241</v>
      </c>
      <c r="R483" s="616">
        <f t="shared" si="2"/>
        <v>150</v>
      </c>
    </row>
    <row r="484">
      <c r="A484" s="614">
        <v>483.0</v>
      </c>
      <c r="B484" s="615" t="s">
        <v>4242</v>
      </c>
      <c r="C484" s="614" t="s">
        <v>4131</v>
      </c>
      <c r="D484" s="614" t="s">
        <v>3881</v>
      </c>
      <c r="E484" s="614" t="s">
        <v>26</v>
      </c>
      <c r="F484" s="614" t="s">
        <v>3217</v>
      </c>
      <c r="G484" s="614" t="s">
        <v>4139</v>
      </c>
      <c r="H484" s="614">
        <v>1.0</v>
      </c>
      <c r="I484" s="614" t="s">
        <v>692</v>
      </c>
      <c r="J484" s="614" t="s">
        <v>3218</v>
      </c>
      <c r="K484" s="614" t="str">
        <f>IFERROR(__xludf.DUMMYFUNCTION("LET(
  r, C484,
  t, J484,
  cons, LOWER(TO_TEXT(O484))=""true"",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84" s="616" t="str">
        <f t="shared" si="4"/>
        <v>Минор</v>
      </c>
      <c r="M484" s="616"/>
      <c r="N484" s="615">
        <v>0.0</v>
      </c>
      <c r="O484" s="616" t="b">
        <v>0</v>
      </c>
      <c r="P484" s="614">
        <v>0.0</v>
      </c>
      <c r="Q484" s="617" t="s">
        <v>4243</v>
      </c>
      <c r="R484" s="616">
        <f t="shared" si="2"/>
        <v>150</v>
      </c>
    </row>
    <row r="485">
      <c r="A485" s="614">
        <v>484.0</v>
      </c>
      <c r="B485" s="615" t="s">
        <v>4244</v>
      </c>
      <c r="C485" s="614" t="s">
        <v>4131</v>
      </c>
      <c r="D485" s="614" t="s">
        <v>3881</v>
      </c>
      <c r="E485" s="614" t="s">
        <v>26</v>
      </c>
      <c r="F485" s="614" t="s">
        <v>3217</v>
      </c>
      <c r="G485" s="614" t="s">
        <v>4139</v>
      </c>
      <c r="H485" s="614">
        <v>1.0</v>
      </c>
      <c r="I485" s="614" t="s">
        <v>3208</v>
      </c>
      <c r="J485" s="614" t="s">
        <v>3218</v>
      </c>
      <c r="K485" s="614" t="str">
        <f>IFERROR(__xludf.DUMMYFUNCTION("LET(
  r, C485,
  t, J485,
  cons, LOWER(TO_TEXT(O485))=""true"",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85" s="616" t="str">
        <f t="shared" si="4"/>
        <v>Минор</v>
      </c>
      <c r="M485" s="616"/>
      <c r="N485" s="615">
        <v>0.0</v>
      </c>
      <c r="O485" s="616" t="b">
        <v>0</v>
      </c>
      <c r="P485" s="614">
        <v>0.0</v>
      </c>
      <c r="Q485" s="617" t="s">
        <v>4245</v>
      </c>
      <c r="R485" s="616">
        <f t="shared" si="2"/>
        <v>150</v>
      </c>
    </row>
    <row r="486">
      <c r="A486" s="614">
        <v>485.0</v>
      </c>
      <c r="B486" s="615" t="s">
        <v>4246</v>
      </c>
      <c r="C486" s="614" t="s">
        <v>4131</v>
      </c>
      <c r="D486" s="614" t="s">
        <v>3881</v>
      </c>
      <c r="E486" s="614" t="s">
        <v>26</v>
      </c>
      <c r="F486" s="614" t="s">
        <v>3217</v>
      </c>
      <c r="G486" s="614" t="s">
        <v>4139</v>
      </c>
      <c r="H486" s="614">
        <v>1.0</v>
      </c>
      <c r="I486" s="614" t="s">
        <v>3203</v>
      </c>
      <c r="J486" s="614" t="s">
        <v>3218</v>
      </c>
      <c r="K486" s="614" t="str">
        <f>IFERROR(__xludf.DUMMYFUNCTION("LET(
  r, C486,
  t, J486,
  cons, LOWER(TO_TEXT(O486))=""true"",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86" s="616" t="str">
        <f t="shared" si="4"/>
        <v>Минор</v>
      </c>
      <c r="M486" s="616"/>
      <c r="N486" s="615">
        <v>0.0</v>
      </c>
      <c r="O486" s="616" t="b">
        <v>0</v>
      </c>
      <c r="P486" s="614">
        <v>0.0</v>
      </c>
      <c r="Q486" s="617" t="s">
        <v>4247</v>
      </c>
      <c r="R486" s="616">
        <f t="shared" si="2"/>
        <v>150</v>
      </c>
    </row>
    <row r="487">
      <c r="A487" s="614">
        <v>486.0</v>
      </c>
      <c r="B487" s="615" t="s">
        <v>4248</v>
      </c>
      <c r="C487" s="614" t="s">
        <v>4131</v>
      </c>
      <c r="D487" s="614" t="s">
        <v>3881</v>
      </c>
      <c r="E487" s="614" t="s">
        <v>26</v>
      </c>
      <c r="F487" s="614" t="s">
        <v>3217</v>
      </c>
      <c r="G487" s="614" t="s">
        <v>4139</v>
      </c>
      <c r="H487" s="614">
        <v>1.0</v>
      </c>
      <c r="I487" s="614" t="s">
        <v>3208</v>
      </c>
      <c r="J487" s="614" t="s">
        <v>3218</v>
      </c>
      <c r="K487" s="614" t="str">
        <f>IFERROR(__xludf.DUMMYFUNCTION("LET(
  r, C487,
  t, J487,
  cons, LOWER(TO_TEXT(O487))=""true"",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87" s="616" t="str">
        <f t="shared" si="4"/>
        <v>Минор</v>
      </c>
      <c r="M487" s="616"/>
      <c r="N487" s="615">
        <v>0.0</v>
      </c>
      <c r="O487" s="616" t="b">
        <v>0</v>
      </c>
      <c r="P487" s="614">
        <v>0.0</v>
      </c>
      <c r="Q487" s="617" t="s">
        <v>4249</v>
      </c>
      <c r="R487" s="616">
        <f t="shared" si="2"/>
        <v>150</v>
      </c>
    </row>
    <row r="488">
      <c r="A488" s="614">
        <v>487.0</v>
      </c>
      <c r="B488" s="615" t="s">
        <v>4250</v>
      </c>
      <c r="C488" s="614" t="s">
        <v>4131</v>
      </c>
      <c r="D488" s="614" t="s">
        <v>3881</v>
      </c>
      <c r="E488" s="614" t="s">
        <v>26</v>
      </c>
      <c r="F488" s="614" t="s">
        <v>3272</v>
      </c>
      <c r="G488" s="614" t="s">
        <v>4139</v>
      </c>
      <c r="H488" s="614">
        <v>1.0</v>
      </c>
      <c r="I488" s="614" t="s">
        <v>692</v>
      </c>
      <c r="J488" s="614" t="s">
        <v>3218</v>
      </c>
      <c r="K488" s="614" t="str">
        <f>IFERROR(__xludf.DUMMYFUNCTION("LET(
  r, C488,
  t, J488,
  cons, LOWER(TO_TEXT(O488))=""true"",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88" s="616" t="str">
        <f t="shared" si="4"/>
        <v>Минор</v>
      </c>
      <c r="M488" s="616"/>
      <c r="N488" s="615">
        <v>0.0</v>
      </c>
      <c r="O488" s="616" t="b">
        <v>0</v>
      </c>
      <c r="P488" s="614">
        <v>0.0</v>
      </c>
      <c r="Q488" s="617" t="s">
        <v>4251</v>
      </c>
      <c r="R488" s="616">
        <f t="shared" si="2"/>
        <v>150</v>
      </c>
    </row>
    <row r="489">
      <c r="A489" s="614">
        <v>488.0</v>
      </c>
      <c r="B489" s="615" t="s">
        <v>4252</v>
      </c>
      <c r="C489" s="614" t="s">
        <v>4131</v>
      </c>
      <c r="D489" s="614" t="s">
        <v>3881</v>
      </c>
      <c r="E489" s="614" t="s">
        <v>26</v>
      </c>
      <c r="F489" s="614" t="s">
        <v>3272</v>
      </c>
      <c r="G489" s="614" t="s">
        <v>4139</v>
      </c>
      <c r="H489" s="614">
        <v>2.0</v>
      </c>
      <c r="I489" s="614" t="s">
        <v>692</v>
      </c>
      <c r="J489" s="614" t="s">
        <v>3218</v>
      </c>
      <c r="K489" s="614" t="str">
        <f>IFERROR(__xludf.DUMMYFUNCTION("LET(
  r, C489,
  t, J489,
  cons, LOWER(TO_TEXT(O489))=""true"",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89" s="616" t="str">
        <f t="shared" si="4"/>
        <v>Мажор</v>
      </c>
      <c r="M489" s="616"/>
      <c r="N489" s="615">
        <v>0.0</v>
      </c>
      <c r="O489" s="616" t="b">
        <v>0</v>
      </c>
      <c r="P489" s="614">
        <v>0.0</v>
      </c>
      <c r="Q489" s="617" t="s">
        <v>4253</v>
      </c>
      <c r="R489" s="616">
        <f t="shared" si="2"/>
        <v>300</v>
      </c>
    </row>
    <row r="490">
      <c r="A490" s="614">
        <v>489.0</v>
      </c>
      <c r="B490" s="615" t="s">
        <v>4254</v>
      </c>
      <c r="C490" s="614" t="s">
        <v>4131</v>
      </c>
      <c r="D490" s="614" t="s">
        <v>3881</v>
      </c>
      <c r="E490" s="614" t="s">
        <v>26</v>
      </c>
      <c r="F490" s="614" t="s">
        <v>3272</v>
      </c>
      <c r="G490" s="614" t="s">
        <v>4139</v>
      </c>
      <c r="H490" s="614">
        <v>1.0</v>
      </c>
      <c r="I490" s="614" t="s">
        <v>692</v>
      </c>
      <c r="J490" s="614" t="s">
        <v>3218</v>
      </c>
      <c r="K490" s="614" t="str">
        <f>IFERROR(__xludf.DUMMYFUNCTION("LET(
  r, C490,
  t, J490,
  cons, LOWER(TO_TEXT(O490))=""true"",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90" s="616" t="str">
        <f t="shared" si="4"/>
        <v>Минор</v>
      </c>
      <c r="M490" s="616"/>
      <c r="N490" s="615">
        <v>0.0</v>
      </c>
      <c r="O490" s="616" t="b">
        <v>0</v>
      </c>
      <c r="P490" s="614">
        <v>0.0</v>
      </c>
      <c r="Q490" s="617" t="s">
        <v>4255</v>
      </c>
      <c r="R490" s="616">
        <f t="shared" si="2"/>
        <v>150</v>
      </c>
    </row>
    <row r="491">
      <c r="A491" s="614">
        <v>490.0</v>
      </c>
      <c r="B491" s="615" t="s">
        <v>4256</v>
      </c>
      <c r="C491" s="614" t="s">
        <v>4131</v>
      </c>
      <c r="D491" s="614" t="s">
        <v>1070</v>
      </c>
      <c r="E491" s="614" t="s">
        <v>650</v>
      </c>
      <c r="F491" s="614" t="s">
        <v>3195</v>
      </c>
      <c r="G491" s="614" t="s">
        <v>4139</v>
      </c>
      <c r="H491" s="614">
        <v>1.0</v>
      </c>
      <c r="I491" s="614" t="s">
        <v>692</v>
      </c>
      <c r="J491" s="614" t="s">
        <v>3218</v>
      </c>
      <c r="K491" s="614" t="str">
        <f>IFERROR(__xludf.DUMMYFUNCTION("LET(
  r, C491,
  t, J491,
  cons, LOWER(TO_TEXT(O491))=""true"",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)"),"(1d6+1)*10 зм")</f>
        <v>(1d6+1)*10 зм</v>
      </c>
      <c r="L491" s="616" t="str">
        <f t="shared" si="4"/>
        <v>Минор</v>
      </c>
      <c r="M491" s="616"/>
      <c r="N491" s="615">
        <v>0.0</v>
      </c>
      <c r="O491" s="616" t="b">
        <v>0</v>
      </c>
      <c r="P491" s="614">
        <v>0.0</v>
      </c>
      <c r="Q491" s="617" t="s">
        <v>4257</v>
      </c>
      <c r="R491" s="616">
        <f t="shared" si="2"/>
        <v>150</v>
      </c>
    </row>
    <row r="492">
      <c r="A492" s="614">
        <v>491.0</v>
      </c>
      <c r="B492" s="615" t="s">
        <v>4258</v>
      </c>
      <c r="C492" s="614" t="s">
        <v>3674</v>
      </c>
      <c r="D492" s="614" t="s">
        <v>3881</v>
      </c>
      <c r="E492" s="614" t="s">
        <v>26</v>
      </c>
      <c r="F492" s="614" t="s">
        <v>3201</v>
      </c>
      <c r="G492" s="614" t="s">
        <v>3293</v>
      </c>
      <c r="H492" s="614">
        <v>4.0</v>
      </c>
      <c r="I492" s="614" t="s">
        <v>3203</v>
      </c>
      <c r="J492" s="614" t="s">
        <v>3253</v>
      </c>
      <c r="K492" s="614" t="str">
        <f>IFERROR(__xludf.DUMMYFUNCTION("LET(
  r, C492,
  t, J492,
  cons, LOWER(TO_TEXT(O492))=""true"",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 зм")</f>
        <v>600 зм</v>
      </c>
      <c r="L492" s="616" t="str">
        <f t="shared" si="4"/>
        <v>Мажор</v>
      </c>
      <c r="M492" s="616"/>
      <c r="N492" s="615">
        <v>0.0</v>
      </c>
      <c r="O492" s="616" t="b">
        <v>0</v>
      </c>
      <c r="P492" s="614">
        <v>0.0</v>
      </c>
      <c r="Q492" s="617" t="s">
        <v>4259</v>
      </c>
      <c r="R492" s="616">
        <f t="shared" si="2"/>
        <v>1200</v>
      </c>
    </row>
    <row r="493">
      <c r="A493" s="614">
        <v>492.0</v>
      </c>
      <c r="B493" s="615" t="s">
        <v>4260</v>
      </c>
      <c r="C493" s="614" t="s">
        <v>3578</v>
      </c>
      <c r="D493" s="614" t="s">
        <v>3881</v>
      </c>
      <c r="E493" s="614" t="s">
        <v>26</v>
      </c>
      <c r="F493" s="614" t="s">
        <v>3201</v>
      </c>
      <c r="G493" s="614" t="s">
        <v>3293</v>
      </c>
      <c r="H493" s="614">
        <v>6.0</v>
      </c>
      <c r="I493" s="614" t="s">
        <v>3203</v>
      </c>
      <c r="J493" s="614" t="s">
        <v>3253</v>
      </c>
      <c r="K493" s="614" t="str">
        <f>IFERROR(__xludf.DUMMYFUNCTION("LET(
  r, C493,
  t, J493,
  cons, LOWER(TO_TEXT(O493))=""true"",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)"),"6000 зм")</f>
        <v>6000 зм</v>
      </c>
      <c r="L493" s="616" t="str">
        <f t="shared" si="4"/>
        <v>Мажор</v>
      </c>
      <c r="M493" s="616"/>
      <c r="N493" s="615">
        <v>0.0</v>
      </c>
      <c r="O493" s="616" t="b">
        <v>0</v>
      </c>
      <c r="P493" s="614">
        <v>0.0</v>
      </c>
      <c r="Q493" s="617" t="s">
        <v>4259</v>
      </c>
      <c r="R493" s="616">
        <f t="shared" si="2"/>
        <v>6000</v>
      </c>
    </row>
    <row r="494">
      <c r="A494" s="614">
        <v>493.0</v>
      </c>
      <c r="B494" s="615" t="s">
        <v>4261</v>
      </c>
      <c r="C494" s="614" t="s">
        <v>3194</v>
      </c>
      <c r="D494" s="614" t="s">
        <v>3881</v>
      </c>
      <c r="E494" s="614" t="s">
        <v>26</v>
      </c>
      <c r="F494" s="614" t="s">
        <v>3201</v>
      </c>
      <c r="G494" s="614" t="s">
        <v>3293</v>
      </c>
      <c r="H494" s="614">
        <v>8.0</v>
      </c>
      <c r="I494" s="614" t="s">
        <v>3203</v>
      </c>
      <c r="J494" s="614" t="s">
        <v>3253</v>
      </c>
      <c r="K494" s="614" t="str">
        <f>IFERROR(__xludf.DUMMYFUNCTION("LET(
  r, C494,
  t, J494,
  cons, LOWER(TO_TEXT(O494))=""true"",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)"),"45000 зм")</f>
        <v>45000 зм</v>
      </c>
      <c r="L494" s="616" t="str">
        <f t="shared" si="4"/>
        <v>Мажор</v>
      </c>
      <c r="M494" s="616"/>
      <c r="N494" s="615">
        <v>0.0</v>
      </c>
      <c r="O494" s="616" t="b">
        <v>0</v>
      </c>
      <c r="P494" s="614">
        <v>0.0</v>
      </c>
      <c r="Q494" s="617" t="s">
        <v>4259</v>
      </c>
      <c r="R494" s="616">
        <f t="shared" si="2"/>
        <v>18000</v>
      </c>
    </row>
    <row r="495">
      <c r="A495" s="614">
        <v>494.0</v>
      </c>
      <c r="B495" s="615" t="s">
        <v>4262</v>
      </c>
      <c r="C495" s="614" t="s">
        <v>3674</v>
      </c>
      <c r="D495" s="614" t="s">
        <v>3881</v>
      </c>
      <c r="E495" s="614" t="s">
        <v>26</v>
      </c>
      <c r="F495" s="614" t="s">
        <v>3195</v>
      </c>
      <c r="G495" s="614" t="s">
        <v>3293</v>
      </c>
      <c r="H495" s="614">
        <v>4.0</v>
      </c>
      <c r="I495" s="614" t="s">
        <v>3203</v>
      </c>
      <c r="J495" s="614" t="s">
        <v>3221</v>
      </c>
      <c r="K495" s="614" t="str">
        <f>IFERROR(__xludf.DUMMYFUNCTION("LET(
  r, C495,
  t, J495,
  cons, LOWER(TO_TEXT(O495))=""true"",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 зм")</f>
        <v>2d6kh1*100 зм</v>
      </c>
      <c r="L495" s="616" t="str">
        <f t="shared" si="4"/>
        <v>Мажор</v>
      </c>
      <c r="M495" s="616"/>
      <c r="N495" s="615">
        <v>0.0</v>
      </c>
      <c r="O495" s="616" t="b">
        <v>0</v>
      </c>
      <c r="P495" s="614">
        <v>0.0</v>
      </c>
      <c r="Q495" s="617" t="s">
        <v>4263</v>
      </c>
      <c r="R495" s="616">
        <f t="shared" si="2"/>
        <v>1100</v>
      </c>
    </row>
    <row r="496">
      <c r="A496" s="614">
        <v>495.0</v>
      </c>
      <c r="B496" s="615" t="s">
        <v>4264</v>
      </c>
      <c r="C496" s="614" t="s">
        <v>3578</v>
      </c>
      <c r="D496" s="614" t="s">
        <v>3881</v>
      </c>
      <c r="E496" s="614" t="s">
        <v>26</v>
      </c>
      <c r="F496" s="614" t="s">
        <v>3195</v>
      </c>
      <c r="G496" s="614" t="s">
        <v>3293</v>
      </c>
      <c r="H496" s="614">
        <v>6.0</v>
      </c>
      <c r="I496" s="614" t="s">
        <v>3203</v>
      </c>
      <c r="J496" s="614" t="s">
        <v>3221</v>
      </c>
      <c r="K496" s="614" t="str">
        <f>IFERROR(__xludf.DUMMYFUNCTION("LET(
  r, C496,
  t, J496,
  cons, LOWER(TO_TEXT(O496))=""true"",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)"),"2d6kh1*1000 зм")</f>
        <v>2d6kh1*1000 зм</v>
      </c>
      <c r="L496" s="616" t="str">
        <f t="shared" si="4"/>
        <v>Мажор</v>
      </c>
      <c r="M496" s="616"/>
      <c r="N496" s="615">
        <v>0.0</v>
      </c>
      <c r="O496" s="616" t="b">
        <v>0</v>
      </c>
      <c r="P496" s="614">
        <v>0.0</v>
      </c>
      <c r="Q496" s="617" t="s">
        <v>4263</v>
      </c>
      <c r="R496" s="616">
        <f t="shared" si="2"/>
        <v>5500</v>
      </c>
    </row>
    <row r="497">
      <c r="A497" s="614">
        <v>496.0</v>
      </c>
      <c r="B497" s="615" t="s">
        <v>4265</v>
      </c>
      <c r="C497" s="614" t="s">
        <v>3194</v>
      </c>
      <c r="D497" s="614" t="s">
        <v>3881</v>
      </c>
      <c r="E497" s="614" t="s">
        <v>26</v>
      </c>
      <c r="F497" s="614" t="s">
        <v>3195</v>
      </c>
      <c r="G497" s="614" t="s">
        <v>3293</v>
      </c>
      <c r="H497" s="614">
        <v>8.0</v>
      </c>
      <c r="I497" s="614" t="s">
        <v>3203</v>
      </c>
      <c r="J497" s="614" t="s">
        <v>3221</v>
      </c>
      <c r="K497" s="614" t="str">
        <f>IFERROR(__xludf.DUMMYFUNCTION("LET(
  r, C497,
  t, J497,
  cons, LOWER(TO_TEXT(O497))=""true"",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)"),"(2d8kh1+1)*5000 зм")</f>
        <v>(2d8kh1+1)*5000 зм</v>
      </c>
      <c r="L497" s="616" t="str">
        <f t="shared" si="4"/>
        <v>Мажор</v>
      </c>
      <c r="M497" s="616"/>
      <c r="N497" s="615">
        <v>0.0</v>
      </c>
      <c r="O497" s="616" t="b">
        <v>0</v>
      </c>
      <c r="P497" s="614">
        <v>0.0</v>
      </c>
      <c r="Q497" s="617" t="s">
        <v>4263</v>
      </c>
      <c r="R497" s="616">
        <f t="shared" si="2"/>
        <v>16500</v>
      </c>
    </row>
    <row r="498">
      <c r="A498" s="614">
        <v>497.0</v>
      </c>
      <c r="B498" s="615" t="s">
        <v>4266</v>
      </c>
      <c r="C498" s="614" t="s">
        <v>3674</v>
      </c>
      <c r="D498" s="614" t="s">
        <v>2</v>
      </c>
      <c r="E498" s="614" t="s">
        <v>183</v>
      </c>
      <c r="F498" s="614" t="s">
        <v>26</v>
      </c>
      <c r="G498" s="614" t="s">
        <v>3202</v>
      </c>
      <c r="H498" s="614">
        <v>4.0</v>
      </c>
      <c r="I498" s="614" t="s">
        <v>3203</v>
      </c>
      <c r="J498" s="614" t="s">
        <v>3218</v>
      </c>
      <c r="K498" s="614" t="str">
        <f>IFERROR(__xludf.DUMMYFUNCTION("LET(
  r, C498,
  t, J498,
  cons, LOWER(TO_TEXT(O498))=""true"",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)"),"1d6*50 зм")</f>
        <v>1d6*50 зм</v>
      </c>
      <c r="L498" s="616" t="str">
        <f t="shared" si="4"/>
        <v>Мажор</v>
      </c>
      <c r="M498" s="616"/>
      <c r="N498" s="615">
        <v>0.0</v>
      </c>
      <c r="O498" s="614" t="b">
        <v>1</v>
      </c>
      <c r="P498" s="614">
        <v>0.0</v>
      </c>
      <c r="Q498" s="617" t="s">
        <v>4267</v>
      </c>
      <c r="R498" s="616">
        <f t="shared" si="2"/>
        <v>1000</v>
      </c>
    </row>
    <row r="499">
      <c r="A499" s="614">
        <v>498.0</v>
      </c>
      <c r="B499" s="615" t="s">
        <v>4268</v>
      </c>
      <c r="C499" s="614" t="s">
        <v>3578</v>
      </c>
      <c r="D499" s="614" t="s">
        <v>2</v>
      </c>
      <c r="E499" s="614" t="s">
        <v>183</v>
      </c>
      <c r="F499" s="614" t="s">
        <v>26</v>
      </c>
      <c r="G499" s="614" t="s">
        <v>3202</v>
      </c>
      <c r="H499" s="614">
        <v>6.0</v>
      </c>
      <c r="I499" s="614" t="s">
        <v>3203</v>
      </c>
      <c r="J499" s="614" t="s">
        <v>3218</v>
      </c>
      <c r="K499" s="614" t="str">
        <f>IFERROR(__xludf.DUMMYFUNCTION("LET(
  r, C499,
  t, J499,
  cons, LOWER(TO_TEXT(O499))=""true"",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)"),"1d6*500 зм")</f>
        <v>1d6*500 зм</v>
      </c>
      <c r="L499" s="616" t="str">
        <f t="shared" si="4"/>
        <v>Мажор</v>
      </c>
      <c r="M499" s="616"/>
      <c r="N499" s="615">
        <v>0.0</v>
      </c>
      <c r="O499" s="614" t="b">
        <v>1</v>
      </c>
      <c r="P499" s="614">
        <v>0.0</v>
      </c>
      <c r="Q499" s="617" t="s">
        <v>4267</v>
      </c>
      <c r="R499" s="616">
        <f t="shared" si="2"/>
        <v>5000</v>
      </c>
    </row>
    <row r="500">
      <c r="A500" s="614">
        <v>499.0</v>
      </c>
      <c r="B500" s="615" t="s">
        <v>4269</v>
      </c>
      <c r="C500" s="614" t="s">
        <v>3194</v>
      </c>
      <c r="D500" s="614" t="s">
        <v>2</v>
      </c>
      <c r="E500" s="614" t="s">
        <v>183</v>
      </c>
      <c r="F500" s="614" t="s">
        <v>26</v>
      </c>
      <c r="G500" s="614" t="s">
        <v>3202</v>
      </c>
      <c r="H500" s="614">
        <v>8.0</v>
      </c>
      <c r="I500" s="614" t="s">
        <v>3203</v>
      </c>
      <c r="J500" s="614" t="s">
        <v>3218</v>
      </c>
      <c r="K500" s="614" t="str">
        <f>IFERROR(__xludf.DUMMYFUNCTION("LET(
  r, C500,
  t, J500,
  cons, LOWER(TO_TEXT(O500))=""true"",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)"),"(1d8+1)*2500 зм")</f>
        <v>(1d8+1)*2500 зм</v>
      </c>
      <c r="L500" s="616" t="str">
        <f t="shared" si="4"/>
        <v>Мажор</v>
      </c>
      <c r="M500" s="616"/>
      <c r="N500" s="615">
        <v>0.0</v>
      </c>
      <c r="O500" s="614" t="b">
        <v>1</v>
      </c>
      <c r="P500" s="614">
        <v>0.0</v>
      </c>
      <c r="Q500" s="617" t="s">
        <v>4267</v>
      </c>
      <c r="R500" s="616">
        <f t="shared" si="2"/>
        <v>15000</v>
      </c>
    </row>
    <row r="501">
      <c r="A501" s="614">
        <v>500.0</v>
      </c>
      <c r="B501" s="615" t="s">
        <v>4270</v>
      </c>
      <c r="C501" s="614" t="s">
        <v>3674</v>
      </c>
      <c r="D501" s="614" t="s">
        <v>3224</v>
      </c>
      <c r="E501" s="614" t="s">
        <v>26</v>
      </c>
      <c r="F501" s="614" t="s">
        <v>3195</v>
      </c>
      <c r="G501" s="614" t="s">
        <v>3202</v>
      </c>
      <c r="H501" s="614">
        <v>4.0</v>
      </c>
      <c r="I501" s="614" t="s">
        <v>3203</v>
      </c>
      <c r="J501" s="614" t="s">
        <v>3218</v>
      </c>
      <c r="K501" s="614" t="str">
        <f>IFERROR(__xludf.DUMMYFUNCTION("LET(
  r, C501,
  t, J501,
  cons, LOWER(TO_TEXT(O501))=""true"",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501" s="616" t="str">
        <f t="shared" si="4"/>
        <v>Мажор</v>
      </c>
      <c r="M501" s="616"/>
      <c r="N501" s="615">
        <v>0.0</v>
      </c>
      <c r="O501" s="616" t="b">
        <v>0</v>
      </c>
      <c r="P501" s="614">
        <v>0.0</v>
      </c>
      <c r="Q501" s="617" t="s">
        <v>4271</v>
      </c>
      <c r="R501" s="616">
        <f t="shared" si="2"/>
        <v>1000</v>
      </c>
    </row>
    <row r="502">
      <c r="A502" s="614">
        <v>501.0</v>
      </c>
      <c r="B502" s="615" t="s">
        <v>4272</v>
      </c>
      <c r="C502" s="614" t="s">
        <v>3578</v>
      </c>
      <c r="D502" s="614" t="s">
        <v>3224</v>
      </c>
      <c r="E502" s="614" t="s">
        <v>26</v>
      </c>
      <c r="F502" s="614" t="s">
        <v>3195</v>
      </c>
      <c r="G502" s="614" t="s">
        <v>3202</v>
      </c>
      <c r="H502" s="614">
        <v>6.0</v>
      </c>
      <c r="I502" s="614" t="s">
        <v>3203</v>
      </c>
      <c r="J502" s="614" t="s">
        <v>3218</v>
      </c>
      <c r="K502" s="614" t="str">
        <f>IFERROR(__xludf.DUMMYFUNCTION("LET(
  r, C502,
  t, J502,
  cons, LOWER(TO_TEXT(O502))=""true"",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502" s="616" t="str">
        <f t="shared" si="4"/>
        <v>Мажор</v>
      </c>
      <c r="M502" s="616"/>
      <c r="N502" s="615">
        <v>0.0</v>
      </c>
      <c r="O502" s="616" t="b">
        <v>0</v>
      </c>
      <c r="P502" s="614">
        <v>0.0</v>
      </c>
      <c r="Q502" s="617" t="s">
        <v>4271</v>
      </c>
      <c r="R502" s="616">
        <f t="shared" si="2"/>
        <v>5000</v>
      </c>
    </row>
    <row r="503">
      <c r="A503" s="614">
        <v>502.0</v>
      </c>
      <c r="B503" s="615" t="s">
        <v>4273</v>
      </c>
      <c r="C503" s="614" t="s">
        <v>3194</v>
      </c>
      <c r="D503" s="614" t="s">
        <v>3224</v>
      </c>
      <c r="E503" s="614" t="s">
        <v>26</v>
      </c>
      <c r="F503" s="614" t="s">
        <v>3195</v>
      </c>
      <c r="G503" s="614" t="s">
        <v>3202</v>
      </c>
      <c r="H503" s="614">
        <v>8.0</v>
      </c>
      <c r="I503" s="614" t="s">
        <v>3203</v>
      </c>
      <c r="J503" s="614" t="s">
        <v>3218</v>
      </c>
      <c r="K503" s="614" t="str">
        <f>IFERROR(__xludf.DUMMYFUNCTION("LET(
  r, C503,
  t, J503,
  cons, LOWER(TO_TEXT(O503))=""true"",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)"),"(1d8+1)*5000 зм")</f>
        <v>(1d8+1)*5000 зм</v>
      </c>
      <c r="L503" s="616" t="str">
        <f t="shared" si="4"/>
        <v>Мажор</v>
      </c>
      <c r="M503" s="616"/>
      <c r="N503" s="615">
        <v>0.0</v>
      </c>
      <c r="O503" s="616" t="b">
        <v>0</v>
      </c>
      <c r="P503" s="614">
        <v>0.0</v>
      </c>
      <c r="Q503" s="617" t="s">
        <v>4271</v>
      </c>
      <c r="R503" s="616">
        <f t="shared" si="2"/>
        <v>15000</v>
      </c>
    </row>
    <row r="504">
      <c r="A504" s="614">
        <v>503.0</v>
      </c>
      <c r="B504" s="615" t="s">
        <v>4274</v>
      </c>
      <c r="C504" s="614" t="s">
        <v>3674</v>
      </c>
      <c r="D504" s="614" t="s">
        <v>1070</v>
      </c>
      <c r="E504" s="614" t="s">
        <v>1978</v>
      </c>
      <c r="F504" s="614" t="s">
        <v>3234</v>
      </c>
      <c r="G504" s="614" t="s">
        <v>3202</v>
      </c>
      <c r="H504" s="614">
        <v>4.0</v>
      </c>
      <c r="I504" s="614" t="s">
        <v>3203</v>
      </c>
      <c r="J504" s="614" t="s">
        <v>3253</v>
      </c>
      <c r="K504" s="614" t="str">
        <f>IFERROR(__xludf.DUMMYFUNCTION("LET(
  r, C504,
  t, J504,
  cons, LOWER(TO_TEXT(O504))=""true"",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 зм")</f>
        <v>600 зм</v>
      </c>
      <c r="L504" s="616" t="str">
        <f t="shared" si="4"/>
        <v>Мажор</v>
      </c>
      <c r="M504" s="616"/>
      <c r="N504" s="615">
        <v>0.0</v>
      </c>
      <c r="O504" s="616" t="b">
        <v>0</v>
      </c>
      <c r="P504" s="614">
        <v>0.0</v>
      </c>
      <c r="Q504" s="617" t="s">
        <v>4275</v>
      </c>
      <c r="R504" s="616">
        <f t="shared" si="2"/>
        <v>1200</v>
      </c>
    </row>
    <row r="505">
      <c r="A505" s="614">
        <v>504.0</v>
      </c>
      <c r="B505" s="615" t="s">
        <v>4276</v>
      </c>
      <c r="C505" s="614" t="s">
        <v>3578</v>
      </c>
      <c r="D505" s="614" t="s">
        <v>1070</v>
      </c>
      <c r="E505" s="614" t="s">
        <v>1978</v>
      </c>
      <c r="F505" s="614" t="s">
        <v>3234</v>
      </c>
      <c r="G505" s="614" t="s">
        <v>3202</v>
      </c>
      <c r="H505" s="614">
        <v>6.0</v>
      </c>
      <c r="I505" s="614" t="s">
        <v>3203</v>
      </c>
      <c r="J505" s="614" t="s">
        <v>3253</v>
      </c>
      <c r="K505" s="614" t="str">
        <f>IFERROR(__xludf.DUMMYFUNCTION("LET(
  r, C505,
  t, J505,
  cons, LOWER(TO_TEXT(O505))=""true"",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)"),"6000 зм")</f>
        <v>6000 зм</v>
      </c>
      <c r="L505" s="616" t="str">
        <f t="shared" si="4"/>
        <v>Мажор</v>
      </c>
      <c r="M505" s="616"/>
      <c r="N505" s="615">
        <v>0.0</v>
      </c>
      <c r="O505" s="616" t="b">
        <v>0</v>
      </c>
      <c r="P505" s="614">
        <v>0.0</v>
      </c>
      <c r="Q505" s="617" t="s">
        <v>4275</v>
      </c>
      <c r="R505" s="616">
        <f t="shared" si="2"/>
        <v>6000</v>
      </c>
    </row>
    <row r="506">
      <c r="A506" s="614">
        <v>505.0</v>
      </c>
      <c r="B506" s="615" t="s">
        <v>4277</v>
      </c>
      <c r="C506" s="614" t="s">
        <v>3194</v>
      </c>
      <c r="D506" s="614" t="s">
        <v>1070</v>
      </c>
      <c r="E506" s="614" t="s">
        <v>1978</v>
      </c>
      <c r="F506" s="614" t="s">
        <v>3234</v>
      </c>
      <c r="G506" s="614" t="s">
        <v>3202</v>
      </c>
      <c r="H506" s="614">
        <v>8.0</v>
      </c>
      <c r="I506" s="614" t="s">
        <v>3203</v>
      </c>
      <c r="J506" s="614" t="s">
        <v>3253</v>
      </c>
      <c r="K506" s="614" t="str">
        <f>IFERROR(__xludf.DUMMYFUNCTION("LET(
  r, C506,
  t, J506,
  cons, LOWER(TO_TEXT(O506))=""true"",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)"),"45000 зм")</f>
        <v>45000 зм</v>
      </c>
      <c r="L506" s="616" t="str">
        <f t="shared" si="4"/>
        <v>Мажор</v>
      </c>
      <c r="M506" s="616"/>
      <c r="N506" s="615">
        <v>0.0</v>
      </c>
      <c r="O506" s="616" t="b">
        <v>0</v>
      </c>
      <c r="P506" s="614">
        <v>0.0</v>
      </c>
      <c r="Q506" s="617" t="s">
        <v>4275</v>
      </c>
      <c r="R506" s="616">
        <f t="shared" si="2"/>
        <v>18000</v>
      </c>
    </row>
    <row r="507">
      <c r="A507" s="614">
        <v>506.0</v>
      </c>
      <c r="B507" s="615" t="s">
        <v>2111</v>
      </c>
      <c r="C507" s="614" t="s">
        <v>3674</v>
      </c>
      <c r="D507" s="614" t="s">
        <v>2</v>
      </c>
      <c r="E507" s="614" t="s">
        <v>3333</v>
      </c>
      <c r="F507" s="614" t="s">
        <v>3195</v>
      </c>
      <c r="G507" s="614" t="s">
        <v>3202</v>
      </c>
      <c r="H507" s="614">
        <v>4.0</v>
      </c>
      <c r="I507" s="614" t="s">
        <v>692</v>
      </c>
      <c r="J507" s="614" t="s">
        <v>3208</v>
      </c>
      <c r="K507" s="614" t="str">
        <f>IFERROR(__xludf.DUMMYFUNCTION("LET(
  r, C507,
  t, J507,
  cons, LOWER(TO_TEXT(O507))=""true"",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507" s="616" t="str">
        <f t="shared" si="4"/>
        <v>Мажор</v>
      </c>
      <c r="M507" s="616"/>
      <c r="N507" s="615">
        <v>0.0</v>
      </c>
      <c r="O507" s="616" t="b">
        <v>0</v>
      </c>
      <c r="P507" s="614">
        <v>0.0</v>
      </c>
      <c r="Q507" s="617" t="s">
        <v>4278</v>
      </c>
      <c r="R507" s="616">
        <f t="shared" si="2"/>
        <v>1000</v>
      </c>
    </row>
    <row r="508">
      <c r="A508" s="614">
        <v>507.0</v>
      </c>
      <c r="B508" s="615" t="s">
        <v>2170</v>
      </c>
      <c r="C508" s="614" t="s">
        <v>3578</v>
      </c>
      <c r="D508" s="614" t="s">
        <v>2</v>
      </c>
      <c r="E508" s="614" t="s">
        <v>3333</v>
      </c>
      <c r="F508" s="614" t="s">
        <v>3195</v>
      </c>
      <c r="G508" s="614" t="s">
        <v>3202</v>
      </c>
      <c r="H508" s="614">
        <v>6.0</v>
      </c>
      <c r="I508" s="614" t="s">
        <v>692</v>
      </c>
      <c r="J508" s="614" t="s">
        <v>3208</v>
      </c>
      <c r="K508" s="614" t="str">
        <f>IFERROR(__xludf.DUMMYFUNCTION("LET(
  r, C508,
  t, J508,
  cons, LOWER(TO_TEXT(O508))=""true"",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508" s="616" t="str">
        <f t="shared" si="4"/>
        <v>Мажор</v>
      </c>
      <c r="M508" s="616"/>
      <c r="N508" s="615">
        <v>0.0</v>
      </c>
      <c r="O508" s="616" t="b">
        <v>0</v>
      </c>
      <c r="P508" s="614">
        <v>0.0</v>
      </c>
      <c r="Q508" s="617" t="s">
        <v>4278</v>
      </c>
      <c r="R508" s="616">
        <f t="shared" si="2"/>
        <v>5000</v>
      </c>
    </row>
    <row r="509">
      <c r="A509" s="614">
        <v>508.0</v>
      </c>
      <c r="B509" s="615" t="s">
        <v>4279</v>
      </c>
      <c r="C509" s="614" t="s">
        <v>3194</v>
      </c>
      <c r="D509" s="614" t="s">
        <v>2</v>
      </c>
      <c r="E509" s="614" t="s">
        <v>3333</v>
      </c>
      <c r="F509" s="614" t="s">
        <v>3195</v>
      </c>
      <c r="G509" s="614" t="s">
        <v>3202</v>
      </c>
      <c r="H509" s="614">
        <v>8.0</v>
      </c>
      <c r="I509" s="614" t="s">
        <v>692</v>
      </c>
      <c r="J509" s="614" t="s">
        <v>3208</v>
      </c>
      <c r="K509" s="614" t="str">
        <f>IFERROR(__xludf.DUMMYFUNCTION("LET(
  r, C509,
  t, J509,
  cons, LOWER(TO_TEXT(O509))=""true"",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)"),"(1d8+1)*5000 зм")</f>
        <v>(1d8+1)*5000 зм</v>
      </c>
      <c r="L509" s="616" t="str">
        <f t="shared" si="4"/>
        <v>Мажор</v>
      </c>
      <c r="M509" s="616"/>
      <c r="N509" s="615">
        <v>0.0</v>
      </c>
      <c r="O509" s="616" t="b">
        <v>0</v>
      </c>
      <c r="P509" s="614">
        <v>0.0</v>
      </c>
      <c r="Q509" s="617" t="s">
        <v>4278</v>
      </c>
      <c r="R509" s="616">
        <f t="shared" si="2"/>
        <v>15000</v>
      </c>
    </row>
    <row r="510">
      <c r="A510" s="614">
        <v>509.0</v>
      </c>
      <c r="B510" s="615" t="s">
        <v>4280</v>
      </c>
      <c r="C510" s="614" t="s">
        <v>3674</v>
      </c>
      <c r="D510" s="614" t="s">
        <v>3247</v>
      </c>
      <c r="E510" s="614" t="s">
        <v>26</v>
      </c>
      <c r="F510" s="614" t="s">
        <v>3195</v>
      </c>
      <c r="G510" s="614" t="s">
        <v>3202</v>
      </c>
      <c r="H510" s="614">
        <v>4.0</v>
      </c>
      <c r="I510" s="614" t="s">
        <v>3203</v>
      </c>
      <c r="J510" s="614" t="s">
        <v>3218</v>
      </c>
      <c r="K510" s="614" t="str">
        <f>IFERROR(__xludf.DUMMYFUNCTION("LET(
  r, C510,
  t, J510,
  cons, LOWER(TO_TEXT(O510))=""true"",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510" s="616" t="str">
        <f t="shared" si="4"/>
        <v>Мажор</v>
      </c>
      <c r="M510" s="616"/>
      <c r="N510" s="615">
        <v>0.0</v>
      </c>
      <c r="O510" s="616" t="b">
        <v>0</v>
      </c>
      <c r="P510" s="614">
        <v>0.0</v>
      </c>
      <c r="Q510" s="617" t="s">
        <v>4281</v>
      </c>
      <c r="R510" s="616">
        <f t="shared" si="2"/>
        <v>1000</v>
      </c>
    </row>
    <row r="511">
      <c r="A511" s="614">
        <v>510.0</v>
      </c>
      <c r="B511" s="615" t="s">
        <v>4282</v>
      </c>
      <c r="C511" s="614" t="s">
        <v>3578</v>
      </c>
      <c r="D511" s="614" t="s">
        <v>3247</v>
      </c>
      <c r="E511" s="614" t="s">
        <v>26</v>
      </c>
      <c r="F511" s="614" t="s">
        <v>3195</v>
      </c>
      <c r="G511" s="614" t="s">
        <v>3202</v>
      </c>
      <c r="H511" s="614">
        <v>6.0</v>
      </c>
      <c r="I511" s="614" t="s">
        <v>3203</v>
      </c>
      <c r="J511" s="614" t="s">
        <v>3218</v>
      </c>
      <c r="K511" s="614" t="str">
        <f>IFERROR(__xludf.DUMMYFUNCTION("LET(
  r, C511,
  t, J511,
  cons, LOWER(TO_TEXT(O511))=""true"",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511" s="616" t="str">
        <f t="shared" si="4"/>
        <v>Мажор</v>
      </c>
      <c r="M511" s="616"/>
      <c r="N511" s="615">
        <v>0.0</v>
      </c>
      <c r="O511" s="616" t="b">
        <v>0</v>
      </c>
      <c r="P511" s="614">
        <v>0.0</v>
      </c>
      <c r="Q511" s="617" t="s">
        <v>4281</v>
      </c>
      <c r="R511" s="616">
        <f t="shared" si="2"/>
        <v>5000</v>
      </c>
    </row>
    <row r="512">
      <c r="A512" s="614">
        <v>511.0</v>
      </c>
      <c r="B512" s="615" t="s">
        <v>4283</v>
      </c>
      <c r="C512" s="614" t="s">
        <v>3194</v>
      </c>
      <c r="D512" s="614" t="s">
        <v>3247</v>
      </c>
      <c r="E512" s="614" t="s">
        <v>26</v>
      </c>
      <c r="F512" s="614" t="s">
        <v>3195</v>
      </c>
      <c r="G512" s="614" t="s">
        <v>3202</v>
      </c>
      <c r="H512" s="614">
        <v>8.0</v>
      </c>
      <c r="I512" s="614" t="s">
        <v>3203</v>
      </c>
      <c r="J512" s="614" t="s">
        <v>3218</v>
      </c>
      <c r="K512" s="614" t="str">
        <f>IFERROR(__xludf.DUMMYFUNCTION("LET(
  r, C512,
  t, J512,
  cons, LOWER(TO_TEXT(O512))=""true"",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)"),"(1d8+1)*5000 зм")</f>
        <v>(1d8+1)*5000 зм</v>
      </c>
      <c r="L512" s="616" t="str">
        <f t="shared" si="4"/>
        <v>Мажор</v>
      </c>
      <c r="M512" s="616"/>
      <c r="N512" s="615">
        <v>0.0</v>
      </c>
      <c r="O512" s="616" t="b">
        <v>0</v>
      </c>
      <c r="P512" s="614">
        <v>0.0</v>
      </c>
      <c r="Q512" s="617" t="s">
        <v>4281</v>
      </c>
      <c r="R512" s="616">
        <f t="shared" si="2"/>
        <v>15000</v>
      </c>
    </row>
    <row r="513">
      <c r="A513" s="614">
        <v>512.0</v>
      </c>
      <c r="B513" s="615" t="s">
        <v>4284</v>
      </c>
      <c r="C513" s="614" t="s">
        <v>3674</v>
      </c>
      <c r="D513" s="614" t="s">
        <v>2</v>
      </c>
      <c r="E513" s="614" t="s">
        <v>65</v>
      </c>
      <c r="F513" s="614" t="s">
        <v>3195</v>
      </c>
      <c r="G513" s="614" t="s">
        <v>3293</v>
      </c>
      <c r="H513" s="614">
        <v>4.0</v>
      </c>
      <c r="I513" s="614" t="s">
        <v>3203</v>
      </c>
      <c r="J513" s="614" t="s">
        <v>3204</v>
      </c>
      <c r="K513" s="614" t="str">
        <f>IFERROR(__xludf.DUMMYFUNCTION("LET(
  r, C513,
  t, J513,
  cons, LOWER(TO_TEXT(O513))=""true"",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513" s="616" t="str">
        <f t="shared" si="4"/>
        <v>Мажор</v>
      </c>
      <c r="M513" s="616"/>
      <c r="N513" s="615">
        <v>0.0</v>
      </c>
      <c r="O513" s="616" t="b">
        <v>0</v>
      </c>
      <c r="P513" s="614">
        <v>0.0</v>
      </c>
      <c r="Q513" s="617" t="s">
        <v>4285</v>
      </c>
      <c r="R513" s="616">
        <f t="shared" si="2"/>
        <v>900</v>
      </c>
    </row>
    <row r="514">
      <c r="A514" s="614">
        <v>513.0</v>
      </c>
      <c r="B514" s="615" t="s">
        <v>4286</v>
      </c>
      <c r="C514" s="614" t="s">
        <v>3578</v>
      </c>
      <c r="D514" s="614" t="s">
        <v>2</v>
      </c>
      <c r="E514" s="614" t="s">
        <v>65</v>
      </c>
      <c r="F514" s="614" t="s">
        <v>3195</v>
      </c>
      <c r="G514" s="614" t="s">
        <v>3293</v>
      </c>
      <c r="H514" s="614">
        <v>6.0</v>
      </c>
      <c r="I514" s="614" t="s">
        <v>3203</v>
      </c>
      <c r="J514" s="614" t="s">
        <v>3204</v>
      </c>
      <c r="K514" s="614" t="str">
        <f>IFERROR(__xludf.DUMMYFUNCTION("LET(
  r, C514,
  t, J514,
  cons, LOWER(TO_TEXT(O514))=""true"",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514" s="616" t="str">
        <f t="shared" si="4"/>
        <v>Мажор</v>
      </c>
      <c r="M514" s="616"/>
      <c r="N514" s="615">
        <v>0.0</v>
      </c>
      <c r="O514" s="616" t="b">
        <v>0</v>
      </c>
      <c r="P514" s="614">
        <v>0.0</v>
      </c>
      <c r="Q514" s="617" t="s">
        <v>4285</v>
      </c>
      <c r="R514" s="616">
        <f t="shared" si="2"/>
        <v>4500</v>
      </c>
    </row>
    <row r="515">
      <c r="A515" s="614">
        <v>514.0</v>
      </c>
      <c r="B515" s="615" t="s">
        <v>4287</v>
      </c>
      <c r="C515" s="614" t="s">
        <v>3194</v>
      </c>
      <c r="D515" s="614" t="s">
        <v>2</v>
      </c>
      <c r="E515" s="614" t="s">
        <v>65</v>
      </c>
      <c r="F515" s="614" t="s">
        <v>3195</v>
      </c>
      <c r="G515" s="614" t="s">
        <v>3293</v>
      </c>
      <c r="H515" s="614">
        <v>8.0</v>
      </c>
      <c r="I515" s="614" t="s">
        <v>3203</v>
      </c>
      <c r="J515" s="614" t="s">
        <v>3204</v>
      </c>
      <c r="K515" s="614" t="str">
        <f>IFERROR(__xludf.DUMMYFUNCTION("LET(
  r, C515,
  t, J515,
  cons, LOWER(TO_TEXT(O515))=""true"",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)"),"(2d8kl1+1)*5000 зм")</f>
        <v>(2d8kl1+1)*5000 зм</v>
      </c>
      <c r="L515" s="616" t="str">
        <f t="shared" si="4"/>
        <v>Мажор</v>
      </c>
      <c r="M515" s="616"/>
      <c r="N515" s="615">
        <v>0.0</v>
      </c>
      <c r="O515" s="616" t="b">
        <v>0</v>
      </c>
      <c r="P515" s="614">
        <v>0.0</v>
      </c>
      <c r="Q515" s="617" t="s">
        <v>4285</v>
      </c>
      <c r="R515" s="616">
        <f t="shared" si="2"/>
        <v>13500</v>
      </c>
    </row>
    <row r="516">
      <c r="A516" s="614">
        <v>515.0</v>
      </c>
      <c r="B516" s="615" t="s">
        <v>4288</v>
      </c>
      <c r="C516" s="614" t="s">
        <v>3674</v>
      </c>
      <c r="D516" s="614" t="s">
        <v>3881</v>
      </c>
      <c r="E516" s="614" t="s">
        <v>26</v>
      </c>
      <c r="F516" s="614" t="s">
        <v>3195</v>
      </c>
      <c r="G516" s="614" t="s">
        <v>3214</v>
      </c>
      <c r="H516" s="614">
        <v>4.0</v>
      </c>
      <c r="I516" s="614" t="s">
        <v>3203</v>
      </c>
      <c r="J516" s="614" t="s">
        <v>3218</v>
      </c>
      <c r="K516" s="614" t="str">
        <f>IFERROR(__xludf.DUMMYFUNCTION("LET(
  r, C516,
  t, J516,
  cons, LOWER(TO_TEXT(O516))=""true"",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 зм")</f>
        <v>1d6*100 зм</v>
      </c>
      <c r="L516" s="616" t="str">
        <f t="shared" si="4"/>
        <v>Мажор</v>
      </c>
      <c r="M516" s="616"/>
      <c r="N516" s="615">
        <v>0.0</v>
      </c>
      <c r="O516" s="616" t="b">
        <v>0</v>
      </c>
      <c r="P516" s="614">
        <v>0.0</v>
      </c>
      <c r="Q516" s="617" t="s">
        <v>4289</v>
      </c>
      <c r="R516" s="616">
        <f t="shared" si="2"/>
        <v>1000</v>
      </c>
    </row>
    <row r="517">
      <c r="A517" s="614">
        <v>516.0</v>
      </c>
      <c r="B517" s="615" t="s">
        <v>4290</v>
      </c>
      <c r="C517" s="614" t="s">
        <v>3578</v>
      </c>
      <c r="D517" s="614" t="s">
        <v>3881</v>
      </c>
      <c r="E517" s="614" t="s">
        <v>26</v>
      </c>
      <c r="F517" s="614" t="s">
        <v>3195</v>
      </c>
      <c r="G517" s="614" t="s">
        <v>3214</v>
      </c>
      <c r="H517" s="614">
        <v>6.0</v>
      </c>
      <c r="I517" s="614" t="s">
        <v>3203</v>
      </c>
      <c r="J517" s="614" t="s">
        <v>3218</v>
      </c>
      <c r="K517" s="614" t="str">
        <f>IFERROR(__xludf.DUMMYFUNCTION("LET(
  r, C517,
  t, J517,
  cons, LOWER(TO_TEXT(O517))=""true"",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)"),"1d6*1000 зм")</f>
        <v>1d6*1000 зм</v>
      </c>
      <c r="L517" s="616" t="str">
        <f t="shared" si="4"/>
        <v>Мажор</v>
      </c>
      <c r="M517" s="616"/>
      <c r="N517" s="615">
        <v>0.0</v>
      </c>
      <c r="O517" s="616" t="b">
        <v>0</v>
      </c>
      <c r="P517" s="614">
        <v>0.0</v>
      </c>
      <c r="Q517" s="617" t="s">
        <v>4289</v>
      </c>
      <c r="R517" s="616">
        <f t="shared" si="2"/>
        <v>5000</v>
      </c>
    </row>
    <row r="518">
      <c r="A518" s="614">
        <v>517.0</v>
      </c>
      <c r="B518" s="615" t="s">
        <v>4291</v>
      </c>
      <c r="C518" s="614" t="s">
        <v>3194</v>
      </c>
      <c r="D518" s="614" t="s">
        <v>3881</v>
      </c>
      <c r="E518" s="614" t="s">
        <v>26</v>
      </c>
      <c r="F518" s="614" t="s">
        <v>3195</v>
      </c>
      <c r="G518" s="614" t="s">
        <v>3214</v>
      </c>
      <c r="H518" s="614">
        <v>8.0</v>
      </c>
      <c r="I518" s="614" t="s">
        <v>3203</v>
      </c>
      <c r="J518" s="614" t="s">
        <v>3218</v>
      </c>
      <c r="K518" s="614" t="str">
        <f>IFERROR(__xludf.DUMMYFUNCTION("LET(
  r, C518,
  t, J518,
  cons, LOWER(TO_TEXT(O518))=""true"",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)"),"(1d8+1)*5000 зм")</f>
        <v>(1d8+1)*5000 зм</v>
      </c>
      <c r="L518" s="616" t="str">
        <f t="shared" si="4"/>
        <v>Мажор</v>
      </c>
      <c r="M518" s="616"/>
      <c r="N518" s="615">
        <v>0.0</v>
      </c>
      <c r="O518" s="616" t="b">
        <v>0</v>
      </c>
      <c r="P518" s="614">
        <v>0.0</v>
      </c>
      <c r="Q518" s="617" t="s">
        <v>4289</v>
      </c>
      <c r="R518" s="616">
        <f t="shared" si="2"/>
        <v>15000</v>
      </c>
    </row>
    <row r="519">
      <c r="A519" s="614">
        <v>518.0</v>
      </c>
      <c r="B519" s="615" t="s">
        <v>4292</v>
      </c>
      <c r="C519" s="614" t="s">
        <v>3674</v>
      </c>
      <c r="D519" s="614" t="s">
        <v>3881</v>
      </c>
      <c r="E519" s="614" t="s">
        <v>26</v>
      </c>
      <c r="F519" s="614" t="s">
        <v>3195</v>
      </c>
      <c r="G519" s="614" t="s">
        <v>3293</v>
      </c>
      <c r="H519" s="614">
        <v>4.0</v>
      </c>
      <c r="I519" s="614" t="s">
        <v>3203</v>
      </c>
      <c r="J519" s="614" t="s">
        <v>3204</v>
      </c>
      <c r="K519" s="614" t="str">
        <f>IFERROR(__xludf.DUMMYFUNCTION("LET(
  r, C519,
  t, J519,
  cons, LOWER(TO_TEXT(O519))=""true"",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 зм")</f>
        <v>2d6kl1*100 зм</v>
      </c>
      <c r="L519" s="616" t="str">
        <f t="shared" si="4"/>
        <v>Мажор</v>
      </c>
      <c r="M519" s="616"/>
      <c r="N519" s="615">
        <v>0.0</v>
      </c>
      <c r="O519" s="616" t="b">
        <v>0</v>
      </c>
      <c r="P519" s="614">
        <v>0.0</v>
      </c>
      <c r="Q519" s="617" t="s">
        <v>4293</v>
      </c>
      <c r="R519" s="616">
        <f t="shared" si="2"/>
        <v>900</v>
      </c>
    </row>
    <row r="520">
      <c r="A520" s="614">
        <v>519.0</v>
      </c>
      <c r="B520" s="615" t="s">
        <v>4294</v>
      </c>
      <c r="C520" s="614" t="s">
        <v>3578</v>
      </c>
      <c r="D520" s="614" t="s">
        <v>3881</v>
      </c>
      <c r="E520" s="614" t="s">
        <v>26</v>
      </c>
      <c r="F520" s="614" t="s">
        <v>3195</v>
      </c>
      <c r="G520" s="614" t="s">
        <v>3293</v>
      </c>
      <c r="H520" s="614">
        <v>6.0</v>
      </c>
      <c r="I520" s="614" t="s">
        <v>3203</v>
      </c>
      <c r="J520" s="614" t="s">
        <v>3204</v>
      </c>
      <c r="K520" s="614" t="str">
        <f>IFERROR(__xludf.DUMMYFUNCTION("LET(
  r, C520,
  t, J520,
  cons, LOWER(TO_TEXT(O520))=""true"",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)"),"2d6kl1*1000 зм")</f>
        <v>2d6kl1*1000 зм</v>
      </c>
      <c r="L520" s="616" t="str">
        <f t="shared" si="4"/>
        <v>Мажор</v>
      </c>
      <c r="M520" s="616"/>
      <c r="N520" s="615">
        <v>0.0</v>
      </c>
      <c r="O520" s="616" t="b">
        <v>0</v>
      </c>
      <c r="P520" s="614">
        <v>0.0</v>
      </c>
      <c r="Q520" s="617" t="s">
        <v>4293</v>
      </c>
      <c r="R520" s="616">
        <f t="shared" si="2"/>
        <v>4500</v>
      </c>
    </row>
    <row r="521">
      <c r="A521" s="614">
        <v>520.0</v>
      </c>
      <c r="B521" s="615" t="s">
        <v>4295</v>
      </c>
      <c r="C521" s="614" t="s">
        <v>3194</v>
      </c>
      <c r="D521" s="614" t="s">
        <v>3881</v>
      </c>
      <c r="E521" s="614" t="s">
        <v>26</v>
      </c>
      <c r="F521" s="614" t="s">
        <v>3195</v>
      </c>
      <c r="G521" s="614" t="s">
        <v>3293</v>
      </c>
      <c r="H521" s="614">
        <v>8.0</v>
      </c>
      <c r="I521" s="614" t="s">
        <v>3203</v>
      </c>
      <c r="J521" s="614" t="s">
        <v>3204</v>
      </c>
      <c r="K521" s="614" t="str">
        <f>IFERROR(__xludf.DUMMYFUNCTION("LET(
  r, C521,
  t, J521,
  cons, LOWER(TO_TEXT(O521))=""true"",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)"),"(2d8kl1+1)*5000 зм")</f>
        <v>(2d8kl1+1)*5000 зм</v>
      </c>
      <c r="L521" s="616" t="str">
        <f t="shared" si="4"/>
        <v>Мажор</v>
      </c>
      <c r="M521" s="616"/>
      <c r="N521" s="615">
        <v>0.0</v>
      </c>
      <c r="O521" s="616" t="b">
        <v>0</v>
      </c>
      <c r="P521" s="614">
        <v>0.0</v>
      </c>
      <c r="Q521" s="617" t="s">
        <v>4293</v>
      </c>
      <c r="R521" s="616">
        <f t="shared" si="2"/>
        <v>13500</v>
      </c>
    </row>
    <row r="522">
      <c r="A522" s="614">
        <v>521.0</v>
      </c>
      <c r="B522" s="615" t="s">
        <v>4296</v>
      </c>
      <c r="C522" s="614" t="s">
        <v>3674</v>
      </c>
      <c r="D522" s="614" t="s">
        <v>2</v>
      </c>
      <c r="E522" s="614" t="s">
        <v>3333</v>
      </c>
      <c r="F522" s="614" t="s">
        <v>3195</v>
      </c>
      <c r="G522" s="614" t="s">
        <v>3196</v>
      </c>
      <c r="H522" s="614">
        <v>4.0</v>
      </c>
      <c r="I522" s="614" t="s">
        <v>3203</v>
      </c>
      <c r="J522" s="614" t="s">
        <v>3221</v>
      </c>
      <c r="K522" s="614" t="str">
        <f>IFERROR(__xludf.DUMMYFUNCTION("LET(
  r, C522,
  t, J522,
  cons, LOWER(TO_TEXT(O522))=""true"",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 зм")</f>
        <v>2d6kh1*100 зм</v>
      </c>
      <c r="L522" s="616" t="str">
        <f t="shared" si="4"/>
        <v>Мажор</v>
      </c>
      <c r="M522" s="616"/>
      <c r="N522" s="615">
        <v>0.0</v>
      </c>
      <c r="O522" s="616" t="b">
        <v>0</v>
      </c>
      <c r="P522" s="614">
        <v>0.0</v>
      </c>
      <c r="Q522" s="617" t="s">
        <v>4297</v>
      </c>
      <c r="R522" s="616">
        <f t="shared" si="2"/>
        <v>1100</v>
      </c>
    </row>
    <row r="523">
      <c r="A523" s="614">
        <v>522.0</v>
      </c>
      <c r="B523" s="615" t="s">
        <v>4298</v>
      </c>
      <c r="C523" s="614" t="s">
        <v>3578</v>
      </c>
      <c r="D523" s="614" t="s">
        <v>2</v>
      </c>
      <c r="E523" s="614" t="s">
        <v>3333</v>
      </c>
      <c r="F523" s="614" t="s">
        <v>3195</v>
      </c>
      <c r="G523" s="614" t="s">
        <v>3196</v>
      </c>
      <c r="H523" s="614">
        <v>6.0</v>
      </c>
      <c r="I523" s="614" t="s">
        <v>3203</v>
      </c>
      <c r="J523" s="614" t="s">
        <v>3221</v>
      </c>
      <c r="K523" s="614" t="str">
        <f>IFERROR(__xludf.DUMMYFUNCTION("LET(
  r, C523,
  t, J523,
  cons, LOWER(TO_TEXT(O523))=""true"",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)"),"2d6kh1*1000 зм")</f>
        <v>2d6kh1*1000 зм</v>
      </c>
      <c r="L523" s="616" t="str">
        <f t="shared" si="4"/>
        <v>Мажор</v>
      </c>
      <c r="M523" s="616"/>
      <c r="N523" s="615">
        <v>0.0</v>
      </c>
      <c r="O523" s="616" t="b">
        <v>0</v>
      </c>
      <c r="P523" s="614">
        <v>0.0</v>
      </c>
      <c r="Q523" s="617" t="s">
        <v>4299</v>
      </c>
      <c r="R523" s="616">
        <f t="shared" si="2"/>
        <v>5500</v>
      </c>
    </row>
    <row r="524">
      <c r="A524" s="614">
        <v>523.0</v>
      </c>
      <c r="B524" s="615" t="s">
        <v>4300</v>
      </c>
      <c r="C524" s="614" t="s">
        <v>3194</v>
      </c>
      <c r="D524" s="614" t="s">
        <v>2</v>
      </c>
      <c r="E524" s="614" t="s">
        <v>3333</v>
      </c>
      <c r="F524" s="614" t="s">
        <v>3195</v>
      </c>
      <c r="G524" s="614" t="s">
        <v>3196</v>
      </c>
      <c r="H524" s="614">
        <v>8.0</v>
      </c>
      <c r="I524" s="614" t="s">
        <v>3203</v>
      </c>
      <c r="J524" s="614" t="s">
        <v>3221</v>
      </c>
      <c r="K524" s="614" t="str">
        <f>IFERROR(__xludf.DUMMYFUNCTION("LET(
  r, C524,
  t, J524,
  cons, LOWER(TO_TEXT(O524))=""true"",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)"),"(2d8kh1+1)*5000 зм")</f>
        <v>(2d8kh1+1)*5000 зм</v>
      </c>
      <c r="L524" s="616" t="str">
        <f t="shared" si="4"/>
        <v>Мажор</v>
      </c>
      <c r="M524" s="616"/>
      <c r="N524" s="615">
        <v>0.0</v>
      </c>
      <c r="O524" s="616" t="b">
        <v>0</v>
      </c>
      <c r="P524" s="614">
        <v>0.0</v>
      </c>
      <c r="Q524" s="617" t="s">
        <v>4301</v>
      </c>
      <c r="R524" s="616">
        <f t="shared" si="2"/>
        <v>16500</v>
      </c>
    </row>
    <row r="525">
      <c r="A525" s="614">
        <v>524.0</v>
      </c>
      <c r="B525" s="615" t="s">
        <v>4302</v>
      </c>
      <c r="C525" s="614" t="s">
        <v>3422</v>
      </c>
      <c r="D525" s="614" t="s">
        <v>2</v>
      </c>
      <c r="E525" s="614" t="s">
        <v>3333</v>
      </c>
      <c r="F525" s="614" t="s">
        <v>3195</v>
      </c>
      <c r="G525" s="614" t="s">
        <v>3196</v>
      </c>
      <c r="H525" s="614">
        <v>10.0</v>
      </c>
      <c r="I525" s="614" t="s">
        <v>3203</v>
      </c>
      <c r="J525" s="614" t="s">
        <v>3221</v>
      </c>
      <c r="K525" s="614" t="str">
        <f>IFERROR(__xludf.DUMMYFUNCTION("LET(
  r, C525,
  t, J525,
  cons, LOWER(TO_TEXT(O525))=""true"",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)"),"3d6kh2*25000 зм")</f>
        <v>3d6kh2*25000 зм</v>
      </c>
      <c r="L525" s="616" t="str">
        <f t="shared" si="4"/>
        <v>Мажор</v>
      </c>
      <c r="M525" s="616"/>
      <c r="N525" s="615">
        <v>0.0</v>
      </c>
      <c r="O525" s="616" t="b">
        <v>0</v>
      </c>
      <c r="P525" s="614">
        <v>0.0</v>
      </c>
      <c r="Q525" s="617" t="s">
        <v>4303</v>
      </c>
      <c r="R525" s="616">
        <f t="shared" si="2"/>
        <v>55000</v>
      </c>
    </row>
    <row r="526">
      <c r="A526" s="614">
        <v>525.0</v>
      </c>
      <c r="B526" s="615" t="s">
        <v>2118</v>
      </c>
      <c r="C526" s="614" t="s">
        <v>3578</v>
      </c>
      <c r="D526" s="614" t="s">
        <v>1070</v>
      </c>
      <c r="E526" s="614" t="s">
        <v>650</v>
      </c>
      <c r="F526" s="614" t="s">
        <v>3195</v>
      </c>
      <c r="G526" s="614" t="s">
        <v>3202</v>
      </c>
      <c r="H526" s="614">
        <v>6.0</v>
      </c>
      <c r="I526" s="614" t="s">
        <v>3203</v>
      </c>
      <c r="J526" s="614" t="s">
        <v>3253</v>
      </c>
      <c r="K526" s="614" t="str">
        <f>IFERROR(__xludf.DUMMYFUNCTION("LET(
  r, C526,
  t, J526,
  cons, LOWER(TO_TEXT(O526))=""true"",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)"),"6000 зм")</f>
        <v>6000 зм</v>
      </c>
      <c r="L526" s="616" t="str">
        <f t="shared" si="4"/>
        <v>Мажор</v>
      </c>
      <c r="M526" s="616"/>
      <c r="N526" s="615">
        <v>0.0</v>
      </c>
      <c r="O526" s="616" t="b">
        <v>0</v>
      </c>
      <c r="P526" s="614">
        <v>0.0</v>
      </c>
      <c r="Q526" s="617" t="s">
        <v>4304</v>
      </c>
      <c r="R526" s="616">
        <f t="shared" si="2"/>
        <v>6000</v>
      </c>
    </row>
    <row r="527">
      <c r="A527" s="614">
        <v>526.0</v>
      </c>
      <c r="B527" s="615" t="s">
        <v>4305</v>
      </c>
      <c r="C527" s="614" t="s">
        <v>3194</v>
      </c>
      <c r="D527" s="614" t="s">
        <v>1070</v>
      </c>
      <c r="E527" s="614" t="s">
        <v>650</v>
      </c>
      <c r="F527" s="614" t="s">
        <v>3195</v>
      </c>
      <c r="G527" s="614" t="s">
        <v>3202</v>
      </c>
      <c r="H527" s="614">
        <v>8.0</v>
      </c>
      <c r="I527" s="614" t="s">
        <v>3203</v>
      </c>
      <c r="J527" s="614" t="s">
        <v>3253</v>
      </c>
      <c r="K527" s="614" t="str">
        <f>IFERROR(__xludf.DUMMYFUNCTION("LET(
  r, C527,
  t, J527,
  cons, LOWER(TO_TEXT(O527))=""true"",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)"),"45000 зм")</f>
        <v>45000 зм</v>
      </c>
      <c r="L527" s="616" t="str">
        <f t="shared" si="4"/>
        <v>Мажор</v>
      </c>
      <c r="M527" s="616"/>
      <c r="N527" s="615">
        <v>0.0</v>
      </c>
      <c r="O527" s="616" t="b">
        <v>0</v>
      </c>
      <c r="P527" s="614">
        <v>0.0</v>
      </c>
      <c r="Q527" s="617" t="s">
        <v>4304</v>
      </c>
      <c r="R527" s="616">
        <f t="shared" si="2"/>
        <v>18000</v>
      </c>
    </row>
    <row r="528">
      <c r="A528" s="614">
        <v>527.0</v>
      </c>
      <c r="B528" s="615" t="s">
        <v>4306</v>
      </c>
      <c r="C528" s="614" t="s">
        <v>3422</v>
      </c>
      <c r="D528" s="614" t="s">
        <v>1070</v>
      </c>
      <c r="E528" s="614" t="s">
        <v>650</v>
      </c>
      <c r="F528" s="614" t="s">
        <v>3195</v>
      </c>
      <c r="G528" s="614" t="s">
        <v>3202</v>
      </c>
      <c r="H528" s="614">
        <v>10.0</v>
      </c>
      <c r="I528" s="614" t="s">
        <v>3203</v>
      </c>
      <c r="J528" s="614" t="s">
        <v>3253</v>
      </c>
      <c r="K528" s="614" t="str">
        <f>IFERROR(__xludf.DUMMYFUNCTION("LET(
  r, C528,
  t, J528,
  cons, LOWER(TO_TEXT(O528))=""true"",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)"),"300000 зм")</f>
        <v>300000 зм</v>
      </c>
      <c r="L528" s="616" t="str">
        <f t="shared" si="4"/>
        <v>Мажор</v>
      </c>
      <c r="M528" s="616"/>
      <c r="N528" s="615">
        <v>0.0</v>
      </c>
      <c r="O528" s="616" t="b">
        <v>0</v>
      </c>
      <c r="P528" s="614">
        <v>0.0</v>
      </c>
      <c r="Q528" s="617" t="s">
        <v>4304</v>
      </c>
      <c r="R528" s="616">
        <f t="shared" si="2"/>
        <v>60000</v>
      </c>
    </row>
    <row r="529">
      <c r="A529" s="614">
        <v>528.0</v>
      </c>
      <c r="B529" s="615" t="s">
        <v>4307</v>
      </c>
      <c r="C529" s="614" t="s">
        <v>3674</v>
      </c>
      <c r="D529" s="614" t="s">
        <v>3881</v>
      </c>
      <c r="E529" s="614" t="s">
        <v>26</v>
      </c>
      <c r="F529" s="614" t="s">
        <v>3571</v>
      </c>
      <c r="G529" s="614" t="s">
        <v>3202</v>
      </c>
      <c r="H529" s="614">
        <v>4.0</v>
      </c>
      <c r="I529" s="614" t="s">
        <v>3203</v>
      </c>
      <c r="J529" s="614" t="s">
        <v>3253</v>
      </c>
      <c r="K529" s="614" t="str">
        <f>IFERROR(__xludf.DUMMYFUNCTION("LET(
  r, C529,
  t, J529,
  cons, LOWER(TO_TEXT(O529))=""true"",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 зм")</f>
        <v>600 зм</v>
      </c>
      <c r="L529" s="616" t="str">
        <f t="shared" si="4"/>
        <v>Мажор</v>
      </c>
      <c r="M529" s="616"/>
      <c r="N529" s="615">
        <v>0.0</v>
      </c>
      <c r="O529" s="616" t="b">
        <v>0</v>
      </c>
      <c r="P529" s="614" t="s">
        <v>4308</v>
      </c>
      <c r="Q529" s="617" t="s">
        <v>4309</v>
      </c>
      <c r="R529" s="616">
        <f t="shared" si="2"/>
        <v>1200</v>
      </c>
    </row>
    <row r="530">
      <c r="A530" s="614">
        <v>529.0</v>
      </c>
      <c r="B530" s="615" t="s">
        <v>4310</v>
      </c>
      <c r="C530" s="614" t="s">
        <v>3578</v>
      </c>
      <c r="D530" s="614" t="s">
        <v>3881</v>
      </c>
      <c r="E530" s="614" t="s">
        <v>26</v>
      </c>
      <c r="F530" s="614" t="s">
        <v>3571</v>
      </c>
      <c r="G530" s="614" t="s">
        <v>3202</v>
      </c>
      <c r="H530" s="614">
        <v>6.0</v>
      </c>
      <c r="I530" s="614" t="s">
        <v>3203</v>
      </c>
      <c r="J530" s="614" t="s">
        <v>3253</v>
      </c>
      <c r="K530" s="614" t="str">
        <f>IFERROR(__xludf.DUMMYFUNCTION("LET(
  r, C530,
  t, J530,
  cons, LOWER(TO_TEXT(O530))=""true"",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)"),"6000 зм")</f>
        <v>6000 зм</v>
      </c>
      <c r="L530" s="616" t="str">
        <f t="shared" si="4"/>
        <v>Мажор</v>
      </c>
      <c r="M530" s="616"/>
      <c r="N530" s="615">
        <v>0.0</v>
      </c>
      <c r="O530" s="616" t="b">
        <v>0</v>
      </c>
      <c r="P530" s="614" t="s">
        <v>4308</v>
      </c>
      <c r="Q530" s="617" t="s">
        <v>4311</v>
      </c>
      <c r="R530" s="616">
        <f t="shared" si="2"/>
        <v>6000</v>
      </c>
    </row>
    <row r="531">
      <c r="A531" s="614">
        <v>530.0</v>
      </c>
      <c r="B531" s="615" t="s">
        <v>4312</v>
      </c>
      <c r="C531" s="614" t="s">
        <v>3194</v>
      </c>
      <c r="D531" s="614" t="s">
        <v>3881</v>
      </c>
      <c r="E531" s="614" t="s">
        <v>26</v>
      </c>
      <c r="F531" s="614" t="s">
        <v>3571</v>
      </c>
      <c r="G531" s="614" t="s">
        <v>3202</v>
      </c>
      <c r="H531" s="614">
        <v>8.0</v>
      </c>
      <c r="I531" s="614" t="s">
        <v>3203</v>
      </c>
      <c r="J531" s="614" t="s">
        <v>3253</v>
      </c>
      <c r="K531" s="614" t="str">
        <f>IFERROR(__xludf.DUMMYFUNCTION("LET(
  r, C531,
  t, J531,
  cons, LOWER(TO_TEXT(O531))=""true"",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)"),"45000 зм")</f>
        <v>45000 зм</v>
      </c>
      <c r="L531" s="616" t="str">
        <f t="shared" si="4"/>
        <v>Мажор</v>
      </c>
      <c r="M531" s="616"/>
      <c r="N531" s="615">
        <v>0.0</v>
      </c>
      <c r="O531" s="616" t="b">
        <v>0</v>
      </c>
      <c r="P531" s="614" t="s">
        <v>4308</v>
      </c>
      <c r="Q531" s="617" t="s">
        <v>4313</v>
      </c>
      <c r="R531" s="616">
        <f t="shared" si="2"/>
        <v>18000</v>
      </c>
    </row>
    <row r="532">
      <c r="A532" s="614">
        <v>531.0</v>
      </c>
      <c r="B532" s="615" t="s">
        <v>4314</v>
      </c>
      <c r="C532" s="614" t="s">
        <v>3422</v>
      </c>
      <c r="D532" s="614" t="s">
        <v>3881</v>
      </c>
      <c r="E532" s="614" t="s">
        <v>26</v>
      </c>
      <c r="F532" s="614" t="s">
        <v>3571</v>
      </c>
      <c r="G532" s="614" t="s">
        <v>3202</v>
      </c>
      <c r="H532" s="614">
        <v>10.0</v>
      </c>
      <c r="I532" s="614" t="s">
        <v>3203</v>
      </c>
      <c r="J532" s="614" t="s">
        <v>3253</v>
      </c>
      <c r="K532" s="614" t="str">
        <f>IFERROR(__xludf.DUMMYFUNCTION("LET(
  r, C532,
  t, J532,
  cons, LOWER(TO_TEXT(O532))=""true"",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)"),"300000 зм")</f>
        <v>300000 зм</v>
      </c>
      <c r="L532" s="616" t="str">
        <f t="shared" si="4"/>
        <v>Мажор</v>
      </c>
      <c r="M532" s="616"/>
      <c r="N532" s="615">
        <v>0.0</v>
      </c>
      <c r="O532" s="616" t="b">
        <v>0</v>
      </c>
      <c r="P532" s="614" t="s">
        <v>4308</v>
      </c>
      <c r="Q532" s="617" t="s">
        <v>4315</v>
      </c>
      <c r="R532" s="616">
        <f t="shared" si="2"/>
        <v>60000</v>
      </c>
    </row>
    <row r="533">
      <c r="A533" s="614">
        <v>532.0</v>
      </c>
      <c r="B533" s="615" t="s">
        <v>4316</v>
      </c>
      <c r="C533" s="614" t="s">
        <v>3422</v>
      </c>
      <c r="D533" s="614" t="s">
        <v>3881</v>
      </c>
      <c r="E533" s="614" t="s">
        <v>26</v>
      </c>
      <c r="F533" s="614" t="s">
        <v>3571</v>
      </c>
      <c r="G533" s="614" t="s">
        <v>3202</v>
      </c>
      <c r="H533" s="614">
        <v>10.0</v>
      </c>
      <c r="I533" s="614" t="s">
        <v>3203</v>
      </c>
      <c r="J533" s="614" t="s">
        <v>3253</v>
      </c>
      <c r="K533" s="614" t="str">
        <f>IFERROR(__xludf.DUMMYFUNCTION("LET(
  r, C533,
  t, J533,
  cons, LOWER(TO_TEXT(O533))=""true"",
  base, SWITCH(r,
    ""Обычный"", ""1d6"",
    ""Необычный"", ""1d6"",
    ""Редкий"", ""1d6"",
    ""Очень редкий"", ""1d8"",
    ""Легендарный"", ""2d6"",
    """"
  ),
  n, VALUE(REGE"&amp;"XEXTRACT(base, ""^\d+"")),
  s, VALUE(REGEXEXTRACT(base, ""d(\d+)$"")),
  mode, SWITCH(t,
    ""Невыгодные"", ""ADV"",
    ""Выгодные"", ""DIS"",
    ""Нормальные"", ""NORM"",
    ""Удачные"", ""MIN"",
    ""Провальные"", ""MAX"",
    ""Невозможные"", """&amp;"NO"",
    ""Запрещённые"", ""NO"",
    ""NORM""
  ),
  dice, IF(mode=""ADV"",
          (n+1)&amp;""d""&amp;s&amp;""kh""&amp;n,
        IF(mode=""DIS"",
          (n+1)&amp;""d""&amp;s&amp;""kl""&amp;n,
          base
        )
  ),
  rollPrice, SWITCH(r,
    ""Обычный"", ""(""&amp;dice&amp;"&amp;"""+1)*10 зм"",
    ""Необычный"", dice&amp;""*100 зм"",
    ""Редкий"", dice&amp;""*1000 зм"",
    ""Очень редкий"", ""(""&amp;dice&amp;""+1)*5000 зм"",
    ""Легендарный"", dice&amp;""*25000 зм"",
    """"
  ),
  minPrice, SWITCH(r,
    ""Обычный"", ""20 зм"",
    ""Необыч"&amp;"ный"", ""100 зм"",
    ""Редкий"", ""1000 зм"",
    ""Очень редкий"", ""10000 зм"",
    ""Легендарный"", ""50000 зм"",
    """"
  ),
  maxPrice, SWITCH(r,
    ""Обычный"", ""70 зм"",
    ""Необычный"", ""600 зм"",
    ""Редкий"", ""6000 зм"",
    ""Очень"&amp;" редкий"", ""45000 зм"",
    ""Легендарный"", ""300000 зм"",
    """"
  ),
  price, IF(mode=""NO"", ""—"",
          IF(mode=""MIN"", minPrice,
            IF(mode=""MAX"", maxPrice,
              rollPrice
            )
          )
  ),
  IF(price=""—"&amp;""", ""—"",
    IF(NOT(cons), price,
      LET(
        mult, IFERROR(VALUE(REGEXEXTRACT(price, ""\*(\d+)\s*зм$"")), ),
        fixed, IFERROR(VALUE(REGEXEXTRACT(price, ""^(\d+)\s*зм$"")), ),
        IF(mult&lt;&gt;"""", REGEXREPLACE(price, ""\*(\d+)\s*зм$"", "&amp;"""*""&amp;(mult/2)&amp;"" зм""),
          IF(fixed&lt;&gt;"""", (fixed/2)&amp;"" зм"",
            REGEXREPLACE(price, ""\s*зм$"", """")&amp;""/2 зм""
          )
        )
      )
    )
  )
)"),"300000 зм")</f>
        <v>300000 зм</v>
      </c>
      <c r="L533" s="616" t="str">
        <f t="shared" si="4"/>
        <v>Мажор</v>
      </c>
      <c r="M533" s="616"/>
      <c r="N533" s="615">
        <v>0.0</v>
      </c>
      <c r="O533" s="616" t="b">
        <v>0</v>
      </c>
      <c r="P533" s="614" t="s">
        <v>4308</v>
      </c>
      <c r="Q533" s="617" t="s">
        <v>4317</v>
      </c>
      <c r="R533" s="616">
        <f t="shared" si="2"/>
        <v>60000</v>
      </c>
    </row>
    <row r="534">
      <c r="A534" s="620">
        <v>533.0</v>
      </c>
      <c r="B534" s="621"/>
      <c r="C534" s="620"/>
      <c r="D534" s="620"/>
      <c r="E534" s="620"/>
      <c r="F534" s="620"/>
      <c r="G534" s="620"/>
      <c r="H534" s="620"/>
      <c r="I534" s="620"/>
      <c r="J534" s="620"/>
      <c r="K534" s="620"/>
      <c r="L534" s="620"/>
      <c r="M534" s="620"/>
      <c r="N534" s="621"/>
      <c r="O534" s="620"/>
      <c r="P534" s="620"/>
      <c r="Q534" s="622"/>
      <c r="R534" s="620"/>
    </row>
    <row r="535">
      <c r="A535" s="620">
        <v>534.0</v>
      </c>
      <c r="B535" s="621"/>
      <c r="C535" s="620"/>
      <c r="D535" s="620"/>
      <c r="E535" s="620"/>
      <c r="F535" s="620"/>
      <c r="G535" s="620"/>
      <c r="H535" s="620"/>
      <c r="I535" s="620"/>
      <c r="J535" s="620"/>
      <c r="K535" s="620"/>
      <c r="L535" s="620"/>
      <c r="M535" s="620"/>
      <c r="N535" s="621"/>
      <c r="O535" s="620"/>
      <c r="P535" s="620"/>
      <c r="Q535" s="622"/>
      <c r="R535" s="620"/>
    </row>
    <row r="536">
      <c r="A536" s="620">
        <v>535.0</v>
      </c>
      <c r="B536" s="621"/>
      <c r="C536" s="620"/>
      <c r="D536" s="620"/>
      <c r="E536" s="620"/>
      <c r="F536" s="620"/>
      <c r="G536" s="620"/>
      <c r="H536" s="620"/>
      <c r="I536" s="620"/>
      <c r="J536" s="620"/>
      <c r="K536" s="620"/>
      <c r="L536" s="620"/>
      <c r="M536" s="620"/>
      <c r="N536" s="621"/>
      <c r="O536" s="620"/>
      <c r="P536" s="620"/>
      <c r="Q536" s="622"/>
      <c r="R536" s="620"/>
    </row>
    <row r="537">
      <c r="A537" s="620">
        <v>536.0</v>
      </c>
      <c r="B537" s="621"/>
      <c r="C537" s="620"/>
      <c r="D537" s="620"/>
      <c r="E537" s="620"/>
      <c r="F537" s="620"/>
      <c r="G537" s="620"/>
      <c r="H537" s="620"/>
      <c r="I537" s="620"/>
      <c r="J537" s="620"/>
      <c r="K537" s="620"/>
      <c r="L537" s="620"/>
      <c r="M537" s="620"/>
      <c r="N537" s="621"/>
      <c r="O537" s="620"/>
      <c r="P537" s="620"/>
      <c r="Q537" s="622"/>
      <c r="R537" s="620"/>
    </row>
    <row r="538">
      <c r="A538" s="620">
        <v>537.0</v>
      </c>
      <c r="B538" s="621"/>
      <c r="C538" s="620"/>
      <c r="D538" s="620"/>
      <c r="E538" s="620"/>
      <c r="F538" s="620"/>
      <c r="G538" s="620"/>
      <c r="H538" s="620"/>
      <c r="I538" s="620"/>
      <c r="J538" s="620"/>
      <c r="K538" s="620"/>
      <c r="L538" s="620"/>
      <c r="M538" s="620"/>
      <c r="N538" s="621"/>
      <c r="O538" s="620"/>
      <c r="P538" s="620"/>
      <c r="Q538" s="622"/>
      <c r="R538" s="620"/>
    </row>
    <row r="539">
      <c r="A539" s="620">
        <v>538.0</v>
      </c>
      <c r="B539" s="621"/>
      <c r="C539" s="620"/>
      <c r="D539" s="620"/>
      <c r="E539" s="620"/>
      <c r="F539" s="620"/>
      <c r="G539" s="620"/>
      <c r="H539" s="620"/>
      <c r="I539" s="620"/>
      <c r="J539" s="620"/>
      <c r="K539" s="620"/>
      <c r="L539" s="620"/>
      <c r="M539" s="620"/>
      <c r="N539" s="621"/>
      <c r="O539" s="620"/>
      <c r="P539" s="620"/>
      <c r="Q539" s="622"/>
      <c r="R539" s="620"/>
    </row>
    <row r="540">
      <c r="A540" s="620">
        <v>539.0</v>
      </c>
      <c r="B540" s="621"/>
      <c r="C540" s="620"/>
      <c r="D540" s="620"/>
      <c r="E540" s="620"/>
      <c r="F540" s="620"/>
      <c r="G540" s="620"/>
      <c r="H540" s="620"/>
      <c r="I540" s="620"/>
      <c r="J540" s="620"/>
      <c r="K540" s="620"/>
      <c r="L540" s="620"/>
      <c r="M540" s="620"/>
      <c r="N540" s="621"/>
      <c r="O540" s="620"/>
      <c r="P540" s="620"/>
      <c r="Q540" s="622"/>
      <c r="R540" s="620"/>
    </row>
    <row r="541">
      <c r="A541" s="620">
        <v>540.0</v>
      </c>
      <c r="B541" s="621"/>
      <c r="C541" s="620"/>
      <c r="D541" s="620"/>
      <c r="E541" s="620"/>
      <c r="F541" s="620"/>
      <c r="G541" s="620"/>
      <c r="H541" s="620"/>
      <c r="I541" s="620"/>
      <c r="J541" s="620"/>
      <c r="K541" s="620"/>
      <c r="L541" s="620"/>
      <c r="M541" s="620"/>
      <c r="N541" s="621"/>
      <c r="O541" s="620"/>
      <c r="P541" s="620"/>
      <c r="Q541" s="622"/>
      <c r="R541" s="620"/>
    </row>
    <row r="542">
      <c r="A542" s="620">
        <v>541.0</v>
      </c>
      <c r="B542" s="621"/>
      <c r="C542" s="620"/>
      <c r="D542" s="620"/>
      <c r="E542" s="620"/>
      <c r="F542" s="620"/>
      <c r="G542" s="620"/>
      <c r="H542" s="620"/>
      <c r="I542" s="620"/>
      <c r="J542" s="620"/>
      <c r="K542" s="620"/>
      <c r="L542" s="620"/>
      <c r="M542" s="620"/>
      <c r="N542" s="621"/>
      <c r="O542" s="620"/>
      <c r="P542" s="620"/>
      <c r="Q542" s="622"/>
      <c r="R542" s="620"/>
    </row>
    <row r="543">
      <c r="A543" s="620">
        <v>542.0</v>
      </c>
      <c r="B543" s="621"/>
      <c r="C543" s="620"/>
      <c r="D543" s="620"/>
      <c r="E543" s="620"/>
      <c r="F543" s="620"/>
      <c r="G543" s="620"/>
      <c r="H543" s="620"/>
      <c r="I543" s="620"/>
      <c r="J543" s="620"/>
      <c r="K543" s="620"/>
      <c r="L543" s="620"/>
      <c r="M543" s="620"/>
      <c r="N543" s="621"/>
      <c r="O543" s="620"/>
      <c r="P543" s="620"/>
      <c r="Q543" s="622"/>
      <c r="R543" s="620"/>
    </row>
    <row r="544">
      <c r="A544" s="620">
        <v>543.0</v>
      </c>
      <c r="B544" s="621"/>
      <c r="C544" s="620"/>
      <c r="D544" s="620"/>
      <c r="E544" s="620"/>
      <c r="F544" s="620"/>
      <c r="G544" s="620"/>
      <c r="H544" s="620"/>
      <c r="I544" s="620"/>
      <c r="J544" s="620"/>
      <c r="K544" s="620"/>
      <c r="L544" s="620"/>
      <c r="M544" s="620"/>
      <c r="N544" s="621"/>
      <c r="O544" s="620"/>
      <c r="P544" s="620"/>
      <c r="Q544" s="622"/>
      <c r="R544" s="620"/>
    </row>
    <row r="545">
      <c r="A545" s="620">
        <v>544.0</v>
      </c>
      <c r="B545" s="621"/>
      <c r="C545" s="620"/>
      <c r="D545" s="620"/>
      <c r="E545" s="620"/>
      <c r="F545" s="620"/>
      <c r="G545" s="620"/>
      <c r="H545" s="620"/>
      <c r="I545" s="620"/>
      <c r="J545" s="620"/>
      <c r="K545" s="620"/>
      <c r="L545" s="620"/>
      <c r="M545" s="620"/>
      <c r="N545" s="621"/>
      <c r="O545" s="620"/>
      <c r="P545" s="620"/>
      <c r="Q545" s="622"/>
      <c r="R545" s="620"/>
    </row>
    <row r="546">
      <c r="A546" s="620">
        <v>545.0</v>
      </c>
      <c r="B546" s="621"/>
      <c r="C546" s="620"/>
      <c r="D546" s="620"/>
      <c r="E546" s="620"/>
      <c r="F546" s="620"/>
      <c r="G546" s="620"/>
      <c r="H546" s="620"/>
      <c r="I546" s="620"/>
      <c r="J546" s="620"/>
      <c r="K546" s="620"/>
      <c r="L546" s="620"/>
      <c r="M546" s="620"/>
      <c r="N546" s="621"/>
      <c r="O546" s="620"/>
      <c r="P546" s="620"/>
      <c r="Q546" s="622"/>
      <c r="R546" s="620"/>
    </row>
    <row r="547">
      <c r="A547" s="620">
        <v>546.0</v>
      </c>
      <c r="B547" s="621"/>
      <c r="C547" s="620"/>
      <c r="D547" s="620"/>
      <c r="E547" s="620"/>
      <c r="F547" s="620"/>
      <c r="G547" s="620"/>
      <c r="H547" s="620"/>
      <c r="I547" s="620"/>
      <c r="J547" s="620"/>
      <c r="K547" s="620"/>
      <c r="L547" s="620"/>
      <c r="M547" s="620"/>
      <c r="N547" s="621"/>
      <c r="O547" s="620"/>
      <c r="P547" s="620"/>
      <c r="Q547" s="622"/>
      <c r="R547" s="620"/>
    </row>
    <row r="548">
      <c r="A548" s="620">
        <v>547.0</v>
      </c>
      <c r="B548" s="621"/>
      <c r="C548" s="620"/>
      <c r="D548" s="620"/>
      <c r="E548" s="620"/>
      <c r="F548" s="620"/>
      <c r="G548" s="620"/>
      <c r="H548" s="620"/>
      <c r="I548" s="620"/>
      <c r="J548" s="620"/>
      <c r="K548" s="620"/>
      <c r="L548" s="620"/>
      <c r="M548" s="620"/>
      <c r="N548" s="621"/>
      <c r="O548" s="620"/>
      <c r="P548" s="620"/>
      <c r="Q548" s="622"/>
      <c r="R548" s="620"/>
    </row>
    <row r="549">
      <c r="A549" s="620">
        <v>548.0</v>
      </c>
      <c r="B549" s="621"/>
      <c r="C549" s="620"/>
      <c r="D549" s="620"/>
      <c r="E549" s="620"/>
      <c r="F549" s="620"/>
      <c r="G549" s="620"/>
      <c r="H549" s="620"/>
      <c r="I549" s="620"/>
      <c r="J549" s="620"/>
      <c r="K549" s="620"/>
      <c r="L549" s="620"/>
      <c r="M549" s="620"/>
      <c r="N549" s="621"/>
      <c r="O549" s="620"/>
      <c r="P549" s="620"/>
      <c r="Q549" s="622"/>
      <c r="R549" s="620"/>
    </row>
    <row r="550">
      <c r="A550" s="620">
        <v>549.0</v>
      </c>
      <c r="B550" s="621"/>
      <c r="C550" s="620"/>
      <c r="D550" s="620"/>
      <c r="E550" s="620"/>
      <c r="F550" s="620"/>
      <c r="G550" s="620"/>
      <c r="H550" s="620"/>
      <c r="I550" s="620"/>
      <c r="J550" s="620"/>
      <c r="K550" s="620"/>
      <c r="L550" s="620"/>
      <c r="M550" s="620"/>
      <c r="N550" s="621"/>
      <c r="O550" s="620"/>
      <c r="P550" s="620"/>
      <c r="Q550" s="622"/>
      <c r="R550" s="620"/>
    </row>
    <row r="551">
      <c r="A551" s="620">
        <v>550.0</v>
      </c>
      <c r="B551" s="621"/>
      <c r="C551" s="620"/>
      <c r="D551" s="620"/>
      <c r="E551" s="620"/>
      <c r="F551" s="620"/>
      <c r="G551" s="620"/>
      <c r="H551" s="620"/>
      <c r="I551" s="620"/>
      <c r="J551" s="620"/>
      <c r="K551" s="620"/>
      <c r="L551" s="620"/>
      <c r="M551" s="620"/>
      <c r="N551" s="621"/>
      <c r="O551" s="620"/>
      <c r="P551" s="620"/>
      <c r="Q551" s="622"/>
      <c r="R551" s="620"/>
    </row>
    <row r="552">
      <c r="A552" s="620">
        <v>551.0</v>
      </c>
      <c r="B552" s="621"/>
      <c r="C552" s="620"/>
      <c r="D552" s="620"/>
      <c r="E552" s="620"/>
      <c r="F552" s="620"/>
      <c r="G552" s="620"/>
      <c r="H552" s="620"/>
      <c r="I552" s="620"/>
      <c r="J552" s="620"/>
      <c r="K552" s="620"/>
      <c r="L552" s="620"/>
      <c r="M552" s="620"/>
      <c r="N552" s="621"/>
      <c r="O552" s="620"/>
      <c r="P552" s="620"/>
      <c r="Q552" s="622"/>
      <c r="R552" s="620"/>
    </row>
    <row r="553">
      <c r="A553" s="620">
        <v>552.0</v>
      </c>
      <c r="B553" s="621"/>
      <c r="C553" s="620"/>
      <c r="D553" s="620"/>
      <c r="E553" s="620"/>
      <c r="F553" s="620"/>
      <c r="G553" s="620"/>
      <c r="H553" s="620"/>
      <c r="I553" s="620"/>
      <c r="J553" s="620"/>
      <c r="K553" s="620"/>
      <c r="L553" s="620"/>
      <c r="M553" s="620"/>
      <c r="N553" s="621"/>
      <c r="O553" s="620"/>
      <c r="P553" s="620"/>
      <c r="Q553" s="622"/>
      <c r="R553" s="620"/>
    </row>
    <row r="554">
      <c r="A554" s="620">
        <v>553.0</v>
      </c>
      <c r="B554" s="621"/>
      <c r="C554" s="620"/>
      <c r="D554" s="620"/>
      <c r="E554" s="620"/>
      <c r="F554" s="620"/>
      <c r="G554" s="620"/>
      <c r="H554" s="620"/>
      <c r="I554" s="620"/>
      <c r="J554" s="620"/>
      <c r="K554" s="620"/>
      <c r="L554" s="620"/>
      <c r="M554" s="620"/>
      <c r="N554" s="621"/>
      <c r="O554" s="620"/>
      <c r="P554" s="620"/>
      <c r="Q554" s="622"/>
      <c r="R554" s="620"/>
    </row>
    <row r="555">
      <c r="A555" s="620">
        <v>554.0</v>
      </c>
      <c r="B555" s="621"/>
      <c r="C555" s="620"/>
      <c r="D555" s="620"/>
      <c r="E555" s="620"/>
      <c r="F555" s="620"/>
      <c r="G555" s="620"/>
      <c r="H555" s="620"/>
      <c r="I555" s="620"/>
      <c r="J555" s="620"/>
      <c r="K555" s="620"/>
      <c r="L555" s="620"/>
      <c r="M555" s="620"/>
      <c r="N555" s="621"/>
      <c r="O555" s="620"/>
      <c r="P555" s="620"/>
      <c r="Q555" s="622"/>
      <c r="R555" s="620"/>
    </row>
    <row r="556">
      <c r="A556" s="620">
        <v>555.0</v>
      </c>
      <c r="B556" s="621"/>
      <c r="C556" s="620"/>
      <c r="D556" s="620"/>
      <c r="E556" s="620"/>
      <c r="F556" s="620"/>
      <c r="G556" s="620"/>
      <c r="H556" s="620"/>
      <c r="I556" s="620"/>
      <c r="J556" s="620"/>
      <c r="K556" s="620"/>
      <c r="L556" s="620"/>
      <c r="M556" s="620"/>
      <c r="N556" s="621"/>
      <c r="O556" s="620"/>
      <c r="P556" s="620"/>
      <c r="Q556" s="622"/>
      <c r="R556" s="620"/>
    </row>
    <row r="557">
      <c r="A557" s="620">
        <v>556.0</v>
      </c>
      <c r="B557" s="621"/>
      <c r="C557" s="620"/>
      <c r="D557" s="620"/>
      <c r="E557" s="620"/>
      <c r="F557" s="620"/>
      <c r="G557" s="620"/>
      <c r="H557" s="620"/>
      <c r="I557" s="620"/>
      <c r="J557" s="620"/>
      <c r="K557" s="620"/>
      <c r="L557" s="620"/>
      <c r="M557" s="620"/>
      <c r="N557" s="621"/>
      <c r="O557" s="620"/>
      <c r="P557" s="620"/>
      <c r="Q557" s="622"/>
      <c r="R557" s="620"/>
    </row>
    <row r="558">
      <c r="A558" s="620">
        <v>557.0</v>
      </c>
      <c r="B558" s="621"/>
      <c r="C558" s="620"/>
      <c r="D558" s="620"/>
      <c r="E558" s="620"/>
      <c r="F558" s="620"/>
      <c r="G558" s="620"/>
      <c r="H558" s="620"/>
      <c r="I558" s="620"/>
      <c r="J558" s="620"/>
      <c r="K558" s="620"/>
      <c r="L558" s="620"/>
      <c r="M558" s="620"/>
      <c r="N558" s="621"/>
      <c r="O558" s="620"/>
      <c r="P558" s="620"/>
      <c r="Q558" s="622"/>
      <c r="R558" s="620"/>
    </row>
    <row r="559">
      <c r="A559" s="620">
        <v>558.0</v>
      </c>
      <c r="B559" s="621"/>
      <c r="C559" s="620"/>
      <c r="D559" s="620"/>
      <c r="E559" s="620"/>
      <c r="F559" s="620"/>
      <c r="G559" s="620"/>
      <c r="H559" s="620"/>
      <c r="I559" s="620"/>
      <c r="J559" s="620"/>
      <c r="K559" s="620"/>
      <c r="L559" s="620"/>
      <c r="M559" s="620"/>
      <c r="N559" s="621"/>
      <c r="O559" s="620"/>
      <c r="P559" s="620"/>
      <c r="Q559" s="622"/>
      <c r="R559" s="620"/>
    </row>
    <row r="560">
      <c r="A560" s="620">
        <v>559.0</v>
      </c>
      <c r="B560" s="621"/>
      <c r="C560" s="620"/>
      <c r="D560" s="620"/>
      <c r="E560" s="620"/>
      <c r="F560" s="620"/>
      <c r="G560" s="620"/>
      <c r="H560" s="620"/>
      <c r="I560" s="620"/>
      <c r="J560" s="620"/>
      <c r="K560" s="620"/>
      <c r="L560" s="620"/>
      <c r="M560" s="620"/>
      <c r="N560" s="621"/>
      <c r="O560" s="620"/>
      <c r="P560" s="620"/>
      <c r="Q560" s="622"/>
      <c r="R560" s="620"/>
    </row>
    <row r="561">
      <c r="A561" s="620">
        <v>560.0</v>
      </c>
      <c r="B561" s="621"/>
      <c r="C561" s="620"/>
      <c r="D561" s="620"/>
      <c r="E561" s="620"/>
      <c r="F561" s="620"/>
      <c r="G561" s="620"/>
      <c r="H561" s="620"/>
      <c r="I561" s="620"/>
      <c r="J561" s="620"/>
      <c r="K561" s="620"/>
      <c r="L561" s="620"/>
      <c r="M561" s="620"/>
      <c r="N561" s="621"/>
      <c r="O561" s="620"/>
      <c r="P561" s="620"/>
      <c r="Q561" s="622"/>
      <c r="R561" s="620"/>
    </row>
    <row r="562">
      <c r="A562" s="620">
        <v>561.0</v>
      </c>
      <c r="B562" s="621"/>
      <c r="C562" s="620"/>
      <c r="D562" s="620"/>
      <c r="E562" s="620"/>
      <c r="F562" s="620"/>
      <c r="G562" s="620"/>
      <c r="H562" s="620"/>
      <c r="I562" s="620"/>
      <c r="J562" s="620"/>
      <c r="K562" s="620"/>
      <c r="L562" s="620"/>
      <c r="M562" s="620"/>
      <c r="N562" s="621"/>
      <c r="O562" s="620"/>
      <c r="P562" s="620"/>
      <c r="Q562" s="622"/>
      <c r="R562" s="620"/>
    </row>
    <row r="563">
      <c r="A563" s="620">
        <v>562.0</v>
      </c>
      <c r="B563" s="621"/>
      <c r="C563" s="620"/>
      <c r="D563" s="620"/>
      <c r="E563" s="620"/>
      <c r="F563" s="620"/>
      <c r="G563" s="620"/>
      <c r="H563" s="620"/>
      <c r="I563" s="620"/>
      <c r="J563" s="620"/>
      <c r="K563" s="620"/>
      <c r="L563" s="620"/>
      <c r="M563" s="620"/>
      <c r="N563" s="621"/>
      <c r="O563" s="620"/>
      <c r="P563" s="620"/>
      <c r="Q563" s="622"/>
      <c r="R563" s="620"/>
    </row>
    <row r="564">
      <c r="A564" s="620">
        <v>563.0</v>
      </c>
      <c r="B564" s="621"/>
      <c r="C564" s="620"/>
      <c r="D564" s="620"/>
      <c r="E564" s="620"/>
      <c r="F564" s="620"/>
      <c r="G564" s="620"/>
      <c r="H564" s="620"/>
      <c r="I564" s="620"/>
      <c r="J564" s="620"/>
      <c r="K564" s="620"/>
      <c r="L564" s="620"/>
      <c r="M564" s="620"/>
      <c r="N564" s="621"/>
      <c r="O564" s="620"/>
      <c r="P564" s="620"/>
      <c r="Q564" s="622"/>
      <c r="R564" s="620"/>
    </row>
    <row r="565">
      <c r="A565" s="620">
        <v>564.0</v>
      </c>
      <c r="B565" s="621"/>
      <c r="C565" s="620"/>
      <c r="D565" s="620"/>
      <c r="E565" s="620"/>
      <c r="F565" s="620"/>
      <c r="G565" s="620"/>
      <c r="H565" s="620"/>
      <c r="I565" s="620"/>
      <c r="J565" s="620"/>
      <c r="K565" s="620"/>
      <c r="L565" s="620"/>
      <c r="M565" s="620"/>
      <c r="N565" s="621"/>
      <c r="O565" s="620"/>
      <c r="P565" s="620"/>
      <c r="Q565" s="622"/>
      <c r="R565" s="620"/>
    </row>
    <row r="566">
      <c r="A566" s="620">
        <v>565.0</v>
      </c>
      <c r="B566" s="621"/>
      <c r="C566" s="620"/>
      <c r="D566" s="620"/>
      <c r="E566" s="620"/>
      <c r="F566" s="620"/>
      <c r="G566" s="620"/>
      <c r="H566" s="620"/>
      <c r="I566" s="620"/>
      <c r="J566" s="620"/>
      <c r="K566" s="620"/>
      <c r="L566" s="620"/>
      <c r="M566" s="620"/>
      <c r="N566" s="621"/>
      <c r="O566" s="620"/>
      <c r="P566" s="620"/>
      <c r="Q566" s="622"/>
      <c r="R566" s="620"/>
    </row>
    <row r="567">
      <c r="A567" s="620">
        <v>566.0</v>
      </c>
      <c r="B567" s="621"/>
      <c r="C567" s="620"/>
      <c r="D567" s="620"/>
      <c r="E567" s="620"/>
      <c r="F567" s="620"/>
      <c r="G567" s="620"/>
      <c r="H567" s="620"/>
      <c r="I567" s="620"/>
      <c r="J567" s="620"/>
      <c r="K567" s="620"/>
      <c r="L567" s="620"/>
      <c r="M567" s="620"/>
      <c r="N567" s="621"/>
      <c r="O567" s="620"/>
      <c r="P567" s="620"/>
      <c r="Q567" s="622"/>
      <c r="R567" s="620"/>
    </row>
    <row r="568">
      <c r="A568" s="620">
        <v>567.0</v>
      </c>
      <c r="B568" s="621"/>
      <c r="C568" s="620"/>
      <c r="D568" s="620"/>
      <c r="E568" s="620"/>
      <c r="F568" s="620"/>
      <c r="G568" s="620"/>
      <c r="H568" s="620"/>
      <c r="I568" s="620"/>
      <c r="J568" s="620"/>
      <c r="K568" s="620"/>
      <c r="L568" s="620"/>
      <c r="M568" s="620"/>
      <c r="N568" s="621"/>
      <c r="O568" s="620"/>
      <c r="P568" s="620"/>
      <c r="Q568" s="622"/>
      <c r="R568" s="620"/>
    </row>
    <row r="569">
      <c r="A569" s="620">
        <v>568.0</v>
      </c>
      <c r="B569" s="621"/>
      <c r="C569" s="620"/>
      <c r="D569" s="620"/>
      <c r="E569" s="620"/>
      <c r="F569" s="620"/>
      <c r="G569" s="620"/>
      <c r="H569" s="620"/>
      <c r="I569" s="620"/>
      <c r="J569" s="620"/>
      <c r="K569" s="620"/>
      <c r="L569" s="620"/>
      <c r="M569" s="620"/>
      <c r="N569" s="621"/>
      <c r="O569" s="620"/>
      <c r="P569" s="620"/>
      <c r="Q569" s="622"/>
      <c r="R569" s="620"/>
    </row>
    <row r="570">
      <c r="A570" s="620">
        <v>569.0</v>
      </c>
      <c r="B570" s="621"/>
      <c r="C570" s="620"/>
      <c r="D570" s="620"/>
      <c r="E570" s="620"/>
      <c r="F570" s="620"/>
      <c r="G570" s="620"/>
      <c r="H570" s="620"/>
      <c r="I570" s="620"/>
      <c r="J570" s="620"/>
      <c r="K570" s="620"/>
      <c r="L570" s="620"/>
      <c r="M570" s="620"/>
      <c r="N570" s="621"/>
      <c r="O570" s="620"/>
      <c r="P570" s="620"/>
      <c r="Q570" s="622"/>
      <c r="R570" s="620"/>
    </row>
    <row r="571">
      <c r="A571" s="620">
        <v>570.0</v>
      </c>
      <c r="B571" s="621"/>
      <c r="C571" s="620"/>
      <c r="D571" s="620"/>
      <c r="E571" s="620"/>
      <c r="F571" s="620"/>
      <c r="G571" s="620"/>
      <c r="H571" s="620"/>
      <c r="I571" s="620"/>
      <c r="J571" s="620"/>
      <c r="K571" s="620"/>
      <c r="L571" s="620"/>
      <c r="M571" s="620"/>
      <c r="N571" s="621"/>
      <c r="O571" s="620"/>
      <c r="P571" s="620"/>
      <c r="Q571" s="622"/>
      <c r="R571" s="620"/>
    </row>
    <row r="572">
      <c r="A572" s="620">
        <v>571.0</v>
      </c>
      <c r="B572" s="621"/>
      <c r="C572" s="620"/>
      <c r="D572" s="620"/>
      <c r="E572" s="620"/>
      <c r="F572" s="620"/>
      <c r="G572" s="620"/>
      <c r="H572" s="620"/>
      <c r="I572" s="620"/>
      <c r="J572" s="620"/>
      <c r="K572" s="620"/>
      <c r="L572" s="620"/>
      <c r="M572" s="620"/>
      <c r="N572" s="621"/>
      <c r="O572" s="620"/>
      <c r="P572" s="620"/>
      <c r="Q572" s="622"/>
      <c r="R572" s="620"/>
    </row>
    <row r="573">
      <c r="A573" s="620">
        <v>572.0</v>
      </c>
      <c r="B573" s="621"/>
      <c r="C573" s="620"/>
      <c r="D573" s="620"/>
      <c r="E573" s="620"/>
      <c r="F573" s="620"/>
      <c r="G573" s="620"/>
      <c r="H573" s="620"/>
      <c r="I573" s="620"/>
      <c r="J573" s="620"/>
      <c r="K573" s="620"/>
      <c r="L573" s="620"/>
      <c r="M573" s="620"/>
      <c r="N573" s="621"/>
      <c r="O573" s="620"/>
      <c r="P573" s="620"/>
      <c r="Q573" s="622"/>
      <c r="R573" s="620"/>
    </row>
    <row r="574">
      <c r="A574" s="620">
        <v>573.0</v>
      </c>
      <c r="B574" s="621"/>
      <c r="C574" s="620"/>
      <c r="D574" s="620"/>
      <c r="E574" s="620"/>
      <c r="F574" s="620"/>
      <c r="G574" s="620"/>
      <c r="H574" s="620"/>
      <c r="I574" s="620"/>
      <c r="J574" s="620"/>
      <c r="K574" s="620"/>
      <c r="L574" s="620"/>
      <c r="M574" s="620"/>
      <c r="N574" s="621"/>
      <c r="O574" s="620"/>
      <c r="P574" s="620"/>
      <c r="Q574" s="622"/>
      <c r="R574" s="620"/>
    </row>
    <row r="575">
      <c r="A575" s="620">
        <v>574.0</v>
      </c>
      <c r="B575" s="621"/>
      <c r="C575" s="620"/>
      <c r="D575" s="620"/>
      <c r="E575" s="620"/>
      <c r="F575" s="620"/>
      <c r="G575" s="620"/>
      <c r="H575" s="620"/>
      <c r="I575" s="620"/>
      <c r="J575" s="620"/>
      <c r="K575" s="620"/>
      <c r="L575" s="620"/>
      <c r="M575" s="620"/>
      <c r="N575" s="621"/>
      <c r="O575" s="620"/>
      <c r="P575" s="620"/>
      <c r="Q575" s="622"/>
      <c r="R575" s="620"/>
    </row>
    <row r="576">
      <c r="A576" s="620">
        <v>575.0</v>
      </c>
      <c r="B576" s="621"/>
      <c r="C576" s="620"/>
      <c r="D576" s="620"/>
      <c r="E576" s="620"/>
      <c r="F576" s="620"/>
      <c r="G576" s="620"/>
      <c r="H576" s="620"/>
      <c r="I576" s="620"/>
      <c r="J576" s="620"/>
      <c r="K576" s="620"/>
      <c r="L576" s="620"/>
      <c r="M576" s="620"/>
      <c r="N576" s="621"/>
      <c r="O576" s="620"/>
      <c r="P576" s="620"/>
      <c r="Q576" s="622"/>
      <c r="R576" s="620"/>
    </row>
    <row r="577">
      <c r="A577" s="620">
        <v>576.0</v>
      </c>
      <c r="B577" s="621"/>
      <c r="C577" s="620"/>
      <c r="D577" s="620"/>
      <c r="E577" s="620"/>
      <c r="F577" s="620"/>
      <c r="G577" s="620"/>
      <c r="H577" s="620"/>
      <c r="I577" s="620"/>
      <c r="J577" s="620"/>
      <c r="K577" s="620"/>
      <c r="L577" s="620"/>
      <c r="M577" s="620"/>
      <c r="N577" s="621"/>
      <c r="O577" s="620"/>
      <c r="P577" s="620"/>
      <c r="Q577" s="622"/>
      <c r="R577" s="620"/>
    </row>
    <row r="578">
      <c r="A578" s="620">
        <v>577.0</v>
      </c>
      <c r="B578" s="621"/>
      <c r="C578" s="620"/>
      <c r="D578" s="620"/>
      <c r="E578" s="620"/>
      <c r="F578" s="620"/>
      <c r="G578" s="620"/>
      <c r="H578" s="620"/>
      <c r="I578" s="620"/>
      <c r="J578" s="620"/>
      <c r="K578" s="620"/>
      <c r="L578" s="620"/>
      <c r="M578" s="620"/>
      <c r="N578" s="621"/>
      <c r="O578" s="620"/>
      <c r="P578" s="620"/>
      <c r="Q578" s="622"/>
      <c r="R578" s="620"/>
    </row>
    <row r="579">
      <c r="A579" s="620">
        <v>578.0</v>
      </c>
      <c r="B579" s="621"/>
      <c r="C579" s="620"/>
      <c r="D579" s="620"/>
      <c r="E579" s="620"/>
      <c r="F579" s="620"/>
      <c r="G579" s="620"/>
      <c r="H579" s="620"/>
      <c r="I579" s="620"/>
      <c r="J579" s="620"/>
      <c r="K579" s="620"/>
      <c r="L579" s="620"/>
      <c r="M579" s="620"/>
      <c r="N579" s="621"/>
      <c r="O579" s="620"/>
      <c r="P579" s="620"/>
      <c r="Q579" s="622"/>
      <c r="R579" s="620"/>
    </row>
    <row r="580">
      <c r="A580" s="620">
        <v>579.0</v>
      </c>
      <c r="B580" s="621"/>
      <c r="C580" s="620"/>
      <c r="D580" s="620"/>
      <c r="E580" s="620"/>
      <c r="F580" s="620"/>
      <c r="G580" s="620"/>
      <c r="H580" s="620"/>
      <c r="I580" s="620"/>
      <c r="J580" s="620"/>
      <c r="K580" s="620"/>
      <c r="L580" s="620"/>
      <c r="M580" s="620"/>
      <c r="N580" s="621"/>
      <c r="O580" s="620"/>
      <c r="P580" s="620"/>
      <c r="Q580" s="622"/>
      <c r="R580" s="620"/>
    </row>
    <row r="581">
      <c r="A581" s="620">
        <v>580.0</v>
      </c>
      <c r="B581" s="621"/>
      <c r="C581" s="620"/>
      <c r="D581" s="620"/>
      <c r="E581" s="620"/>
      <c r="F581" s="620"/>
      <c r="G581" s="620"/>
      <c r="H581" s="620"/>
      <c r="I581" s="620"/>
      <c r="J581" s="620"/>
      <c r="K581" s="620"/>
      <c r="L581" s="620"/>
      <c r="M581" s="620"/>
      <c r="N581" s="621"/>
      <c r="O581" s="620"/>
      <c r="P581" s="620"/>
      <c r="Q581" s="622"/>
      <c r="R581" s="620"/>
    </row>
    <row r="582">
      <c r="A582" s="620">
        <v>581.0</v>
      </c>
      <c r="B582" s="621"/>
      <c r="C582" s="620"/>
      <c r="D582" s="620"/>
      <c r="E582" s="620"/>
      <c r="F582" s="620"/>
      <c r="G582" s="620"/>
      <c r="H582" s="620"/>
      <c r="I582" s="620"/>
      <c r="J582" s="620"/>
      <c r="K582" s="620"/>
      <c r="L582" s="620"/>
      <c r="M582" s="620"/>
      <c r="N582" s="621"/>
      <c r="O582" s="620"/>
      <c r="P582" s="620"/>
      <c r="Q582" s="622"/>
      <c r="R582" s="620"/>
    </row>
    <row r="583">
      <c r="A583" s="620">
        <v>582.0</v>
      </c>
      <c r="B583" s="621"/>
      <c r="C583" s="620"/>
      <c r="D583" s="620"/>
      <c r="E583" s="620"/>
      <c r="F583" s="620"/>
      <c r="G583" s="620"/>
      <c r="H583" s="620"/>
      <c r="I583" s="620"/>
      <c r="J583" s="620"/>
      <c r="K583" s="620"/>
      <c r="L583" s="620"/>
      <c r="M583" s="620"/>
      <c r="N583" s="621"/>
      <c r="O583" s="620"/>
      <c r="P583" s="620"/>
      <c r="Q583" s="622"/>
      <c r="R583" s="620"/>
    </row>
    <row r="584">
      <c r="A584" s="620">
        <v>583.0</v>
      </c>
      <c r="B584" s="621"/>
      <c r="C584" s="620"/>
      <c r="D584" s="620"/>
      <c r="E584" s="620"/>
      <c r="F584" s="620"/>
      <c r="G584" s="620"/>
      <c r="H584" s="620"/>
      <c r="I584" s="620"/>
      <c r="J584" s="620"/>
      <c r="K584" s="620"/>
      <c r="L584" s="620"/>
      <c r="M584" s="620"/>
      <c r="N584" s="621"/>
      <c r="O584" s="620"/>
      <c r="P584" s="620"/>
      <c r="Q584" s="622"/>
      <c r="R584" s="620"/>
    </row>
    <row r="585">
      <c r="A585" s="620">
        <v>584.0</v>
      </c>
      <c r="B585" s="621"/>
      <c r="C585" s="620"/>
      <c r="D585" s="620"/>
      <c r="E585" s="620"/>
      <c r="F585" s="620"/>
      <c r="G585" s="620"/>
      <c r="H585" s="620"/>
      <c r="I585" s="620"/>
      <c r="J585" s="620"/>
      <c r="K585" s="620"/>
      <c r="L585" s="620"/>
      <c r="M585" s="620"/>
      <c r="N585" s="621"/>
      <c r="O585" s="620"/>
      <c r="P585" s="620"/>
      <c r="Q585" s="622"/>
      <c r="R585" s="620"/>
    </row>
    <row r="586">
      <c r="A586" s="620">
        <v>585.0</v>
      </c>
      <c r="B586" s="621"/>
      <c r="C586" s="620"/>
      <c r="D586" s="620"/>
      <c r="E586" s="620"/>
      <c r="F586" s="620"/>
      <c r="G586" s="620"/>
      <c r="H586" s="620"/>
      <c r="I586" s="620"/>
      <c r="J586" s="620"/>
      <c r="K586" s="620"/>
      <c r="L586" s="620"/>
      <c r="M586" s="620"/>
      <c r="N586" s="621"/>
      <c r="O586" s="620"/>
      <c r="P586" s="620"/>
      <c r="Q586" s="622"/>
      <c r="R586" s="620"/>
    </row>
    <row r="587">
      <c r="A587" s="620">
        <v>586.0</v>
      </c>
      <c r="B587" s="621"/>
      <c r="C587" s="620"/>
      <c r="D587" s="620"/>
      <c r="E587" s="620"/>
      <c r="F587" s="620"/>
      <c r="G587" s="620"/>
      <c r="H587" s="620"/>
      <c r="I587" s="620"/>
      <c r="J587" s="620"/>
      <c r="K587" s="620"/>
      <c r="L587" s="620"/>
      <c r="M587" s="620"/>
      <c r="N587" s="621"/>
      <c r="O587" s="620"/>
      <c r="P587" s="620"/>
      <c r="Q587" s="622"/>
      <c r="R587" s="620"/>
    </row>
    <row r="588">
      <c r="A588" s="620">
        <v>587.0</v>
      </c>
      <c r="B588" s="621"/>
      <c r="C588" s="620"/>
      <c r="D588" s="620"/>
      <c r="E588" s="620"/>
      <c r="F588" s="620"/>
      <c r="G588" s="620"/>
      <c r="H588" s="620"/>
      <c r="I588" s="620"/>
      <c r="J588" s="620"/>
      <c r="K588" s="620"/>
      <c r="L588" s="620"/>
      <c r="M588" s="620"/>
      <c r="N588" s="621"/>
      <c r="O588" s="620"/>
      <c r="P588" s="620"/>
      <c r="Q588" s="622"/>
      <c r="R588" s="620"/>
    </row>
    <row r="589">
      <c r="A589" s="620">
        <v>588.0</v>
      </c>
      <c r="B589" s="621"/>
      <c r="C589" s="620"/>
      <c r="D589" s="620"/>
      <c r="E589" s="620"/>
      <c r="F589" s="620"/>
      <c r="G589" s="620"/>
      <c r="H589" s="620"/>
      <c r="I589" s="620"/>
      <c r="J589" s="620"/>
      <c r="K589" s="620"/>
      <c r="L589" s="620"/>
      <c r="M589" s="620"/>
      <c r="N589" s="621"/>
      <c r="O589" s="620"/>
      <c r="P589" s="620"/>
      <c r="Q589" s="622"/>
      <c r="R589" s="620"/>
    </row>
    <row r="590">
      <c r="A590" s="620">
        <v>589.0</v>
      </c>
      <c r="B590" s="621"/>
      <c r="C590" s="620"/>
      <c r="D590" s="620"/>
      <c r="E590" s="620"/>
      <c r="F590" s="620"/>
      <c r="G590" s="620"/>
      <c r="H590" s="620"/>
      <c r="I590" s="620"/>
      <c r="J590" s="620"/>
      <c r="K590" s="620"/>
      <c r="L590" s="620"/>
      <c r="M590" s="620"/>
      <c r="N590" s="621"/>
      <c r="O590" s="620"/>
      <c r="P590" s="620"/>
      <c r="Q590" s="622"/>
      <c r="R590" s="620"/>
    </row>
    <row r="591">
      <c r="A591" s="620">
        <v>590.0</v>
      </c>
      <c r="B591" s="621"/>
      <c r="C591" s="620"/>
      <c r="D591" s="620"/>
      <c r="E591" s="620"/>
      <c r="F591" s="620"/>
      <c r="G591" s="620"/>
      <c r="H591" s="620"/>
      <c r="I591" s="620"/>
      <c r="J591" s="620"/>
      <c r="K591" s="620"/>
      <c r="L591" s="620"/>
      <c r="M591" s="620"/>
      <c r="N591" s="621"/>
      <c r="O591" s="620"/>
      <c r="P591" s="620"/>
      <c r="Q591" s="622"/>
      <c r="R591" s="620"/>
    </row>
    <row r="592">
      <c r="A592" s="620">
        <v>591.0</v>
      </c>
      <c r="B592" s="621"/>
      <c r="C592" s="620"/>
      <c r="D592" s="620"/>
      <c r="E592" s="620"/>
      <c r="F592" s="620"/>
      <c r="G592" s="620"/>
      <c r="H592" s="620"/>
      <c r="I592" s="620"/>
      <c r="J592" s="620"/>
      <c r="K592" s="620"/>
      <c r="L592" s="620"/>
      <c r="M592" s="620"/>
      <c r="N592" s="621"/>
      <c r="O592" s="620"/>
      <c r="P592" s="620"/>
      <c r="Q592" s="622"/>
      <c r="R592" s="620"/>
    </row>
    <row r="593">
      <c r="A593" s="620">
        <v>592.0</v>
      </c>
      <c r="B593" s="621"/>
      <c r="C593" s="620"/>
      <c r="D593" s="620"/>
      <c r="E593" s="620"/>
      <c r="F593" s="620"/>
      <c r="G593" s="620"/>
      <c r="H593" s="620"/>
      <c r="I593" s="620"/>
      <c r="J593" s="620"/>
      <c r="K593" s="620"/>
      <c r="L593" s="620"/>
      <c r="M593" s="620"/>
      <c r="N593" s="621"/>
      <c r="O593" s="620"/>
      <c r="P593" s="620"/>
      <c r="Q593" s="622"/>
      <c r="R593" s="620"/>
    </row>
    <row r="594">
      <c r="A594" s="620">
        <v>593.0</v>
      </c>
      <c r="B594" s="621"/>
      <c r="C594" s="620"/>
      <c r="D594" s="620"/>
      <c r="E594" s="620"/>
      <c r="F594" s="620"/>
      <c r="G594" s="620"/>
      <c r="H594" s="620"/>
      <c r="I594" s="620"/>
      <c r="J594" s="620"/>
      <c r="K594" s="620"/>
      <c r="L594" s="620"/>
      <c r="M594" s="620"/>
      <c r="N594" s="621"/>
      <c r="O594" s="620"/>
      <c r="P594" s="620"/>
      <c r="Q594" s="622"/>
      <c r="R594" s="620"/>
    </row>
    <row r="595">
      <c r="A595" s="620">
        <v>594.0</v>
      </c>
      <c r="B595" s="621"/>
      <c r="C595" s="620"/>
      <c r="D595" s="620"/>
      <c r="E595" s="620"/>
      <c r="F595" s="620"/>
      <c r="G595" s="620"/>
      <c r="H595" s="620"/>
      <c r="I595" s="620"/>
      <c r="J595" s="620"/>
      <c r="K595" s="620"/>
      <c r="L595" s="620"/>
      <c r="M595" s="620"/>
      <c r="N595" s="621"/>
      <c r="O595" s="620"/>
      <c r="P595" s="620"/>
      <c r="Q595" s="622"/>
      <c r="R595" s="620"/>
    </row>
    <row r="596">
      <c r="A596" s="620">
        <v>595.0</v>
      </c>
      <c r="B596" s="621"/>
      <c r="C596" s="620"/>
      <c r="D596" s="620"/>
      <c r="E596" s="620"/>
      <c r="F596" s="620"/>
      <c r="G596" s="620"/>
      <c r="H596" s="620"/>
      <c r="I596" s="620"/>
      <c r="J596" s="620"/>
      <c r="K596" s="620"/>
      <c r="L596" s="620"/>
      <c r="M596" s="620"/>
      <c r="N596" s="621"/>
      <c r="O596" s="620"/>
      <c r="P596" s="620"/>
      <c r="Q596" s="622"/>
      <c r="R596" s="620"/>
    </row>
    <row r="597">
      <c r="A597" s="620">
        <v>596.0</v>
      </c>
      <c r="B597" s="621"/>
      <c r="C597" s="620"/>
      <c r="D597" s="620"/>
      <c r="E597" s="620"/>
      <c r="F597" s="620"/>
      <c r="G597" s="620"/>
      <c r="H597" s="620"/>
      <c r="I597" s="620"/>
      <c r="J597" s="620"/>
      <c r="K597" s="620"/>
      <c r="L597" s="620"/>
      <c r="M597" s="620"/>
      <c r="N597" s="621"/>
      <c r="O597" s="620"/>
      <c r="P597" s="620"/>
      <c r="Q597" s="622"/>
      <c r="R597" s="620"/>
    </row>
    <row r="598">
      <c r="A598" s="620">
        <v>597.0</v>
      </c>
      <c r="B598" s="621"/>
      <c r="C598" s="620"/>
      <c r="D598" s="620"/>
      <c r="E598" s="620"/>
      <c r="F598" s="620"/>
      <c r="G598" s="620"/>
      <c r="H598" s="620"/>
      <c r="I598" s="620"/>
      <c r="J598" s="620"/>
      <c r="K598" s="620"/>
      <c r="L598" s="620"/>
      <c r="M598" s="620"/>
      <c r="N598" s="621"/>
      <c r="O598" s="620"/>
      <c r="P598" s="620"/>
      <c r="Q598" s="622"/>
      <c r="R598" s="620"/>
    </row>
    <row r="599">
      <c r="A599" s="620">
        <v>598.0</v>
      </c>
      <c r="B599" s="621"/>
      <c r="C599" s="620"/>
      <c r="D599" s="620"/>
      <c r="E599" s="620"/>
      <c r="F599" s="620"/>
      <c r="G599" s="620"/>
      <c r="H599" s="620"/>
      <c r="I599" s="620"/>
      <c r="J599" s="620"/>
      <c r="K599" s="620"/>
      <c r="L599" s="620"/>
      <c r="M599" s="620"/>
      <c r="N599" s="621"/>
      <c r="O599" s="620"/>
      <c r="P599" s="620"/>
      <c r="Q599" s="622"/>
      <c r="R599" s="620"/>
    </row>
    <row r="600">
      <c r="A600" s="620">
        <v>599.0</v>
      </c>
      <c r="B600" s="621"/>
      <c r="C600" s="620"/>
      <c r="D600" s="620"/>
      <c r="E600" s="620"/>
      <c r="F600" s="620"/>
      <c r="G600" s="620"/>
      <c r="H600" s="620"/>
      <c r="I600" s="620"/>
      <c r="J600" s="620"/>
      <c r="K600" s="620"/>
      <c r="L600" s="620"/>
      <c r="M600" s="620"/>
      <c r="N600" s="621"/>
      <c r="O600" s="620"/>
      <c r="P600" s="620"/>
      <c r="Q600" s="622"/>
      <c r="R600" s="620"/>
    </row>
    <row r="601">
      <c r="A601" s="620">
        <v>600.0</v>
      </c>
      <c r="B601" s="621"/>
      <c r="C601" s="620"/>
      <c r="D601" s="620"/>
      <c r="E601" s="620"/>
      <c r="F601" s="620"/>
      <c r="G601" s="620"/>
      <c r="H601" s="620"/>
      <c r="I601" s="620"/>
      <c r="J601" s="620"/>
      <c r="K601" s="620"/>
      <c r="L601" s="620"/>
      <c r="M601" s="620"/>
      <c r="N601" s="621"/>
      <c r="O601" s="620"/>
      <c r="P601" s="620"/>
      <c r="Q601" s="622"/>
      <c r="R601" s="620"/>
    </row>
    <row r="602">
      <c r="A602" s="620">
        <v>601.0</v>
      </c>
      <c r="B602" s="621"/>
      <c r="C602" s="620"/>
      <c r="D602" s="620"/>
      <c r="E602" s="620"/>
      <c r="F602" s="620"/>
      <c r="G602" s="620"/>
      <c r="H602" s="620"/>
      <c r="I602" s="620"/>
      <c r="J602" s="620"/>
      <c r="K602" s="620"/>
      <c r="L602" s="620"/>
      <c r="M602" s="620"/>
      <c r="N602" s="621"/>
      <c r="O602" s="620"/>
      <c r="P602" s="620"/>
      <c r="Q602" s="622"/>
      <c r="R602" s="620"/>
    </row>
    <row r="603">
      <c r="A603" s="620">
        <v>602.0</v>
      </c>
      <c r="B603" s="621"/>
      <c r="C603" s="620"/>
      <c r="D603" s="620"/>
      <c r="E603" s="620"/>
      <c r="F603" s="620"/>
      <c r="G603" s="620"/>
      <c r="H603" s="620"/>
      <c r="I603" s="620"/>
      <c r="J603" s="620"/>
      <c r="K603" s="620"/>
      <c r="L603" s="620"/>
      <c r="M603" s="620"/>
      <c r="N603" s="621"/>
      <c r="O603" s="620"/>
      <c r="P603" s="620"/>
      <c r="Q603" s="622"/>
      <c r="R603" s="620"/>
    </row>
    <row r="604">
      <c r="A604" s="620">
        <v>603.0</v>
      </c>
      <c r="B604" s="621"/>
      <c r="C604" s="620"/>
      <c r="D604" s="620"/>
      <c r="E604" s="620"/>
      <c r="F604" s="620"/>
      <c r="G604" s="620"/>
      <c r="H604" s="620"/>
      <c r="I604" s="620"/>
      <c r="J604" s="620"/>
      <c r="K604" s="620"/>
      <c r="L604" s="620"/>
      <c r="M604" s="620"/>
      <c r="N604" s="621"/>
      <c r="O604" s="620"/>
      <c r="P604" s="620"/>
      <c r="Q604" s="622"/>
      <c r="R604" s="620"/>
    </row>
    <row r="605">
      <c r="A605" s="620">
        <v>604.0</v>
      </c>
      <c r="B605" s="621"/>
      <c r="C605" s="620"/>
      <c r="D605" s="620"/>
      <c r="E605" s="620"/>
      <c r="F605" s="620"/>
      <c r="G605" s="620"/>
      <c r="H605" s="620"/>
      <c r="I605" s="620"/>
      <c r="J605" s="620"/>
      <c r="K605" s="620"/>
      <c r="L605" s="620"/>
      <c r="M605" s="620"/>
      <c r="N605" s="621"/>
      <c r="O605" s="620"/>
      <c r="P605" s="620"/>
      <c r="Q605" s="622"/>
      <c r="R605" s="620"/>
    </row>
    <row r="606">
      <c r="A606" s="139"/>
      <c r="B606" s="191"/>
      <c r="C606" s="139"/>
      <c r="D606" s="139"/>
      <c r="E606" s="139"/>
      <c r="F606" s="139"/>
      <c r="G606" s="139"/>
      <c r="H606" s="139"/>
      <c r="I606" s="139"/>
      <c r="J606" s="139"/>
      <c r="K606" s="139"/>
      <c r="L606" s="139"/>
      <c r="M606" s="139"/>
      <c r="N606" s="191"/>
      <c r="O606" s="139"/>
      <c r="P606" s="139"/>
      <c r="Q606" s="196"/>
      <c r="R606" s="139"/>
    </row>
    <row r="607">
      <c r="A607" s="139"/>
      <c r="B607" s="191"/>
      <c r="C607" s="139"/>
      <c r="D607" s="139"/>
      <c r="E607" s="139"/>
      <c r="F607" s="139"/>
      <c r="G607" s="139"/>
      <c r="H607" s="139"/>
      <c r="I607" s="139"/>
      <c r="J607" s="139"/>
      <c r="K607" s="139"/>
      <c r="L607" s="139"/>
      <c r="M607" s="139"/>
      <c r="N607" s="191"/>
      <c r="O607" s="139"/>
      <c r="P607" s="139"/>
      <c r="Q607" s="196"/>
      <c r="R607" s="139"/>
    </row>
    <row r="608">
      <c r="A608" s="139"/>
      <c r="B608" s="191"/>
      <c r="C608" s="139"/>
      <c r="D608" s="139"/>
      <c r="E608" s="139"/>
      <c r="F608" s="139"/>
      <c r="G608" s="139"/>
      <c r="H608" s="139"/>
      <c r="I608" s="139"/>
      <c r="J608" s="139"/>
      <c r="K608" s="139"/>
      <c r="L608" s="139"/>
      <c r="M608" s="139"/>
      <c r="N608" s="191"/>
      <c r="O608" s="139"/>
      <c r="P608" s="139"/>
      <c r="Q608" s="196"/>
      <c r="R608" s="139"/>
    </row>
    <row r="609">
      <c r="A609" s="139"/>
      <c r="B609" s="191"/>
      <c r="C609" s="139"/>
      <c r="D609" s="139"/>
      <c r="E609" s="139"/>
      <c r="F609" s="139"/>
      <c r="G609" s="139"/>
      <c r="H609" s="139"/>
      <c r="I609" s="139"/>
      <c r="J609" s="139"/>
      <c r="K609" s="139"/>
      <c r="L609" s="139"/>
      <c r="M609" s="139"/>
      <c r="N609" s="191"/>
      <c r="O609" s="139"/>
      <c r="P609" s="139"/>
      <c r="Q609" s="196"/>
      <c r="R609" s="139"/>
    </row>
    <row r="610">
      <c r="A610" s="139"/>
      <c r="B610" s="191"/>
      <c r="C610" s="139"/>
      <c r="D610" s="139"/>
      <c r="E610" s="139"/>
      <c r="F610" s="139"/>
      <c r="G610" s="139"/>
      <c r="H610" s="139"/>
      <c r="I610" s="139"/>
      <c r="J610" s="139"/>
      <c r="K610" s="139"/>
      <c r="L610" s="139"/>
      <c r="M610" s="139"/>
      <c r="N610" s="191"/>
      <c r="O610" s="139"/>
      <c r="P610" s="139"/>
      <c r="Q610" s="196"/>
      <c r="R610" s="139"/>
    </row>
    <row r="611">
      <c r="A611" s="139"/>
      <c r="B611" s="191"/>
      <c r="C611" s="139"/>
      <c r="D611" s="139"/>
      <c r="E611" s="139"/>
      <c r="F611" s="139"/>
      <c r="G611" s="139"/>
      <c r="H611" s="139"/>
      <c r="I611" s="139"/>
      <c r="J611" s="139"/>
      <c r="K611" s="139"/>
      <c r="L611" s="139"/>
      <c r="M611" s="139"/>
      <c r="N611" s="191"/>
      <c r="O611" s="139"/>
      <c r="P611" s="139"/>
      <c r="Q611" s="196"/>
      <c r="R611" s="139"/>
    </row>
    <row r="612">
      <c r="A612" s="139"/>
      <c r="B612" s="191"/>
      <c r="C612" s="139"/>
      <c r="D612" s="139"/>
      <c r="E612" s="139"/>
      <c r="F612" s="139"/>
      <c r="G612" s="139"/>
      <c r="H612" s="139"/>
      <c r="I612" s="139"/>
      <c r="J612" s="139"/>
      <c r="K612" s="139"/>
      <c r="L612" s="139"/>
      <c r="M612" s="139"/>
      <c r="N612" s="191"/>
      <c r="O612" s="139"/>
      <c r="P612" s="139"/>
      <c r="Q612" s="196"/>
      <c r="R612" s="139"/>
    </row>
    <row r="613">
      <c r="A613" s="139"/>
      <c r="B613" s="191"/>
      <c r="C613" s="139"/>
      <c r="D613" s="139"/>
      <c r="E613" s="139"/>
      <c r="F613" s="139"/>
      <c r="G613" s="139"/>
      <c r="H613" s="139"/>
      <c r="I613" s="139"/>
      <c r="J613" s="139"/>
      <c r="K613" s="139"/>
      <c r="L613" s="139"/>
      <c r="M613" s="139"/>
      <c r="N613" s="191"/>
      <c r="O613" s="139"/>
      <c r="P613" s="139"/>
      <c r="Q613" s="196"/>
      <c r="R613" s="139"/>
    </row>
    <row r="614">
      <c r="A614" s="139"/>
      <c r="B614" s="191"/>
      <c r="C614" s="139"/>
      <c r="D614" s="139"/>
      <c r="E614" s="139"/>
      <c r="F614" s="139"/>
      <c r="G614" s="139"/>
      <c r="H614" s="139"/>
      <c r="I614" s="139"/>
      <c r="J614" s="139"/>
      <c r="K614" s="139"/>
      <c r="L614" s="139"/>
      <c r="M614" s="139"/>
      <c r="N614" s="191"/>
      <c r="O614" s="139"/>
      <c r="P614" s="139"/>
      <c r="Q614" s="196"/>
      <c r="R614" s="139"/>
    </row>
    <row r="615">
      <c r="A615" s="139"/>
      <c r="B615" s="191"/>
      <c r="C615" s="139"/>
      <c r="D615" s="139"/>
      <c r="E615" s="139"/>
      <c r="F615" s="139"/>
      <c r="G615" s="139"/>
      <c r="H615" s="139"/>
      <c r="I615" s="139"/>
      <c r="J615" s="139"/>
      <c r="K615" s="139"/>
      <c r="L615" s="139"/>
      <c r="M615" s="139"/>
      <c r="N615" s="191"/>
      <c r="O615" s="139"/>
      <c r="P615" s="139"/>
      <c r="Q615" s="196"/>
      <c r="R615" s="139"/>
    </row>
    <row r="616">
      <c r="A616" s="139"/>
      <c r="B616" s="191"/>
      <c r="C616" s="139"/>
      <c r="D616" s="139"/>
      <c r="E616" s="139"/>
      <c r="F616" s="139"/>
      <c r="G616" s="139"/>
      <c r="H616" s="139"/>
      <c r="I616" s="139"/>
      <c r="J616" s="139"/>
      <c r="K616" s="139"/>
      <c r="L616" s="139"/>
      <c r="M616" s="139"/>
      <c r="N616" s="191"/>
      <c r="O616" s="139"/>
      <c r="P616" s="139"/>
      <c r="Q616" s="196"/>
      <c r="R616" s="139"/>
    </row>
    <row r="617">
      <c r="A617" s="139"/>
      <c r="B617" s="191"/>
      <c r="C617" s="139"/>
      <c r="D617" s="139"/>
      <c r="E617" s="139"/>
      <c r="F617" s="139"/>
      <c r="G617" s="139"/>
      <c r="H617" s="139"/>
      <c r="I617" s="139"/>
      <c r="J617" s="139"/>
      <c r="K617" s="139"/>
      <c r="L617" s="139"/>
      <c r="M617" s="139"/>
      <c r="N617" s="191"/>
      <c r="O617" s="139"/>
      <c r="P617" s="139"/>
      <c r="Q617" s="196"/>
      <c r="R617" s="139"/>
    </row>
    <row r="618">
      <c r="A618" s="139"/>
      <c r="B618" s="191"/>
      <c r="C618" s="139"/>
      <c r="D618" s="139"/>
      <c r="E618" s="139"/>
      <c r="F618" s="139"/>
      <c r="G618" s="139"/>
      <c r="H618" s="139"/>
      <c r="I618" s="139"/>
      <c r="J618" s="139"/>
      <c r="K618" s="139"/>
      <c r="L618" s="139"/>
      <c r="M618" s="139"/>
      <c r="N618" s="191"/>
      <c r="O618" s="139"/>
      <c r="P618" s="139"/>
      <c r="Q618" s="196"/>
      <c r="R618" s="139"/>
    </row>
    <row r="619">
      <c r="A619" s="139"/>
      <c r="B619" s="191"/>
      <c r="C619" s="139"/>
      <c r="D619" s="139"/>
      <c r="E619" s="139"/>
      <c r="F619" s="139"/>
      <c r="G619" s="139"/>
      <c r="H619" s="139"/>
      <c r="I619" s="139"/>
      <c r="J619" s="139"/>
      <c r="K619" s="139"/>
      <c r="L619" s="139"/>
      <c r="M619" s="139"/>
      <c r="N619" s="191"/>
      <c r="O619" s="139"/>
      <c r="P619" s="139"/>
      <c r="Q619" s="196"/>
      <c r="R619" s="139"/>
    </row>
    <row r="620">
      <c r="A620" s="139"/>
      <c r="B620" s="191"/>
      <c r="C620" s="139"/>
      <c r="D620" s="139"/>
      <c r="E620" s="139"/>
      <c r="F620" s="139"/>
      <c r="G620" s="139"/>
      <c r="H620" s="139"/>
      <c r="I620" s="139"/>
      <c r="J620" s="139"/>
      <c r="K620" s="139"/>
      <c r="L620" s="139"/>
      <c r="M620" s="139"/>
      <c r="N620" s="191"/>
      <c r="O620" s="139"/>
      <c r="P620" s="139"/>
      <c r="Q620" s="196"/>
      <c r="R620" s="139"/>
    </row>
    <row r="621">
      <c r="A621" s="139"/>
      <c r="B621" s="191"/>
      <c r="C621" s="139"/>
      <c r="D621" s="139"/>
      <c r="E621" s="139"/>
      <c r="F621" s="139"/>
      <c r="G621" s="139"/>
      <c r="H621" s="139"/>
      <c r="I621" s="139"/>
      <c r="J621" s="139"/>
      <c r="K621" s="139"/>
      <c r="L621" s="139"/>
      <c r="M621" s="139"/>
      <c r="N621" s="191"/>
      <c r="O621" s="139"/>
      <c r="P621" s="139"/>
      <c r="Q621" s="196"/>
      <c r="R621" s="139"/>
    </row>
    <row r="622">
      <c r="A622" s="139"/>
      <c r="B622" s="191"/>
      <c r="C622" s="139"/>
      <c r="D622" s="139"/>
      <c r="E622" s="139"/>
      <c r="F622" s="139"/>
      <c r="G622" s="139"/>
      <c r="H622" s="139"/>
      <c r="I622" s="139"/>
      <c r="J622" s="139"/>
      <c r="K622" s="139"/>
      <c r="L622" s="139"/>
      <c r="M622" s="139"/>
      <c r="N622" s="191"/>
      <c r="O622" s="139"/>
      <c r="P622" s="139"/>
      <c r="Q622" s="196"/>
      <c r="R622" s="139"/>
    </row>
    <row r="623">
      <c r="A623" s="139"/>
      <c r="B623" s="191"/>
      <c r="C623" s="139"/>
      <c r="D623" s="139"/>
      <c r="E623" s="139"/>
      <c r="F623" s="139"/>
      <c r="G623" s="139"/>
      <c r="H623" s="139"/>
      <c r="I623" s="139"/>
      <c r="J623" s="139"/>
      <c r="K623" s="139"/>
      <c r="L623" s="139"/>
      <c r="M623" s="139"/>
      <c r="N623" s="191"/>
      <c r="O623" s="139"/>
      <c r="P623" s="139"/>
      <c r="Q623" s="196"/>
      <c r="R623" s="139"/>
    </row>
    <row r="624">
      <c r="A624" s="139"/>
      <c r="B624" s="191"/>
      <c r="C624" s="139"/>
      <c r="D624" s="139"/>
      <c r="E624" s="139"/>
      <c r="F624" s="139"/>
      <c r="G624" s="139"/>
      <c r="H624" s="139"/>
      <c r="I624" s="139"/>
      <c r="J624" s="139"/>
      <c r="K624" s="139"/>
      <c r="L624" s="139"/>
      <c r="M624" s="139"/>
      <c r="N624" s="191"/>
      <c r="O624" s="139"/>
      <c r="P624" s="139"/>
      <c r="Q624" s="196"/>
      <c r="R624" s="139"/>
    </row>
    <row r="625">
      <c r="A625" s="139"/>
      <c r="B625" s="191"/>
      <c r="C625" s="139"/>
      <c r="D625" s="139"/>
      <c r="E625" s="139"/>
      <c r="F625" s="139"/>
      <c r="G625" s="139"/>
      <c r="H625" s="139"/>
      <c r="I625" s="139"/>
      <c r="J625" s="139"/>
      <c r="K625" s="139"/>
      <c r="L625" s="139"/>
      <c r="M625" s="139"/>
      <c r="N625" s="191"/>
      <c r="O625" s="139"/>
      <c r="P625" s="139"/>
      <c r="Q625" s="196"/>
      <c r="R625" s="139"/>
    </row>
    <row r="626">
      <c r="A626" s="139"/>
      <c r="B626" s="191"/>
      <c r="C626" s="139"/>
      <c r="D626" s="139"/>
      <c r="E626" s="139"/>
      <c r="F626" s="139"/>
      <c r="G626" s="139"/>
      <c r="H626" s="139"/>
      <c r="I626" s="139"/>
      <c r="J626" s="139"/>
      <c r="K626" s="139"/>
      <c r="L626" s="139"/>
      <c r="M626" s="139"/>
      <c r="N626" s="191"/>
      <c r="O626" s="139"/>
      <c r="P626" s="139"/>
      <c r="Q626" s="196"/>
      <c r="R626" s="139"/>
    </row>
    <row r="627">
      <c r="A627" s="139"/>
      <c r="B627" s="191"/>
      <c r="C627" s="139"/>
      <c r="D627" s="139"/>
      <c r="E627" s="139"/>
      <c r="F627" s="139"/>
      <c r="G627" s="139"/>
      <c r="H627" s="139"/>
      <c r="I627" s="139"/>
      <c r="J627" s="139"/>
      <c r="K627" s="139"/>
      <c r="L627" s="139"/>
      <c r="M627" s="139"/>
      <c r="N627" s="191"/>
      <c r="O627" s="139"/>
      <c r="P627" s="139"/>
      <c r="Q627" s="196"/>
      <c r="R627" s="139"/>
    </row>
    <row r="628">
      <c r="A628" s="139"/>
      <c r="B628" s="191"/>
      <c r="C628" s="139"/>
      <c r="D628" s="139"/>
      <c r="E628" s="139"/>
      <c r="F628" s="139"/>
      <c r="G628" s="139"/>
      <c r="H628" s="139"/>
      <c r="I628" s="139"/>
      <c r="J628" s="139"/>
      <c r="K628" s="139"/>
      <c r="L628" s="139"/>
      <c r="M628" s="139"/>
      <c r="N628" s="191"/>
      <c r="O628" s="139"/>
      <c r="P628" s="139"/>
      <c r="Q628" s="196"/>
      <c r="R628" s="139"/>
    </row>
    <row r="629">
      <c r="A629" s="139"/>
      <c r="B629" s="191"/>
      <c r="C629" s="139"/>
      <c r="D629" s="139"/>
      <c r="E629" s="139"/>
      <c r="F629" s="139"/>
      <c r="G629" s="139"/>
      <c r="H629" s="139"/>
      <c r="I629" s="139"/>
      <c r="J629" s="139"/>
      <c r="K629" s="139"/>
      <c r="L629" s="139"/>
      <c r="M629" s="139"/>
      <c r="N629" s="191"/>
      <c r="O629" s="139"/>
      <c r="P629" s="139"/>
      <c r="Q629" s="196"/>
      <c r="R629" s="139"/>
    </row>
    <row r="630">
      <c r="A630" s="139"/>
      <c r="B630" s="191"/>
      <c r="C630" s="139"/>
      <c r="D630" s="139"/>
      <c r="E630" s="139"/>
      <c r="F630" s="139"/>
      <c r="G630" s="139"/>
      <c r="H630" s="139"/>
      <c r="I630" s="139"/>
      <c r="J630" s="139"/>
      <c r="K630" s="139"/>
      <c r="L630" s="139"/>
      <c r="M630" s="139"/>
      <c r="N630" s="191"/>
      <c r="O630" s="139"/>
      <c r="P630" s="139"/>
      <c r="Q630" s="196"/>
      <c r="R630" s="139"/>
    </row>
    <row r="631">
      <c r="A631" s="139"/>
      <c r="B631" s="191"/>
      <c r="C631" s="139"/>
      <c r="D631" s="139"/>
      <c r="E631" s="139"/>
      <c r="F631" s="139"/>
      <c r="G631" s="139"/>
      <c r="H631" s="139"/>
      <c r="I631" s="139"/>
      <c r="J631" s="139"/>
      <c r="K631" s="139"/>
      <c r="L631" s="139"/>
      <c r="M631" s="139"/>
      <c r="N631" s="191"/>
      <c r="O631" s="139"/>
      <c r="P631" s="139"/>
      <c r="Q631" s="196"/>
      <c r="R631" s="139"/>
    </row>
    <row r="632">
      <c r="A632" s="139"/>
      <c r="B632" s="191"/>
      <c r="C632" s="139"/>
      <c r="D632" s="139"/>
      <c r="E632" s="139"/>
      <c r="F632" s="139"/>
      <c r="G632" s="139"/>
      <c r="H632" s="139"/>
      <c r="I632" s="139"/>
      <c r="J632" s="139"/>
      <c r="K632" s="139"/>
      <c r="L632" s="139"/>
      <c r="M632" s="139"/>
      <c r="N632" s="191"/>
      <c r="O632" s="139"/>
      <c r="P632" s="139"/>
      <c r="Q632" s="196"/>
      <c r="R632" s="139"/>
    </row>
    <row r="633">
      <c r="A633" s="139"/>
      <c r="B633" s="191"/>
      <c r="C633" s="139"/>
      <c r="D633" s="139"/>
      <c r="E633" s="139"/>
      <c r="F633" s="139"/>
      <c r="G633" s="139"/>
      <c r="H633" s="139"/>
      <c r="I633" s="139"/>
      <c r="J633" s="139"/>
      <c r="K633" s="139"/>
      <c r="L633" s="139"/>
      <c r="M633" s="139"/>
      <c r="N633" s="191"/>
      <c r="O633" s="139"/>
      <c r="P633" s="139"/>
      <c r="Q633" s="196"/>
      <c r="R633" s="139"/>
    </row>
    <row r="634">
      <c r="A634" s="139"/>
      <c r="B634" s="191"/>
      <c r="C634" s="139"/>
      <c r="D634" s="139"/>
      <c r="E634" s="139"/>
      <c r="F634" s="139"/>
      <c r="G634" s="139"/>
      <c r="H634" s="139"/>
      <c r="I634" s="139"/>
      <c r="J634" s="139"/>
      <c r="K634" s="139"/>
      <c r="L634" s="139"/>
      <c r="M634" s="139"/>
      <c r="N634" s="191"/>
      <c r="O634" s="139"/>
      <c r="P634" s="139"/>
      <c r="Q634" s="196"/>
      <c r="R634" s="139"/>
    </row>
    <row r="635">
      <c r="A635" s="139"/>
      <c r="B635" s="191"/>
      <c r="C635" s="139"/>
      <c r="D635" s="139"/>
      <c r="E635" s="139"/>
      <c r="F635" s="139"/>
      <c r="G635" s="139"/>
      <c r="H635" s="139"/>
      <c r="I635" s="139"/>
      <c r="J635" s="139"/>
      <c r="K635" s="139"/>
      <c r="L635" s="139"/>
      <c r="M635" s="139"/>
      <c r="N635" s="191"/>
      <c r="O635" s="139"/>
      <c r="P635" s="139"/>
      <c r="Q635" s="196"/>
      <c r="R635" s="139"/>
    </row>
    <row r="636">
      <c r="A636" s="139"/>
      <c r="B636" s="191"/>
      <c r="C636" s="139"/>
      <c r="D636" s="139"/>
      <c r="E636" s="139"/>
      <c r="F636" s="139"/>
      <c r="G636" s="139"/>
      <c r="H636" s="139"/>
      <c r="I636" s="139"/>
      <c r="J636" s="139"/>
      <c r="K636" s="139"/>
      <c r="L636" s="139"/>
      <c r="M636" s="139"/>
      <c r="N636" s="191"/>
      <c r="O636" s="139"/>
      <c r="P636" s="139"/>
      <c r="Q636" s="196"/>
      <c r="R636" s="139"/>
    </row>
    <row r="637">
      <c r="A637" s="139"/>
      <c r="B637" s="191"/>
      <c r="C637" s="139"/>
      <c r="D637" s="139"/>
      <c r="E637" s="139"/>
      <c r="F637" s="139"/>
      <c r="G637" s="139"/>
      <c r="H637" s="139"/>
      <c r="I637" s="139"/>
      <c r="J637" s="139"/>
      <c r="K637" s="139"/>
      <c r="L637" s="139"/>
      <c r="M637" s="139"/>
      <c r="N637" s="191"/>
      <c r="O637" s="139"/>
      <c r="P637" s="139"/>
      <c r="Q637" s="196"/>
      <c r="R637" s="139"/>
    </row>
    <row r="638">
      <c r="A638" s="139"/>
      <c r="B638" s="191"/>
      <c r="C638" s="139"/>
      <c r="D638" s="139"/>
      <c r="E638" s="139"/>
      <c r="F638" s="139"/>
      <c r="G638" s="139"/>
      <c r="H638" s="139"/>
      <c r="I638" s="139"/>
      <c r="J638" s="139"/>
      <c r="K638" s="139"/>
      <c r="L638" s="139"/>
      <c r="M638" s="139"/>
      <c r="N638" s="191"/>
      <c r="O638" s="139"/>
      <c r="P638" s="139"/>
      <c r="Q638" s="196"/>
      <c r="R638" s="139"/>
    </row>
    <row r="639">
      <c r="A639" s="139"/>
      <c r="B639" s="191"/>
      <c r="C639" s="139"/>
      <c r="D639" s="139"/>
      <c r="E639" s="139"/>
      <c r="F639" s="139"/>
      <c r="G639" s="139"/>
      <c r="H639" s="139"/>
      <c r="I639" s="139"/>
      <c r="J639" s="139"/>
      <c r="K639" s="139"/>
      <c r="L639" s="139"/>
      <c r="M639" s="139"/>
      <c r="N639" s="191"/>
      <c r="O639" s="139"/>
      <c r="P639" s="139"/>
      <c r="Q639" s="196"/>
      <c r="R639" s="139"/>
    </row>
    <row r="640">
      <c r="A640" s="139"/>
      <c r="B640" s="191"/>
      <c r="C640" s="139"/>
      <c r="D640" s="139"/>
      <c r="E640" s="139"/>
      <c r="F640" s="139"/>
      <c r="G640" s="139"/>
      <c r="H640" s="139"/>
      <c r="I640" s="139"/>
      <c r="J640" s="139"/>
      <c r="K640" s="139"/>
      <c r="L640" s="139"/>
      <c r="M640" s="139"/>
      <c r="N640" s="191"/>
      <c r="O640" s="139"/>
      <c r="P640" s="139"/>
      <c r="Q640" s="196"/>
      <c r="R640" s="139"/>
    </row>
    <row r="641">
      <c r="A641" s="139"/>
      <c r="B641" s="191"/>
      <c r="C641" s="139"/>
      <c r="D641" s="139"/>
      <c r="E641" s="139"/>
      <c r="F641" s="139"/>
      <c r="G641" s="139"/>
      <c r="H641" s="139"/>
      <c r="I641" s="139"/>
      <c r="J641" s="139"/>
      <c r="K641" s="139"/>
      <c r="L641" s="139"/>
      <c r="M641" s="139"/>
      <c r="N641" s="191"/>
      <c r="O641" s="139"/>
      <c r="P641" s="139"/>
      <c r="Q641" s="196"/>
      <c r="R641" s="139"/>
    </row>
    <row r="642">
      <c r="A642" s="139"/>
      <c r="B642" s="191"/>
      <c r="C642" s="139"/>
      <c r="D642" s="139"/>
      <c r="E642" s="139"/>
      <c r="F642" s="139"/>
      <c r="G642" s="139"/>
      <c r="H642" s="139"/>
      <c r="I642" s="139"/>
      <c r="J642" s="139"/>
      <c r="K642" s="139"/>
      <c r="L642" s="139"/>
      <c r="M642" s="139"/>
      <c r="N642" s="191"/>
      <c r="O642" s="139"/>
      <c r="P642" s="139"/>
      <c r="Q642" s="196"/>
      <c r="R642" s="139"/>
    </row>
    <row r="643">
      <c r="A643" s="139"/>
      <c r="B643" s="191"/>
      <c r="C643" s="139"/>
      <c r="D643" s="139"/>
      <c r="E643" s="139"/>
      <c r="F643" s="139"/>
      <c r="G643" s="139"/>
      <c r="H643" s="139"/>
      <c r="I643" s="139"/>
      <c r="J643" s="139"/>
      <c r="K643" s="139"/>
      <c r="L643" s="139"/>
      <c r="M643" s="139"/>
      <c r="N643" s="191"/>
      <c r="O643" s="139"/>
      <c r="P643" s="139"/>
      <c r="Q643" s="196"/>
      <c r="R643" s="139"/>
    </row>
    <row r="644">
      <c r="A644" s="139"/>
      <c r="B644" s="191"/>
      <c r="C644" s="139"/>
      <c r="D644" s="139"/>
      <c r="E644" s="139"/>
      <c r="F644" s="139"/>
      <c r="G644" s="139"/>
      <c r="H644" s="139"/>
      <c r="I644" s="139"/>
      <c r="J644" s="139"/>
      <c r="K644" s="139"/>
      <c r="L644" s="139"/>
      <c r="M644" s="139"/>
      <c r="N644" s="191"/>
      <c r="O644" s="139"/>
      <c r="P644" s="139"/>
      <c r="Q644" s="196"/>
      <c r="R644" s="139"/>
    </row>
    <row r="645">
      <c r="A645" s="139"/>
      <c r="B645" s="191"/>
      <c r="C645" s="139"/>
      <c r="D645" s="139"/>
      <c r="E645" s="139"/>
      <c r="F645" s="139"/>
      <c r="G645" s="139"/>
      <c r="H645" s="139"/>
      <c r="I645" s="139"/>
      <c r="J645" s="139"/>
      <c r="K645" s="139"/>
      <c r="L645" s="139"/>
      <c r="M645" s="139"/>
      <c r="N645" s="191"/>
      <c r="O645" s="139"/>
      <c r="P645" s="139"/>
      <c r="Q645" s="196"/>
      <c r="R645" s="139"/>
    </row>
    <row r="646">
      <c r="A646" s="139"/>
      <c r="B646" s="191"/>
      <c r="C646" s="139"/>
      <c r="D646" s="139"/>
      <c r="E646" s="139"/>
      <c r="F646" s="139"/>
      <c r="G646" s="139"/>
      <c r="H646" s="139"/>
      <c r="I646" s="139"/>
      <c r="J646" s="139"/>
      <c r="K646" s="139"/>
      <c r="L646" s="139"/>
      <c r="M646" s="139"/>
      <c r="N646" s="191"/>
      <c r="O646" s="139"/>
      <c r="P646" s="139"/>
      <c r="Q646" s="196"/>
      <c r="R646" s="139"/>
    </row>
    <row r="647">
      <c r="A647" s="139"/>
      <c r="B647" s="191"/>
      <c r="C647" s="139"/>
      <c r="D647" s="139"/>
      <c r="E647" s="139"/>
      <c r="F647" s="139"/>
      <c r="G647" s="139"/>
      <c r="H647" s="139"/>
      <c r="I647" s="139"/>
      <c r="J647" s="139"/>
      <c r="K647" s="139"/>
      <c r="L647" s="139"/>
      <c r="M647" s="139"/>
      <c r="N647" s="191"/>
      <c r="O647" s="139"/>
      <c r="P647" s="139"/>
      <c r="Q647" s="196"/>
      <c r="R647" s="139"/>
    </row>
    <row r="648">
      <c r="A648" s="139"/>
      <c r="B648" s="191"/>
      <c r="C648" s="139"/>
      <c r="D648" s="139"/>
      <c r="E648" s="139"/>
      <c r="F648" s="139"/>
      <c r="G648" s="139"/>
      <c r="H648" s="139"/>
      <c r="I648" s="139"/>
      <c r="J648" s="139"/>
      <c r="K648" s="139"/>
      <c r="L648" s="139"/>
      <c r="M648" s="139"/>
      <c r="N648" s="191"/>
      <c r="O648" s="139"/>
      <c r="P648" s="139"/>
      <c r="Q648" s="196"/>
      <c r="R648" s="139"/>
    </row>
    <row r="649">
      <c r="A649" s="139"/>
      <c r="B649" s="191"/>
      <c r="C649" s="139"/>
      <c r="D649" s="139"/>
      <c r="E649" s="139"/>
      <c r="F649" s="139"/>
      <c r="G649" s="139"/>
      <c r="H649" s="139"/>
      <c r="I649" s="139"/>
      <c r="J649" s="139"/>
      <c r="K649" s="139"/>
      <c r="L649" s="139"/>
      <c r="M649" s="139"/>
      <c r="N649" s="191"/>
      <c r="O649" s="139"/>
      <c r="P649" s="139"/>
      <c r="Q649" s="196"/>
      <c r="R649" s="139"/>
    </row>
    <row r="650">
      <c r="A650" s="139"/>
      <c r="B650" s="191"/>
      <c r="C650" s="139"/>
      <c r="D650" s="139"/>
      <c r="E650" s="139"/>
      <c r="F650" s="139"/>
      <c r="G650" s="139"/>
      <c r="H650" s="139"/>
      <c r="I650" s="139"/>
      <c r="J650" s="139"/>
      <c r="K650" s="139"/>
      <c r="L650" s="139"/>
      <c r="M650" s="139"/>
      <c r="N650" s="191"/>
      <c r="O650" s="139"/>
      <c r="P650" s="139"/>
      <c r="Q650" s="196"/>
      <c r="R650" s="139"/>
    </row>
    <row r="651">
      <c r="A651" s="139"/>
      <c r="B651" s="191"/>
      <c r="C651" s="139"/>
      <c r="D651" s="139"/>
      <c r="E651" s="139"/>
      <c r="F651" s="139"/>
      <c r="G651" s="139"/>
      <c r="H651" s="139"/>
      <c r="I651" s="139"/>
      <c r="J651" s="139"/>
      <c r="K651" s="139"/>
      <c r="L651" s="139"/>
      <c r="M651" s="139"/>
      <c r="N651" s="191"/>
      <c r="O651" s="139"/>
      <c r="P651" s="139"/>
      <c r="Q651" s="196"/>
      <c r="R651" s="139"/>
    </row>
    <row r="652">
      <c r="A652" s="139"/>
      <c r="B652" s="191"/>
      <c r="C652" s="139"/>
      <c r="D652" s="139"/>
      <c r="E652" s="139"/>
      <c r="F652" s="139"/>
      <c r="G652" s="139"/>
      <c r="H652" s="139"/>
      <c r="I652" s="139"/>
      <c r="J652" s="139"/>
      <c r="K652" s="139"/>
      <c r="L652" s="139"/>
      <c r="M652" s="139"/>
      <c r="N652" s="191"/>
      <c r="O652" s="139"/>
      <c r="P652" s="139"/>
      <c r="Q652" s="196"/>
      <c r="R652" s="139"/>
    </row>
    <row r="653">
      <c r="A653" s="139"/>
      <c r="B653" s="191"/>
      <c r="C653" s="139"/>
      <c r="D653" s="139"/>
      <c r="E653" s="139"/>
      <c r="F653" s="139"/>
      <c r="G653" s="139"/>
      <c r="H653" s="139"/>
      <c r="I653" s="139"/>
      <c r="J653" s="139"/>
      <c r="K653" s="139"/>
      <c r="L653" s="139"/>
      <c r="M653" s="139"/>
      <c r="N653" s="191"/>
      <c r="O653" s="139"/>
      <c r="P653" s="139"/>
      <c r="Q653" s="196"/>
      <c r="R653" s="139"/>
    </row>
    <row r="654">
      <c r="A654" s="139"/>
      <c r="B654" s="191"/>
      <c r="C654" s="139"/>
      <c r="D654" s="139"/>
      <c r="E654" s="139"/>
      <c r="F654" s="139"/>
      <c r="G654" s="139"/>
      <c r="H654" s="139"/>
      <c r="I654" s="139"/>
      <c r="J654" s="139"/>
      <c r="K654" s="139"/>
      <c r="L654" s="139"/>
      <c r="M654" s="139"/>
      <c r="N654" s="191"/>
      <c r="O654" s="139"/>
      <c r="P654" s="139"/>
      <c r="Q654" s="196"/>
      <c r="R654" s="139"/>
    </row>
    <row r="655">
      <c r="A655" s="139"/>
      <c r="B655" s="191"/>
      <c r="C655" s="139"/>
      <c r="D655" s="139"/>
      <c r="E655" s="139"/>
      <c r="F655" s="139"/>
      <c r="G655" s="139"/>
      <c r="H655" s="139"/>
      <c r="I655" s="139"/>
      <c r="J655" s="139"/>
      <c r="K655" s="139"/>
      <c r="L655" s="139"/>
      <c r="M655" s="139"/>
      <c r="N655" s="191"/>
      <c r="O655" s="139"/>
      <c r="P655" s="139"/>
      <c r="Q655" s="196"/>
      <c r="R655" s="139"/>
    </row>
    <row r="656">
      <c r="A656" s="139"/>
      <c r="B656" s="191"/>
      <c r="C656" s="139"/>
      <c r="D656" s="139"/>
      <c r="E656" s="139"/>
      <c r="F656" s="139"/>
      <c r="G656" s="139"/>
      <c r="H656" s="139"/>
      <c r="I656" s="139"/>
      <c r="J656" s="139"/>
      <c r="K656" s="139"/>
      <c r="L656" s="139"/>
      <c r="M656" s="139"/>
      <c r="N656" s="191"/>
      <c r="O656" s="139"/>
      <c r="P656" s="139"/>
      <c r="Q656" s="196"/>
      <c r="R656" s="139"/>
    </row>
    <row r="657">
      <c r="A657" s="139"/>
      <c r="B657" s="191"/>
      <c r="C657" s="139"/>
      <c r="D657" s="139"/>
      <c r="E657" s="139"/>
      <c r="F657" s="139"/>
      <c r="G657" s="139"/>
      <c r="H657" s="139"/>
      <c r="I657" s="139"/>
      <c r="J657" s="139"/>
      <c r="K657" s="139"/>
      <c r="L657" s="139"/>
      <c r="M657" s="139"/>
      <c r="N657" s="191"/>
      <c r="O657" s="139"/>
      <c r="P657" s="139"/>
      <c r="Q657" s="196"/>
      <c r="R657" s="139"/>
    </row>
    <row r="658">
      <c r="A658" s="139"/>
      <c r="B658" s="191"/>
      <c r="C658" s="139"/>
      <c r="D658" s="139"/>
      <c r="E658" s="139"/>
      <c r="F658" s="139"/>
      <c r="G658" s="139"/>
      <c r="H658" s="139"/>
      <c r="I658" s="139"/>
      <c r="J658" s="139"/>
      <c r="K658" s="139"/>
      <c r="L658" s="139"/>
      <c r="M658" s="139"/>
      <c r="N658" s="191"/>
      <c r="O658" s="139"/>
      <c r="P658" s="139"/>
      <c r="Q658" s="196"/>
      <c r="R658" s="139"/>
    </row>
    <row r="659">
      <c r="A659" s="139"/>
      <c r="B659" s="191"/>
      <c r="C659" s="139"/>
      <c r="D659" s="139"/>
      <c r="E659" s="139"/>
      <c r="F659" s="139"/>
      <c r="G659" s="139"/>
      <c r="H659" s="139"/>
      <c r="I659" s="139"/>
      <c r="J659" s="139"/>
      <c r="K659" s="139"/>
      <c r="L659" s="139"/>
      <c r="M659" s="139"/>
      <c r="N659" s="191"/>
      <c r="O659" s="139"/>
      <c r="P659" s="139"/>
      <c r="Q659" s="196"/>
      <c r="R659" s="139"/>
    </row>
    <row r="660">
      <c r="A660" s="139"/>
      <c r="B660" s="191"/>
      <c r="C660" s="139"/>
      <c r="D660" s="139"/>
      <c r="E660" s="139"/>
      <c r="F660" s="139"/>
      <c r="G660" s="139"/>
      <c r="H660" s="139"/>
      <c r="I660" s="139"/>
      <c r="J660" s="139"/>
      <c r="K660" s="139"/>
      <c r="L660" s="139"/>
      <c r="M660" s="139"/>
      <c r="N660" s="191"/>
      <c r="O660" s="139"/>
      <c r="P660" s="139"/>
      <c r="Q660" s="196"/>
      <c r="R660" s="139"/>
    </row>
    <row r="661">
      <c r="A661" s="139"/>
      <c r="B661" s="191"/>
      <c r="C661" s="139"/>
      <c r="D661" s="139"/>
      <c r="E661" s="139"/>
      <c r="F661" s="139"/>
      <c r="G661" s="139"/>
      <c r="H661" s="139"/>
      <c r="I661" s="139"/>
      <c r="J661" s="139"/>
      <c r="K661" s="139"/>
      <c r="L661" s="139"/>
      <c r="M661" s="139"/>
      <c r="N661" s="191"/>
      <c r="O661" s="139"/>
      <c r="P661" s="139"/>
      <c r="Q661" s="196"/>
      <c r="R661" s="139"/>
    </row>
    <row r="662">
      <c r="A662" s="139"/>
      <c r="B662" s="191"/>
      <c r="C662" s="139"/>
      <c r="D662" s="139"/>
      <c r="E662" s="139"/>
      <c r="F662" s="139"/>
      <c r="G662" s="139"/>
      <c r="H662" s="139"/>
      <c r="I662" s="139"/>
      <c r="J662" s="139"/>
      <c r="K662" s="139"/>
      <c r="L662" s="139"/>
      <c r="M662" s="139"/>
      <c r="N662" s="191"/>
      <c r="O662" s="139"/>
      <c r="P662" s="139"/>
      <c r="Q662" s="196"/>
      <c r="R662" s="139"/>
    </row>
    <row r="663">
      <c r="A663" s="139"/>
      <c r="B663" s="191"/>
      <c r="C663" s="139"/>
      <c r="D663" s="139"/>
      <c r="E663" s="139"/>
      <c r="F663" s="139"/>
      <c r="G663" s="139"/>
      <c r="H663" s="139"/>
      <c r="I663" s="139"/>
      <c r="J663" s="139"/>
      <c r="K663" s="139"/>
      <c r="L663" s="139"/>
      <c r="M663" s="139"/>
      <c r="N663" s="191"/>
      <c r="O663" s="139"/>
      <c r="P663" s="139"/>
      <c r="Q663" s="196"/>
      <c r="R663" s="139"/>
    </row>
    <row r="664">
      <c r="A664" s="139"/>
      <c r="B664" s="191"/>
      <c r="C664" s="139"/>
      <c r="D664" s="139"/>
      <c r="E664" s="139"/>
      <c r="F664" s="139"/>
      <c r="G664" s="139"/>
      <c r="H664" s="139"/>
      <c r="I664" s="139"/>
      <c r="J664" s="139"/>
      <c r="K664" s="139"/>
      <c r="L664" s="139"/>
      <c r="M664" s="139"/>
      <c r="N664" s="191"/>
      <c r="O664" s="139"/>
      <c r="P664" s="139"/>
      <c r="Q664" s="196"/>
      <c r="R664" s="139"/>
    </row>
    <row r="665">
      <c r="A665" s="139"/>
      <c r="B665" s="191"/>
      <c r="C665" s="139"/>
      <c r="D665" s="139"/>
      <c r="E665" s="139"/>
      <c r="F665" s="139"/>
      <c r="G665" s="139"/>
      <c r="H665" s="139"/>
      <c r="I665" s="139"/>
      <c r="J665" s="139"/>
      <c r="K665" s="139"/>
      <c r="L665" s="139"/>
      <c r="M665" s="139"/>
      <c r="N665" s="191"/>
      <c r="O665" s="139"/>
      <c r="P665" s="139"/>
      <c r="Q665" s="196"/>
      <c r="R665" s="139"/>
    </row>
    <row r="666">
      <c r="A666" s="139"/>
      <c r="B666" s="191"/>
      <c r="C666" s="139"/>
      <c r="D666" s="139"/>
      <c r="E666" s="139"/>
      <c r="F666" s="139"/>
      <c r="G666" s="139"/>
      <c r="H666" s="139"/>
      <c r="I666" s="139"/>
      <c r="J666" s="139"/>
      <c r="K666" s="139"/>
      <c r="L666" s="139"/>
      <c r="M666" s="139"/>
      <c r="N666" s="191"/>
      <c r="O666" s="139"/>
      <c r="P666" s="139"/>
      <c r="Q666" s="196"/>
      <c r="R666" s="139"/>
    </row>
    <row r="667">
      <c r="A667" s="139"/>
      <c r="B667" s="191"/>
      <c r="C667" s="139"/>
      <c r="D667" s="139"/>
      <c r="E667" s="139"/>
      <c r="F667" s="139"/>
      <c r="G667" s="139"/>
      <c r="H667" s="139"/>
      <c r="I667" s="139"/>
      <c r="J667" s="139"/>
      <c r="K667" s="139"/>
      <c r="L667" s="139"/>
      <c r="M667" s="139"/>
      <c r="N667" s="191"/>
      <c r="O667" s="139"/>
      <c r="P667" s="139"/>
      <c r="Q667" s="196"/>
      <c r="R667" s="139"/>
    </row>
    <row r="668">
      <c r="A668" s="139"/>
      <c r="B668" s="191"/>
      <c r="C668" s="139"/>
      <c r="D668" s="139"/>
      <c r="E668" s="139"/>
      <c r="F668" s="139"/>
      <c r="G668" s="139"/>
      <c r="H668" s="139"/>
      <c r="I668" s="139"/>
      <c r="J668" s="139"/>
      <c r="K668" s="139"/>
      <c r="L668" s="139"/>
      <c r="M668" s="139"/>
      <c r="N668" s="191"/>
      <c r="O668" s="139"/>
      <c r="P668" s="139"/>
      <c r="Q668" s="196"/>
      <c r="R668" s="139"/>
    </row>
    <row r="669">
      <c r="A669" s="139"/>
      <c r="B669" s="191"/>
      <c r="C669" s="139"/>
      <c r="D669" s="139"/>
      <c r="E669" s="139"/>
      <c r="F669" s="139"/>
      <c r="G669" s="139"/>
      <c r="H669" s="139"/>
      <c r="I669" s="139"/>
      <c r="J669" s="139"/>
      <c r="K669" s="139"/>
      <c r="L669" s="139"/>
      <c r="M669" s="139"/>
      <c r="N669" s="191"/>
      <c r="O669" s="139"/>
      <c r="P669" s="139"/>
      <c r="Q669" s="196"/>
      <c r="R669" s="139"/>
    </row>
    <row r="670">
      <c r="A670" s="139"/>
      <c r="B670" s="191"/>
      <c r="C670" s="139"/>
      <c r="D670" s="139"/>
      <c r="E670" s="139"/>
      <c r="F670" s="139"/>
      <c r="G670" s="139"/>
      <c r="H670" s="139"/>
      <c r="I670" s="139"/>
      <c r="J670" s="139"/>
      <c r="K670" s="139"/>
      <c r="L670" s="139"/>
      <c r="M670" s="139"/>
      <c r="N670" s="191"/>
      <c r="O670" s="139"/>
      <c r="P670" s="139"/>
      <c r="Q670" s="196"/>
      <c r="R670" s="139"/>
    </row>
    <row r="671">
      <c r="A671" s="139"/>
      <c r="B671" s="191"/>
      <c r="C671" s="139"/>
      <c r="D671" s="139"/>
      <c r="E671" s="139"/>
      <c r="F671" s="139"/>
      <c r="G671" s="139"/>
      <c r="H671" s="139"/>
      <c r="I671" s="139"/>
      <c r="J671" s="139"/>
      <c r="K671" s="139"/>
      <c r="L671" s="139"/>
      <c r="M671" s="139"/>
      <c r="N671" s="191"/>
      <c r="O671" s="139"/>
      <c r="P671" s="139"/>
      <c r="Q671" s="196"/>
      <c r="R671" s="139"/>
    </row>
    <row r="672">
      <c r="A672" s="139"/>
      <c r="B672" s="191"/>
      <c r="C672" s="139"/>
      <c r="D672" s="139"/>
      <c r="E672" s="139"/>
      <c r="F672" s="139"/>
      <c r="G672" s="139"/>
      <c r="H672" s="139"/>
      <c r="I672" s="139"/>
      <c r="J672" s="139"/>
      <c r="K672" s="139"/>
      <c r="L672" s="139"/>
      <c r="M672" s="139"/>
      <c r="N672" s="191"/>
      <c r="O672" s="139"/>
      <c r="P672" s="139"/>
      <c r="Q672" s="196"/>
      <c r="R672" s="139"/>
    </row>
    <row r="673">
      <c r="A673" s="139"/>
      <c r="B673" s="191"/>
      <c r="C673" s="139"/>
      <c r="D673" s="139"/>
      <c r="E673" s="139"/>
      <c r="F673" s="139"/>
      <c r="G673" s="139"/>
      <c r="H673" s="139"/>
      <c r="I673" s="139"/>
      <c r="J673" s="139"/>
      <c r="K673" s="139"/>
      <c r="L673" s="139"/>
      <c r="M673" s="139"/>
      <c r="N673" s="191"/>
      <c r="O673" s="139"/>
      <c r="P673" s="139"/>
      <c r="Q673" s="196"/>
      <c r="R673" s="139"/>
    </row>
    <row r="674">
      <c r="A674" s="139"/>
      <c r="B674" s="191"/>
      <c r="C674" s="139"/>
      <c r="D674" s="139"/>
      <c r="E674" s="139"/>
      <c r="F674" s="139"/>
      <c r="G674" s="139"/>
      <c r="H674" s="139"/>
      <c r="I674" s="139"/>
      <c r="J674" s="139"/>
      <c r="K674" s="139"/>
      <c r="L674" s="139"/>
      <c r="M674" s="139"/>
      <c r="N674" s="191"/>
      <c r="O674" s="139"/>
      <c r="P674" s="139"/>
      <c r="Q674" s="196"/>
      <c r="R674" s="139"/>
    </row>
    <row r="675">
      <c r="A675" s="139"/>
      <c r="B675" s="191"/>
      <c r="C675" s="139"/>
      <c r="D675" s="139"/>
      <c r="E675" s="139"/>
      <c r="F675" s="139"/>
      <c r="G675" s="139"/>
      <c r="H675" s="139"/>
      <c r="I675" s="139"/>
      <c r="J675" s="139"/>
      <c r="K675" s="139"/>
      <c r="L675" s="139"/>
      <c r="M675" s="139"/>
      <c r="N675" s="191"/>
      <c r="O675" s="139"/>
      <c r="P675" s="139"/>
      <c r="Q675" s="196"/>
      <c r="R675" s="139"/>
    </row>
    <row r="676">
      <c r="A676" s="139"/>
      <c r="B676" s="191"/>
      <c r="C676" s="139"/>
      <c r="D676" s="139"/>
      <c r="E676" s="139"/>
      <c r="F676" s="139"/>
      <c r="G676" s="139"/>
      <c r="H676" s="139"/>
      <c r="I676" s="139"/>
      <c r="J676" s="139"/>
      <c r="K676" s="139"/>
      <c r="L676" s="139"/>
      <c r="M676" s="139"/>
      <c r="N676" s="191"/>
      <c r="O676" s="139"/>
      <c r="P676" s="139"/>
      <c r="Q676" s="196"/>
      <c r="R676" s="139"/>
    </row>
    <row r="677">
      <c r="A677" s="139"/>
      <c r="B677" s="191"/>
      <c r="C677" s="139"/>
      <c r="D677" s="139"/>
      <c r="E677" s="139"/>
      <c r="F677" s="139"/>
      <c r="G677" s="139"/>
      <c r="H677" s="139"/>
      <c r="I677" s="139"/>
      <c r="J677" s="139"/>
      <c r="K677" s="139"/>
      <c r="L677" s="139"/>
      <c r="M677" s="139"/>
      <c r="N677" s="191"/>
      <c r="O677" s="139"/>
      <c r="P677" s="139"/>
      <c r="Q677" s="196"/>
      <c r="R677" s="139"/>
    </row>
    <row r="678">
      <c r="A678" s="139"/>
      <c r="B678" s="191"/>
      <c r="C678" s="139"/>
      <c r="D678" s="139"/>
      <c r="E678" s="139"/>
      <c r="F678" s="139"/>
      <c r="G678" s="139"/>
      <c r="H678" s="139"/>
      <c r="I678" s="139"/>
      <c r="J678" s="139"/>
      <c r="K678" s="139"/>
      <c r="L678" s="139"/>
      <c r="M678" s="139"/>
      <c r="N678" s="191"/>
      <c r="O678" s="139"/>
      <c r="P678" s="139"/>
      <c r="Q678" s="196"/>
      <c r="R678" s="139"/>
    </row>
    <row r="679">
      <c r="A679" s="139"/>
      <c r="B679" s="191"/>
      <c r="C679" s="139"/>
      <c r="D679" s="139"/>
      <c r="E679" s="139"/>
      <c r="F679" s="139"/>
      <c r="G679" s="139"/>
      <c r="H679" s="139"/>
      <c r="I679" s="139"/>
      <c r="J679" s="139"/>
      <c r="K679" s="139"/>
      <c r="L679" s="139"/>
      <c r="M679" s="139"/>
      <c r="N679" s="191"/>
      <c r="O679" s="139"/>
      <c r="P679" s="139"/>
      <c r="Q679" s="196"/>
      <c r="R679" s="139"/>
    </row>
    <row r="680">
      <c r="A680" s="139"/>
      <c r="B680" s="191"/>
      <c r="C680" s="139"/>
      <c r="D680" s="139"/>
      <c r="E680" s="139"/>
      <c r="F680" s="139"/>
      <c r="G680" s="139"/>
      <c r="H680" s="139"/>
      <c r="I680" s="139"/>
      <c r="J680" s="139"/>
      <c r="K680" s="139"/>
      <c r="L680" s="139"/>
      <c r="M680" s="139"/>
      <c r="N680" s="191"/>
      <c r="O680" s="139"/>
      <c r="P680" s="139"/>
      <c r="Q680" s="196"/>
      <c r="R680" s="139"/>
    </row>
    <row r="681">
      <c r="A681" s="139"/>
      <c r="B681" s="191"/>
      <c r="C681" s="139"/>
      <c r="D681" s="139"/>
      <c r="E681" s="139"/>
      <c r="F681" s="139"/>
      <c r="G681" s="139"/>
      <c r="H681" s="139"/>
      <c r="I681" s="139"/>
      <c r="J681" s="139"/>
      <c r="K681" s="139"/>
      <c r="L681" s="139"/>
      <c r="M681" s="139"/>
      <c r="N681" s="191"/>
      <c r="O681" s="139"/>
      <c r="P681" s="139"/>
      <c r="Q681" s="196"/>
      <c r="R681" s="139"/>
    </row>
    <row r="682">
      <c r="A682" s="139"/>
      <c r="B682" s="191"/>
      <c r="C682" s="139"/>
      <c r="D682" s="139"/>
      <c r="E682" s="139"/>
      <c r="F682" s="139"/>
      <c r="G682" s="139"/>
      <c r="H682" s="139"/>
      <c r="I682" s="139"/>
      <c r="J682" s="139"/>
      <c r="K682" s="139"/>
      <c r="L682" s="139"/>
      <c r="M682" s="139"/>
      <c r="N682" s="191"/>
      <c r="O682" s="139"/>
      <c r="P682" s="139"/>
      <c r="Q682" s="196"/>
      <c r="R682" s="139"/>
    </row>
    <row r="683">
      <c r="A683" s="139"/>
      <c r="B683" s="191"/>
      <c r="C683" s="139"/>
      <c r="D683" s="139"/>
      <c r="E683" s="139"/>
      <c r="F683" s="139"/>
      <c r="G683" s="139"/>
      <c r="H683" s="139"/>
      <c r="I683" s="139"/>
      <c r="J683" s="139"/>
      <c r="K683" s="139"/>
      <c r="L683" s="139"/>
      <c r="M683" s="139"/>
      <c r="N683" s="191"/>
      <c r="O683" s="139"/>
      <c r="P683" s="139"/>
      <c r="Q683" s="196"/>
      <c r="R683" s="139"/>
    </row>
    <row r="684">
      <c r="A684" s="139"/>
      <c r="B684" s="191"/>
      <c r="C684" s="139"/>
      <c r="D684" s="139"/>
      <c r="E684" s="139"/>
      <c r="F684" s="139"/>
      <c r="G684" s="139"/>
      <c r="H684" s="139"/>
      <c r="I684" s="139"/>
      <c r="J684" s="139"/>
      <c r="K684" s="139"/>
      <c r="L684" s="139"/>
      <c r="M684" s="139"/>
      <c r="N684" s="191"/>
      <c r="O684" s="139"/>
      <c r="P684" s="139"/>
      <c r="Q684" s="196"/>
      <c r="R684" s="139"/>
    </row>
    <row r="685">
      <c r="A685" s="139"/>
      <c r="B685" s="191"/>
      <c r="C685" s="139"/>
      <c r="D685" s="139"/>
      <c r="E685" s="139"/>
      <c r="F685" s="139"/>
      <c r="G685" s="139"/>
      <c r="H685" s="139"/>
      <c r="I685" s="139"/>
      <c r="J685" s="139"/>
      <c r="K685" s="139"/>
      <c r="L685" s="139"/>
      <c r="M685" s="139"/>
      <c r="N685" s="191"/>
      <c r="O685" s="139"/>
      <c r="P685" s="139"/>
      <c r="Q685" s="196"/>
      <c r="R685" s="139"/>
    </row>
    <row r="686">
      <c r="A686" s="139"/>
      <c r="B686" s="191"/>
      <c r="C686" s="139"/>
      <c r="D686" s="139"/>
      <c r="E686" s="139"/>
      <c r="F686" s="139"/>
      <c r="G686" s="139"/>
      <c r="H686" s="139"/>
      <c r="I686" s="139"/>
      <c r="J686" s="139"/>
      <c r="K686" s="139"/>
      <c r="L686" s="139"/>
      <c r="M686" s="139"/>
      <c r="N686" s="191"/>
      <c r="O686" s="139"/>
      <c r="P686" s="139"/>
      <c r="Q686" s="196"/>
      <c r="R686" s="139"/>
    </row>
    <row r="687">
      <c r="A687" s="139"/>
      <c r="B687" s="191"/>
      <c r="C687" s="139"/>
      <c r="D687" s="139"/>
      <c r="E687" s="139"/>
      <c r="F687" s="139"/>
      <c r="G687" s="139"/>
      <c r="H687" s="139"/>
      <c r="I687" s="139"/>
      <c r="J687" s="139"/>
      <c r="K687" s="139"/>
      <c r="L687" s="139"/>
      <c r="M687" s="139"/>
      <c r="N687" s="191"/>
      <c r="O687" s="139"/>
      <c r="P687" s="139"/>
      <c r="Q687" s="196"/>
      <c r="R687" s="139"/>
    </row>
    <row r="688">
      <c r="A688" s="139"/>
      <c r="B688" s="191"/>
      <c r="C688" s="139"/>
      <c r="D688" s="139"/>
      <c r="E688" s="139"/>
      <c r="F688" s="139"/>
      <c r="G688" s="139"/>
      <c r="H688" s="139"/>
      <c r="I688" s="139"/>
      <c r="J688" s="139"/>
      <c r="K688" s="139"/>
      <c r="L688" s="139"/>
      <c r="M688" s="139"/>
      <c r="N688" s="191"/>
      <c r="O688" s="139"/>
      <c r="P688" s="139"/>
      <c r="Q688" s="196"/>
      <c r="R688" s="139"/>
    </row>
    <row r="689">
      <c r="A689" s="139"/>
      <c r="B689" s="191"/>
      <c r="C689" s="139"/>
      <c r="D689" s="139"/>
      <c r="E689" s="139"/>
      <c r="F689" s="139"/>
      <c r="G689" s="139"/>
      <c r="H689" s="139"/>
      <c r="I689" s="139"/>
      <c r="J689" s="139"/>
      <c r="K689" s="139"/>
      <c r="L689" s="139"/>
      <c r="M689" s="139"/>
      <c r="N689" s="191"/>
      <c r="O689" s="139"/>
      <c r="P689" s="139"/>
      <c r="Q689" s="196"/>
      <c r="R689" s="139"/>
    </row>
    <row r="690">
      <c r="A690" s="139"/>
      <c r="B690" s="191"/>
      <c r="C690" s="139"/>
      <c r="D690" s="139"/>
      <c r="E690" s="139"/>
      <c r="F690" s="139"/>
      <c r="G690" s="139"/>
      <c r="H690" s="139"/>
      <c r="I690" s="139"/>
      <c r="J690" s="139"/>
      <c r="K690" s="139"/>
      <c r="L690" s="139"/>
      <c r="M690" s="139"/>
      <c r="N690" s="191"/>
      <c r="O690" s="139"/>
      <c r="P690" s="139"/>
      <c r="Q690" s="196"/>
      <c r="R690" s="139"/>
    </row>
    <row r="691">
      <c r="A691" s="139"/>
      <c r="B691" s="191"/>
      <c r="C691" s="139"/>
      <c r="D691" s="139"/>
      <c r="E691" s="139"/>
      <c r="F691" s="139"/>
      <c r="G691" s="139"/>
      <c r="H691" s="139"/>
      <c r="I691" s="139"/>
      <c r="J691" s="139"/>
      <c r="K691" s="139"/>
      <c r="L691" s="139"/>
      <c r="M691" s="139"/>
      <c r="N691" s="191"/>
      <c r="O691" s="139"/>
      <c r="P691" s="139"/>
      <c r="Q691" s="196"/>
      <c r="R691" s="139"/>
    </row>
    <row r="692">
      <c r="A692" s="139"/>
      <c r="B692" s="191"/>
      <c r="C692" s="139"/>
      <c r="D692" s="139"/>
      <c r="E692" s="139"/>
      <c r="F692" s="139"/>
      <c r="G692" s="139"/>
      <c r="H692" s="139"/>
      <c r="I692" s="139"/>
      <c r="J692" s="139"/>
      <c r="K692" s="139"/>
      <c r="L692" s="139"/>
      <c r="M692" s="139"/>
      <c r="N692" s="191"/>
      <c r="O692" s="139"/>
      <c r="P692" s="139"/>
      <c r="Q692" s="196"/>
      <c r="R692" s="139"/>
    </row>
    <row r="693">
      <c r="A693" s="139"/>
      <c r="B693" s="191"/>
      <c r="C693" s="139"/>
      <c r="D693" s="139"/>
      <c r="E693" s="139"/>
      <c r="F693" s="139"/>
      <c r="G693" s="139"/>
      <c r="H693" s="139"/>
      <c r="I693" s="139"/>
      <c r="J693" s="139"/>
      <c r="K693" s="139"/>
      <c r="L693" s="139"/>
      <c r="M693" s="139"/>
      <c r="N693" s="191"/>
      <c r="O693" s="139"/>
      <c r="P693" s="139"/>
      <c r="Q693" s="196"/>
      <c r="R693" s="139"/>
    </row>
    <row r="694">
      <c r="A694" s="139"/>
      <c r="B694" s="191"/>
      <c r="C694" s="139"/>
      <c r="D694" s="139"/>
      <c r="E694" s="139"/>
      <c r="F694" s="139"/>
      <c r="G694" s="139"/>
      <c r="H694" s="139"/>
      <c r="I694" s="139"/>
      <c r="J694" s="139"/>
      <c r="K694" s="139"/>
      <c r="L694" s="139"/>
      <c r="M694" s="139"/>
      <c r="N694" s="191"/>
      <c r="O694" s="139"/>
      <c r="P694" s="139"/>
      <c r="Q694" s="196"/>
      <c r="R694" s="139"/>
    </row>
    <row r="695">
      <c r="A695" s="139"/>
      <c r="B695" s="191"/>
      <c r="C695" s="139"/>
      <c r="D695" s="139"/>
      <c r="E695" s="139"/>
      <c r="F695" s="139"/>
      <c r="G695" s="139"/>
      <c r="H695" s="139"/>
      <c r="I695" s="139"/>
      <c r="J695" s="139"/>
      <c r="K695" s="139"/>
      <c r="L695" s="139"/>
      <c r="M695" s="139"/>
      <c r="N695" s="191"/>
      <c r="O695" s="139"/>
      <c r="P695" s="139"/>
      <c r="Q695" s="196"/>
      <c r="R695" s="139"/>
    </row>
    <row r="696">
      <c r="A696" s="139"/>
      <c r="B696" s="191"/>
      <c r="C696" s="139"/>
      <c r="D696" s="139"/>
      <c r="E696" s="139"/>
      <c r="F696" s="139"/>
      <c r="G696" s="139"/>
      <c r="H696" s="139"/>
      <c r="I696" s="139"/>
      <c r="J696" s="139"/>
      <c r="K696" s="139"/>
      <c r="L696" s="139"/>
      <c r="M696" s="139"/>
      <c r="N696" s="191"/>
      <c r="O696" s="139"/>
      <c r="P696" s="139"/>
      <c r="Q696" s="196"/>
      <c r="R696" s="139"/>
    </row>
    <row r="697">
      <c r="A697" s="139"/>
      <c r="B697" s="191"/>
      <c r="C697" s="139"/>
      <c r="D697" s="139"/>
      <c r="E697" s="139"/>
      <c r="F697" s="139"/>
      <c r="G697" s="139"/>
      <c r="H697" s="139"/>
      <c r="I697" s="139"/>
      <c r="J697" s="139"/>
      <c r="K697" s="139"/>
      <c r="L697" s="139"/>
      <c r="M697" s="139"/>
      <c r="N697" s="191"/>
      <c r="O697" s="139"/>
      <c r="P697" s="139"/>
      <c r="Q697" s="196"/>
      <c r="R697" s="139"/>
    </row>
    <row r="698">
      <c r="A698" s="139"/>
      <c r="B698" s="191"/>
      <c r="C698" s="139"/>
      <c r="D698" s="139"/>
      <c r="E698" s="139"/>
      <c r="F698" s="139"/>
      <c r="G698" s="139"/>
      <c r="H698" s="139"/>
      <c r="I698" s="139"/>
      <c r="J698" s="139"/>
      <c r="K698" s="139"/>
      <c r="L698" s="139"/>
      <c r="M698" s="139"/>
      <c r="N698" s="191"/>
      <c r="O698" s="139"/>
      <c r="P698" s="139"/>
      <c r="Q698" s="196"/>
      <c r="R698" s="139"/>
    </row>
    <row r="699">
      <c r="A699" s="139"/>
      <c r="B699" s="191"/>
      <c r="C699" s="139"/>
      <c r="D699" s="139"/>
      <c r="E699" s="139"/>
      <c r="F699" s="139"/>
      <c r="G699" s="139"/>
      <c r="H699" s="139"/>
      <c r="I699" s="139"/>
      <c r="J699" s="139"/>
      <c r="K699" s="139"/>
      <c r="L699" s="139"/>
      <c r="M699" s="139"/>
      <c r="N699" s="191"/>
      <c r="O699" s="139"/>
      <c r="P699" s="139"/>
      <c r="Q699" s="196"/>
      <c r="R699" s="139"/>
    </row>
    <row r="700">
      <c r="A700" s="139"/>
      <c r="B700" s="191"/>
      <c r="C700" s="139"/>
      <c r="D700" s="139"/>
      <c r="E700" s="139"/>
      <c r="F700" s="139"/>
      <c r="G700" s="139"/>
      <c r="H700" s="139"/>
      <c r="I700" s="139"/>
      <c r="J700" s="139"/>
      <c r="K700" s="139"/>
      <c r="L700" s="139"/>
      <c r="M700" s="139"/>
      <c r="N700" s="191"/>
      <c r="O700" s="139"/>
      <c r="P700" s="139"/>
      <c r="Q700" s="196"/>
      <c r="R700" s="139"/>
    </row>
    <row r="701">
      <c r="A701" s="139"/>
      <c r="B701" s="191"/>
      <c r="C701" s="139"/>
      <c r="D701" s="139"/>
      <c r="E701" s="139"/>
      <c r="F701" s="139"/>
      <c r="G701" s="139"/>
      <c r="H701" s="139"/>
      <c r="I701" s="139"/>
      <c r="J701" s="139"/>
      <c r="K701" s="139"/>
      <c r="L701" s="139"/>
      <c r="M701" s="139"/>
      <c r="N701" s="191"/>
      <c r="O701" s="139"/>
      <c r="P701" s="139"/>
      <c r="Q701" s="196"/>
      <c r="R701" s="139"/>
    </row>
    <row r="702">
      <c r="A702" s="139"/>
      <c r="B702" s="191"/>
      <c r="C702" s="139"/>
      <c r="D702" s="139"/>
      <c r="E702" s="139"/>
      <c r="F702" s="139"/>
      <c r="G702" s="139"/>
      <c r="H702" s="139"/>
      <c r="I702" s="139"/>
      <c r="J702" s="139"/>
      <c r="K702" s="139"/>
      <c r="L702" s="139"/>
      <c r="M702" s="139"/>
      <c r="N702" s="191"/>
      <c r="O702" s="139"/>
      <c r="P702" s="139"/>
      <c r="Q702" s="196"/>
      <c r="R702" s="139"/>
    </row>
    <row r="703">
      <c r="A703" s="139"/>
      <c r="B703" s="191"/>
      <c r="C703" s="139"/>
      <c r="D703" s="139"/>
      <c r="E703" s="139"/>
      <c r="F703" s="139"/>
      <c r="G703" s="139"/>
      <c r="H703" s="139"/>
      <c r="I703" s="139"/>
      <c r="J703" s="139"/>
      <c r="K703" s="139"/>
      <c r="L703" s="139"/>
      <c r="M703" s="139"/>
      <c r="N703" s="191"/>
      <c r="O703" s="139"/>
      <c r="P703" s="139"/>
      <c r="Q703" s="196"/>
      <c r="R703" s="139"/>
    </row>
    <row r="704">
      <c r="A704" s="139"/>
      <c r="B704" s="191"/>
      <c r="C704" s="139"/>
      <c r="D704" s="139"/>
      <c r="E704" s="139"/>
      <c r="F704" s="139"/>
      <c r="G704" s="139"/>
      <c r="H704" s="139"/>
      <c r="I704" s="139"/>
      <c r="J704" s="139"/>
      <c r="K704" s="139"/>
      <c r="L704" s="139"/>
      <c r="M704" s="139"/>
      <c r="N704" s="191"/>
      <c r="O704" s="139"/>
      <c r="P704" s="139"/>
      <c r="Q704" s="196"/>
      <c r="R704" s="139"/>
    </row>
    <row r="705">
      <c r="A705" s="139"/>
      <c r="B705" s="191"/>
      <c r="C705" s="139"/>
      <c r="D705" s="139"/>
      <c r="E705" s="139"/>
      <c r="F705" s="139"/>
      <c r="G705" s="139"/>
      <c r="H705" s="139"/>
      <c r="I705" s="139"/>
      <c r="J705" s="139"/>
      <c r="K705" s="139"/>
      <c r="L705" s="139"/>
      <c r="M705" s="139"/>
      <c r="N705" s="191"/>
      <c r="O705" s="139"/>
      <c r="P705" s="139"/>
      <c r="Q705" s="196"/>
      <c r="R705" s="139"/>
    </row>
    <row r="706">
      <c r="A706" s="139"/>
      <c r="B706" s="191"/>
      <c r="C706" s="139"/>
      <c r="D706" s="139"/>
      <c r="E706" s="139"/>
      <c r="F706" s="139"/>
      <c r="G706" s="139"/>
      <c r="H706" s="139"/>
      <c r="I706" s="139"/>
      <c r="J706" s="139"/>
      <c r="K706" s="139"/>
      <c r="L706" s="139"/>
      <c r="M706" s="139"/>
      <c r="N706" s="191"/>
      <c r="O706" s="139"/>
      <c r="P706" s="139"/>
      <c r="Q706" s="196"/>
      <c r="R706" s="139"/>
    </row>
    <row r="707">
      <c r="A707" s="139"/>
      <c r="B707" s="191"/>
      <c r="C707" s="139"/>
      <c r="D707" s="139"/>
      <c r="E707" s="139"/>
      <c r="F707" s="139"/>
      <c r="G707" s="139"/>
      <c r="H707" s="139"/>
      <c r="I707" s="139"/>
      <c r="J707" s="139"/>
      <c r="K707" s="139"/>
      <c r="L707" s="139"/>
      <c r="M707" s="139"/>
      <c r="N707" s="191"/>
      <c r="O707" s="139"/>
      <c r="P707" s="139"/>
      <c r="Q707" s="196"/>
      <c r="R707" s="139"/>
    </row>
    <row r="708">
      <c r="A708" s="139"/>
      <c r="B708" s="191"/>
      <c r="C708" s="139"/>
      <c r="D708" s="139"/>
      <c r="E708" s="139"/>
      <c r="F708" s="139"/>
      <c r="G708" s="139"/>
      <c r="H708" s="139"/>
      <c r="I708" s="139"/>
      <c r="J708" s="139"/>
      <c r="K708" s="139"/>
      <c r="L708" s="139"/>
      <c r="M708" s="139"/>
      <c r="N708" s="191"/>
      <c r="O708" s="139"/>
      <c r="P708" s="139"/>
      <c r="Q708" s="196"/>
      <c r="R708" s="139"/>
    </row>
    <row r="709">
      <c r="A709" s="139"/>
      <c r="B709" s="191"/>
      <c r="C709" s="139"/>
      <c r="D709" s="139"/>
      <c r="E709" s="139"/>
      <c r="F709" s="139"/>
      <c r="G709" s="139"/>
      <c r="H709" s="139"/>
      <c r="I709" s="139"/>
      <c r="J709" s="139"/>
      <c r="K709" s="139"/>
      <c r="L709" s="139"/>
      <c r="M709" s="139"/>
      <c r="N709" s="191"/>
      <c r="O709" s="139"/>
      <c r="P709" s="139"/>
      <c r="Q709" s="196"/>
      <c r="R709" s="139"/>
    </row>
    <row r="710">
      <c r="A710" s="139"/>
      <c r="B710" s="191"/>
      <c r="C710" s="139"/>
      <c r="D710" s="139"/>
      <c r="E710" s="139"/>
      <c r="F710" s="139"/>
      <c r="G710" s="139"/>
      <c r="H710" s="139"/>
      <c r="I710" s="139"/>
      <c r="J710" s="139"/>
      <c r="K710" s="139"/>
      <c r="L710" s="139"/>
      <c r="M710" s="139"/>
      <c r="N710" s="191"/>
      <c r="O710" s="139"/>
      <c r="P710" s="139"/>
      <c r="Q710" s="196"/>
      <c r="R710" s="139"/>
    </row>
    <row r="711">
      <c r="A711" s="139"/>
      <c r="B711" s="191"/>
      <c r="C711" s="139"/>
      <c r="D711" s="139"/>
      <c r="E711" s="139"/>
      <c r="F711" s="139"/>
      <c r="G711" s="139"/>
      <c r="H711" s="139"/>
      <c r="I711" s="139"/>
      <c r="J711" s="139"/>
      <c r="K711" s="139"/>
      <c r="L711" s="139"/>
      <c r="M711" s="139"/>
      <c r="N711" s="191"/>
      <c r="O711" s="139"/>
      <c r="P711" s="139"/>
      <c r="Q711" s="196"/>
      <c r="R711" s="139"/>
    </row>
    <row r="712">
      <c r="A712" s="139"/>
      <c r="B712" s="191"/>
      <c r="C712" s="139"/>
      <c r="D712" s="139"/>
      <c r="E712" s="139"/>
      <c r="F712" s="139"/>
      <c r="G712" s="139"/>
      <c r="H712" s="139"/>
      <c r="I712" s="139"/>
      <c r="J712" s="139"/>
      <c r="K712" s="139"/>
      <c r="L712" s="139"/>
      <c r="M712" s="139"/>
      <c r="N712" s="191"/>
      <c r="O712" s="139"/>
      <c r="P712" s="139"/>
      <c r="Q712" s="196"/>
      <c r="R712" s="139"/>
    </row>
    <row r="713">
      <c r="A713" s="139"/>
      <c r="B713" s="191"/>
      <c r="C713" s="139"/>
      <c r="D713" s="139"/>
      <c r="E713" s="139"/>
      <c r="F713" s="139"/>
      <c r="G713" s="139"/>
      <c r="H713" s="139"/>
      <c r="I713" s="139"/>
      <c r="J713" s="139"/>
      <c r="K713" s="139"/>
      <c r="L713" s="139"/>
      <c r="M713" s="139"/>
      <c r="N713" s="191"/>
      <c r="O713" s="139"/>
      <c r="P713" s="139"/>
      <c r="Q713" s="196"/>
      <c r="R713" s="139"/>
    </row>
    <row r="714">
      <c r="A714" s="139"/>
      <c r="B714" s="191"/>
      <c r="C714" s="139"/>
      <c r="D714" s="139"/>
      <c r="E714" s="139"/>
      <c r="F714" s="139"/>
      <c r="G714" s="139"/>
      <c r="H714" s="139"/>
      <c r="I714" s="139"/>
      <c r="J714" s="139"/>
      <c r="K714" s="139"/>
      <c r="L714" s="139"/>
      <c r="M714" s="139"/>
      <c r="N714" s="191"/>
      <c r="O714" s="139"/>
      <c r="P714" s="139"/>
      <c r="Q714" s="196"/>
      <c r="R714" s="139"/>
    </row>
    <row r="715">
      <c r="A715" s="139"/>
      <c r="B715" s="191"/>
      <c r="C715" s="139"/>
      <c r="D715" s="139"/>
      <c r="E715" s="139"/>
      <c r="F715" s="139"/>
      <c r="G715" s="139"/>
      <c r="H715" s="139"/>
      <c r="I715" s="139"/>
      <c r="J715" s="139"/>
      <c r="K715" s="139"/>
      <c r="L715" s="139"/>
      <c r="M715" s="139"/>
      <c r="N715" s="191"/>
      <c r="O715" s="139"/>
      <c r="P715" s="139"/>
      <c r="Q715" s="196"/>
      <c r="R715" s="139"/>
    </row>
    <row r="716">
      <c r="A716" s="139"/>
      <c r="B716" s="191"/>
      <c r="C716" s="139"/>
      <c r="D716" s="139"/>
      <c r="E716" s="139"/>
      <c r="F716" s="139"/>
      <c r="G716" s="139"/>
      <c r="H716" s="139"/>
      <c r="I716" s="139"/>
      <c r="J716" s="139"/>
      <c r="K716" s="139"/>
      <c r="L716" s="139"/>
      <c r="M716" s="139"/>
      <c r="N716" s="191"/>
      <c r="O716" s="139"/>
      <c r="P716" s="139"/>
      <c r="Q716" s="196"/>
      <c r="R716" s="139"/>
    </row>
    <row r="717">
      <c r="A717" s="139"/>
      <c r="B717" s="191"/>
      <c r="C717" s="139"/>
      <c r="D717" s="139"/>
      <c r="E717" s="139"/>
      <c r="F717" s="139"/>
      <c r="G717" s="139"/>
      <c r="H717" s="139"/>
      <c r="I717" s="139"/>
      <c r="J717" s="139"/>
      <c r="K717" s="139"/>
      <c r="L717" s="139"/>
      <c r="M717" s="139"/>
      <c r="N717" s="191"/>
      <c r="O717" s="139"/>
      <c r="P717" s="139"/>
      <c r="Q717" s="196"/>
      <c r="R717" s="139"/>
    </row>
    <row r="718">
      <c r="A718" s="139"/>
      <c r="B718" s="191"/>
      <c r="C718" s="139"/>
      <c r="D718" s="139"/>
      <c r="E718" s="139"/>
      <c r="F718" s="139"/>
      <c r="G718" s="139"/>
      <c r="H718" s="139"/>
      <c r="I718" s="139"/>
      <c r="J718" s="139"/>
      <c r="K718" s="139"/>
      <c r="L718" s="139"/>
      <c r="M718" s="139"/>
      <c r="N718" s="191"/>
      <c r="O718" s="139"/>
      <c r="P718" s="139"/>
      <c r="Q718" s="196"/>
      <c r="R718" s="139"/>
    </row>
    <row r="719">
      <c r="A719" s="139"/>
      <c r="B719" s="191"/>
      <c r="C719" s="139"/>
      <c r="D719" s="139"/>
      <c r="E719" s="139"/>
      <c r="F719" s="139"/>
      <c r="G719" s="139"/>
      <c r="H719" s="139"/>
      <c r="I719" s="139"/>
      <c r="J719" s="139"/>
      <c r="K719" s="139"/>
      <c r="L719" s="139"/>
      <c r="M719" s="139"/>
      <c r="N719" s="191"/>
      <c r="O719" s="139"/>
      <c r="P719" s="139"/>
      <c r="Q719" s="196"/>
      <c r="R719" s="139"/>
    </row>
    <row r="720">
      <c r="A720" s="139"/>
      <c r="B720" s="191"/>
      <c r="C720" s="139"/>
      <c r="D720" s="139"/>
      <c r="E720" s="139"/>
      <c r="F720" s="139"/>
      <c r="G720" s="139"/>
      <c r="H720" s="139"/>
      <c r="I720" s="139"/>
      <c r="J720" s="139"/>
      <c r="K720" s="139"/>
      <c r="L720" s="139"/>
      <c r="M720" s="139"/>
      <c r="N720" s="191"/>
      <c r="O720" s="139"/>
      <c r="P720" s="139"/>
      <c r="Q720" s="196"/>
      <c r="R720" s="139"/>
    </row>
    <row r="721">
      <c r="A721" s="139"/>
      <c r="B721" s="191"/>
      <c r="C721" s="139"/>
      <c r="D721" s="139"/>
      <c r="E721" s="139"/>
      <c r="F721" s="139"/>
      <c r="G721" s="139"/>
      <c r="H721" s="139"/>
      <c r="I721" s="139"/>
      <c r="J721" s="139"/>
      <c r="K721" s="139"/>
      <c r="L721" s="139"/>
      <c r="M721" s="139"/>
      <c r="N721" s="191"/>
      <c r="O721" s="139"/>
      <c r="P721" s="139"/>
      <c r="Q721" s="196"/>
      <c r="R721" s="139"/>
    </row>
    <row r="722">
      <c r="A722" s="139"/>
      <c r="B722" s="191"/>
      <c r="C722" s="139"/>
      <c r="D722" s="139"/>
      <c r="E722" s="139"/>
      <c r="F722" s="139"/>
      <c r="G722" s="139"/>
      <c r="H722" s="139"/>
      <c r="I722" s="139"/>
      <c r="J722" s="139"/>
      <c r="K722" s="139"/>
      <c r="L722" s="139"/>
      <c r="M722" s="139"/>
      <c r="N722" s="191"/>
      <c r="O722" s="139"/>
      <c r="P722" s="139"/>
      <c r="Q722" s="196"/>
      <c r="R722" s="139"/>
    </row>
    <row r="723">
      <c r="A723" s="139"/>
      <c r="B723" s="191"/>
      <c r="C723" s="139"/>
      <c r="D723" s="139"/>
      <c r="E723" s="139"/>
      <c r="F723" s="139"/>
      <c r="G723" s="139"/>
      <c r="H723" s="139"/>
      <c r="I723" s="139"/>
      <c r="J723" s="139"/>
      <c r="K723" s="139"/>
      <c r="L723" s="139"/>
      <c r="M723" s="139"/>
      <c r="N723" s="191"/>
      <c r="O723" s="139"/>
      <c r="P723" s="139"/>
      <c r="Q723" s="196"/>
      <c r="R723" s="139"/>
    </row>
    <row r="724">
      <c r="A724" s="139"/>
      <c r="B724" s="191"/>
      <c r="C724" s="139"/>
      <c r="D724" s="139"/>
      <c r="E724" s="139"/>
      <c r="F724" s="139"/>
      <c r="G724" s="139"/>
      <c r="H724" s="139"/>
      <c r="I724" s="139"/>
      <c r="J724" s="139"/>
      <c r="K724" s="139"/>
      <c r="L724" s="139"/>
      <c r="M724" s="139"/>
      <c r="N724" s="191"/>
      <c r="O724" s="139"/>
      <c r="P724" s="139"/>
      <c r="Q724" s="196"/>
      <c r="R724" s="139"/>
    </row>
    <row r="725">
      <c r="A725" s="139"/>
      <c r="B725" s="191"/>
      <c r="C725" s="139"/>
      <c r="D725" s="139"/>
      <c r="E725" s="139"/>
      <c r="F725" s="139"/>
      <c r="G725" s="139"/>
      <c r="H725" s="139"/>
      <c r="I725" s="139"/>
      <c r="J725" s="139"/>
      <c r="K725" s="139"/>
      <c r="L725" s="139"/>
      <c r="M725" s="139"/>
      <c r="N725" s="191"/>
      <c r="O725" s="139"/>
      <c r="P725" s="139"/>
      <c r="Q725" s="196"/>
      <c r="R725" s="139"/>
    </row>
    <row r="726">
      <c r="A726" s="139"/>
      <c r="B726" s="191"/>
      <c r="C726" s="139"/>
      <c r="D726" s="139"/>
      <c r="E726" s="139"/>
      <c r="F726" s="139"/>
      <c r="G726" s="139"/>
      <c r="H726" s="139"/>
      <c r="I726" s="139"/>
      <c r="J726" s="139"/>
      <c r="K726" s="139"/>
      <c r="L726" s="139"/>
      <c r="M726" s="139"/>
      <c r="N726" s="191"/>
      <c r="O726" s="139"/>
      <c r="P726" s="139"/>
      <c r="Q726" s="196"/>
      <c r="R726" s="139"/>
    </row>
    <row r="727">
      <c r="A727" s="139"/>
      <c r="B727" s="191"/>
      <c r="C727" s="139"/>
      <c r="D727" s="139"/>
      <c r="E727" s="139"/>
      <c r="F727" s="139"/>
      <c r="G727" s="139"/>
      <c r="H727" s="139"/>
      <c r="I727" s="139"/>
      <c r="J727" s="139"/>
      <c r="K727" s="139"/>
      <c r="L727" s="139"/>
      <c r="M727" s="139"/>
      <c r="N727" s="191"/>
      <c r="O727" s="139"/>
      <c r="P727" s="139"/>
      <c r="Q727" s="196"/>
      <c r="R727" s="139"/>
    </row>
    <row r="728">
      <c r="A728" s="139"/>
      <c r="B728" s="191"/>
      <c r="C728" s="139"/>
      <c r="D728" s="139"/>
      <c r="E728" s="139"/>
      <c r="F728" s="139"/>
      <c r="G728" s="139"/>
      <c r="H728" s="139"/>
      <c r="I728" s="139"/>
      <c r="J728" s="139"/>
      <c r="K728" s="139"/>
      <c r="L728" s="139"/>
      <c r="M728" s="139"/>
      <c r="N728" s="191"/>
      <c r="O728" s="139"/>
      <c r="P728" s="139"/>
      <c r="Q728" s="196"/>
      <c r="R728" s="139"/>
    </row>
    <row r="729">
      <c r="A729" s="139"/>
      <c r="B729" s="191"/>
      <c r="C729" s="139"/>
      <c r="D729" s="139"/>
      <c r="E729" s="139"/>
      <c r="F729" s="139"/>
      <c r="G729" s="139"/>
      <c r="H729" s="139"/>
      <c r="I729" s="139"/>
      <c r="J729" s="139"/>
      <c r="K729" s="139"/>
      <c r="L729" s="139"/>
      <c r="M729" s="139"/>
      <c r="N729" s="191"/>
      <c r="O729" s="139"/>
      <c r="P729" s="139"/>
      <c r="Q729" s="196"/>
      <c r="R729" s="139"/>
    </row>
    <row r="730">
      <c r="A730" s="139"/>
      <c r="B730" s="191"/>
      <c r="C730" s="139"/>
      <c r="D730" s="139"/>
      <c r="E730" s="139"/>
      <c r="F730" s="139"/>
      <c r="G730" s="139"/>
      <c r="H730" s="139"/>
      <c r="I730" s="139"/>
      <c r="J730" s="139"/>
      <c r="K730" s="139"/>
      <c r="L730" s="139"/>
      <c r="M730" s="139"/>
      <c r="N730" s="191"/>
      <c r="O730" s="139"/>
      <c r="P730" s="139"/>
      <c r="Q730" s="196"/>
      <c r="R730" s="139"/>
    </row>
    <row r="731">
      <c r="A731" s="139"/>
      <c r="B731" s="191"/>
      <c r="C731" s="139"/>
      <c r="D731" s="139"/>
      <c r="E731" s="139"/>
      <c r="F731" s="139"/>
      <c r="G731" s="139"/>
      <c r="H731" s="139"/>
      <c r="I731" s="139"/>
      <c r="J731" s="139"/>
      <c r="K731" s="139"/>
      <c r="L731" s="139"/>
      <c r="M731" s="139"/>
      <c r="N731" s="191"/>
      <c r="O731" s="139"/>
      <c r="P731" s="139"/>
      <c r="Q731" s="196"/>
      <c r="R731" s="139"/>
    </row>
    <row r="732">
      <c r="A732" s="139"/>
      <c r="B732" s="191"/>
      <c r="C732" s="139"/>
      <c r="D732" s="139"/>
      <c r="E732" s="139"/>
      <c r="F732" s="139"/>
      <c r="G732" s="139"/>
      <c r="H732" s="139"/>
      <c r="I732" s="139"/>
      <c r="J732" s="139"/>
      <c r="K732" s="139"/>
      <c r="L732" s="139"/>
      <c r="M732" s="139"/>
      <c r="N732" s="191"/>
      <c r="O732" s="139"/>
      <c r="P732" s="139"/>
      <c r="Q732" s="196"/>
      <c r="R732" s="139"/>
    </row>
    <row r="733">
      <c r="A733" s="139"/>
      <c r="B733" s="191"/>
      <c r="C733" s="139"/>
      <c r="D733" s="139"/>
      <c r="E733" s="139"/>
      <c r="F733" s="139"/>
      <c r="G733" s="139"/>
      <c r="H733" s="139"/>
      <c r="I733" s="139"/>
      <c r="J733" s="139"/>
      <c r="K733" s="139"/>
      <c r="L733" s="139"/>
      <c r="M733" s="139"/>
      <c r="N733" s="191"/>
      <c r="O733" s="139"/>
      <c r="P733" s="139"/>
      <c r="Q733" s="196"/>
      <c r="R733" s="139"/>
    </row>
    <row r="734">
      <c r="A734" s="139"/>
      <c r="B734" s="191"/>
      <c r="C734" s="139"/>
      <c r="D734" s="139"/>
      <c r="E734" s="139"/>
      <c r="F734" s="139"/>
      <c r="G734" s="139"/>
      <c r="H734" s="139"/>
      <c r="I734" s="139"/>
      <c r="J734" s="139"/>
      <c r="K734" s="139"/>
      <c r="L734" s="139"/>
      <c r="M734" s="139"/>
      <c r="N734" s="191"/>
      <c r="O734" s="139"/>
      <c r="P734" s="139"/>
      <c r="Q734" s="196"/>
      <c r="R734" s="139"/>
    </row>
    <row r="735">
      <c r="A735" s="139"/>
      <c r="B735" s="191"/>
      <c r="C735" s="139"/>
      <c r="D735" s="139"/>
      <c r="E735" s="139"/>
      <c r="F735" s="139"/>
      <c r="G735" s="139"/>
      <c r="H735" s="139"/>
      <c r="I735" s="139"/>
      <c r="J735" s="139"/>
      <c r="K735" s="139"/>
      <c r="L735" s="139"/>
      <c r="M735" s="139"/>
      <c r="N735" s="191"/>
      <c r="O735" s="139"/>
      <c r="P735" s="139"/>
      <c r="Q735" s="196"/>
      <c r="R735" s="139"/>
    </row>
    <row r="736">
      <c r="A736" s="139"/>
      <c r="B736" s="191"/>
      <c r="C736" s="139"/>
      <c r="D736" s="139"/>
      <c r="E736" s="139"/>
      <c r="F736" s="139"/>
      <c r="G736" s="139"/>
      <c r="H736" s="139"/>
      <c r="I736" s="139"/>
      <c r="J736" s="139"/>
      <c r="K736" s="139"/>
      <c r="L736" s="139"/>
      <c r="M736" s="139"/>
      <c r="N736" s="191"/>
      <c r="O736" s="139"/>
      <c r="P736" s="139"/>
      <c r="Q736" s="196"/>
      <c r="R736" s="139"/>
    </row>
    <row r="737">
      <c r="A737" s="139"/>
      <c r="B737" s="191"/>
      <c r="C737" s="139"/>
      <c r="D737" s="139"/>
      <c r="E737" s="139"/>
      <c r="F737" s="139"/>
      <c r="G737" s="139"/>
      <c r="H737" s="139"/>
      <c r="I737" s="139"/>
      <c r="J737" s="139"/>
      <c r="K737" s="139"/>
      <c r="L737" s="139"/>
      <c r="M737" s="139"/>
      <c r="N737" s="191"/>
      <c r="O737" s="139"/>
      <c r="P737" s="139"/>
      <c r="Q737" s="196"/>
      <c r="R737" s="139"/>
    </row>
    <row r="738">
      <c r="A738" s="139"/>
      <c r="B738" s="191"/>
      <c r="C738" s="139"/>
      <c r="D738" s="139"/>
      <c r="E738" s="139"/>
      <c r="F738" s="139"/>
      <c r="G738" s="139"/>
      <c r="H738" s="139"/>
      <c r="I738" s="139"/>
      <c r="J738" s="139"/>
      <c r="K738" s="139"/>
      <c r="L738" s="139"/>
      <c r="M738" s="139"/>
      <c r="N738" s="191"/>
      <c r="O738" s="139"/>
      <c r="P738" s="139"/>
      <c r="Q738" s="196"/>
      <c r="R738" s="139"/>
    </row>
    <row r="739">
      <c r="A739" s="139"/>
      <c r="B739" s="191"/>
      <c r="C739" s="139"/>
      <c r="D739" s="139"/>
      <c r="E739" s="139"/>
      <c r="F739" s="139"/>
      <c r="G739" s="139"/>
      <c r="H739" s="139"/>
      <c r="I739" s="139"/>
      <c r="J739" s="139"/>
      <c r="K739" s="139"/>
      <c r="L739" s="139"/>
      <c r="M739" s="139"/>
      <c r="N739" s="191"/>
      <c r="O739" s="139"/>
      <c r="P739" s="139"/>
      <c r="Q739" s="196"/>
      <c r="R739" s="139"/>
    </row>
    <row r="740">
      <c r="A740" s="139"/>
      <c r="B740" s="191"/>
      <c r="C740" s="139"/>
      <c r="D740" s="139"/>
      <c r="E740" s="139"/>
      <c r="F740" s="139"/>
      <c r="G740" s="139"/>
      <c r="H740" s="139"/>
      <c r="I740" s="139"/>
      <c r="J740" s="139"/>
      <c r="K740" s="139"/>
      <c r="L740" s="139"/>
      <c r="M740" s="139"/>
      <c r="N740" s="191"/>
      <c r="O740" s="139"/>
      <c r="P740" s="139"/>
      <c r="Q740" s="196"/>
      <c r="R740" s="139"/>
    </row>
    <row r="741">
      <c r="A741" s="139"/>
      <c r="B741" s="191"/>
      <c r="C741" s="139"/>
      <c r="D741" s="139"/>
      <c r="E741" s="139"/>
      <c r="F741" s="139"/>
      <c r="G741" s="139"/>
      <c r="H741" s="139"/>
      <c r="I741" s="139"/>
      <c r="J741" s="139"/>
      <c r="K741" s="139"/>
      <c r="L741" s="139"/>
      <c r="M741" s="139"/>
      <c r="N741" s="191"/>
      <c r="O741" s="139"/>
      <c r="P741" s="139"/>
      <c r="Q741" s="196"/>
      <c r="R741" s="139"/>
    </row>
    <row r="742">
      <c r="A742" s="139"/>
      <c r="B742" s="191"/>
      <c r="C742" s="139"/>
      <c r="D742" s="139"/>
      <c r="E742" s="139"/>
      <c r="F742" s="139"/>
      <c r="G742" s="139"/>
      <c r="H742" s="139"/>
      <c r="I742" s="139"/>
      <c r="J742" s="139"/>
      <c r="K742" s="139"/>
      <c r="L742" s="139"/>
      <c r="M742" s="139"/>
      <c r="N742" s="191"/>
      <c r="O742" s="139"/>
      <c r="P742" s="139"/>
      <c r="Q742" s="196"/>
      <c r="R742" s="139"/>
    </row>
    <row r="743">
      <c r="A743" s="139"/>
      <c r="B743" s="191"/>
      <c r="C743" s="139"/>
      <c r="D743" s="139"/>
      <c r="E743" s="139"/>
      <c r="F743" s="139"/>
      <c r="G743" s="139"/>
      <c r="H743" s="139"/>
      <c r="I743" s="139"/>
      <c r="J743" s="139"/>
      <c r="K743" s="139"/>
      <c r="L743" s="139"/>
      <c r="M743" s="139"/>
      <c r="N743" s="191"/>
      <c r="O743" s="139"/>
      <c r="P743" s="139"/>
      <c r="Q743" s="196"/>
      <c r="R743" s="139"/>
    </row>
    <row r="744">
      <c r="A744" s="139"/>
      <c r="B744" s="191"/>
      <c r="C744" s="139"/>
      <c r="D744" s="139"/>
      <c r="E744" s="139"/>
      <c r="F744" s="139"/>
      <c r="G744" s="139"/>
      <c r="H744" s="139"/>
      <c r="I744" s="139"/>
      <c r="J744" s="139"/>
      <c r="K744" s="139"/>
      <c r="L744" s="139"/>
      <c r="M744" s="139"/>
      <c r="N744" s="191"/>
      <c r="O744" s="139"/>
      <c r="P744" s="139"/>
      <c r="Q744" s="196"/>
      <c r="R744" s="139"/>
    </row>
    <row r="745">
      <c r="A745" s="139"/>
      <c r="B745" s="191"/>
      <c r="C745" s="139"/>
      <c r="D745" s="139"/>
      <c r="E745" s="139"/>
      <c r="F745" s="139"/>
      <c r="G745" s="139"/>
      <c r="H745" s="139"/>
      <c r="I745" s="139"/>
      <c r="J745" s="139"/>
      <c r="K745" s="139"/>
      <c r="L745" s="139"/>
      <c r="M745" s="139"/>
      <c r="N745" s="191"/>
      <c r="O745" s="139"/>
      <c r="P745" s="139"/>
      <c r="Q745" s="196"/>
      <c r="R745" s="139"/>
    </row>
    <row r="746">
      <c r="A746" s="139"/>
      <c r="B746" s="191"/>
      <c r="C746" s="139"/>
      <c r="D746" s="139"/>
      <c r="E746" s="139"/>
      <c r="F746" s="139"/>
      <c r="G746" s="139"/>
      <c r="H746" s="139"/>
      <c r="I746" s="139"/>
      <c r="J746" s="139"/>
      <c r="K746" s="139"/>
      <c r="L746" s="139"/>
      <c r="M746" s="139"/>
      <c r="N746" s="191"/>
      <c r="O746" s="139"/>
      <c r="P746" s="139"/>
      <c r="Q746" s="196"/>
      <c r="R746" s="139"/>
    </row>
    <row r="747">
      <c r="A747" s="139"/>
      <c r="B747" s="191"/>
      <c r="C747" s="139"/>
      <c r="D747" s="139"/>
      <c r="E747" s="139"/>
      <c r="F747" s="139"/>
      <c r="G747" s="139"/>
      <c r="H747" s="139"/>
      <c r="I747" s="139"/>
      <c r="J747" s="139"/>
      <c r="K747" s="139"/>
      <c r="L747" s="139"/>
      <c r="M747" s="139"/>
      <c r="N747" s="191"/>
      <c r="O747" s="139"/>
      <c r="P747" s="139"/>
      <c r="Q747" s="196"/>
      <c r="R747" s="139"/>
    </row>
    <row r="748">
      <c r="A748" s="139"/>
      <c r="B748" s="191"/>
      <c r="C748" s="139"/>
      <c r="D748" s="139"/>
      <c r="E748" s="139"/>
      <c r="F748" s="139"/>
      <c r="G748" s="139"/>
      <c r="H748" s="139"/>
      <c r="I748" s="139"/>
      <c r="J748" s="139"/>
      <c r="K748" s="139"/>
      <c r="L748" s="139"/>
      <c r="M748" s="139"/>
      <c r="N748" s="191"/>
      <c r="O748" s="139"/>
      <c r="P748" s="139"/>
      <c r="Q748" s="196"/>
      <c r="R748" s="139"/>
    </row>
    <row r="749">
      <c r="A749" s="139"/>
      <c r="B749" s="191"/>
      <c r="C749" s="139"/>
      <c r="D749" s="139"/>
      <c r="E749" s="139"/>
      <c r="F749" s="139"/>
      <c r="G749" s="139"/>
      <c r="H749" s="139"/>
      <c r="I749" s="139"/>
      <c r="J749" s="139"/>
      <c r="K749" s="139"/>
      <c r="L749" s="139"/>
      <c r="M749" s="139"/>
      <c r="N749" s="191"/>
      <c r="O749" s="139"/>
      <c r="P749" s="139"/>
      <c r="Q749" s="196"/>
      <c r="R749" s="139"/>
    </row>
    <row r="750">
      <c r="A750" s="139"/>
      <c r="B750" s="191"/>
      <c r="C750" s="139"/>
      <c r="D750" s="139"/>
      <c r="E750" s="139"/>
      <c r="F750" s="139"/>
      <c r="G750" s="139"/>
      <c r="H750" s="139"/>
      <c r="I750" s="139"/>
      <c r="J750" s="139"/>
      <c r="K750" s="139"/>
      <c r="L750" s="139"/>
      <c r="M750" s="139"/>
      <c r="N750" s="191"/>
      <c r="O750" s="139"/>
      <c r="P750" s="139"/>
      <c r="Q750" s="196"/>
      <c r="R750" s="139"/>
    </row>
    <row r="751">
      <c r="A751" s="139"/>
      <c r="B751" s="191"/>
      <c r="C751" s="139"/>
      <c r="D751" s="139"/>
      <c r="E751" s="139"/>
      <c r="F751" s="139"/>
      <c r="G751" s="139"/>
      <c r="H751" s="139"/>
      <c r="I751" s="139"/>
      <c r="J751" s="139"/>
      <c r="K751" s="139"/>
      <c r="L751" s="139"/>
      <c r="M751" s="139"/>
      <c r="N751" s="191"/>
      <c r="O751" s="139"/>
      <c r="P751" s="139"/>
      <c r="Q751" s="196"/>
      <c r="R751" s="139"/>
    </row>
    <row r="752">
      <c r="A752" s="139"/>
      <c r="B752" s="191"/>
      <c r="C752" s="139"/>
      <c r="D752" s="139"/>
      <c r="E752" s="139"/>
      <c r="F752" s="139"/>
      <c r="G752" s="139"/>
      <c r="H752" s="139"/>
      <c r="I752" s="139"/>
      <c r="J752" s="139"/>
      <c r="K752" s="139"/>
      <c r="L752" s="139"/>
      <c r="M752" s="139"/>
      <c r="N752" s="191"/>
      <c r="O752" s="139"/>
      <c r="P752" s="139"/>
      <c r="Q752" s="196"/>
      <c r="R752" s="139"/>
    </row>
    <row r="753">
      <c r="A753" s="139"/>
      <c r="B753" s="191"/>
      <c r="C753" s="139"/>
      <c r="D753" s="139"/>
      <c r="E753" s="139"/>
      <c r="F753" s="139"/>
      <c r="G753" s="139"/>
      <c r="H753" s="139"/>
      <c r="I753" s="139"/>
      <c r="J753" s="139"/>
      <c r="K753" s="139"/>
      <c r="L753" s="139"/>
      <c r="M753" s="139"/>
      <c r="N753" s="191"/>
      <c r="O753" s="139"/>
      <c r="P753" s="139"/>
      <c r="Q753" s="196"/>
      <c r="R753" s="139"/>
    </row>
    <row r="754">
      <c r="A754" s="139"/>
      <c r="B754" s="191"/>
      <c r="C754" s="139"/>
      <c r="D754" s="139"/>
      <c r="E754" s="139"/>
      <c r="F754" s="139"/>
      <c r="G754" s="139"/>
      <c r="H754" s="139"/>
      <c r="I754" s="139"/>
      <c r="J754" s="139"/>
      <c r="K754" s="139"/>
      <c r="L754" s="139"/>
      <c r="M754" s="139"/>
      <c r="N754" s="191"/>
      <c r="O754" s="139"/>
      <c r="P754" s="139"/>
      <c r="Q754" s="196"/>
      <c r="R754" s="139"/>
    </row>
    <row r="755">
      <c r="A755" s="139"/>
      <c r="B755" s="191"/>
      <c r="C755" s="139"/>
      <c r="D755" s="139"/>
      <c r="E755" s="139"/>
      <c r="F755" s="139"/>
      <c r="G755" s="139"/>
      <c r="H755" s="139"/>
      <c r="I755" s="139"/>
      <c r="J755" s="139"/>
      <c r="K755" s="139"/>
      <c r="L755" s="139"/>
      <c r="M755" s="139"/>
      <c r="N755" s="191"/>
      <c r="O755" s="139"/>
      <c r="P755" s="139"/>
      <c r="Q755" s="196"/>
      <c r="R755" s="139"/>
    </row>
    <row r="756">
      <c r="A756" s="139"/>
      <c r="B756" s="191"/>
      <c r="C756" s="139"/>
      <c r="D756" s="139"/>
      <c r="E756" s="139"/>
      <c r="F756" s="139"/>
      <c r="G756" s="139"/>
      <c r="H756" s="139"/>
      <c r="I756" s="139"/>
      <c r="J756" s="139"/>
      <c r="K756" s="139"/>
      <c r="L756" s="139"/>
      <c r="M756" s="139"/>
      <c r="N756" s="191"/>
      <c r="O756" s="139"/>
      <c r="P756" s="139"/>
      <c r="Q756" s="196"/>
      <c r="R756" s="139"/>
    </row>
    <row r="757">
      <c r="A757" s="139"/>
      <c r="B757" s="191"/>
      <c r="C757" s="139"/>
      <c r="D757" s="139"/>
      <c r="E757" s="139"/>
      <c r="F757" s="139"/>
      <c r="G757" s="139"/>
      <c r="H757" s="139"/>
      <c r="I757" s="139"/>
      <c r="J757" s="139"/>
      <c r="K757" s="139"/>
      <c r="L757" s="139"/>
      <c r="M757" s="139"/>
      <c r="N757" s="191"/>
      <c r="O757" s="139"/>
      <c r="P757" s="139"/>
      <c r="Q757" s="196"/>
      <c r="R757" s="139"/>
    </row>
    <row r="758">
      <c r="A758" s="139"/>
      <c r="B758" s="191"/>
      <c r="C758" s="139"/>
      <c r="D758" s="139"/>
      <c r="E758" s="139"/>
      <c r="F758" s="139"/>
      <c r="G758" s="139"/>
      <c r="H758" s="139"/>
      <c r="I758" s="139"/>
      <c r="J758" s="139"/>
      <c r="K758" s="139"/>
      <c r="L758" s="139"/>
      <c r="M758" s="139"/>
      <c r="N758" s="191"/>
      <c r="O758" s="139"/>
      <c r="P758" s="139"/>
      <c r="Q758" s="196"/>
      <c r="R758" s="139"/>
    </row>
    <row r="759">
      <c r="A759" s="139"/>
      <c r="B759" s="191"/>
      <c r="C759" s="139"/>
      <c r="D759" s="139"/>
      <c r="E759" s="139"/>
      <c r="F759" s="139"/>
      <c r="G759" s="139"/>
      <c r="H759" s="139"/>
      <c r="I759" s="139"/>
      <c r="J759" s="139"/>
      <c r="K759" s="139"/>
      <c r="L759" s="139"/>
      <c r="M759" s="139"/>
      <c r="N759" s="191"/>
      <c r="O759" s="139"/>
      <c r="P759" s="139"/>
      <c r="Q759" s="196"/>
      <c r="R759" s="139"/>
    </row>
    <row r="760">
      <c r="A760" s="139"/>
      <c r="B760" s="191"/>
      <c r="C760" s="139"/>
      <c r="D760" s="139"/>
      <c r="E760" s="139"/>
      <c r="F760" s="139"/>
      <c r="G760" s="139"/>
      <c r="H760" s="139"/>
      <c r="I760" s="139"/>
      <c r="J760" s="139"/>
      <c r="K760" s="139"/>
      <c r="L760" s="139"/>
      <c r="M760" s="139"/>
      <c r="N760" s="191"/>
      <c r="O760" s="139"/>
      <c r="P760" s="139"/>
      <c r="Q760" s="196"/>
      <c r="R760" s="139"/>
    </row>
    <row r="761">
      <c r="A761" s="139"/>
      <c r="B761" s="191"/>
      <c r="C761" s="139"/>
      <c r="D761" s="139"/>
      <c r="E761" s="139"/>
      <c r="F761" s="139"/>
      <c r="G761" s="139"/>
      <c r="H761" s="139"/>
      <c r="I761" s="139"/>
      <c r="J761" s="139"/>
      <c r="K761" s="139"/>
      <c r="L761" s="139"/>
      <c r="M761" s="139"/>
      <c r="N761" s="191"/>
      <c r="O761" s="139"/>
      <c r="P761" s="139"/>
      <c r="Q761" s="196"/>
      <c r="R761" s="139"/>
    </row>
    <row r="762">
      <c r="A762" s="139"/>
      <c r="B762" s="191"/>
      <c r="C762" s="139"/>
      <c r="D762" s="139"/>
      <c r="E762" s="139"/>
      <c r="F762" s="139"/>
      <c r="G762" s="139"/>
      <c r="H762" s="139"/>
      <c r="I762" s="139"/>
      <c r="J762" s="139"/>
      <c r="K762" s="139"/>
      <c r="L762" s="139"/>
      <c r="M762" s="139"/>
      <c r="N762" s="191"/>
      <c r="O762" s="139"/>
      <c r="P762" s="139"/>
      <c r="Q762" s="196"/>
      <c r="R762" s="139"/>
    </row>
    <row r="763">
      <c r="A763" s="139"/>
      <c r="B763" s="191"/>
      <c r="C763" s="139"/>
      <c r="D763" s="139"/>
      <c r="E763" s="139"/>
      <c r="F763" s="139"/>
      <c r="G763" s="139"/>
      <c r="H763" s="139"/>
      <c r="I763" s="139"/>
      <c r="J763" s="139"/>
      <c r="K763" s="139"/>
      <c r="L763" s="139"/>
      <c r="M763" s="139"/>
      <c r="N763" s="191"/>
      <c r="O763" s="139"/>
      <c r="P763" s="139"/>
      <c r="Q763" s="196"/>
      <c r="R763" s="139"/>
    </row>
    <row r="764">
      <c r="A764" s="139"/>
      <c r="B764" s="191"/>
      <c r="C764" s="139"/>
      <c r="D764" s="139"/>
      <c r="E764" s="139"/>
      <c r="F764" s="139"/>
      <c r="G764" s="139"/>
      <c r="H764" s="139"/>
      <c r="I764" s="139"/>
      <c r="J764" s="139"/>
      <c r="K764" s="139"/>
      <c r="L764" s="139"/>
      <c r="M764" s="139"/>
      <c r="N764" s="191"/>
      <c r="O764" s="139"/>
      <c r="P764" s="139"/>
      <c r="Q764" s="196"/>
      <c r="R764" s="139"/>
    </row>
    <row r="765">
      <c r="A765" s="139"/>
      <c r="B765" s="191"/>
      <c r="C765" s="139"/>
      <c r="D765" s="139"/>
      <c r="E765" s="139"/>
      <c r="F765" s="139"/>
      <c r="G765" s="139"/>
      <c r="H765" s="139"/>
      <c r="I765" s="139"/>
      <c r="J765" s="139"/>
      <c r="K765" s="139"/>
      <c r="L765" s="139"/>
      <c r="M765" s="139"/>
      <c r="N765" s="191"/>
      <c r="O765" s="139"/>
      <c r="P765" s="139"/>
      <c r="Q765" s="196"/>
      <c r="R765" s="139"/>
    </row>
    <row r="766">
      <c r="A766" s="139"/>
      <c r="B766" s="191"/>
      <c r="C766" s="139"/>
      <c r="D766" s="139"/>
      <c r="E766" s="139"/>
      <c r="F766" s="139"/>
      <c r="G766" s="139"/>
      <c r="H766" s="139"/>
      <c r="I766" s="139"/>
      <c r="J766" s="139"/>
      <c r="K766" s="139"/>
      <c r="L766" s="139"/>
      <c r="M766" s="139"/>
      <c r="N766" s="191"/>
      <c r="O766" s="139"/>
      <c r="P766" s="139"/>
      <c r="Q766" s="196"/>
      <c r="R766" s="139"/>
    </row>
    <row r="767">
      <c r="A767" s="139"/>
      <c r="B767" s="191"/>
      <c r="C767" s="139"/>
      <c r="D767" s="139"/>
      <c r="E767" s="139"/>
      <c r="F767" s="139"/>
      <c r="G767" s="139"/>
      <c r="H767" s="139"/>
      <c r="I767" s="139"/>
      <c r="J767" s="139"/>
      <c r="K767" s="139"/>
      <c r="L767" s="139"/>
      <c r="M767" s="139"/>
      <c r="N767" s="191"/>
      <c r="O767" s="139"/>
      <c r="P767" s="139"/>
      <c r="Q767" s="196"/>
      <c r="R767" s="139"/>
    </row>
    <row r="768">
      <c r="A768" s="139"/>
      <c r="B768" s="191"/>
      <c r="C768" s="139"/>
      <c r="D768" s="139"/>
      <c r="E768" s="139"/>
      <c r="F768" s="139"/>
      <c r="G768" s="139"/>
      <c r="H768" s="139"/>
      <c r="I768" s="139"/>
      <c r="J768" s="139"/>
      <c r="K768" s="139"/>
      <c r="L768" s="139"/>
      <c r="M768" s="139"/>
      <c r="N768" s="191"/>
      <c r="O768" s="139"/>
      <c r="P768" s="139"/>
      <c r="Q768" s="196"/>
      <c r="R768" s="139"/>
    </row>
    <row r="769">
      <c r="A769" s="139"/>
      <c r="B769" s="191"/>
      <c r="C769" s="139"/>
      <c r="D769" s="139"/>
      <c r="E769" s="139"/>
      <c r="F769" s="139"/>
      <c r="G769" s="139"/>
      <c r="H769" s="139"/>
      <c r="I769" s="139"/>
      <c r="J769" s="139"/>
      <c r="K769" s="139"/>
      <c r="L769" s="139"/>
      <c r="M769" s="139"/>
      <c r="N769" s="191"/>
      <c r="O769" s="139"/>
      <c r="P769" s="139"/>
      <c r="Q769" s="196"/>
      <c r="R769" s="139"/>
    </row>
    <row r="770">
      <c r="A770" s="139"/>
      <c r="B770" s="191"/>
      <c r="C770" s="139"/>
      <c r="D770" s="139"/>
      <c r="E770" s="139"/>
      <c r="F770" s="139"/>
      <c r="G770" s="139"/>
      <c r="H770" s="139"/>
      <c r="I770" s="139"/>
      <c r="J770" s="139"/>
      <c r="K770" s="139"/>
      <c r="L770" s="139"/>
      <c r="M770" s="139"/>
      <c r="N770" s="191"/>
      <c r="O770" s="139"/>
      <c r="P770" s="139"/>
      <c r="Q770" s="196"/>
      <c r="R770" s="139"/>
    </row>
    <row r="771">
      <c r="A771" s="139"/>
      <c r="B771" s="191"/>
      <c r="C771" s="139"/>
      <c r="D771" s="139"/>
      <c r="E771" s="139"/>
      <c r="F771" s="139"/>
      <c r="G771" s="139"/>
      <c r="H771" s="139"/>
      <c r="I771" s="139"/>
      <c r="J771" s="139"/>
      <c r="K771" s="139"/>
      <c r="L771" s="139"/>
      <c r="M771" s="139"/>
      <c r="N771" s="191"/>
      <c r="O771" s="139"/>
      <c r="P771" s="139"/>
      <c r="Q771" s="196"/>
      <c r="R771" s="139"/>
    </row>
    <row r="772">
      <c r="A772" s="139"/>
      <c r="B772" s="191"/>
      <c r="C772" s="139"/>
      <c r="D772" s="139"/>
      <c r="E772" s="139"/>
      <c r="F772" s="139"/>
      <c r="G772" s="139"/>
      <c r="H772" s="139"/>
      <c r="I772" s="139"/>
      <c r="J772" s="139"/>
      <c r="K772" s="139"/>
      <c r="L772" s="139"/>
      <c r="M772" s="139"/>
      <c r="N772" s="191"/>
      <c r="O772" s="139"/>
      <c r="P772" s="139"/>
      <c r="Q772" s="196"/>
      <c r="R772" s="139"/>
    </row>
    <row r="773">
      <c r="A773" s="139"/>
      <c r="B773" s="191"/>
      <c r="C773" s="139"/>
      <c r="D773" s="139"/>
      <c r="E773" s="139"/>
      <c r="F773" s="139"/>
      <c r="G773" s="139"/>
      <c r="H773" s="139"/>
      <c r="I773" s="139"/>
      <c r="J773" s="139"/>
      <c r="K773" s="139"/>
      <c r="L773" s="139"/>
      <c r="M773" s="139"/>
      <c r="N773" s="191"/>
      <c r="O773" s="139"/>
      <c r="P773" s="139"/>
      <c r="Q773" s="196"/>
      <c r="R773" s="139"/>
    </row>
    <row r="774">
      <c r="A774" s="139"/>
      <c r="B774" s="191"/>
      <c r="C774" s="139"/>
      <c r="D774" s="139"/>
      <c r="E774" s="139"/>
      <c r="F774" s="139"/>
      <c r="G774" s="139"/>
      <c r="H774" s="139"/>
      <c r="I774" s="139"/>
      <c r="J774" s="139"/>
      <c r="K774" s="139"/>
      <c r="L774" s="139"/>
      <c r="M774" s="139"/>
      <c r="N774" s="191"/>
      <c r="O774" s="139"/>
      <c r="P774" s="139"/>
      <c r="Q774" s="196"/>
      <c r="R774" s="139"/>
    </row>
    <row r="775">
      <c r="A775" s="139"/>
      <c r="B775" s="191"/>
      <c r="C775" s="139"/>
      <c r="D775" s="139"/>
      <c r="E775" s="139"/>
      <c r="F775" s="139"/>
      <c r="G775" s="139"/>
      <c r="H775" s="139"/>
      <c r="I775" s="139"/>
      <c r="J775" s="139"/>
      <c r="K775" s="139"/>
      <c r="L775" s="139"/>
      <c r="M775" s="139"/>
      <c r="N775" s="191"/>
      <c r="O775" s="139"/>
      <c r="P775" s="139"/>
      <c r="Q775" s="196"/>
      <c r="R775" s="139"/>
    </row>
    <row r="776">
      <c r="A776" s="139"/>
      <c r="B776" s="191"/>
      <c r="C776" s="139"/>
      <c r="D776" s="139"/>
      <c r="E776" s="139"/>
      <c r="F776" s="139"/>
      <c r="G776" s="139"/>
      <c r="H776" s="139"/>
      <c r="I776" s="139"/>
      <c r="J776" s="139"/>
      <c r="K776" s="139"/>
      <c r="L776" s="139"/>
      <c r="M776" s="139"/>
      <c r="N776" s="191"/>
      <c r="O776" s="139"/>
      <c r="P776" s="139"/>
      <c r="Q776" s="196"/>
      <c r="R776" s="139"/>
    </row>
    <row r="777">
      <c r="A777" s="139"/>
      <c r="B777" s="191"/>
      <c r="C777" s="139"/>
      <c r="D777" s="139"/>
      <c r="E777" s="139"/>
      <c r="F777" s="139"/>
      <c r="G777" s="139"/>
      <c r="H777" s="139"/>
      <c r="I777" s="139"/>
      <c r="J777" s="139"/>
      <c r="K777" s="139"/>
      <c r="L777" s="139"/>
      <c r="M777" s="139"/>
      <c r="N777" s="191"/>
      <c r="O777" s="139"/>
      <c r="P777" s="139"/>
      <c r="Q777" s="196"/>
      <c r="R777" s="139"/>
    </row>
    <row r="778">
      <c r="A778" s="139"/>
      <c r="B778" s="191"/>
      <c r="C778" s="139"/>
      <c r="D778" s="139"/>
      <c r="E778" s="139"/>
      <c r="F778" s="139"/>
      <c r="G778" s="139"/>
      <c r="H778" s="139"/>
      <c r="I778" s="139"/>
      <c r="J778" s="139"/>
      <c r="K778" s="139"/>
      <c r="L778" s="139"/>
      <c r="M778" s="139"/>
      <c r="N778" s="191"/>
      <c r="O778" s="139"/>
      <c r="P778" s="139"/>
      <c r="Q778" s="196"/>
      <c r="R778" s="139"/>
    </row>
    <row r="779">
      <c r="A779" s="139"/>
      <c r="B779" s="191"/>
      <c r="C779" s="139"/>
      <c r="D779" s="139"/>
      <c r="E779" s="139"/>
      <c r="F779" s="139"/>
      <c r="G779" s="139"/>
      <c r="H779" s="139"/>
      <c r="I779" s="139"/>
      <c r="J779" s="139"/>
      <c r="K779" s="139"/>
      <c r="L779" s="139"/>
      <c r="M779" s="139"/>
      <c r="N779" s="191"/>
      <c r="O779" s="139"/>
      <c r="P779" s="139"/>
      <c r="Q779" s="196"/>
      <c r="R779" s="139"/>
    </row>
    <row r="780">
      <c r="A780" s="139"/>
      <c r="B780" s="191"/>
      <c r="C780" s="139"/>
      <c r="D780" s="139"/>
      <c r="E780" s="139"/>
      <c r="F780" s="139"/>
      <c r="G780" s="139"/>
      <c r="H780" s="139"/>
      <c r="I780" s="139"/>
      <c r="J780" s="139"/>
      <c r="K780" s="139"/>
      <c r="L780" s="139"/>
      <c r="M780" s="139"/>
      <c r="N780" s="191"/>
      <c r="O780" s="139"/>
      <c r="P780" s="139"/>
      <c r="Q780" s="196"/>
      <c r="R780" s="139"/>
    </row>
    <row r="781">
      <c r="A781" s="139"/>
      <c r="B781" s="191"/>
      <c r="C781" s="139"/>
      <c r="D781" s="139"/>
      <c r="E781" s="139"/>
      <c r="F781" s="139"/>
      <c r="G781" s="139"/>
      <c r="H781" s="139"/>
      <c r="I781" s="139"/>
      <c r="J781" s="139"/>
      <c r="K781" s="139"/>
      <c r="L781" s="139"/>
      <c r="M781" s="139"/>
      <c r="N781" s="191"/>
      <c r="O781" s="139"/>
      <c r="P781" s="139"/>
      <c r="Q781" s="196"/>
      <c r="R781" s="139"/>
    </row>
    <row r="782">
      <c r="A782" s="139"/>
      <c r="B782" s="191"/>
      <c r="C782" s="139"/>
      <c r="D782" s="139"/>
      <c r="E782" s="139"/>
      <c r="F782" s="139"/>
      <c r="G782" s="139"/>
      <c r="H782" s="139"/>
      <c r="I782" s="139"/>
      <c r="J782" s="139"/>
      <c r="K782" s="139"/>
      <c r="L782" s="139"/>
      <c r="M782" s="139"/>
      <c r="N782" s="191"/>
      <c r="O782" s="139"/>
      <c r="P782" s="139"/>
      <c r="Q782" s="196"/>
      <c r="R782" s="139"/>
    </row>
    <row r="783">
      <c r="A783" s="139"/>
      <c r="B783" s="191"/>
      <c r="C783" s="139"/>
      <c r="D783" s="139"/>
      <c r="E783" s="139"/>
      <c r="F783" s="139"/>
      <c r="G783" s="139"/>
      <c r="H783" s="139"/>
      <c r="I783" s="139"/>
      <c r="J783" s="139"/>
      <c r="K783" s="139"/>
      <c r="L783" s="139"/>
      <c r="M783" s="139"/>
      <c r="N783" s="191"/>
      <c r="O783" s="139"/>
      <c r="P783" s="139"/>
      <c r="Q783" s="196"/>
      <c r="R783" s="139"/>
    </row>
    <row r="784">
      <c r="A784" s="139"/>
      <c r="B784" s="191"/>
      <c r="C784" s="139"/>
      <c r="D784" s="139"/>
      <c r="E784" s="139"/>
      <c r="F784" s="139"/>
      <c r="G784" s="139"/>
      <c r="H784" s="139"/>
      <c r="I784" s="139"/>
      <c r="J784" s="139"/>
      <c r="K784" s="139"/>
      <c r="L784" s="139"/>
      <c r="M784" s="139"/>
      <c r="N784" s="191"/>
      <c r="O784" s="139"/>
      <c r="P784" s="139"/>
      <c r="Q784" s="196"/>
      <c r="R784" s="139"/>
    </row>
    <row r="785">
      <c r="A785" s="139"/>
      <c r="B785" s="191"/>
      <c r="C785" s="139"/>
      <c r="D785" s="139"/>
      <c r="E785" s="139"/>
      <c r="F785" s="139"/>
      <c r="G785" s="139"/>
      <c r="H785" s="139"/>
      <c r="I785" s="139"/>
      <c r="J785" s="139"/>
      <c r="K785" s="139"/>
      <c r="L785" s="139"/>
      <c r="M785" s="139"/>
      <c r="N785" s="191"/>
      <c r="O785" s="139"/>
      <c r="P785" s="139"/>
      <c r="Q785" s="196"/>
      <c r="R785" s="139"/>
    </row>
    <row r="786">
      <c r="A786" s="139"/>
      <c r="B786" s="191"/>
      <c r="C786" s="139"/>
      <c r="D786" s="139"/>
      <c r="E786" s="139"/>
      <c r="F786" s="139"/>
      <c r="G786" s="139"/>
      <c r="H786" s="139"/>
      <c r="I786" s="139"/>
      <c r="J786" s="139"/>
      <c r="K786" s="139"/>
      <c r="L786" s="139"/>
      <c r="M786" s="139"/>
      <c r="N786" s="191"/>
      <c r="O786" s="139"/>
      <c r="P786" s="139"/>
      <c r="Q786" s="196"/>
      <c r="R786" s="139"/>
    </row>
    <row r="787">
      <c r="A787" s="139"/>
      <c r="B787" s="191"/>
      <c r="C787" s="139"/>
      <c r="D787" s="139"/>
      <c r="E787" s="139"/>
      <c r="F787" s="139"/>
      <c r="G787" s="139"/>
      <c r="H787" s="139"/>
      <c r="I787" s="139"/>
      <c r="J787" s="139"/>
      <c r="K787" s="139"/>
      <c r="L787" s="139"/>
      <c r="M787" s="139"/>
      <c r="N787" s="191"/>
      <c r="O787" s="139"/>
      <c r="P787" s="139"/>
      <c r="Q787" s="196"/>
      <c r="R787" s="139"/>
    </row>
    <row r="788">
      <c r="A788" s="139"/>
      <c r="B788" s="191"/>
      <c r="C788" s="139"/>
      <c r="D788" s="139"/>
      <c r="E788" s="139"/>
      <c r="F788" s="139"/>
      <c r="G788" s="139"/>
      <c r="H788" s="139"/>
      <c r="I788" s="139"/>
      <c r="J788" s="139"/>
      <c r="K788" s="139"/>
      <c r="L788" s="139"/>
      <c r="M788" s="139"/>
      <c r="N788" s="191"/>
      <c r="O788" s="139"/>
      <c r="P788" s="139"/>
      <c r="Q788" s="196"/>
      <c r="R788" s="139"/>
    </row>
    <row r="789">
      <c r="A789" s="139"/>
      <c r="B789" s="191"/>
      <c r="C789" s="139"/>
      <c r="D789" s="139"/>
      <c r="E789" s="139"/>
      <c r="F789" s="139"/>
      <c r="G789" s="139"/>
      <c r="H789" s="139"/>
      <c r="I789" s="139"/>
      <c r="J789" s="139"/>
      <c r="K789" s="139"/>
      <c r="L789" s="139"/>
      <c r="M789" s="139"/>
      <c r="N789" s="191"/>
      <c r="O789" s="139"/>
      <c r="P789" s="139"/>
      <c r="Q789" s="196"/>
      <c r="R789" s="139"/>
    </row>
    <row r="790">
      <c r="A790" s="139"/>
      <c r="B790" s="191"/>
      <c r="C790" s="139"/>
      <c r="D790" s="139"/>
      <c r="E790" s="139"/>
      <c r="F790" s="139"/>
      <c r="G790" s="139"/>
      <c r="H790" s="139"/>
      <c r="I790" s="139"/>
      <c r="J790" s="139"/>
      <c r="K790" s="139"/>
      <c r="L790" s="139"/>
      <c r="M790" s="139"/>
      <c r="N790" s="191"/>
      <c r="O790" s="139"/>
      <c r="P790" s="139"/>
      <c r="Q790" s="196"/>
      <c r="R790" s="139"/>
    </row>
    <row r="791">
      <c r="A791" s="139"/>
      <c r="B791" s="191"/>
      <c r="C791" s="139"/>
      <c r="D791" s="139"/>
      <c r="E791" s="139"/>
      <c r="F791" s="139"/>
      <c r="G791" s="139"/>
      <c r="H791" s="139"/>
      <c r="I791" s="139"/>
      <c r="J791" s="139"/>
      <c r="K791" s="139"/>
      <c r="L791" s="139"/>
      <c r="M791" s="139"/>
      <c r="N791" s="191"/>
      <c r="O791" s="139"/>
      <c r="P791" s="139"/>
      <c r="Q791" s="196"/>
      <c r="R791" s="139"/>
    </row>
    <row r="792">
      <c r="A792" s="139"/>
      <c r="B792" s="191"/>
      <c r="C792" s="139"/>
      <c r="D792" s="139"/>
      <c r="E792" s="139"/>
      <c r="F792" s="139"/>
      <c r="G792" s="139"/>
      <c r="H792" s="139"/>
      <c r="I792" s="139"/>
      <c r="J792" s="139"/>
      <c r="K792" s="139"/>
      <c r="L792" s="139"/>
      <c r="M792" s="139"/>
      <c r="N792" s="191"/>
      <c r="O792" s="139"/>
      <c r="P792" s="139"/>
      <c r="Q792" s="196"/>
      <c r="R792" s="139"/>
    </row>
    <row r="793">
      <c r="A793" s="139"/>
      <c r="B793" s="191"/>
      <c r="C793" s="139"/>
      <c r="D793" s="139"/>
      <c r="E793" s="139"/>
      <c r="F793" s="139"/>
      <c r="G793" s="139"/>
      <c r="H793" s="139"/>
      <c r="I793" s="139"/>
      <c r="J793" s="139"/>
      <c r="K793" s="139"/>
      <c r="L793" s="139"/>
      <c r="M793" s="139"/>
      <c r="N793" s="191"/>
      <c r="O793" s="139"/>
      <c r="P793" s="139"/>
      <c r="Q793" s="196"/>
      <c r="R793" s="139"/>
    </row>
    <row r="794">
      <c r="A794" s="139"/>
      <c r="B794" s="191"/>
      <c r="C794" s="139"/>
      <c r="D794" s="139"/>
      <c r="E794" s="139"/>
      <c r="F794" s="139"/>
      <c r="G794" s="139"/>
      <c r="H794" s="139"/>
      <c r="I794" s="139"/>
      <c r="J794" s="139"/>
      <c r="K794" s="139"/>
      <c r="L794" s="139"/>
      <c r="M794" s="139"/>
      <c r="N794" s="191"/>
      <c r="O794" s="139"/>
      <c r="P794" s="139"/>
      <c r="Q794" s="196"/>
      <c r="R794" s="139"/>
    </row>
    <row r="795">
      <c r="A795" s="139"/>
      <c r="B795" s="191"/>
      <c r="C795" s="139"/>
      <c r="D795" s="139"/>
      <c r="E795" s="139"/>
      <c r="F795" s="139"/>
      <c r="G795" s="139"/>
      <c r="H795" s="139"/>
      <c r="I795" s="139"/>
      <c r="J795" s="139"/>
      <c r="K795" s="139"/>
      <c r="L795" s="139"/>
      <c r="M795" s="139"/>
      <c r="N795" s="191"/>
      <c r="O795" s="139"/>
      <c r="P795" s="139"/>
      <c r="Q795" s="196"/>
      <c r="R795" s="139"/>
    </row>
    <row r="796">
      <c r="A796" s="139"/>
      <c r="B796" s="191"/>
      <c r="C796" s="139"/>
      <c r="D796" s="139"/>
      <c r="E796" s="139"/>
      <c r="F796" s="139"/>
      <c r="G796" s="139"/>
      <c r="H796" s="139"/>
      <c r="I796" s="139"/>
      <c r="J796" s="139"/>
      <c r="K796" s="139"/>
      <c r="L796" s="139"/>
      <c r="M796" s="139"/>
      <c r="N796" s="191"/>
      <c r="O796" s="139"/>
      <c r="P796" s="139"/>
      <c r="Q796" s="196"/>
      <c r="R796" s="139"/>
    </row>
    <row r="797">
      <c r="A797" s="139"/>
      <c r="B797" s="191"/>
      <c r="C797" s="139"/>
      <c r="D797" s="139"/>
      <c r="E797" s="139"/>
      <c r="F797" s="139"/>
      <c r="G797" s="139"/>
      <c r="H797" s="139"/>
      <c r="I797" s="139"/>
      <c r="J797" s="139"/>
      <c r="K797" s="139"/>
      <c r="L797" s="139"/>
      <c r="M797" s="139"/>
      <c r="N797" s="191"/>
      <c r="O797" s="139"/>
      <c r="P797" s="139"/>
      <c r="Q797" s="196"/>
      <c r="R797" s="139"/>
    </row>
    <row r="798">
      <c r="A798" s="139"/>
      <c r="B798" s="191"/>
      <c r="C798" s="139"/>
      <c r="D798" s="139"/>
      <c r="E798" s="139"/>
      <c r="F798" s="139"/>
      <c r="G798" s="139"/>
      <c r="H798" s="139"/>
      <c r="I798" s="139"/>
      <c r="J798" s="139"/>
      <c r="K798" s="139"/>
      <c r="L798" s="139"/>
      <c r="M798" s="139"/>
      <c r="N798" s="191"/>
      <c r="O798" s="139"/>
      <c r="P798" s="139"/>
      <c r="Q798" s="196"/>
      <c r="R798" s="139"/>
    </row>
    <row r="799">
      <c r="A799" s="139"/>
      <c r="B799" s="191"/>
      <c r="C799" s="139"/>
      <c r="D799" s="139"/>
      <c r="E799" s="139"/>
      <c r="F799" s="139"/>
      <c r="G799" s="139"/>
      <c r="H799" s="139"/>
      <c r="I799" s="139"/>
      <c r="J799" s="139"/>
      <c r="K799" s="139"/>
      <c r="L799" s="139"/>
      <c r="M799" s="139"/>
      <c r="N799" s="191"/>
      <c r="O799" s="139"/>
      <c r="P799" s="139"/>
      <c r="Q799" s="196"/>
      <c r="R799" s="139"/>
    </row>
    <row r="800">
      <c r="A800" s="139"/>
      <c r="B800" s="191"/>
      <c r="C800" s="139"/>
      <c r="D800" s="139"/>
      <c r="E800" s="139"/>
      <c r="F800" s="139"/>
      <c r="G800" s="139"/>
      <c r="H800" s="139"/>
      <c r="I800" s="139"/>
      <c r="J800" s="139"/>
      <c r="K800" s="139"/>
      <c r="L800" s="139"/>
      <c r="M800" s="139"/>
      <c r="N800" s="191"/>
      <c r="O800" s="139"/>
      <c r="P800" s="139"/>
      <c r="Q800" s="196"/>
      <c r="R800" s="139"/>
    </row>
    <row r="801">
      <c r="A801" s="139"/>
      <c r="B801" s="191"/>
      <c r="C801" s="139"/>
      <c r="D801" s="139"/>
      <c r="E801" s="139"/>
      <c r="F801" s="139"/>
      <c r="G801" s="139"/>
      <c r="H801" s="139"/>
      <c r="I801" s="139"/>
      <c r="J801" s="139"/>
      <c r="K801" s="139"/>
      <c r="L801" s="139"/>
      <c r="M801" s="139"/>
      <c r="N801" s="191"/>
      <c r="O801" s="139"/>
      <c r="P801" s="139"/>
      <c r="Q801" s="196"/>
      <c r="R801" s="139"/>
    </row>
    <row r="802">
      <c r="A802" s="139"/>
      <c r="B802" s="191"/>
      <c r="C802" s="139"/>
      <c r="D802" s="139"/>
      <c r="E802" s="139"/>
      <c r="F802" s="139"/>
      <c r="G802" s="139"/>
      <c r="H802" s="139"/>
      <c r="I802" s="139"/>
      <c r="J802" s="139"/>
      <c r="K802" s="139"/>
      <c r="L802" s="139"/>
      <c r="M802" s="139"/>
      <c r="N802" s="191"/>
      <c r="O802" s="139"/>
      <c r="P802" s="139"/>
      <c r="Q802" s="196"/>
      <c r="R802" s="139"/>
    </row>
    <row r="803">
      <c r="A803" s="139"/>
      <c r="B803" s="191"/>
      <c r="C803" s="139"/>
      <c r="D803" s="139"/>
      <c r="E803" s="139"/>
      <c r="F803" s="139"/>
      <c r="G803" s="139"/>
      <c r="H803" s="139"/>
      <c r="I803" s="139"/>
      <c r="J803" s="139"/>
      <c r="K803" s="139"/>
      <c r="L803" s="139"/>
      <c r="M803" s="139"/>
      <c r="N803" s="191"/>
      <c r="O803" s="139"/>
      <c r="P803" s="139"/>
      <c r="Q803" s="196"/>
      <c r="R803" s="139"/>
    </row>
    <row r="804">
      <c r="A804" s="139"/>
      <c r="B804" s="191"/>
      <c r="C804" s="139"/>
      <c r="D804" s="139"/>
      <c r="E804" s="139"/>
      <c r="F804" s="139"/>
      <c r="G804" s="139"/>
      <c r="H804" s="139"/>
      <c r="I804" s="139"/>
      <c r="J804" s="139"/>
      <c r="K804" s="139"/>
      <c r="L804" s="139"/>
      <c r="M804" s="139"/>
      <c r="N804" s="191"/>
      <c r="O804" s="139"/>
      <c r="P804" s="139"/>
      <c r="Q804" s="196"/>
      <c r="R804" s="139"/>
    </row>
    <row r="805">
      <c r="A805" s="139"/>
      <c r="B805" s="191"/>
      <c r="C805" s="139"/>
      <c r="D805" s="139"/>
      <c r="E805" s="139"/>
      <c r="F805" s="139"/>
      <c r="G805" s="139"/>
      <c r="H805" s="139"/>
      <c r="I805" s="139"/>
      <c r="J805" s="139"/>
      <c r="K805" s="139"/>
      <c r="L805" s="139"/>
      <c r="M805" s="139"/>
      <c r="N805" s="191"/>
      <c r="O805" s="139"/>
      <c r="P805" s="139"/>
      <c r="Q805" s="196"/>
      <c r="R805" s="139"/>
    </row>
    <row r="806">
      <c r="A806" s="139"/>
      <c r="B806" s="191"/>
      <c r="C806" s="139"/>
      <c r="D806" s="139"/>
      <c r="E806" s="139"/>
      <c r="F806" s="139"/>
      <c r="G806" s="139"/>
      <c r="H806" s="139"/>
      <c r="I806" s="139"/>
      <c r="J806" s="139"/>
      <c r="K806" s="139"/>
      <c r="L806" s="139"/>
      <c r="M806" s="139"/>
      <c r="N806" s="191"/>
      <c r="O806" s="139"/>
      <c r="P806" s="139"/>
      <c r="Q806" s="196"/>
      <c r="R806" s="139"/>
    </row>
    <row r="807">
      <c r="A807" s="139"/>
      <c r="B807" s="191"/>
      <c r="C807" s="139"/>
      <c r="D807" s="139"/>
      <c r="E807" s="139"/>
      <c r="F807" s="139"/>
      <c r="G807" s="139"/>
      <c r="H807" s="139"/>
      <c r="I807" s="139"/>
      <c r="J807" s="139"/>
      <c r="K807" s="139"/>
      <c r="L807" s="139"/>
      <c r="M807" s="139"/>
      <c r="N807" s="191"/>
      <c r="O807" s="139"/>
      <c r="P807" s="139"/>
      <c r="Q807" s="196"/>
      <c r="R807" s="139"/>
    </row>
    <row r="808">
      <c r="A808" s="139"/>
      <c r="B808" s="191"/>
      <c r="C808" s="139"/>
      <c r="D808" s="139"/>
      <c r="E808" s="139"/>
      <c r="F808" s="139"/>
      <c r="G808" s="139"/>
      <c r="H808" s="139"/>
      <c r="I808" s="139"/>
      <c r="J808" s="139"/>
      <c r="K808" s="139"/>
      <c r="L808" s="139"/>
      <c r="M808" s="139"/>
      <c r="N808" s="191"/>
      <c r="O808" s="139"/>
      <c r="P808" s="139"/>
      <c r="Q808" s="196"/>
      <c r="R808" s="139"/>
    </row>
    <row r="809">
      <c r="A809" s="139"/>
      <c r="B809" s="191"/>
      <c r="C809" s="139"/>
      <c r="D809" s="139"/>
      <c r="E809" s="139"/>
      <c r="F809" s="139"/>
      <c r="G809" s="139"/>
      <c r="H809" s="139"/>
      <c r="I809" s="139"/>
      <c r="J809" s="139"/>
      <c r="K809" s="139"/>
      <c r="L809" s="139"/>
      <c r="M809" s="139"/>
      <c r="N809" s="191"/>
      <c r="O809" s="139"/>
      <c r="P809" s="139"/>
      <c r="Q809" s="196"/>
      <c r="R809" s="139"/>
    </row>
    <row r="810">
      <c r="A810" s="139"/>
      <c r="B810" s="191"/>
      <c r="C810" s="139"/>
      <c r="D810" s="139"/>
      <c r="E810" s="139"/>
      <c r="F810" s="139"/>
      <c r="G810" s="139"/>
      <c r="H810" s="139"/>
      <c r="I810" s="139"/>
      <c r="J810" s="139"/>
      <c r="K810" s="139"/>
      <c r="L810" s="139"/>
      <c r="M810" s="139"/>
      <c r="N810" s="191"/>
      <c r="O810" s="139"/>
      <c r="P810" s="139"/>
      <c r="Q810" s="196"/>
      <c r="R810" s="139"/>
    </row>
    <row r="811">
      <c r="A811" s="139"/>
      <c r="B811" s="191"/>
      <c r="C811" s="139"/>
      <c r="D811" s="139"/>
      <c r="E811" s="139"/>
      <c r="F811" s="139"/>
      <c r="G811" s="139"/>
      <c r="H811" s="139"/>
      <c r="I811" s="139"/>
      <c r="J811" s="139"/>
      <c r="K811" s="139"/>
      <c r="L811" s="139"/>
      <c r="M811" s="139"/>
      <c r="N811" s="191"/>
      <c r="O811" s="139"/>
      <c r="P811" s="139"/>
      <c r="Q811" s="196"/>
      <c r="R811" s="139"/>
    </row>
    <row r="812">
      <c r="A812" s="139"/>
      <c r="B812" s="191"/>
      <c r="C812" s="139"/>
      <c r="D812" s="139"/>
      <c r="E812" s="139"/>
      <c r="F812" s="139"/>
      <c r="G812" s="139"/>
      <c r="H812" s="139"/>
      <c r="I812" s="139"/>
      <c r="J812" s="139"/>
      <c r="K812" s="139"/>
      <c r="L812" s="139"/>
      <c r="M812" s="139"/>
      <c r="N812" s="191"/>
      <c r="O812" s="139"/>
      <c r="P812" s="139"/>
      <c r="Q812" s="196"/>
      <c r="R812" s="139"/>
    </row>
    <row r="813">
      <c r="A813" s="139"/>
      <c r="B813" s="191"/>
      <c r="C813" s="139"/>
      <c r="D813" s="139"/>
      <c r="E813" s="139"/>
      <c r="F813" s="139"/>
      <c r="G813" s="139"/>
      <c r="H813" s="139"/>
      <c r="I813" s="139"/>
      <c r="J813" s="139"/>
      <c r="K813" s="139"/>
      <c r="L813" s="139"/>
      <c r="M813" s="139"/>
      <c r="N813" s="191"/>
      <c r="O813" s="139"/>
      <c r="P813" s="139"/>
      <c r="Q813" s="196"/>
      <c r="R813" s="139"/>
    </row>
    <row r="814">
      <c r="A814" s="139"/>
      <c r="B814" s="191"/>
      <c r="C814" s="139"/>
      <c r="D814" s="139"/>
      <c r="E814" s="139"/>
      <c r="F814" s="139"/>
      <c r="G814" s="139"/>
      <c r="H814" s="139"/>
      <c r="I814" s="139"/>
      <c r="J814" s="139"/>
      <c r="K814" s="139"/>
      <c r="L814" s="139"/>
      <c r="M814" s="139"/>
      <c r="N814" s="191"/>
      <c r="O814" s="139"/>
      <c r="P814" s="139"/>
      <c r="Q814" s="196"/>
      <c r="R814" s="139"/>
    </row>
    <row r="815">
      <c r="A815" s="139"/>
      <c r="B815" s="191"/>
      <c r="C815" s="139"/>
      <c r="D815" s="139"/>
      <c r="E815" s="139"/>
      <c r="F815" s="139"/>
      <c r="G815" s="139"/>
      <c r="H815" s="139"/>
      <c r="I815" s="139"/>
      <c r="J815" s="139"/>
      <c r="K815" s="139"/>
      <c r="L815" s="139"/>
      <c r="M815" s="139"/>
      <c r="N815" s="191"/>
      <c r="O815" s="139"/>
      <c r="P815" s="139"/>
      <c r="Q815" s="196"/>
      <c r="R815" s="139"/>
    </row>
    <row r="816">
      <c r="A816" s="139"/>
      <c r="B816" s="191"/>
      <c r="C816" s="139"/>
      <c r="D816" s="139"/>
      <c r="E816" s="139"/>
      <c r="F816" s="139"/>
      <c r="G816" s="139"/>
      <c r="H816" s="139"/>
      <c r="I816" s="139"/>
      <c r="J816" s="139"/>
      <c r="K816" s="139"/>
      <c r="L816" s="139"/>
      <c r="M816" s="139"/>
      <c r="N816" s="191"/>
      <c r="O816" s="139"/>
      <c r="P816" s="139"/>
      <c r="Q816" s="196"/>
      <c r="R816" s="139"/>
    </row>
    <row r="817">
      <c r="A817" s="139"/>
      <c r="B817" s="191"/>
      <c r="C817" s="139"/>
      <c r="D817" s="139"/>
      <c r="E817" s="139"/>
      <c r="F817" s="139"/>
      <c r="G817" s="139"/>
      <c r="H817" s="139"/>
      <c r="I817" s="139"/>
      <c r="J817" s="139"/>
      <c r="K817" s="139"/>
      <c r="L817" s="139"/>
      <c r="M817" s="139"/>
      <c r="N817" s="191"/>
      <c r="O817" s="139"/>
      <c r="P817" s="139"/>
      <c r="Q817" s="196"/>
      <c r="R817" s="139"/>
    </row>
    <row r="818">
      <c r="A818" s="139"/>
      <c r="B818" s="191"/>
      <c r="C818" s="139"/>
      <c r="D818" s="139"/>
      <c r="E818" s="139"/>
      <c r="F818" s="139"/>
      <c r="G818" s="139"/>
      <c r="H818" s="139"/>
      <c r="I818" s="139"/>
      <c r="J818" s="139"/>
      <c r="K818" s="139"/>
      <c r="L818" s="139"/>
      <c r="M818" s="139"/>
      <c r="N818" s="191"/>
      <c r="O818" s="139"/>
      <c r="P818" s="139"/>
      <c r="Q818" s="196"/>
      <c r="R818" s="139"/>
    </row>
    <row r="819">
      <c r="A819" s="139"/>
      <c r="B819" s="191"/>
      <c r="C819" s="139"/>
      <c r="D819" s="139"/>
      <c r="E819" s="139"/>
      <c r="F819" s="139"/>
      <c r="G819" s="139"/>
      <c r="H819" s="139"/>
      <c r="I819" s="139"/>
      <c r="J819" s="139"/>
      <c r="K819" s="139"/>
      <c r="L819" s="139"/>
      <c r="M819" s="139"/>
      <c r="N819" s="191"/>
      <c r="O819" s="139"/>
      <c r="P819" s="139"/>
      <c r="Q819" s="196"/>
      <c r="R819" s="139"/>
    </row>
    <row r="820">
      <c r="A820" s="139"/>
      <c r="B820" s="191"/>
      <c r="C820" s="139"/>
      <c r="D820" s="139"/>
      <c r="E820" s="139"/>
      <c r="F820" s="139"/>
      <c r="G820" s="139"/>
      <c r="H820" s="139"/>
      <c r="I820" s="139"/>
      <c r="J820" s="139"/>
      <c r="K820" s="139"/>
      <c r="L820" s="139"/>
      <c r="M820" s="139"/>
      <c r="N820" s="191"/>
      <c r="O820" s="139"/>
      <c r="P820" s="139"/>
      <c r="Q820" s="196"/>
      <c r="R820" s="139"/>
    </row>
    <row r="821">
      <c r="A821" s="139"/>
      <c r="B821" s="191"/>
      <c r="C821" s="139"/>
      <c r="D821" s="139"/>
      <c r="E821" s="139"/>
      <c r="F821" s="139"/>
      <c r="G821" s="139"/>
      <c r="H821" s="139"/>
      <c r="I821" s="139"/>
      <c r="J821" s="139"/>
      <c r="K821" s="139"/>
      <c r="L821" s="139"/>
      <c r="M821" s="139"/>
      <c r="N821" s="191"/>
      <c r="O821" s="139"/>
      <c r="P821" s="139"/>
      <c r="Q821" s="196"/>
      <c r="R821" s="139"/>
    </row>
    <row r="822">
      <c r="A822" s="139"/>
      <c r="B822" s="191"/>
      <c r="C822" s="139"/>
      <c r="D822" s="139"/>
      <c r="E822" s="139"/>
      <c r="F822" s="139"/>
      <c r="G822" s="139"/>
      <c r="H822" s="139"/>
      <c r="I822" s="139"/>
      <c r="J822" s="139"/>
      <c r="K822" s="139"/>
      <c r="L822" s="139"/>
      <c r="M822" s="139"/>
      <c r="N822" s="191"/>
      <c r="O822" s="139"/>
      <c r="P822" s="139"/>
      <c r="Q822" s="196"/>
      <c r="R822" s="139"/>
    </row>
    <row r="823">
      <c r="A823" s="139"/>
      <c r="B823" s="191"/>
      <c r="C823" s="139"/>
      <c r="D823" s="139"/>
      <c r="E823" s="139"/>
      <c r="F823" s="139"/>
      <c r="G823" s="139"/>
      <c r="H823" s="139"/>
      <c r="I823" s="139"/>
      <c r="J823" s="139"/>
      <c r="K823" s="139"/>
      <c r="L823" s="139"/>
      <c r="M823" s="139"/>
      <c r="N823" s="191"/>
      <c r="O823" s="139"/>
      <c r="P823" s="139"/>
      <c r="Q823" s="196"/>
      <c r="R823" s="139"/>
    </row>
    <row r="824">
      <c r="A824" s="139"/>
      <c r="B824" s="191"/>
      <c r="C824" s="139"/>
      <c r="D824" s="139"/>
      <c r="E824" s="139"/>
      <c r="F824" s="139"/>
      <c r="G824" s="139"/>
      <c r="H824" s="139"/>
      <c r="I824" s="139"/>
      <c r="J824" s="139"/>
      <c r="K824" s="139"/>
      <c r="L824" s="139"/>
      <c r="M824" s="139"/>
      <c r="N824" s="191"/>
      <c r="O824" s="139"/>
      <c r="P824" s="139"/>
      <c r="Q824" s="196"/>
      <c r="R824" s="139"/>
    </row>
    <row r="825">
      <c r="A825" s="139"/>
      <c r="B825" s="191"/>
      <c r="C825" s="139"/>
      <c r="D825" s="139"/>
      <c r="E825" s="139"/>
      <c r="F825" s="139"/>
      <c r="G825" s="139"/>
      <c r="H825" s="139"/>
      <c r="I825" s="139"/>
      <c r="J825" s="139"/>
      <c r="K825" s="139"/>
      <c r="L825" s="139"/>
      <c r="M825" s="139"/>
      <c r="N825" s="191"/>
      <c r="O825" s="139"/>
      <c r="P825" s="139"/>
      <c r="Q825" s="196"/>
      <c r="R825" s="139"/>
    </row>
    <row r="826">
      <c r="A826" s="139"/>
      <c r="B826" s="191"/>
      <c r="C826" s="139"/>
      <c r="D826" s="139"/>
      <c r="E826" s="139"/>
      <c r="F826" s="139"/>
      <c r="G826" s="139"/>
      <c r="H826" s="139"/>
      <c r="I826" s="139"/>
      <c r="J826" s="139"/>
      <c r="K826" s="139"/>
      <c r="L826" s="139"/>
      <c r="M826" s="139"/>
      <c r="N826" s="191"/>
      <c r="O826" s="139"/>
      <c r="P826" s="139"/>
      <c r="Q826" s="196"/>
      <c r="R826" s="139"/>
    </row>
    <row r="827">
      <c r="A827" s="139"/>
      <c r="B827" s="191"/>
      <c r="C827" s="139"/>
      <c r="D827" s="139"/>
      <c r="E827" s="139"/>
      <c r="F827" s="139"/>
      <c r="G827" s="139"/>
      <c r="H827" s="139"/>
      <c r="I827" s="139"/>
      <c r="J827" s="139"/>
      <c r="K827" s="139"/>
      <c r="L827" s="139"/>
      <c r="M827" s="139"/>
      <c r="N827" s="191"/>
      <c r="O827" s="139"/>
      <c r="P827" s="139"/>
      <c r="Q827" s="196"/>
      <c r="R827" s="139"/>
    </row>
    <row r="828">
      <c r="A828" s="139"/>
      <c r="B828" s="191"/>
      <c r="C828" s="139"/>
      <c r="D828" s="139"/>
      <c r="E828" s="139"/>
      <c r="F828" s="139"/>
      <c r="G828" s="139"/>
      <c r="H828" s="139"/>
      <c r="I828" s="139"/>
      <c r="J828" s="139"/>
      <c r="K828" s="139"/>
      <c r="L828" s="139"/>
      <c r="M828" s="139"/>
      <c r="N828" s="191"/>
      <c r="O828" s="139"/>
      <c r="P828" s="139"/>
      <c r="Q828" s="196"/>
      <c r="R828" s="139"/>
    </row>
    <row r="829">
      <c r="A829" s="139"/>
      <c r="B829" s="191"/>
      <c r="C829" s="139"/>
      <c r="D829" s="139"/>
      <c r="E829" s="139"/>
      <c r="F829" s="139"/>
      <c r="G829" s="139"/>
      <c r="H829" s="139"/>
      <c r="I829" s="139"/>
      <c r="J829" s="139"/>
      <c r="K829" s="139"/>
      <c r="L829" s="139"/>
      <c r="M829" s="139"/>
      <c r="N829" s="191"/>
      <c r="O829" s="139"/>
      <c r="P829" s="139"/>
      <c r="Q829" s="196"/>
      <c r="R829" s="139"/>
    </row>
    <row r="830">
      <c r="A830" s="139"/>
      <c r="B830" s="191"/>
      <c r="C830" s="139"/>
      <c r="D830" s="139"/>
      <c r="E830" s="139"/>
      <c r="F830" s="139"/>
      <c r="G830" s="139"/>
      <c r="H830" s="139"/>
      <c r="I830" s="139"/>
      <c r="J830" s="139"/>
      <c r="K830" s="139"/>
      <c r="L830" s="139"/>
      <c r="M830" s="139"/>
      <c r="N830" s="191"/>
      <c r="O830" s="139"/>
      <c r="P830" s="139"/>
      <c r="Q830" s="196"/>
      <c r="R830" s="139"/>
    </row>
    <row r="831">
      <c r="A831" s="139"/>
      <c r="B831" s="191"/>
      <c r="C831" s="139"/>
      <c r="D831" s="139"/>
      <c r="E831" s="139"/>
      <c r="F831" s="139"/>
      <c r="G831" s="139"/>
      <c r="H831" s="139"/>
      <c r="I831" s="139"/>
      <c r="J831" s="139"/>
      <c r="K831" s="139"/>
      <c r="L831" s="139"/>
      <c r="M831" s="139"/>
      <c r="N831" s="191"/>
      <c r="O831" s="139"/>
      <c r="P831" s="139"/>
      <c r="Q831" s="196"/>
      <c r="R831" s="139"/>
    </row>
    <row r="832">
      <c r="A832" s="139"/>
      <c r="B832" s="191"/>
      <c r="C832" s="139"/>
      <c r="D832" s="139"/>
      <c r="E832" s="139"/>
      <c r="F832" s="139"/>
      <c r="G832" s="139"/>
      <c r="H832" s="139"/>
      <c r="I832" s="139"/>
      <c r="J832" s="139"/>
      <c r="K832" s="139"/>
      <c r="L832" s="139"/>
      <c r="M832" s="139"/>
      <c r="N832" s="191"/>
      <c r="O832" s="139"/>
      <c r="P832" s="139"/>
      <c r="Q832" s="196"/>
      <c r="R832" s="139"/>
    </row>
    <row r="833">
      <c r="A833" s="139"/>
      <c r="B833" s="191"/>
      <c r="C833" s="139"/>
      <c r="D833" s="139"/>
      <c r="E833" s="139"/>
      <c r="F833" s="139"/>
      <c r="G833" s="139"/>
      <c r="H833" s="139"/>
      <c r="I833" s="139"/>
      <c r="J833" s="139"/>
      <c r="K833" s="139"/>
      <c r="L833" s="139"/>
      <c r="M833" s="139"/>
      <c r="N833" s="191"/>
      <c r="O833" s="139"/>
      <c r="P833" s="139"/>
      <c r="Q833" s="196"/>
      <c r="R833" s="139"/>
    </row>
    <row r="834">
      <c r="A834" s="139"/>
      <c r="B834" s="191"/>
      <c r="C834" s="139"/>
      <c r="D834" s="139"/>
      <c r="E834" s="139"/>
      <c r="F834" s="139"/>
      <c r="G834" s="139"/>
      <c r="H834" s="139"/>
      <c r="I834" s="139"/>
      <c r="J834" s="139"/>
      <c r="K834" s="139"/>
      <c r="L834" s="139"/>
      <c r="M834" s="139"/>
      <c r="N834" s="191"/>
      <c r="O834" s="139"/>
      <c r="P834" s="139"/>
      <c r="Q834" s="196"/>
      <c r="R834" s="139"/>
    </row>
    <row r="835">
      <c r="A835" s="139"/>
      <c r="B835" s="191"/>
      <c r="C835" s="139"/>
      <c r="D835" s="139"/>
      <c r="E835" s="139"/>
      <c r="F835" s="139"/>
      <c r="G835" s="139"/>
      <c r="H835" s="139"/>
      <c r="I835" s="139"/>
      <c r="J835" s="139"/>
      <c r="K835" s="139"/>
      <c r="L835" s="139"/>
      <c r="M835" s="139"/>
      <c r="N835" s="191"/>
      <c r="O835" s="139"/>
      <c r="P835" s="139"/>
      <c r="Q835" s="196"/>
      <c r="R835" s="139"/>
    </row>
    <row r="836">
      <c r="A836" s="139"/>
      <c r="B836" s="191"/>
      <c r="C836" s="139"/>
      <c r="D836" s="139"/>
      <c r="E836" s="139"/>
      <c r="F836" s="139"/>
      <c r="G836" s="139"/>
      <c r="H836" s="139"/>
      <c r="I836" s="139"/>
      <c r="J836" s="139"/>
      <c r="K836" s="139"/>
      <c r="L836" s="139"/>
      <c r="M836" s="139"/>
      <c r="N836" s="191"/>
      <c r="O836" s="139"/>
      <c r="P836" s="139"/>
      <c r="Q836" s="196"/>
      <c r="R836" s="139"/>
    </row>
    <row r="837">
      <c r="A837" s="139"/>
      <c r="B837" s="191"/>
      <c r="C837" s="139"/>
      <c r="D837" s="139"/>
      <c r="E837" s="139"/>
      <c r="F837" s="139"/>
      <c r="G837" s="139"/>
      <c r="H837" s="139"/>
      <c r="I837" s="139"/>
      <c r="J837" s="139"/>
      <c r="K837" s="139"/>
      <c r="L837" s="139"/>
      <c r="M837" s="139"/>
      <c r="N837" s="191"/>
      <c r="O837" s="139"/>
      <c r="P837" s="139"/>
      <c r="Q837" s="196"/>
      <c r="R837" s="139"/>
    </row>
    <row r="838">
      <c r="A838" s="139"/>
      <c r="B838" s="191"/>
      <c r="C838" s="139"/>
      <c r="D838" s="139"/>
      <c r="E838" s="139"/>
      <c r="F838" s="139"/>
      <c r="G838" s="139"/>
      <c r="H838" s="139"/>
      <c r="I838" s="139"/>
      <c r="J838" s="139"/>
      <c r="K838" s="139"/>
      <c r="L838" s="139"/>
      <c r="M838" s="139"/>
      <c r="N838" s="191"/>
      <c r="O838" s="139"/>
      <c r="P838" s="139"/>
      <c r="Q838" s="196"/>
      <c r="R838" s="139"/>
    </row>
    <row r="839">
      <c r="A839" s="139"/>
      <c r="B839" s="191"/>
      <c r="C839" s="139"/>
      <c r="D839" s="139"/>
      <c r="E839" s="139"/>
      <c r="F839" s="139"/>
      <c r="G839" s="139"/>
      <c r="H839" s="139"/>
      <c r="I839" s="139"/>
      <c r="J839" s="139"/>
      <c r="K839" s="139"/>
      <c r="L839" s="139"/>
      <c r="M839" s="139"/>
      <c r="N839" s="191"/>
      <c r="O839" s="139"/>
      <c r="P839" s="139"/>
      <c r="Q839" s="196"/>
      <c r="R839" s="139"/>
    </row>
    <row r="840">
      <c r="A840" s="139"/>
      <c r="B840" s="191"/>
      <c r="C840" s="139"/>
      <c r="D840" s="139"/>
      <c r="E840" s="139"/>
      <c r="F840" s="139"/>
      <c r="G840" s="139"/>
      <c r="H840" s="139"/>
      <c r="I840" s="139"/>
      <c r="J840" s="139"/>
      <c r="K840" s="139"/>
      <c r="L840" s="139"/>
      <c r="M840" s="139"/>
      <c r="N840" s="191"/>
      <c r="O840" s="139"/>
      <c r="P840" s="139"/>
      <c r="Q840" s="196"/>
      <c r="R840" s="139"/>
    </row>
    <row r="841">
      <c r="A841" s="139"/>
      <c r="B841" s="191"/>
      <c r="C841" s="139"/>
      <c r="D841" s="139"/>
      <c r="E841" s="139"/>
      <c r="F841" s="139"/>
      <c r="G841" s="139"/>
      <c r="H841" s="139"/>
      <c r="I841" s="139"/>
      <c r="J841" s="139"/>
      <c r="K841" s="139"/>
      <c r="L841" s="139"/>
      <c r="M841" s="139"/>
      <c r="N841" s="191"/>
      <c r="O841" s="139"/>
      <c r="P841" s="139"/>
      <c r="Q841" s="196"/>
      <c r="R841" s="139"/>
    </row>
    <row r="842">
      <c r="A842" s="139"/>
      <c r="B842" s="191"/>
      <c r="C842" s="139"/>
      <c r="D842" s="139"/>
      <c r="E842" s="139"/>
      <c r="F842" s="139"/>
      <c r="G842" s="139"/>
      <c r="H842" s="139"/>
      <c r="I842" s="139"/>
      <c r="J842" s="139"/>
      <c r="K842" s="139"/>
      <c r="L842" s="139"/>
      <c r="M842" s="139"/>
      <c r="N842" s="191"/>
      <c r="O842" s="139"/>
      <c r="P842" s="139"/>
      <c r="Q842" s="196"/>
      <c r="R842" s="139"/>
    </row>
    <row r="843">
      <c r="A843" s="139"/>
      <c r="B843" s="191"/>
      <c r="C843" s="139"/>
      <c r="D843" s="139"/>
      <c r="E843" s="139"/>
      <c r="F843" s="139"/>
      <c r="G843" s="139"/>
      <c r="H843" s="139"/>
      <c r="I843" s="139"/>
      <c r="J843" s="139"/>
      <c r="K843" s="139"/>
      <c r="L843" s="139"/>
      <c r="M843" s="139"/>
      <c r="N843" s="191"/>
      <c r="O843" s="139"/>
      <c r="P843" s="139"/>
      <c r="Q843" s="196"/>
      <c r="R843" s="139"/>
    </row>
    <row r="844">
      <c r="A844" s="139"/>
      <c r="B844" s="191"/>
      <c r="C844" s="139"/>
      <c r="D844" s="139"/>
      <c r="E844" s="139"/>
      <c r="F844" s="139"/>
      <c r="G844" s="139"/>
      <c r="H844" s="139"/>
      <c r="I844" s="139"/>
      <c r="J844" s="139"/>
      <c r="K844" s="139"/>
      <c r="L844" s="139"/>
      <c r="M844" s="139"/>
      <c r="N844" s="191"/>
      <c r="O844" s="139"/>
      <c r="P844" s="139"/>
      <c r="Q844" s="196"/>
      <c r="R844" s="139"/>
    </row>
    <row r="845">
      <c r="A845" s="139"/>
      <c r="B845" s="191"/>
      <c r="C845" s="139"/>
      <c r="D845" s="139"/>
      <c r="E845" s="139"/>
      <c r="F845" s="139"/>
      <c r="G845" s="139"/>
      <c r="H845" s="139"/>
      <c r="I845" s="139"/>
      <c r="J845" s="139"/>
      <c r="K845" s="139"/>
      <c r="L845" s="139"/>
      <c r="M845" s="139"/>
      <c r="N845" s="191"/>
      <c r="O845" s="139"/>
      <c r="P845" s="139"/>
      <c r="Q845" s="196"/>
      <c r="R845" s="139"/>
    </row>
    <row r="846">
      <c r="A846" s="139"/>
      <c r="B846" s="191"/>
      <c r="C846" s="139"/>
      <c r="D846" s="139"/>
      <c r="E846" s="139"/>
      <c r="F846" s="139"/>
      <c r="G846" s="139"/>
      <c r="H846" s="139"/>
      <c r="I846" s="139"/>
      <c r="J846" s="139"/>
      <c r="K846" s="139"/>
      <c r="L846" s="139"/>
      <c r="M846" s="139"/>
      <c r="N846" s="191"/>
      <c r="O846" s="139"/>
      <c r="P846" s="139"/>
      <c r="Q846" s="196"/>
      <c r="R846" s="139"/>
    </row>
    <row r="847">
      <c r="A847" s="139"/>
      <c r="B847" s="191"/>
      <c r="C847" s="139"/>
      <c r="D847" s="139"/>
      <c r="E847" s="139"/>
      <c r="F847" s="139"/>
      <c r="G847" s="139"/>
      <c r="H847" s="139"/>
      <c r="I847" s="139"/>
      <c r="J847" s="139"/>
      <c r="K847" s="139"/>
      <c r="L847" s="139"/>
      <c r="M847" s="139"/>
      <c r="N847" s="191"/>
      <c r="O847" s="139"/>
      <c r="P847" s="139"/>
      <c r="Q847" s="196"/>
      <c r="R847" s="139"/>
    </row>
    <row r="848">
      <c r="A848" s="139"/>
      <c r="B848" s="191"/>
      <c r="C848" s="139"/>
      <c r="D848" s="139"/>
      <c r="E848" s="139"/>
      <c r="F848" s="139"/>
      <c r="G848" s="139"/>
      <c r="H848" s="139"/>
      <c r="I848" s="139"/>
      <c r="J848" s="139"/>
      <c r="K848" s="139"/>
      <c r="L848" s="139"/>
      <c r="M848" s="139"/>
      <c r="N848" s="191"/>
      <c r="O848" s="139"/>
      <c r="P848" s="139"/>
      <c r="Q848" s="196"/>
      <c r="R848" s="139"/>
    </row>
    <row r="849">
      <c r="A849" s="139"/>
      <c r="B849" s="191"/>
      <c r="C849" s="139"/>
      <c r="D849" s="139"/>
      <c r="E849" s="139"/>
      <c r="F849" s="139"/>
      <c r="G849" s="139"/>
      <c r="H849" s="139"/>
      <c r="I849" s="139"/>
      <c r="J849" s="139"/>
      <c r="K849" s="139"/>
      <c r="L849" s="139"/>
      <c r="M849" s="139"/>
      <c r="N849" s="191"/>
      <c r="O849" s="139"/>
      <c r="P849" s="139"/>
      <c r="Q849" s="196"/>
      <c r="R849" s="139"/>
    </row>
    <row r="850">
      <c r="A850" s="139"/>
      <c r="B850" s="191"/>
      <c r="C850" s="139"/>
      <c r="D850" s="139"/>
      <c r="E850" s="139"/>
      <c r="F850" s="139"/>
      <c r="G850" s="139"/>
      <c r="H850" s="139"/>
      <c r="I850" s="139"/>
      <c r="J850" s="139"/>
      <c r="K850" s="139"/>
      <c r="L850" s="139"/>
      <c r="M850" s="139"/>
      <c r="N850" s="191"/>
      <c r="O850" s="139"/>
      <c r="P850" s="139"/>
      <c r="Q850" s="196"/>
      <c r="R850" s="139"/>
    </row>
    <row r="851">
      <c r="A851" s="139"/>
      <c r="B851" s="191"/>
      <c r="C851" s="139"/>
      <c r="D851" s="139"/>
      <c r="E851" s="139"/>
      <c r="F851" s="139"/>
      <c r="G851" s="139"/>
      <c r="H851" s="139"/>
      <c r="I851" s="139"/>
      <c r="J851" s="139"/>
      <c r="K851" s="139"/>
      <c r="L851" s="139"/>
      <c r="M851" s="139"/>
      <c r="N851" s="191"/>
      <c r="O851" s="139"/>
      <c r="P851" s="139"/>
      <c r="Q851" s="196"/>
      <c r="R851" s="139"/>
    </row>
    <row r="852">
      <c r="A852" s="139"/>
      <c r="B852" s="191"/>
      <c r="C852" s="139"/>
      <c r="D852" s="139"/>
      <c r="E852" s="139"/>
      <c r="F852" s="139"/>
      <c r="G852" s="139"/>
      <c r="H852" s="139"/>
      <c r="I852" s="139"/>
      <c r="J852" s="139"/>
      <c r="K852" s="139"/>
      <c r="L852" s="139"/>
      <c r="M852" s="139"/>
      <c r="N852" s="191"/>
      <c r="O852" s="139"/>
      <c r="P852" s="139"/>
      <c r="Q852" s="196"/>
      <c r="R852" s="139"/>
    </row>
    <row r="853">
      <c r="A853" s="139"/>
      <c r="B853" s="191"/>
      <c r="C853" s="139"/>
      <c r="D853" s="139"/>
      <c r="E853" s="139"/>
      <c r="F853" s="139"/>
      <c r="G853" s="139"/>
      <c r="H853" s="139"/>
      <c r="I853" s="139"/>
      <c r="J853" s="139"/>
      <c r="K853" s="139"/>
      <c r="L853" s="139"/>
      <c r="M853" s="139"/>
      <c r="N853" s="191"/>
      <c r="O853" s="139"/>
      <c r="P853" s="139"/>
      <c r="Q853" s="196"/>
      <c r="R853" s="139"/>
    </row>
    <row r="854">
      <c r="A854" s="139"/>
      <c r="B854" s="191"/>
      <c r="C854" s="139"/>
      <c r="D854" s="139"/>
      <c r="E854" s="139"/>
      <c r="F854" s="139"/>
      <c r="G854" s="139"/>
      <c r="H854" s="139"/>
      <c r="I854" s="139"/>
      <c r="J854" s="139"/>
      <c r="K854" s="139"/>
      <c r="L854" s="139"/>
      <c r="M854" s="139"/>
      <c r="N854" s="191"/>
      <c r="O854" s="139"/>
      <c r="P854" s="139"/>
      <c r="Q854" s="196"/>
      <c r="R854" s="139"/>
    </row>
    <row r="855">
      <c r="A855" s="139"/>
      <c r="B855" s="191"/>
      <c r="C855" s="139"/>
      <c r="D855" s="139"/>
      <c r="E855" s="139"/>
      <c r="F855" s="139"/>
      <c r="G855" s="139"/>
      <c r="H855" s="139"/>
      <c r="I855" s="139"/>
      <c r="J855" s="139"/>
      <c r="K855" s="139"/>
      <c r="L855" s="139"/>
      <c r="M855" s="139"/>
      <c r="N855" s="191"/>
      <c r="O855" s="139"/>
      <c r="P855" s="139"/>
      <c r="Q855" s="196"/>
      <c r="R855" s="139"/>
    </row>
    <row r="856">
      <c r="A856" s="139"/>
      <c r="B856" s="191"/>
      <c r="C856" s="139"/>
      <c r="D856" s="139"/>
      <c r="E856" s="139"/>
      <c r="F856" s="139"/>
      <c r="G856" s="139"/>
      <c r="H856" s="139"/>
      <c r="I856" s="139"/>
      <c r="J856" s="139"/>
      <c r="K856" s="139"/>
      <c r="L856" s="139"/>
      <c r="M856" s="139"/>
      <c r="N856" s="191"/>
      <c r="O856" s="139"/>
      <c r="P856" s="139"/>
      <c r="Q856" s="196"/>
      <c r="R856" s="139"/>
    </row>
    <row r="857">
      <c r="A857" s="139"/>
      <c r="B857" s="191"/>
      <c r="C857" s="139"/>
      <c r="D857" s="139"/>
      <c r="E857" s="139"/>
      <c r="F857" s="139"/>
      <c r="G857" s="139"/>
      <c r="H857" s="139"/>
      <c r="I857" s="139"/>
      <c r="J857" s="139"/>
      <c r="K857" s="139"/>
      <c r="L857" s="139"/>
      <c r="M857" s="139"/>
      <c r="N857" s="191"/>
      <c r="O857" s="139"/>
      <c r="P857" s="139"/>
      <c r="Q857" s="196"/>
      <c r="R857" s="139"/>
    </row>
    <row r="858">
      <c r="A858" s="139"/>
      <c r="B858" s="191"/>
      <c r="C858" s="139"/>
      <c r="D858" s="139"/>
      <c r="E858" s="139"/>
      <c r="F858" s="139"/>
      <c r="G858" s="139"/>
      <c r="H858" s="139"/>
      <c r="I858" s="139"/>
      <c r="J858" s="139"/>
      <c r="K858" s="139"/>
      <c r="L858" s="139"/>
      <c r="M858" s="139"/>
      <c r="N858" s="191"/>
      <c r="O858" s="139"/>
      <c r="P858" s="139"/>
      <c r="Q858" s="196"/>
      <c r="R858" s="139"/>
    </row>
    <row r="859">
      <c r="A859" s="139"/>
      <c r="B859" s="191"/>
      <c r="C859" s="139"/>
      <c r="D859" s="139"/>
      <c r="E859" s="139"/>
      <c r="F859" s="139"/>
      <c r="G859" s="139"/>
      <c r="H859" s="139"/>
      <c r="I859" s="139"/>
      <c r="J859" s="139"/>
      <c r="K859" s="139"/>
      <c r="L859" s="139"/>
      <c r="M859" s="139"/>
      <c r="N859" s="191"/>
      <c r="O859" s="139"/>
      <c r="P859" s="139"/>
      <c r="Q859" s="196"/>
      <c r="R859" s="139"/>
    </row>
    <row r="860">
      <c r="A860" s="139"/>
      <c r="B860" s="191"/>
      <c r="C860" s="139"/>
      <c r="D860" s="139"/>
      <c r="E860" s="139"/>
      <c r="F860" s="139"/>
      <c r="G860" s="139"/>
      <c r="H860" s="139"/>
      <c r="I860" s="139"/>
      <c r="J860" s="139"/>
      <c r="K860" s="139"/>
      <c r="L860" s="139"/>
      <c r="M860" s="139"/>
      <c r="N860" s="191"/>
      <c r="O860" s="139"/>
      <c r="P860" s="139"/>
      <c r="Q860" s="196"/>
      <c r="R860" s="139"/>
    </row>
    <row r="861">
      <c r="A861" s="139"/>
      <c r="B861" s="191"/>
      <c r="C861" s="139"/>
      <c r="D861" s="139"/>
      <c r="E861" s="139"/>
      <c r="F861" s="139"/>
      <c r="G861" s="139"/>
      <c r="H861" s="139"/>
      <c r="I861" s="139"/>
      <c r="J861" s="139"/>
      <c r="K861" s="139"/>
      <c r="L861" s="139"/>
      <c r="M861" s="139"/>
      <c r="N861" s="191"/>
      <c r="O861" s="139"/>
      <c r="P861" s="139"/>
      <c r="Q861" s="196"/>
      <c r="R861" s="139"/>
    </row>
    <row r="862">
      <c r="A862" s="139"/>
      <c r="B862" s="191"/>
      <c r="C862" s="139"/>
      <c r="D862" s="139"/>
      <c r="E862" s="139"/>
      <c r="F862" s="139"/>
      <c r="G862" s="139"/>
      <c r="H862" s="139"/>
      <c r="I862" s="139"/>
      <c r="J862" s="139"/>
      <c r="K862" s="139"/>
      <c r="L862" s="139"/>
      <c r="M862" s="139"/>
      <c r="N862" s="191"/>
      <c r="O862" s="139"/>
      <c r="P862" s="139"/>
      <c r="Q862" s="196"/>
      <c r="R862" s="139"/>
    </row>
    <row r="863">
      <c r="A863" s="139"/>
      <c r="B863" s="191"/>
      <c r="C863" s="139"/>
      <c r="D863" s="139"/>
      <c r="E863" s="139"/>
      <c r="F863" s="139"/>
      <c r="G863" s="139"/>
      <c r="H863" s="139"/>
      <c r="I863" s="139"/>
      <c r="J863" s="139"/>
      <c r="K863" s="139"/>
      <c r="L863" s="139"/>
      <c r="M863" s="139"/>
      <c r="N863" s="191"/>
      <c r="O863" s="139"/>
      <c r="P863" s="139"/>
      <c r="Q863" s="196"/>
      <c r="R863" s="139"/>
    </row>
    <row r="864">
      <c r="A864" s="139"/>
      <c r="B864" s="191"/>
      <c r="C864" s="139"/>
      <c r="D864" s="139"/>
      <c r="E864" s="139"/>
      <c r="F864" s="139"/>
      <c r="G864" s="139"/>
      <c r="H864" s="139"/>
      <c r="I864" s="139"/>
      <c r="J864" s="139"/>
      <c r="K864" s="139"/>
      <c r="L864" s="139"/>
      <c r="M864" s="139"/>
      <c r="N864" s="191"/>
      <c r="O864" s="139"/>
      <c r="P864" s="139"/>
      <c r="Q864" s="196"/>
      <c r="R864" s="139"/>
    </row>
    <row r="865">
      <c r="A865" s="139"/>
      <c r="B865" s="191"/>
      <c r="C865" s="139"/>
      <c r="D865" s="139"/>
      <c r="E865" s="139"/>
      <c r="F865" s="139"/>
      <c r="G865" s="139"/>
      <c r="H865" s="139"/>
      <c r="I865" s="139"/>
      <c r="J865" s="139"/>
      <c r="K865" s="139"/>
      <c r="L865" s="139"/>
      <c r="M865" s="139"/>
      <c r="N865" s="191"/>
      <c r="O865" s="139"/>
      <c r="P865" s="139"/>
      <c r="Q865" s="196"/>
      <c r="R865" s="139"/>
    </row>
    <row r="866">
      <c r="A866" s="139"/>
      <c r="B866" s="191"/>
      <c r="C866" s="139"/>
      <c r="D866" s="139"/>
      <c r="E866" s="139"/>
      <c r="F866" s="139"/>
      <c r="G866" s="139"/>
      <c r="H866" s="139"/>
      <c r="I866" s="139"/>
      <c r="J866" s="139"/>
      <c r="K866" s="139"/>
      <c r="L866" s="139"/>
      <c r="M866" s="139"/>
      <c r="N866" s="191"/>
      <c r="O866" s="139"/>
      <c r="P866" s="139"/>
      <c r="Q866" s="196"/>
      <c r="R866" s="139"/>
    </row>
    <row r="867">
      <c r="A867" s="139"/>
      <c r="B867" s="191"/>
      <c r="C867" s="139"/>
      <c r="D867" s="139"/>
      <c r="E867" s="139"/>
      <c r="F867" s="139"/>
      <c r="G867" s="139"/>
      <c r="H867" s="139"/>
      <c r="I867" s="139"/>
      <c r="J867" s="139"/>
      <c r="K867" s="139"/>
      <c r="L867" s="139"/>
      <c r="M867" s="139"/>
      <c r="N867" s="191"/>
      <c r="O867" s="139"/>
      <c r="P867" s="139"/>
      <c r="Q867" s="196"/>
      <c r="R867" s="139"/>
    </row>
    <row r="868">
      <c r="A868" s="139"/>
      <c r="B868" s="191"/>
      <c r="C868" s="139"/>
      <c r="D868" s="139"/>
      <c r="E868" s="139"/>
      <c r="F868" s="139"/>
      <c r="G868" s="139"/>
      <c r="H868" s="139"/>
      <c r="I868" s="139"/>
      <c r="J868" s="139"/>
      <c r="K868" s="139"/>
      <c r="L868" s="139"/>
      <c r="M868" s="139"/>
      <c r="N868" s="191"/>
      <c r="O868" s="139"/>
      <c r="P868" s="139"/>
      <c r="Q868" s="196"/>
      <c r="R868" s="139"/>
    </row>
    <row r="869">
      <c r="A869" s="139"/>
      <c r="B869" s="191"/>
      <c r="C869" s="139"/>
      <c r="D869" s="139"/>
      <c r="E869" s="139"/>
      <c r="F869" s="139"/>
      <c r="G869" s="139"/>
      <c r="H869" s="139"/>
      <c r="I869" s="139"/>
      <c r="J869" s="139"/>
      <c r="K869" s="139"/>
      <c r="L869" s="139"/>
      <c r="M869" s="139"/>
      <c r="N869" s="191"/>
      <c r="O869" s="139"/>
      <c r="P869" s="139"/>
      <c r="Q869" s="196"/>
      <c r="R869" s="139"/>
    </row>
    <row r="870">
      <c r="A870" s="139"/>
      <c r="B870" s="191"/>
      <c r="C870" s="139"/>
      <c r="D870" s="139"/>
      <c r="E870" s="139"/>
      <c r="F870" s="139"/>
      <c r="G870" s="139"/>
      <c r="H870" s="139"/>
      <c r="I870" s="139"/>
      <c r="J870" s="139"/>
      <c r="K870" s="139"/>
      <c r="L870" s="139"/>
      <c r="M870" s="139"/>
      <c r="N870" s="191"/>
      <c r="O870" s="139"/>
      <c r="P870" s="139"/>
      <c r="Q870" s="196"/>
      <c r="R870" s="139"/>
    </row>
    <row r="871">
      <c r="A871" s="139"/>
      <c r="B871" s="191"/>
      <c r="C871" s="139"/>
      <c r="D871" s="139"/>
      <c r="E871" s="139"/>
      <c r="F871" s="139"/>
      <c r="G871" s="139"/>
      <c r="H871" s="139"/>
      <c r="I871" s="139"/>
      <c r="J871" s="139"/>
      <c r="K871" s="139"/>
      <c r="L871" s="139"/>
      <c r="M871" s="139"/>
      <c r="N871" s="191"/>
      <c r="O871" s="139"/>
      <c r="P871" s="139"/>
      <c r="Q871" s="196"/>
      <c r="R871" s="139"/>
    </row>
    <row r="872">
      <c r="A872" s="139"/>
      <c r="B872" s="191"/>
      <c r="C872" s="139"/>
      <c r="D872" s="139"/>
      <c r="E872" s="139"/>
      <c r="F872" s="139"/>
      <c r="G872" s="139"/>
      <c r="H872" s="139"/>
      <c r="I872" s="139"/>
      <c r="J872" s="139"/>
      <c r="K872" s="139"/>
      <c r="L872" s="139"/>
      <c r="M872" s="139"/>
      <c r="N872" s="191"/>
      <c r="O872" s="139"/>
      <c r="P872" s="139"/>
      <c r="Q872" s="196"/>
      <c r="R872" s="139"/>
    </row>
    <row r="873">
      <c r="A873" s="139"/>
      <c r="B873" s="191"/>
      <c r="C873" s="139"/>
      <c r="D873" s="139"/>
      <c r="E873" s="139"/>
      <c r="F873" s="139"/>
      <c r="G873" s="139"/>
      <c r="H873" s="139"/>
      <c r="I873" s="139"/>
      <c r="J873" s="139"/>
      <c r="K873" s="139"/>
      <c r="L873" s="139"/>
      <c r="M873" s="139"/>
      <c r="N873" s="191"/>
      <c r="O873" s="139"/>
      <c r="P873" s="139"/>
      <c r="Q873" s="196"/>
      <c r="R873" s="139"/>
    </row>
    <row r="874">
      <c r="A874" s="139"/>
      <c r="B874" s="191"/>
      <c r="C874" s="139"/>
      <c r="D874" s="139"/>
      <c r="E874" s="139"/>
      <c r="F874" s="139"/>
      <c r="G874" s="139"/>
      <c r="H874" s="139"/>
      <c r="I874" s="139"/>
      <c r="J874" s="139"/>
      <c r="K874" s="139"/>
      <c r="L874" s="139"/>
      <c r="M874" s="139"/>
      <c r="N874" s="191"/>
      <c r="O874" s="139"/>
      <c r="P874" s="139"/>
      <c r="Q874" s="196"/>
      <c r="R874" s="139"/>
    </row>
    <row r="875">
      <c r="A875" s="139"/>
      <c r="B875" s="191"/>
      <c r="C875" s="139"/>
      <c r="D875" s="139"/>
      <c r="E875" s="139"/>
      <c r="F875" s="139"/>
      <c r="G875" s="139"/>
      <c r="H875" s="139"/>
      <c r="I875" s="139"/>
      <c r="J875" s="139"/>
      <c r="K875" s="139"/>
      <c r="L875" s="139"/>
      <c r="M875" s="139"/>
      <c r="N875" s="191"/>
      <c r="O875" s="139"/>
      <c r="P875" s="139"/>
      <c r="Q875" s="196"/>
      <c r="R875" s="139"/>
    </row>
    <row r="876">
      <c r="A876" s="139"/>
      <c r="B876" s="191"/>
      <c r="C876" s="139"/>
      <c r="D876" s="139"/>
      <c r="E876" s="139"/>
      <c r="F876" s="139"/>
      <c r="G876" s="139"/>
      <c r="H876" s="139"/>
      <c r="I876" s="139"/>
      <c r="J876" s="139"/>
      <c r="K876" s="139"/>
      <c r="L876" s="139"/>
      <c r="M876" s="139"/>
      <c r="N876" s="191"/>
      <c r="O876" s="139"/>
      <c r="P876" s="139"/>
      <c r="Q876" s="196"/>
      <c r="R876" s="139"/>
    </row>
    <row r="877">
      <c r="A877" s="139"/>
      <c r="B877" s="191"/>
      <c r="C877" s="139"/>
      <c r="D877" s="139"/>
      <c r="E877" s="139"/>
      <c r="F877" s="139"/>
      <c r="G877" s="139"/>
      <c r="H877" s="139"/>
      <c r="I877" s="139"/>
      <c r="J877" s="139"/>
      <c r="K877" s="139"/>
      <c r="L877" s="139"/>
      <c r="M877" s="139"/>
      <c r="N877" s="191"/>
      <c r="O877" s="139"/>
      <c r="P877" s="139"/>
      <c r="Q877" s="196"/>
      <c r="R877" s="139"/>
    </row>
    <row r="878">
      <c r="A878" s="139"/>
      <c r="B878" s="191"/>
      <c r="C878" s="139"/>
      <c r="D878" s="139"/>
      <c r="E878" s="139"/>
      <c r="F878" s="139"/>
      <c r="G878" s="139"/>
      <c r="H878" s="139"/>
      <c r="I878" s="139"/>
      <c r="J878" s="139"/>
      <c r="K878" s="139"/>
      <c r="L878" s="139"/>
      <c r="M878" s="139"/>
      <c r="N878" s="191"/>
      <c r="O878" s="139"/>
      <c r="P878" s="139"/>
      <c r="Q878" s="196"/>
      <c r="R878" s="139"/>
    </row>
    <row r="879">
      <c r="A879" s="139"/>
      <c r="B879" s="191"/>
      <c r="C879" s="139"/>
      <c r="D879" s="139"/>
      <c r="E879" s="139"/>
      <c r="F879" s="139"/>
      <c r="G879" s="139"/>
      <c r="H879" s="139"/>
      <c r="I879" s="139"/>
      <c r="J879" s="139"/>
      <c r="K879" s="139"/>
      <c r="L879" s="139"/>
      <c r="M879" s="139"/>
      <c r="N879" s="191"/>
      <c r="O879" s="139"/>
      <c r="P879" s="139"/>
      <c r="Q879" s="196"/>
      <c r="R879" s="139"/>
    </row>
    <row r="880">
      <c r="A880" s="139"/>
      <c r="B880" s="191"/>
      <c r="C880" s="139"/>
      <c r="D880" s="139"/>
      <c r="E880" s="139"/>
      <c r="F880" s="139"/>
      <c r="G880" s="139"/>
      <c r="H880" s="139"/>
      <c r="I880" s="139"/>
      <c r="J880" s="139"/>
      <c r="K880" s="139"/>
      <c r="L880" s="139"/>
      <c r="M880" s="139"/>
      <c r="N880" s="191"/>
      <c r="O880" s="139"/>
      <c r="P880" s="139"/>
      <c r="Q880" s="196"/>
      <c r="R880" s="139"/>
    </row>
    <row r="881">
      <c r="A881" s="139"/>
      <c r="B881" s="191"/>
      <c r="C881" s="139"/>
      <c r="D881" s="139"/>
      <c r="E881" s="139"/>
      <c r="F881" s="139"/>
      <c r="G881" s="139"/>
      <c r="H881" s="139"/>
      <c r="I881" s="139"/>
      <c r="J881" s="139"/>
      <c r="K881" s="139"/>
      <c r="L881" s="139"/>
      <c r="M881" s="139"/>
      <c r="N881" s="191"/>
      <c r="O881" s="139"/>
      <c r="P881" s="139"/>
      <c r="Q881" s="196"/>
      <c r="R881" s="139"/>
    </row>
    <row r="882">
      <c r="A882" s="139"/>
      <c r="B882" s="191"/>
      <c r="C882" s="139"/>
      <c r="D882" s="139"/>
      <c r="E882" s="139"/>
      <c r="F882" s="139"/>
      <c r="G882" s="139"/>
      <c r="H882" s="139"/>
      <c r="I882" s="139"/>
      <c r="J882" s="139"/>
      <c r="K882" s="139"/>
      <c r="L882" s="139"/>
      <c r="M882" s="139"/>
      <c r="N882" s="191"/>
      <c r="O882" s="139"/>
      <c r="P882" s="139"/>
      <c r="Q882" s="196"/>
      <c r="R882" s="139"/>
    </row>
    <row r="883">
      <c r="A883" s="139"/>
      <c r="B883" s="191"/>
      <c r="C883" s="139"/>
      <c r="D883" s="139"/>
      <c r="E883" s="139"/>
      <c r="F883" s="139"/>
      <c r="G883" s="139"/>
      <c r="H883" s="139"/>
      <c r="I883" s="139"/>
      <c r="J883" s="139"/>
      <c r="K883" s="139"/>
      <c r="L883" s="139"/>
      <c r="M883" s="139"/>
      <c r="N883" s="191"/>
      <c r="O883" s="139"/>
      <c r="P883" s="139"/>
      <c r="Q883" s="196"/>
      <c r="R883" s="139"/>
    </row>
    <row r="884">
      <c r="A884" s="139"/>
      <c r="B884" s="191"/>
      <c r="C884" s="139"/>
      <c r="D884" s="139"/>
      <c r="E884" s="139"/>
      <c r="F884" s="139"/>
      <c r="G884" s="139"/>
      <c r="H884" s="139"/>
      <c r="I884" s="139"/>
      <c r="J884" s="139"/>
      <c r="K884" s="139"/>
      <c r="L884" s="139"/>
      <c r="M884" s="139"/>
      <c r="N884" s="191"/>
      <c r="O884" s="139"/>
      <c r="P884" s="139"/>
      <c r="Q884" s="196"/>
      <c r="R884" s="139"/>
    </row>
    <row r="885">
      <c r="A885" s="139"/>
      <c r="B885" s="191"/>
      <c r="C885" s="139"/>
      <c r="D885" s="139"/>
      <c r="E885" s="139"/>
      <c r="F885" s="139"/>
      <c r="G885" s="139"/>
      <c r="H885" s="139"/>
      <c r="I885" s="139"/>
      <c r="J885" s="139"/>
      <c r="K885" s="139"/>
      <c r="L885" s="139"/>
      <c r="M885" s="139"/>
      <c r="N885" s="191"/>
      <c r="O885" s="139"/>
      <c r="P885" s="139"/>
      <c r="Q885" s="196"/>
      <c r="R885" s="139"/>
    </row>
    <row r="886">
      <c r="A886" s="139"/>
      <c r="B886" s="191"/>
      <c r="C886" s="139"/>
      <c r="D886" s="139"/>
      <c r="E886" s="139"/>
      <c r="F886" s="139"/>
      <c r="G886" s="139"/>
      <c r="H886" s="139"/>
      <c r="I886" s="139"/>
      <c r="J886" s="139"/>
      <c r="K886" s="139"/>
      <c r="L886" s="139"/>
      <c r="M886" s="139"/>
      <c r="N886" s="191"/>
      <c r="O886" s="139"/>
      <c r="P886" s="139"/>
      <c r="Q886" s="196"/>
      <c r="R886" s="139"/>
    </row>
    <row r="887">
      <c r="A887" s="139"/>
      <c r="B887" s="191"/>
      <c r="C887" s="139"/>
      <c r="D887" s="139"/>
      <c r="E887" s="139"/>
      <c r="F887" s="139"/>
      <c r="G887" s="139"/>
      <c r="H887" s="139"/>
      <c r="I887" s="139"/>
      <c r="J887" s="139"/>
      <c r="K887" s="139"/>
      <c r="L887" s="139"/>
      <c r="M887" s="139"/>
      <c r="N887" s="191"/>
      <c r="O887" s="139"/>
      <c r="P887" s="139"/>
      <c r="Q887" s="196"/>
      <c r="R887" s="139"/>
    </row>
    <row r="888">
      <c r="A888" s="139"/>
      <c r="B888" s="191"/>
      <c r="C888" s="139"/>
      <c r="D888" s="139"/>
      <c r="E888" s="139"/>
      <c r="F888" s="139"/>
      <c r="G888" s="139"/>
      <c r="H888" s="139"/>
      <c r="I888" s="139"/>
      <c r="J888" s="139"/>
      <c r="K888" s="139"/>
      <c r="L888" s="139"/>
      <c r="M888" s="139"/>
      <c r="N888" s="191"/>
      <c r="O888" s="139"/>
      <c r="P888" s="139"/>
      <c r="Q888" s="196"/>
      <c r="R888" s="139"/>
    </row>
    <row r="889">
      <c r="A889" s="139"/>
      <c r="B889" s="191"/>
      <c r="C889" s="139"/>
      <c r="D889" s="139"/>
      <c r="E889" s="139"/>
      <c r="F889" s="139"/>
      <c r="G889" s="139"/>
      <c r="H889" s="139"/>
      <c r="I889" s="139"/>
      <c r="J889" s="139"/>
      <c r="K889" s="139"/>
      <c r="L889" s="139"/>
      <c r="M889" s="139"/>
      <c r="N889" s="191"/>
      <c r="O889" s="139"/>
      <c r="P889" s="139"/>
      <c r="Q889" s="196"/>
      <c r="R889" s="139"/>
    </row>
    <row r="890">
      <c r="A890" s="139"/>
      <c r="B890" s="191"/>
      <c r="C890" s="139"/>
      <c r="D890" s="139"/>
      <c r="E890" s="139"/>
      <c r="F890" s="139"/>
      <c r="G890" s="139"/>
      <c r="H890" s="139"/>
      <c r="I890" s="139"/>
      <c r="J890" s="139"/>
      <c r="K890" s="139"/>
      <c r="L890" s="139"/>
      <c r="M890" s="139"/>
      <c r="N890" s="191"/>
      <c r="O890" s="139"/>
      <c r="P890" s="139"/>
      <c r="Q890" s="196"/>
      <c r="R890" s="139"/>
    </row>
    <row r="891">
      <c r="A891" s="139"/>
      <c r="B891" s="191"/>
      <c r="C891" s="139"/>
      <c r="D891" s="139"/>
      <c r="E891" s="139"/>
      <c r="F891" s="139"/>
      <c r="G891" s="139"/>
      <c r="H891" s="139"/>
      <c r="I891" s="139"/>
      <c r="J891" s="139"/>
      <c r="K891" s="139"/>
      <c r="L891" s="139"/>
      <c r="M891" s="139"/>
      <c r="N891" s="191"/>
      <c r="O891" s="139"/>
      <c r="P891" s="139"/>
      <c r="Q891" s="196"/>
      <c r="R891" s="139"/>
    </row>
    <row r="892">
      <c r="A892" s="139"/>
      <c r="B892" s="191"/>
      <c r="C892" s="139"/>
      <c r="D892" s="139"/>
      <c r="E892" s="139"/>
      <c r="F892" s="139"/>
      <c r="G892" s="139"/>
      <c r="H892" s="139"/>
      <c r="I892" s="139"/>
      <c r="J892" s="139"/>
      <c r="K892" s="139"/>
      <c r="L892" s="139"/>
      <c r="M892" s="139"/>
      <c r="N892" s="191"/>
      <c r="O892" s="139"/>
      <c r="P892" s="139"/>
      <c r="Q892" s="196"/>
      <c r="R892" s="139"/>
    </row>
    <row r="893">
      <c r="A893" s="139"/>
      <c r="B893" s="191"/>
      <c r="C893" s="139"/>
      <c r="D893" s="139"/>
      <c r="E893" s="139"/>
      <c r="F893" s="139"/>
      <c r="G893" s="139"/>
      <c r="H893" s="139"/>
      <c r="I893" s="139"/>
      <c r="J893" s="139"/>
      <c r="K893" s="139"/>
      <c r="L893" s="139"/>
      <c r="M893" s="139"/>
      <c r="N893" s="191"/>
      <c r="O893" s="139"/>
      <c r="P893" s="139"/>
      <c r="Q893" s="196"/>
      <c r="R893" s="139"/>
    </row>
    <row r="894">
      <c r="A894" s="139"/>
      <c r="B894" s="191"/>
      <c r="C894" s="139"/>
      <c r="D894" s="139"/>
      <c r="E894" s="139"/>
      <c r="F894" s="139"/>
      <c r="G894" s="139"/>
      <c r="H894" s="139"/>
      <c r="I894" s="139"/>
      <c r="J894" s="139"/>
      <c r="K894" s="139"/>
      <c r="L894" s="139"/>
      <c r="M894" s="139"/>
      <c r="N894" s="191"/>
      <c r="O894" s="139"/>
      <c r="P894" s="139"/>
      <c r="Q894" s="196"/>
      <c r="R894" s="139"/>
    </row>
    <row r="895">
      <c r="A895" s="139"/>
      <c r="B895" s="191"/>
      <c r="C895" s="139"/>
      <c r="D895" s="139"/>
      <c r="E895" s="139"/>
      <c r="F895" s="139"/>
      <c r="G895" s="139"/>
      <c r="H895" s="139"/>
      <c r="I895" s="139"/>
      <c r="J895" s="139"/>
      <c r="K895" s="139"/>
      <c r="L895" s="139"/>
      <c r="M895" s="139"/>
      <c r="N895" s="191"/>
      <c r="O895" s="139"/>
      <c r="P895" s="139"/>
      <c r="Q895" s="196"/>
      <c r="R895" s="139"/>
    </row>
    <row r="896">
      <c r="A896" s="139"/>
      <c r="B896" s="191"/>
      <c r="C896" s="139"/>
      <c r="D896" s="139"/>
      <c r="E896" s="139"/>
      <c r="F896" s="139"/>
      <c r="G896" s="139"/>
      <c r="H896" s="139"/>
      <c r="I896" s="139"/>
      <c r="J896" s="139"/>
      <c r="K896" s="139"/>
      <c r="L896" s="139"/>
      <c r="M896" s="139"/>
      <c r="N896" s="191"/>
      <c r="O896" s="139"/>
      <c r="P896" s="139"/>
      <c r="Q896" s="196"/>
      <c r="R896" s="139"/>
    </row>
    <row r="897">
      <c r="A897" s="139"/>
      <c r="B897" s="191"/>
      <c r="C897" s="139"/>
      <c r="D897" s="139"/>
      <c r="E897" s="139"/>
      <c r="F897" s="139"/>
      <c r="G897" s="139"/>
      <c r="H897" s="139"/>
      <c r="I897" s="139"/>
      <c r="J897" s="139"/>
      <c r="K897" s="139"/>
      <c r="L897" s="139"/>
      <c r="M897" s="139"/>
      <c r="N897" s="191"/>
      <c r="O897" s="139"/>
      <c r="P897" s="139"/>
      <c r="Q897" s="196"/>
      <c r="R897" s="139"/>
    </row>
    <row r="898">
      <c r="A898" s="139"/>
      <c r="B898" s="191"/>
      <c r="C898" s="139"/>
      <c r="D898" s="139"/>
      <c r="E898" s="139"/>
      <c r="F898" s="139"/>
      <c r="G898" s="139"/>
      <c r="H898" s="139"/>
      <c r="I898" s="139"/>
      <c r="J898" s="139"/>
      <c r="K898" s="139"/>
      <c r="L898" s="139"/>
      <c r="M898" s="139"/>
      <c r="N898" s="191"/>
      <c r="O898" s="139"/>
      <c r="P898" s="139"/>
      <c r="Q898" s="196"/>
      <c r="R898" s="139"/>
    </row>
    <row r="899">
      <c r="A899" s="139"/>
      <c r="B899" s="191"/>
      <c r="C899" s="139"/>
      <c r="D899" s="139"/>
      <c r="E899" s="139"/>
      <c r="F899" s="139"/>
      <c r="G899" s="139"/>
      <c r="H899" s="139"/>
      <c r="I899" s="139"/>
      <c r="J899" s="139"/>
      <c r="K899" s="139"/>
      <c r="L899" s="139"/>
      <c r="M899" s="139"/>
      <c r="N899" s="191"/>
      <c r="O899" s="139"/>
      <c r="P899" s="139"/>
      <c r="Q899" s="196"/>
      <c r="R899" s="139"/>
    </row>
    <row r="900">
      <c r="A900" s="139"/>
      <c r="B900" s="191"/>
      <c r="C900" s="139"/>
      <c r="D900" s="139"/>
      <c r="E900" s="139"/>
      <c r="F900" s="139"/>
      <c r="G900" s="139"/>
      <c r="H900" s="139"/>
      <c r="I900" s="139"/>
      <c r="J900" s="139"/>
      <c r="K900" s="139"/>
      <c r="L900" s="139"/>
      <c r="M900" s="139"/>
      <c r="N900" s="191"/>
      <c r="O900" s="139"/>
      <c r="P900" s="139"/>
      <c r="Q900" s="196"/>
      <c r="R900" s="139"/>
    </row>
    <row r="901">
      <c r="A901" s="139"/>
      <c r="B901" s="191"/>
      <c r="C901" s="139"/>
      <c r="D901" s="139"/>
      <c r="E901" s="139"/>
      <c r="F901" s="139"/>
      <c r="G901" s="139"/>
      <c r="H901" s="139"/>
      <c r="I901" s="139"/>
      <c r="J901" s="139"/>
      <c r="K901" s="139"/>
      <c r="L901" s="139"/>
      <c r="M901" s="139"/>
      <c r="N901" s="191"/>
      <c r="O901" s="139"/>
      <c r="P901" s="139"/>
      <c r="Q901" s="196"/>
      <c r="R901" s="139"/>
    </row>
    <row r="902">
      <c r="A902" s="139"/>
      <c r="B902" s="191"/>
      <c r="C902" s="139"/>
      <c r="D902" s="139"/>
      <c r="E902" s="139"/>
      <c r="F902" s="139"/>
      <c r="G902" s="139"/>
      <c r="H902" s="139"/>
      <c r="I902" s="139"/>
      <c r="J902" s="139"/>
      <c r="K902" s="139"/>
      <c r="L902" s="139"/>
      <c r="M902" s="139"/>
      <c r="N902" s="191"/>
      <c r="O902" s="139"/>
      <c r="P902" s="139"/>
      <c r="Q902" s="196"/>
      <c r="R902" s="139"/>
    </row>
    <row r="903">
      <c r="A903" s="139"/>
      <c r="B903" s="191"/>
      <c r="C903" s="139"/>
      <c r="D903" s="139"/>
      <c r="E903" s="139"/>
      <c r="F903" s="139"/>
      <c r="G903" s="139"/>
      <c r="H903" s="139"/>
      <c r="I903" s="139"/>
      <c r="J903" s="139"/>
      <c r="K903" s="139"/>
      <c r="L903" s="139"/>
      <c r="M903" s="139"/>
      <c r="N903" s="191"/>
      <c r="O903" s="139"/>
      <c r="P903" s="139"/>
      <c r="Q903" s="196"/>
      <c r="R903" s="139"/>
    </row>
    <row r="904">
      <c r="A904" s="139"/>
      <c r="B904" s="191"/>
      <c r="C904" s="139"/>
      <c r="D904" s="139"/>
      <c r="E904" s="139"/>
      <c r="F904" s="139"/>
      <c r="G904" s="139"/>
      <c r="H904" s="139"/>
      <c r="I904" s="139"/>
      <c r="J904" s="139"/>
      <c r="K904" s="139"/>
      <c r="L904" s="139"/>
      <c r="M904" s="139"/>
      <c r="N904" s="191"/>
      <c r="O904" s="139"/>
      <c r="P904" s="139"/>
      <c r="Q904" s="196"/>
      <c r="R904" s="139"/>
    </row>
    <row r="905">
      <c r="A905" s="139"/>
      <c r="B905" s="191"/>
      <c r="C905" s="139"/>
      <c r="D905" s="139"/>
      <c r="E905" s="139"/>
      <c r="F905" s="139"/>
      <c r="G905" s="139"/>
      <c r="H905" s="139"/>
      <c r="I905" s="139"/>
      <c r="J905" s="139"/>
      <c r="K905" s="139"/>
      <c r="L905" s="139"/>
      <c r="M905" s="139"/>
      <c r="N905" s="191"/>
      <c r="O905" s="139"/>
      <c r="P905" s="139"/>
      <c r="Q905" s="196"/>
      <c r="R905" s="139"/>
    </row>
    <row r="906">
      <c r="A906" s="139"/>
      <c r="B906" s="191"/>
      <c r="C906" s="139"/>
      <c r="D906" s="139"/>
      <c r="E906" s="139"/>
      <c r="F906" s="139"/>
      <c r="G906" s="139"/>
      <c r="H906" s="139"/>
      <c r="I906" s="139"/>
      <c r="J906" s="139"/>
      <c r="K906" s="139"/>
      <c r="L906" s="139"/>
      <c r="M906" s="139"/>
      <c r="N906" s="191"/>
      <c r="O906" s="139"/>
      <c r="P906" s="139"/>
      <c r="Q906" s="196"/>
      <c r="R906" s="139"/>
    </row>
    <row r="907">
      <c r="A907" s="139"/>
      <c r="B907" s="191"/>
      <c r="C907" s="139"/>
      <c r="D907" s="139"/>
      <c r="E907" s="139"/>
      <c r="F907" s="139"/>
      <c r="G907" s="139"/>
      <c r="H907" s="139"/>
      <c r="I907" s="139"/>
      <c r="J907" s="139"/>
      <c r="K907" s="139"/>
      <c r="L907" s="139"/>
      <c r="M907" s="139"/>
      <c r="N907" s="191"/>
      <c r="O907" s="139"/>
      <c r="P907" s="139"/>
      <c r="Q907" s="196"/>
      <c r="R907" s="139"/>
    </row>
    <row r="908">
      <c r="A908" s="139"/>
      <c r="B908" s="191"/>
      <c r="C908" s="139"/>
      <c r="D908" s="139"/>
      <c r="E908" s="139"/>
      <c r="F908" s="139"/>
      <c r="G908" s="139"/>
      <c r="H908" s="139"/>
      <c r="I908" s="139"/>
      <c r="J908" s="139"/>
      <c r="K908" s="139"/>
      <c r="L908" s="139"/>
      <c r="M908" s="139"/>
      <c r="N908" s="191"/>
      <c r="O908" s="139"/>
      <c r="P908" s="139"/>
      <c r="Q908" s="196"/>
      <c r="R908" s="139"/>
    </row>
    <row r="909">
      <c r="A909" s="139"/>
      <c r="B909" s="191"/>
      <c r="C909" s="139"/>
      <c r="D909" s="139"/>
      <c r="E909" s="139"/>
      <c r="F909" s="139"/>
      <c r="G909" s="139"/>
      <c r="H909" s="139"/>
      <c r="I909" s="139"/>
      <c r="J909" s="139"/>
      <c r="K909" s="139"/>
      <c r="L909" s="139"/>
      <c r="M909" s="139"/>
      <c r="N909" s="191"/>
      <c r="O909" s="139"/>
      <c r="P909" s="139"/>
      <c r="Q909" s="196"/>
      <c r="R909" s="139"/>
    </row>
    <row r="910">
      <c r="A910" s="139"/>
      <c r="B910" s="191"/>
      <c r="C910" s="139"/>
      <c r="D910" s="139"/>
      <c r="E910" s="139"/>
      <c r="F910" s="139"/>
      <c r="G910" s="139"/>
      <c r="H910" s="139"/>
      <c r="I910" s="139"/>
      <c r="J910" s="139"/>
      <c r="K910" s="139"/>
      <c r="L910" s="139"/>
      <c r="M910" s="139"/>
      <c r="N910" s="191"/>
      <c r="O910" s="139"/>
      <c r="P910" s="139"/>
      <c r="Q910" s="196"/>
      <c r="R910" s="139"/>
    </row>
    <row r="911">
      <c r="A911" s="139"/>
      <c r="B911" s="191"/>
      <c r="C911" s="139"/>
      <c r="D911" s="139"/>
      <c r="E911" s="139"/>
      <c r="F911" s="139"/>
      <c r="G911" s="139"/>
      <c r="H911" s="139"/>
      <c r="I911" s="139"/>
      <c r="J911" s="139"/>
      <c r="K911" s="139"/>
      <c r="L911" s="139"/>
      <c r="M911" s="139"/>
      <c r="N911" s="191"/>
      <c r="O911" s="139"/>
      <c r="P911" s="139"/>
      <c r="Q911" s="196"/>
      <c r="R911" s="139"/>
    </row>
    <row r="912">
      <c r="A912" s="139"/>
      <c r="B912" s="191"/>
      <c r="C912" s="139"/>
      <c r="D912" s="139"/>
      <c r="E912" s="139"/>
      <c r="F912" s="139"/>
      <c r="G912" s="139"/>
      <c r="H912" s="139"/>
      <c r="I912" s="139"/>
      <c r="J912" s="139"/>
      <c r="K912" s="139"/>
      <c r="L912" s="139"/>
      <c r="M912" s="139"/>
      <c r="N912" s="191"/>
      <c r="O912" s="139"/>
      <c r="P912" s="139"/>
      <c r="Q912" s="196"/>
      <c r="R912" s="139"/>
    </row>
    <row r="913">
      <c r="A913" s="139"/>
      <c r="B913" s="191"/>
      <c r="C913" s="139"/>
      <c r="D913" s="139"/>
      <c r="E913" s="139"/>
      <c r="F913" s="139"/>
      <c r="G913" s="139"/>
      <c r="H913" s="139"/>
      <c r="I913" s="139"/>
      <c r="J913" s="139"/>
      <c r="K913" s="139"/>
      <c r="L913" s="139"/>
      <c r="M913" s="139"/>
      <c r="N913" s="191"/>
      <c r="O913" s="139"/>
      <c r="P913" s="139"/>
      <c r="Q913" s="196"/>
      <c r="R913" s="139"/>
    </row>
    <row r="914">
      <c r="A914" s="139"/>
      <c r="B914" s="191"/>
      <c r="C914" s="139"/>
      <c r="D914" s="139"/>
      <c r="E914" s="139"/>
      <c r="F914" s="139"/>
      <c r="G914" s="139"/>
      <c r="H914" s="139"/>
      <c r="I914" s="139"/>
      <c r="J914" s="139"/>
      <c r="K914" s="139"/>
      <c r="L914" s="139"/>
      <c r="M914" s="139"/>
      <c r="N914" s="191"/>
      <c r="O914" s="139"/>
      <c r="P914" s="139"/>
      <c r="Q914" s="196"/>
      <c r="R914" s="139"/>
    </row>
    <row r="915">
      <c r="A915" s="139"/>
      <c r="B915" s="191"/>
      <c r="C915" s="139"/>
      <c r="D915" s="139"/>
      <c r="E915" s="139"/>
      <c r="F915" s="139"/>
      <c r="G915" s="139"/>
      <c r="H915" s="139"/>
      <c r="I915" s="139"/>
      <c r="J915" s="139"/>
      <c r="K915" s="139"/>
      <c r="L915" s="139"/>
      <c r="M915" s="139"/>
      <c r="N915" s="191"/>
      <c r="O915" s="139"/>
      <c r="P915" s="139"/>
      <c r="Q915" s="196"/>
      <c r="R915" s="139"/>
    </row>
    <row r="916">
      <c r="A916" s="139"/>
      <c r="B916" s="191"/>
      <c r="C916" s="139"/>
      <c r="D916" s="139"/>
      <c r="E916" s="139"/>
      <c r="F916" s="139"/>
      <c r="G916" s="139"/>
      <c r="H916" s="139"/>
      <c r="I916" s="139"/>
      <c r="J916" s="139"/>
      <c r="K916" s="139"/>
      <c r="L916" s="139"/>
      <c r="M916" s="139"/>
      <c r="N916" s="191"/>
      <c r="O916" s="139"/>
      <c r="P916" s="139"/>
      <c r="Q916" s="196"/>
      <c r="R916" s="139"/>
    </row>
    <row r="917">
      <c r="A917" s="139"/>
      <c r="B917" s="191"/>
      <c r="C917" s="139"/>
      <c r="D917" s="139"/>
      <c r="E917" s="139"/>
      <c r="F917" s="139"/>
      <c r="G917" s="139"/>
      <c r="H917" s="139"/>
      <c r="I917" s="139"/>
      <c r="J917" s="139"/>
      <c r="K917" s="139"/>
      <c r="L917" s="139"/>
      <c r="M917" s="139"/>
      <c r="N917" s="191"/>
      <c r="O917" s="139"/>
      <c r="P917" s="139"/>
      <c r="Q917" s="196"/>
      <c r="R917" s="139"/>
    </row>
    <row r="918">
      <c r="A918" s="139"/>
      <c r="B918" s="191"/>
      <c r="C918" s="139"/>
      <c r="D918" s="139"/>
      <c r="E918" s="139"/>
      <c r="F918" s="139"/>
      <c r="G918" s="139"/>
      <c r="H918" s="139"/>
      <c r="I918" s="139"/>
      <c r="J918" s="139"/>
      <c r="K918" s="139"/>
      <c r="L918" s="139"/>
      <c r="M918" s="139"/>
      <c r="N918" s="191"/>
      <c r="O918" s="139"/>
      <c r="P918" s="139"/>
      <c r="Q918" s="196"/>
      <c r="R918" s="139"/>
    </row>
    <row r="919">
      <c r="A919" s="139"/>
      <c r="B919" s="191"/>
      <c r="C919" s="139"/>
      <c r="D919" s="139"/>
      <c r="E919" s="139"/>
      <c r="F919" s="139"/>
      <c r="G919" s="139"/>
      <c r="H919" s="139"/>
      <c r="I919" s="139"/>
      <c r="J919" s="139"/>
      <c r="K919" s="139"/>
      <c r="L919" s="139"/>
      <c r="M919" s="139"/>
      <c r="N919" s="191"/>
      <c r="O919" s="139"/>
      <c r="P919" s="139"/>
      <c r="Q919" s="196"/>
      <c r="R919" s="139"/>
    </row>
    <row r="920">
      <c r="A920" s="139"/>
      <c r="B920" s="191"/>
      <c r="C920" s="139"/>
      <c r="D920" s="139"/>
      <c r="E920" s="139"/>
      <c r="F920" s="139"/>
      <c r="G920" s="139"/>
      <c r="H920" s="139"/>
      <c r="I920" s="139"/>
      <c r="J920" s="139"/>
      <c r="K920" s="139"/>
      <c r="L920" s="139"/>
      <c r="M920" s="139"/>
      <c r="N920" s="191"/>
      <c r="O920" s="139"/>
      <c r="P920" s="139"/>
      <c r="Q920" s="196"/>
      <c r="R920" s="139"/>
    </row>
    <row r="921">
      <c r="A921" s="139"/>
      <c r="B921" s="191"/>
      <c r="C921" s="139"/>
      <c r="D921" s="139"/>
      <c r="E921" s="139"/>
      <c r="F921" s="139"/>
      <c r="G921" s="139"/>
      <c r="H921" s="139"/>
      <c r="I921" s="139"/>
      <c r="J921" s="139"/>
      <c r="K921" s="139"/>
      <c r="L921" s="139"/>
      <c r="M921" s="139"/>
      <c r="N921" s="191"/>
      <c r="O921" s="139"/>
      <c r="P921" s="139"/>
      <c r="Q921" s="196"/>
      <c r="R921" s="139"/>
    </row>
    <row r="922">
      <c r="A922" s="139"/>
      <c r="B922" s="191"/>
      <c r="C922" s="139"/>
      <c r="D922" s="139"/>
      <c r="E922" s="139"/>
      <c r="F922" s="139"/>
      <c r="G922" s="139"/>
      <c r="H922" s="139"/>
      <c r="I922" s="139"/>
      <c r="J922" s="139"/>
      <c r="K922" s="139"/>
      <c r="L922" s="139"/>
      <c r="M922" s="139"/>
      <c r="N922" s="191"/>
      <c r="O922" s="139"/>
      <c r="P922" s="139"/>
      <c r="Q922" s="196"/>
      <c r="R922" s="139"/>
    </row>
    <row r="923">
      <c r="A923" s="139"/>
      <c r="B923" s="191"/>
      <c r="C923" s="139"/>
      <c r="D923" s="139"/>
      <c r="E923" s="139"/>
      <c r="F923" s="139"/>
      <c r="G923" s="139"/>
      <c r="H923" s="139"/>
      <c r="I923" s="139"/>
      <c r="J923" s="139"/>
      <c r="K923" s="139"/>
      <c r="L923" s="139"/>
      <c r="M923" s="139"/>
      <c r="N923" s="191"/>
      <c r="O923" s="139"/>
      <c r="P923" s="139"/>
      <c r="Q923" s="196"/>
      <c r="R923" s="139"/>
    </row>
    <row r="924">
      <c r="A924" s="139"/>
      <c r="B924" s="191"/>
      <c r="C924" s="139"/>
      <c r="D924" s="139"/>
      <c r="E924" s="139"/>
      <c r="F924" s="139"/>
      <c r="G924" s="139"/>
      <c r="H924" s="139"/>
      <c r="I924" s="139"/>
      <c r="J924" s="139"/>
      <c r="K924" s="139"/>
      <c r="L924" s="139"/>
      <c r="M924" s="139"/>
      <c r="N924" s="191"/>
      <c r="O924" s="139"/>
      <c r="P924" s="139"/>
      <c r="Q924" s="196"/>
      <c r="R924" s="139"/>
    </row>
    <row r="925">
      <c r="A925" s="139"/>
      <c r="B925" s="191"/>
      <c r="C925" s="139"/>
      <c r="D925" s="139"/>
      <c r="E925" s="139"/>
      <c r="F925" s="139"/>
      <c r="G925" s="139"/>
      <c r="H925" s="139"/>
      <c r="I925" s="139"/>
      <c r="J925" s="139"/>
      <c r="K925" s="139"/>
      <c r="L925" s="139"/>
      <c r="M925" s="139"/>
      <c r="N925" s="191"/>
      <c r="O925" s="139"/>
      <c r="P925" s="139"/>
      <c r="Q925" s="196"/>
      <c r="R925" s="139"/>
    </row>
    <row r="926">
      <c r="A926" s="139"/>
      <c r="B926" s="191"/>
      <c r="C926" s="139"/>
      <c r="D926" s="139"/>
      <c r="E926" s="139"/>
      <c r="F926" s="139"/>
      <c r="G926" s="139"/>
      <c r="H926" s="139"/>
      <c r="I926" s="139"/>
      <c r="J926" s="139"/>
      <c r="K926" s="139"/>
      <c r="L926" s="139"/>
      <c r="M926" s="139"/>
      <c r="N926" s="191"/>
      <c r="O926" s="139"/>
      <c r="P926" s="139"/>
      <c r="Q926" s="196"/>
      <c r="R926" s="139"/>
    </row>
    <row r="927">
      <c r="A927" s="139"/>
      <c r="B927" s="191"/>
      <c r="C927" s="139"/>
      <c r="D927" s="139"/>
      <c r="E927" s="139"/>
      <c r="F927" s="139"/>
      <c r="G927" s="139"/>
      <c r="H927" s="139"/>
      <c r="I927" s="139"/>
      <c r="J927" s="139"/>
      <c r="K927" s="139"/>
      <c r="L927" s="139"/>
      <c r="M927" s="139"/>
      <c r="N927" s="191"/>
      <c r="O927" s="139"/>
      <c r="P927" s="139"/>
      <c r="Q927" s="196"/>
      <c r="R927" s="139"/>
    </row>
    <row r="928">
      <c r="A928" s="139"/>
      <c r="B928" s="191"/>
      <c r="C928" s="139"/>
      <c r="D928" s="139"/>
      <c r="E928" s="139"/>
      <c r="F928" s="139"/>
      <c r="G928" s="139"/>
      <c r="H928" s="139"/>
      <c r="I928" s="139"/>
      <c r="J928" s="139"/>
      <c r="K928" s="139"/>
      <c r="L928" s="139"/>
      <c r="M928" s="139"/>
      <c r="N928" s="191"/>
      <c r="O928" s="139"/>
      <c r="P928" s="139"/>
      <c r="Q928" s="196"/>
      <c r="R928" s="139"/>
    </row>
    <row r="929">
      <c r="A929" s="139"/>
      <c r="B929" s="191"/>
      <c r="C929" s="139"/>
      <c r="D929" s="139"/>
      <c r="E929" s="139"/>
      <c r="F929" s="139"/>
      <c r="G929" s="139"/>
      <c r="H929" s="139"/>
      <c r="I929" s="139"/>
      <c r="J929" s="139"/>
      <c r="K929" s="139"/>
      <c r="L929" s="139"/>
      <c r="M929" s="139"/>
      <c r="N929" s="191"/>
      <c r="O929" s="139"/>
      <c r="P929" s="139"/>
      <c r="Q929" s="196"/>
      <c r="R929" s="139"/>
    </row>
    <row r="930">
      <c r="A930" s="139"/>
      <c r="B930" s="191"/>
      <c r="C930" s="139"/>
      <c r="D930" s="139"/>
      <c r="E930" s="139"/>
      <c r="F930" s="139"/>
      <c r="G930" s="139"/>
      <c r="H930" s="139"/>
      <c r="I930" s="139"/>
      <c r="J930" s="139"/>
      <c r="K930" s="139"/>
      <c r="L930" s="139"/>
      <c r="M930" s="139"/>
      <c r="N930" s="191"/>
      <c r="O930" s="139"/>
      <c r="P930" s="139"/>
      <c r="Q930" s="196"/>
      <c r="R930" s="139"/>
    </row>
    <row r="931">
      <c r="A931" s="139"/>
      <c r="B931" s="191"/>
      <c r="C931" s="139"/>
      <c r="D931" s="139"/>
      <c r="E931" s="139"/>
      <c r="F931" s="139"/>
      <c r="G931" s="139"/>
      <c r="H931" s="139"/>
      <c r="I931" s="139"/>
      <c r="J931" s="139"/>
      <c r="K931" s="139"/>
      <c r="L931" s="139"/>
      <c r="M931" s="139"/>
      <c r="N931" s="191"/>
      <c r="O931" s="139"/>
      <c r="P931" s="139"/>
      <c r="Q931" s="196"/>
      <c r="R931" s="139"/>
    </row>
    <row r="932">
      <c r="A932" s="139"/>
      <c r="B932" s="191"/>
      <c r="C932" s="139"/>
      <c r="D932" s="139"/>
      <c r="E932" s="139"/>
      <c r="F932" s="139"/>
      <c r="G932" s="139"/>
      <c r="H932" s="139"/>
      <c r="I932" s="139"/>
      <c r="J932" s="139"/>
      <c r="K932" s="139"/>
      <c r="L932" s="139"/>
      <c r="M932" s="139"/>
      <c r="N932" s="191"/>
      <c r="O932" s="139"/>
      <c r="P932" s="139"/>
      <c r="Q932" s="196"/>
      <c r="R932" s="139"/>
    </row>
    <row r="933">
      <c r="A933" s="139"/>
      <c r="B933" s="191"/>
      <c r="C933" s="139"/>
      <c r="D933" s="139"/>
      <c r="E933" s="139"/>
      <c r="F933" s="139"/>
      <c r="G933" s="139"/>
      <c r="H933" s="139"/>
      <c r="I933" s="139"/>
      <c r="J933" s="139"/>
      <c r="K933" s="139"/>
      <c r="L933" s="139"/>
      <c r="M933" s="139"/>
      <c r="N933" s="191"/>
      <c r="O933" s="139"/>
      <c r="P933" s="139"/>
      <c r="Q933" s="196"/>
      <c r="R933" s="139"/>
    </row>
    <row r="934">
      <c r="A934" s="139"/>
      <c r="B934" s="191"/>
      <c r="C934" s="139"/>
      <c r="D934" s="139"/>
      <c r="E934" s="139"/>
      <c r="F934" s="139"/>
      <c r="G934" s="139"/>
      <c r="H934" s="139"/>
      <c r="I934" s="139"/>
      <c r="J934" s="139"/>
      <c r="K934" s="139"/>
      <c r="L934" s="139"/>
      <c r="M934" s="139"/>
      <c r="N934" s="191"/>
      <c r="O934" s="139"/>
      <c r="P934" s="139"/>
      <c r="Q934" s="196"/>
      <c r="R934" s="139"/>
    </row>
    <row r="935">
      <c r="A935" s="139"/>
      <c r="B935" s="191"/>
      <c r="C935" s="139"/>
      <c r="D935" s="139"/>
      <c r="E935" s="139"/>
      <c r="F935" s="139"/>
      <c r="G935" s="139"/>
      <c r="H935" s="139"/>
      <c r="I935" s="139"/>
      <c r="J935" s="139"/>
      <c r="K935" s="139"/>
      <c r="L935" s="139"/>
      <c r="M935" s="139"/>
      <c r="N935" s="191"/>
      <c r="O935" s="139"/>
      <c r="P935" s="139"/>
      <c r="Q935" s="196"/>
      <c r="R935" s="139"/>
    </row>
    <row r="936">
      <c r="A936" s="139"/>
      <c r="B936" s="191"/>
      <c r="C936" s="139"/>
      <c r="D936" s="139"/>
      <c r="E936" s="139"/>
      <c r="F936" s="139"/>
      <c r="G936" s="139"/>
      <c r="H936" s="139"/>
      <c r="I936" s="139"/>
      <c r="J936" s="139"/>
      <c r="K936" s="139"/>
      <c r="L936" s="139"/>
      <c r="M936" s="139"/>
      <c r="N936" s="191"/>
      <c r="O936" s="139"/>
      <c r="P936" s="139"/>
      <c r="Q936" s="196"/>
      <c r="R936" s="139"/>
    </row>
    <row r="937">
      <c r="A937" s="139"/>
      <c r="B937" s="191"/>
      <c r="C937" s="139"/>
      <c r="D937" s="139"/>
      <c r="E937" s="139"/>
      <c r="F937" s="139"/>
      <c r="G937" s="139"/>
      <c r="H937" s="139"/>
      <c r="I937" s="139"/>
      <c r="J937" s="139"/>
      <c r="K937" s="139"/>
      <c r="L937" s="139"/>
      <c r="M937" s="139"/>
      <c r="N937" s="191"/>
      <c r="O937" s="139"/>
      <c r="P937" s="139"/>
      <c r="Q937" s="196"/>
      <c r="R937" s="139"/>
    </row>
    <row r="938">
      <c r="A938" s="139"/>
      <c r="B938" s="191"/>
      <c r="C938" s="139"/>
      <c r="D938" s="139"/>
      <c r="E938" s="139"/>
      <c r="F938" s="139"/>
      <c r="G938" s="139"/>
      <c r="H938" s="139"/>
      <c r="I938" s="139"/>
      <c r="J938" s="139"/>
      <c r="K938" s="139"/>
      <c r="L938" s="139"/>
      <c r="M938" s="139"/>
      <c r="N938" s="191"/>
      <c r="O938" s="139"/>
      <c r="P938" s="139"/>
      <c r="Q938" s="196"/>
      <c r="R938" s="139"/>
    </row>
    <row r="939">
      <c r="A939" s="139"/>
      <c r="B939" s="191"/>
      <c r="C939" s="139"/>
      <c r="D939" s="139"/>
      <c r="E939" s="139"/>
      <c r="F939" s="139"/>
      <c r="G939" s="139"/>
      <c r="H939" s="139"/>
      <c r="I939" s="139"/>
      <c r="J939" s="139"/>
      <c r="K939" s="139"/>
      <c r="L939" s="139"/>
      <c r="M939" s="139"/>
      <c r="N939" s="191"/>
      <c r="O939" s="139"/>
      <c r="P939" s="139"/>
      <c r="Q939" s="196"/>
      <c r="R939" s="139"/>
    </row>
    <row r="940">
      <c r="A940" s="139"/>
      <c r="B940" s="191"/>
      <c r="C940" s="139"/>
      <c r="D940" s="139"/>
      <c r="E940" s="139"/>
      <c r="F940" s="139"/>
      <c r="G940" s="139"/>
      <c r="H940" s="139"/>
      <c r="I940" s="139"/>
      <c r="J940" s="139"/>
      <c r="K940" s="139"/>
      <c r="L940" s="139"/>
      <c r="M940" s="139"/>
      <c r="N940" s="191"/>
      <c r="O940" s="139"/>
      <c r="P940" s="139"/>
      <c r="Q940" s="196"/>
      <c r="R940" s="139"/>
    </row>
    <row r="941">
      <c r="A941" s="139"/>
      <c r="B941" s="191"/>
      <c r="C941" s="139"/>
      <c r="D941" s="139"/>
      <c r="E941" s="139"/>
      <c r="F941" s="139"/>
      <c r="G941" s="139"/>
      <c r="H941" s="139"/>
      <c r="I941" s="139"/>
      <c r="J941" s="139"/>
      <c r="K941" s="139"/>
      <c r="L941" s="139"/>
      <c r="M941" s="139"/>
      <c r="N941" s="191"/>
      <c r="O941" s="139"/>
      <c r="P941" s="139"/>
      <c r="Q941" s="196"/>
      <c r="R941" s="139"/>
    </row>
    <row r="942">
      <c r="A942" s="139"/>
      <c r="B942" s="191"/>
      <c r="C942" s="139"/>
      <c r="D942" s="139"/>
      <c r="E942" s="139"/>
      <c r="F942" s="139"/>
      <c r="G942" s="139"/>
      <c r="H942" s="139"/>
      <c r="I942" s="139"/>
      <c r="J942" s="139"/>
      <c r="K942" s="139"/>
      <c r="L942" s="139"/>
      <c r="M942" s="139"/>
      <c r="N942" s="191"/>
      <c r="O942" s="139"/>
      <c r="P942" s="139"/>
      <c r="Q942" s="196"/>
      <c r="R942" s="139"/>
    </row>
    <row r="943">
      <c r="A943" s="139"/>
      <c r="B943" s="191"/>
      <c r="C943" s="139"/>
      <c r="D943" s="139"/>
      <c r="E943" s="139"/>
      <c r="F943" s="139"/>
      <c r="G943" s="139"/>
      <c r="H943" s="139"/>
      <c r="I943" s="139"/>
      <c r="J943" s="139"/>
      <c r="K943" s="139"/>
      <c r="L943" s="139"/>
      <c r="M943" s="139"/>
      <c r="N943" s="191"/>
      <c r="O943" s="139"/>
      <c r="P943" s="139"/>
      <c r="Q943" s="196"/>
      <c r="R943" s="139"/>
    </row>
    <row r="944">
      <c r="A944" s="139"/>
      <c r="B944" s="191"/>
      <c r="C944" s="139"/>
      <c r="D944" s="139"/>
      <c r="E944" s="139"/>
      <c r="F944" s="139"/>
      <c r="G944" s="139"/>
      <c r="H944" s="139"/>
      <c r="I944" s="139"/>
      <c r="J944" s="139"/>
      <c r="K944" s="139"/>
      <c r="L944" s="139"/>
      <c r="M944" s="139"/>
      <c r="N944" s="191"/>
      <c r="O944" s="139"/>
      <c r="P944" s="139"/>
      <c r="Q944" s="196"/>
      <c r="R944" s="139"/>
    </row>
    <row r="945">
      <c r="A945" s="139"/>
      <c r="B945" s="191"/>
      <c r="C945" s="139"/>
      <c r="D945" s="139"/>
      <c r="E945" s="139"/>
      <c r="F945" s="139"/>
      <c r="G945" s="139"/>
      <c r="H945" s="139"/>
      <c r="I945" s="139"/>
      <c r="J945" s="139"/>
      <c r="K945" s="139"/>
      <c r="L945" s="139"/>
      <c r="M945" s="139"/>
      <c r="N945" s="191"/>
      <c r="O945" s="139"/>
      <c r="P945" s="139"/>
      <c r="Q945" s="196"/>
      <c r="R945" s="139"/>
    </row>
    <row r="946">
      <c r="A946" s="139"/>
      <c r="B946" s="191"/>
      <c r="C946" s="139"/>
      <c r="D946" s="139"/>
      <c r="E946" s="139"/>
      <c r="F946" s="139"/>
      <c r="G946" s="139"/>
      <c r="H946" s="139"/>
      <c r="I946" s="139"/>
      <c r="J946" s="139"/>
      <c r="K946" s="139"/>
      <c r="L946" s="139"/>
      <c r="M946" s="139"/>
      <c r="N946" s="191"/>
      <c r="O946" s="139"/>
      <c r="P946" s="139"/>
      <c r="Q946" s="196"/>
      <c r="R946" s="139"/>
    </row>
    <row r="947">
      <c r="A947" s="139"/>
      <c r="B947" s="191"/>
      <c r="C947" s="139"/>
      <c r="D947" s="139"/>
      <c r="E947" s="139"/>
      <c r="F947" s="139"/>
      <c r="G947" s="139"/>
      <c r="H947" s="139"/>
      <c r="I947" s="139"/>
      <c r="J947" s="139"/>
      <c r="K947" s="139"/>
      <c r="L947" s="139"/>
      <c r="M947" s="139"/>
      <c r="N947" s="191"/>
      <c r="O947" s="139"/>
      <c r="P947" s="139"/>
      <c r="Q947" s="196"/>
      <c r="R947" s="139"/>
    </row>
    <row r="948">
      <c r="A948" s="139"/>
      <c r="B948" s="191"/>
      <c r="C948" s="139"/>
      <c r="D948" s="139"/>
      <c r="E948" s="139"/>
      <c r="F948" s="139"/>
      <c r="G948" s="139"/>
      <c r="H948" s="139"/>
      <c r="I948" s="139"/>
      <c r="J948" s="139"/>
      <c r="K948" s="139"/>
      <c r="L948" s="139"/>
      <c r="M948" s="139"/>
      <c r="N948" s="191"/>
      <c r="O948" s="139"/>
      <c r="P948" s="139"/>
      <c r="Q948" s="196"/>
      <c r="R948" s="139"/>
    </row>
    <row r="949">
      <c r="A949" s="139"/>
      <c r="B949" s="191"/>
      <c r="C949" s="139"/>
      <c r="D949" s="139"/>
      <c r="E949" s="139"/>
      <c r="F949" s="139"/>
      <c r="G949" s="139"/>
      <c r="H949" s="139"/>
      <c r="I949" s="139"/>
      <c r="J949" s="139"/>
      <c r="K949" s="139"/>
      <c r="L949" s="139"/>
      <c r="M949" s="139"/>
      <c r="N949" s="191"/>
      <c r="O949" s="139"/>
      <c r="P949" s="139"/>
      <c r="Q949" s="196"/>
      <c r="R949" s="139"/>
    </row>
    <row r="950">
      <c r="A950" s="139"/>
      <c r="B950" s="191"/>
      <c r="C950" s="139"/>
      <c r="D950" s="139"/>
      <c r="E950" s="139"/>
      <c r="F950" s="139"/>
      <c r="G950" s="139"/>
      <c r="H950" s="139"/>
      <c r="I950" s="139"/>
      <c r="J950" s="139"/>
      <c r="K950" s="139"/>
      <c r="L950" s="139"/>
      <c r="M950" s="139"/>
      <c r="N950" s="191"/>
      <c r="O950" s="139"/>
      <c r="P950" s="139"/>
      <c r="Q950" s="196"/>
      <c r="R950" s="139"/>
    </row>
    <row r="951">
      <c r="A951" s="139"/>
      <c r="B951" s="191"/>
      <c r="C951" s="139"/>
      <c r="D951" s="139"/>
      <c r="E951" s="139"/>
      <c r="F951" s="139"/>
      <c r="G951" s="139"/>
      <c r="H951" s="139"/>
      <c r="I951" s="139"/>
      <c r="J951" s="139"/>
      <c r="K951" s="139"/>
      <c r="L951" s="139"/>
      <c r="M951" s="139"/>
      <c r="N951" s="191"/>
      <c r="O951" s="139"/>
      <c r="P951" s="139"/>
      <c r="Q951" s="196"/>
      <c r="R951" s="139"/>
    </row>
    <row r="952">
      <c r="A952" s="139"/>
      <c r="B952" s="191"/>
      <c r="C952" s="139"/>
      <c r="D952" s="139"/>
      <c r="E952" s="139"/>
      <c r="F952" s="139"/>
      <c r="G952" s="139"/>
      <c r="H952" s="139"/>
      <c r="I952" s="139"/>
      <c r="J952" s="139"/>
      <c r="K952" s="139"/>
      <c r="L952" s="139"/>
      <c r="M952" s="139"/>
      <c r="N952" s="191"/>
      <c r="O952" s="139"/>
      <c r="P952" s="139"/>
      <c r="Q952" s="196"/>
      <c r="R952" s="139"/>
    </row>
    <row r="953">
      <c r="A953" s="139"/>
      <c r="B953" s="191"/>
      <c r="C953" s="139"/>
      <c r="D953" s="139"/>
      <c r="E953" s="139"/>
      <c r="F953" s="139"/>
      <c r="G953" s="139"/>
      <c r="H953" s="139"/>
      <c r="I953" s="139"/>
      <c r="J953" s="139"/>
      <c r="K953" s="139"/>
      <c r="L953" s="139"/>
      <c r="M953" s="139"/>
      <c r="N953" s="191"/>
      <c r="O953" s="139"/>
      <c r="P953" s="139"/>
      <c r="Q953" s="196"/>
      <c r="R953" s="139"/>
    </row>
    <row r="954">
      <c r="A954" s="139"/>
      <c r="B954" s="191"/>
      <c r="C954" s="139"/>
      <c r="D954" s="139"/>
      <c r="E954" s="139"/>
      <c r="F954" s="139"/>
      <c r="G954" s="139"/>
      <c r="H954" s="139"/>
      <c r="I954" s="139"/>
      <c r="J954" s="139"/>
      <c r="K954" s="139"/>
      <c r="L954" s="139"/>
      <c r="M954" s="139"/>
      <c r="N954" s="191"/>
      <c r="O954" s="139"/>
      <c r="P954" s="139"/>
      <c r="Q954" s="196"/>
      <c r="R954" s="139"/>
    </row>
    <row r="955">
      <c r="A955" s="139"/>
      <c r="B955" s="191"/>
      <c r="C955" s="139"/>
      <c r="D955" s="139"/>
      <c r="E955" s="139"/>
      <c r="F955" s="139"/>
      <c r="G955" s="139"/>
      <c r="H955" s="139"/>
      <c r="I955" s="139"/>
      <c r="J955" s="139"/>
      <c r="K955" s="139"/>
      <c r="L955" s="139"/>
      <c r="M955" s="139"/>
      <c r="N955" s="191"/>
      <c r="O955" s="139"/>
      <c r="P955" s="139"/>
      <c r="Q955" s="196"/>
      <c r="R955" s="139"/>
    </row>
    <row r="956">
      <c r="A956" s="139"/>
      <c r="B956" s="191"/>
      <c r="C956" s="139"/>
      <c r="D956" s="139"/>
      <c r="E956" s="139"/>
      <c r="F956" s="139"/>
      <c r="G956" s="139"/>
      <c r="H956" s="139"/>
      <c r="I956" s="139"/>
      <c r="J956" s="139"/>
      <c r="K956" s="139"/>
      <c r="L956" s="139"/>
      <c r="M956" s="139"/>
      <c r="N956" s="191"/>
      <c r="O956" s="139"/>
      <c r="P956" s="139"/>
      <c r="Q956" s="196"/>
      <c r="R956" s="139"/>
    </row>
    <row r="957">
      <c r="A957" s="139"/>
      <c r="B957" s="191"/>
      <c r="C957" s="139"/>
      <c r="D957" s="139"/>
      <c r="E957" s="139"/>
      <c r="F957" s="139"/>
      <c r="G957" s="139"/>
      <c r="H957" s="139"/>
      <c r="I957" s="139"/>
      <c r="J957" s="139"/>
      <c r="K957" s="139"/>
      <c r="L957" s="139"/>
      <c r="M957" s="139"/>
      <c r="N957" s="191"/>
      <c r="O957" s="139"/>
      <c r="P957" s="139"/>
      <c r="Q957" s="196"/>
      <c r="R957" s="139"/>
    </row>
    <row r="958">
      <c r="A958" s="139"/>
      <c r="B958" s="191"/>
      <c r="C958" s="139"/>
      <c r="D958" s="139"/>
      <c r="E958" s="139"/>
      <c r="F958" s="139"/>
      <c r="G958" s="139"/>
      <c r="H958" s="139"/>
      <c r="I958" s="139"/>
      <c r="J958" s="139"/>
      <c r="K958" s="139"/>
      <c r="L958" s="139"/>
      <c r="M958" s="139"/>
      <c r="N958" s="191"/>
      <c r="O958" s="139"/>
      <c r="P958" s="139"/>
      <c r="Q958" s="196"/>
      <c r="R958" s="139"/>
    </row>
    <row r="959">
      <c r="A959" s="139"/>
      <c r="B959" s="191"/>
      <c r="C959" s="139"/>
      <c r="D959" s="139"/>
      <c r="E959" s="139"/>
      <c r="F959" s="139"/>
      <c r="G959" s="139"/>
      <c r="H959" s="139"/>
      <c r="I959" s="139"/>
      <c r="J959" s="139"/>
      <c r="K959" s="139"/>
      <c r="L959" s="139"/>
      <c r="M959" s="139"/>
      <c r="N959" s="191"/>
      <c r="O959" s="139"/>
      <c r="P959" s="139"/>
      <c r="Q959" s="196"/>
      <c r="R959" s="139"/>
    </row>
    <row r="960">
      <c r="A960" s="139"/>
      <c r="B960" s="191"/>
      <c r="C960" s="139"/>
      <c r="D960" s="139"/>
      <c r="E960" s="139"/>
      <c r="F960" s="139"/>
      <c r="G960" s="139"/>
      <c r="H960" s="139"/>
      <c r="I960" s="139"/>
      <c r="J960" s="139"/>
      <c r="K960" s="139"/>
      <c r="L960" s="139"/>
      <c r="M960" s="139"/>
      <c r="N960" s="191"/>
      <c r="O960" s="139"/>
      <c r="P960" s="139"/>
      <c r="Q960" s="196"/>
      <c r="R960" s="139"/>
    </row>
    <row r="961">
      <c r="A961" s="139"/>
      <c r="B961" s="191"/>
      <c r="C961" s="139"/>
      <c r="D961" s="139"/>
      <c r="E961" s="139"/>
      <c r="F961" s="139"/>
      <c r="G961" s="139"/>
      <c r="H961" s="139"/>
      <c r="I961" s="139"/>
      <c r="J961" s="139"/>
      <c r="K961" s="139"/>
      <c r="L961" s="139"/>
      <c r="M961" s="139"/>
      <c r="N961" s="191"/>
      <c r="O961" s="139"/>
      <c r="P961" s="139"/>
      <c r="Q961" s="196"/>
      <c r="R961" s="139"/>
    </row>
    <row r="962">
      <c r="A962" s="139"/>
      <c r="B962" s="191"/>
      <c r="C962" s="139"/>
      <c r="D962" s="139"/>
      <c r="E962" s="139"/>
      <c r="F962" s="139"/>
      <c r="G962" s="139"/>
      <c r="H962" s="139"/>
      <c r="I962" s="139"/>
      <c r="J962" s="139"/>
      <c r="K962" s="139"/>
      <c r="L962" s="139"/>
      <c r="M962" s="139"/>
      <c r="N962" s="191"/>
      <c r="O962" s="139"/>
      <c r="P962" s="139"/>
      <c r="Q962" s="196"/>
      <c r="R962" s="139"/>
    </row>
    <row r="963">
      <c r="A963" s="139"/>
      <c r="B963" s="191"/>
      <c r="C963" s="139"/>
      <c r="D963" s="139"/>
      <c r="E963" s="139"/>
      <c r="F963" s="139"/>
      <c r="G963" s="139"/>
      <c r="H963" s="139"/>
      <c r="I963" s="139"/>
      <c r="J963" s="139"/>
      <c r="K963" s="139"/>
      <c r="L963" s="139"/>
      <c r="M963" s="139"/>
      <c r="N963" s="191"/>
      <c r="O963" s="139"/>
      <c r="P963" s="139"/>
      <c r="Q963" s="196"/>
      <c r="R963" s="139"/>
    </row>
    <row r="964">
      <c r="A964" s="139"/>
      <c r="B964" s="191"/>
      <c r="C964" s="139"/>
      <c r="D964" s="139"/>
      <c r="E964" s="139"/>
      <c r="F964" s="139"/>
      <c r="G964" s="139"/>
      <c r="H964" s="139"/>
      <c r="I964" s="139"/>
      <c r="J964" s="139"/>
      <c r="K964" s="139"/>
      <c r="L964" s="139"/>
      <c r="M964" s="139"/>
      <c r="N964" s="191"/>
      <c r="O964" s="139"/>
      <c r="P964" s="139"/>
      <c r="Q964" s="196"/>
      <c r="R964" s="139"/>
    </row>
    <row r="965">
      <c r="A965" s="139"/>
      <c r="B965" s="191"/>
      <c r="C965" s="139"/>
      <c r="D965" s="139"/>
      <c r="E965" s="139"/>
      <c r="F965" s="139"/>
      <c r="G965" s="139"/>
      <c r="H965" s="139"/>
      <c r="I965" s="139"/>
      <c r="J965" s="139"/>
      <c r="K965" s="139"/>
      <c r="L965" s="139"/>
      <c r="M965" s="139"/>
      <c r="N965" s="191"/>
      <c r="O965" s="139"/>
      <c r="P965" s="139"/>
      <c r="Q965" s="196"/>
      <c r="R965" s="139"/>
    </row>
    <row r="966">
      <c r="A966" s="139"/>
      <c r="B966" s="191"/>
      <c r="C966" s="139"/>
      <c r="D966" s="139"/>
      <c r="E966" s="139"/>
      <c r="F966" s="139"/>
      <c r="G966" s="139"/>
      <c r="H966" s="139"/>
      <c r="I966" s="139"/>
      <c r="J966" s="139"/>
      <c r="K966" s="139"/>
      <c r="L966" s="139"/>
      <c r="M966" s="139"/>
      <c r="N966" s="191"/>
      <c r="O966" s="139"/>
      <c r="P966" s="139"/>
      <c r="Q966" s="196"/>
      <c r="R966" s="139"/>
    </row>
    <row r="967">
      <c r="A967" s="139"/>
      <c r="B967" s="191"/>
      <c r="C967" s="139"/>
      <c r="D967" s="139"/>
      <c r="E967" s="139"/>
      <c r="F967" s="139"/>
      <c r="G967" s="139"/>
      <c r="H967" s="139"/>
      <c r="I967" s="139"/>
      <c r="J967" s="139"/>
      <c r="K967" s="139"/>
      <c r="L967" s="139"/>
      <c r="M967" s="139"/>
      <c r="N967" s="191"/>
      <c r="O967" s="139"/>
      <c r="P967" s="139"/>
      <c r="Q967" s="196"/>
      <c r="R967" s="139"/>
    </row>
    <row r="968">
      <c r="A968" s="139"/>
      <c r="B968" s="191"/>
      <c r="C968" s="139"/>
      <c r="D968" s="139"/>
      <c r="E968" s="139"/>
      <c r="F968" s="139"/>
      <c r="G968" s="139"/>
      <c r="H968" s="139"/>
      <c r="I968" s="139"/>
      <c r="J968" s="139"/>
      <c r="K968" s="139"/>
      <c r="L968" s="139"/>
      <c r="M968" s="139"/>
      <c r="N968" s="191"/>
      <c r="O968" s="139"/>
      <c r="P968" s="139"/>
      <c r="Q968" s="196"/>
      <c r="R968" s="139"/>
    </row>
    <row r="969">
      <c r="A969" s="139"/>
      <c r="B969" s="191"/>
      <c r="C969" s="139"/>
      <c r="D969" s="139"/>
      <c r="E969" s="139"/>
      <c r="F969" s="139"/>
      <c r="G969" s="139"/>
      <c r="H969" s="139"/>
      <c r="I969" s="139"/>
      <c r="J969" s="139"/>
      <c r="K969" s="139"/>
      <c r="L969" s="139"/>
      <c r="M969" s="139"/>
      <c r="N969" s="191"/>
      <c r="O969" s="139"/>
      <c r="P969" s="139"/>
      <c r="Q969" s="196"/>
      <c r="R969" s="139"/>
    </row>
    <row r="970">
      <c r="A970" s="139"/>
      <c r="B970" s="191"/>
      <c r="C970" s="139"/>
      <c r="D970" s="139"/>
      <c r="E970" s="139"/>
      <c r="F970" s="139"/>
      <c r="G970" s="139"/>
      <c r="H970" s="139"/>
      <c r="I970" s="139"/>
      <c r="J970" s="139"/>
      <c r="K970" s="139"/>
      <c r="L970" s="139"/>
      <c r="M970" s="139"/>
      <c r="N970" s="191"/>
      <c r="O970" s="139"/>
      <c r="P970" s="139"/>
      <c r="Q970" s="196"/>
      <c r="R970" s="139"/>
    </row>
    <row r="971">
      <c r="A971" s="139"/>
      <c r="B971" s="191"/>
      <c r="C971" s="139"/>
      <c r="D971" s="139"/>
      <c r="E971" s="139"/>
      <c r="F971" s="139"/>
      <c r="G971" s="139"/>
      <c r="H971" s="139"/>
      <c r="I971" s="139"/>
      <c r="J971" s="139"/>
      <c r="K971" s="139"/>
      <c r="L971" s="139"/>
      <c r="M971" s="139"/>
      <c r="N971" s="191"/>
      <c r="O971" s="139"/>
      <c r="P971" s="139"/>
      <c r="Q971" s="196"/>
      <c r="R971" s="139"/>
    </row>
    <row r="972">
      <c r="A972" s="139"/>
      <c r="B972" s="191"/>
      <c r="C972" s="139"/>
      <c r="D972" s="139"/>
      <c r="E972" s="139"/>
      <c r="F972" s="139"/>
      <c r="G972" s="139"/>
      <c r="H972" s="139"/>
      <c r="I972" s="139"/>
      <c r="J972" s="139"/>
      <c r="K972" s="139"/>
      <c r="L972" s="139"/>
      <c r="M972" s="139"/>
      <c r="N972" s="191"/>
      <c r="O972" s="139"/>
      <c r="P972" s="139"/>
      <c r="Q972" s="196"/>
      <c r="R972" s="139"/>
    </row>
    <row r="973">
      <c r="A973" s="139"/>
      <c r="B973" s="191"/>
      <c r="C973" s="139"/>
      <c r="D973" s="139"/>
      <c r="E973" s="139"/>
      <c r="F973" s="139"/>
      <c r="G973" s="139"/>
      <c r="H973" s="139"/>
      <c r="I973" s="139"/>
      <c r="J973" s="139"/>
      <c r="K973" s="139"/>
      <c r="L973" s="139"/>
      <c r="M973" s="139"/>
      <c r="N973" s="191"/>
      <c r="O973" s="139"/>
      <c r="P973" s="139"/>
      <c r="Q973" s="196"/>
      <c r="R973" s="139"/>
    </row>
    <row r="974">
      <c r="A974" s="139"/>
      <c r="B974" s="191"/>
      <c r="C974" s="139"/>
      <c r="D974" s="139"/>
      <c r="E974" s="139"/>
      <c r="F974" s="139"/>
      <c r="G974" s="139"/>
      <c r="H974" s="139"/>
      <c r="I974" s="139"/>
      <c r="J974" s="139"/>
      <c r="K974" s="139"/>
      <c r="L974" s="139"/>
      <c r="M974" s="139"/>
      <c r="N974" s="191"/>
      <c r="O974" s="139"/>
      <c r="P974" s="139"/>
      <c r="Q974" s="196"/>
      <c r="R974" s="139"/>
    </row>
    <row r="975">
      <c r="A975" s="139"/>
      <c r="B975" s="191"/>
      <c r="C975" s="139"/>
      <c r="D975" s="139"/>
      <c r="E975" s="139"/>
      <c r="F975" s="139"/>
      <c r="G975" s="139"/>
      <c r="H975" s="139"/>
      <c r="I975" s="139"/>
      <c r="J975" s="139"/>
      <c r="K975" s="139"/>
      <c r="L975" s="139"/>
      <c r="M975" s="139"/>
      <c r="N975" s="191"/>
      <c r="O975" s="139"/>
      <c r="P975" s="139"/>
      <c r="Q975" s="196"/>
      <c r="R975" s="139"/>
    </row>
    <row r="976">
      <c r="A976" s="139"/>
      <c r="B976" s="191"/>
      <c r="C976" s="139"/>
      <c r="D976" s="139"/>
      <c r="E976" s="139"/>
      <c r="F976" s="139"/>
      <c r="G976" s="139"/>
      <c r="H976" s="139"/>
      <c r="I976" s="139"/>
      <c r="J976" s="139"/>
      <c r="K976" s="139"/>
      <c r="L976" s="139"/>
      <c r="M976" s="139"/>
      <c r="N976" s="191"/>
      <c r="O976" s="139"/>
      <c r="P976" s="139"/>
      <c r="Q976" s="196"/>
      <c r="R976" s="139"/>
    </row>
    <row r="977">
      <c r="A977" s="139"/>
      <c r="B977" s="191"/>
      <c r="C977" s="139"/>
      <c r="D977" s="139"/>
      <c r="E977" s="139"/>
      <c r="F977" s="139"/>
      <c r="G977" s="139"/>
      <c r="H977" s="139"/>
      <c r="I977" s="139"/>
      <c r="J977" s="139"/>
      <c r="K977" s="139"/>
      <c r="L977" s="139"/>
      <c r="M977" s="139"/>
      <c r="N977" s="191"/>
      <c r="O977" s="139"/>
      <c r="P977" s="139"/>
      <c r="Q977" s="196"/>
      <c r="R977" s="139"/>
    </row>
    <row r="978">
      <c r="A978" s="139"/>
      <c r="B978" s="191"/>
      <c r="C978" s="139"/>
      <c r="D978" s="139"/>
      <c r="E978" s="139"/>
      <c r="F978" s="139"/>
      <c r="G978" s="139"/>
      <c r="H978" s="139"/>
      <c r="I978" s="139"/>
      <c r="J978" s="139"/>
      <c r="K978" s="139"/>
      <c r="L978" s="139"/>
      <c r="M978" s="139"/>
      <c r="N978" s="191"/>
      <c r="O978" s="139"/>
      <c r="P978" s="139"/>
      <c r="Q978" s="196"/>
      <c r="R978" s="139"/>
    </row>
    <row r="979">
      <c r="A979" s="139"/>
      <c r="B979" s="191"/>
      <c r="C979" s="139"/>
      <c r="D979" s="139"/>
      <c r="E979" s="139"/>
      <c r="F979" s="139"/>
      <c r="G979" s="139"/>
      <c r="H979" s="139"/>
      <c r="I979" s="139"/>
      <c r="J979" s="139"/>
      <c r="K979" s="139"/>
      <c r="L979" s="139"/>
      <c r="M979" s="139"/>
      <c r="N979" s="191"/>
      <c r="O979" s="139"/>
      <c r="P979" s="139"/>
      <c r="Q979" s="196"/>
      <c r="R979" s="139"/>
    </row>
    <row r="980">
      <c r="A980" s="139"/>
      <c r="B980" s="191"/>
      <c r="C980" s="139"/>
      <c r="D980" s="139"/>
      <c r="E980" s="139"/>
      <c r="F980" s="139"/>
      <c r="G980" s="139"/>
      <c r="H980" s="139"/>
      <c r="I980" s="139"/>
      <c r="J980" s="139"/>
      <c r="K980" s="139"/>
      <c r="L980" s="139"/>
      <c r="M980" s="139"/>
      <c r="N980" s="191"/>
      <c r="O980" s="139"/>
      <c r="P980" s="139"/>
      <c r="Q980" s="196"/>
      <c r="R980" s="139"/>
    </row>
    <row r="981">
      <c r="A981" s="139"/>
      <c r="B981" s="191"/>
      <c r="C981" s="139"/>
      <c r="D981" s="139"/>
      <c r="E981" s="139"/>
      <c r="F981" s="139"/>
      <c r="G981" s="139"/>
      <c r="H981" s="139"/>
      <c r="I981" s="139"/>
      <c r="J981" s="139"/>
      <c r="K981" s="139"/>
      <c r="L981" s="139"/>
      <c r="M981" s="139"/>
      <c r="N981" s="191"/>
      <c r="O981" s="139"/>
      <c r="P981" s="139"/>
      <c r="Q981" s="196"/>
      <c r="R981" s="139"/>
    </row>
    <row r="982">
      <c r="A982" s="139"/>
      <c r="B982" s="191"/>
      <c r="C982" s="139"/>
      <c r="D982" s="139"/>
      <c r="E982" s="139"/>
      <c r="F982" s="139"/>
      <c r="G982" s="139"/>
      <c r="H982" s="139"/>
      <c r="I982" s="139"/>
      <c r="J982" s="139"/>
      <c r="K982" s="139"/>
      <c r="L982" s="139"/>
      <c r="M982" s="139"/>
      <c r="N982" s="191"/>
      <c r="O982" s="139"/>
      <c r="P982" s="139"/>
      <c r="Q982" s="196"/>
      <c r="R982" s="139"/>
    </row>
    <row r="983">
      <c r="A983" s="139"/>
      <c r="B983" s="191"/>
      <c r="C983" s="139"/>
      <c r="D983" s="139"/>
      <c r="E983" s="139"/>
      <c r="F983" s="139"/>
      <c r="G983" s="139"/>
      <c r="H983" s="139"/>
      <c r="I983" s="139"/>
      <c r="J983" s="139"/>
      <c r="K983" s="139"/>
      <c r="L983" s="139"/>
      <c r="M983" s="139"/>
      <c r="N983" s="191"/>
      <c r="O983" s="139"/>
      <c r="P983" s="139"/>
      <c r="Q983" s="196"/>
      <c r="R983" s="139"/>
    </row>
    <row r="984">
      <c r="A984" s="139"/>
      <c r="B984" s="191"/>
      <c r="C984" s="139"/>
      <c r="D984" s="139"/>
      <c r="E984" s="139"/>
      <c r="F984" s="139"/>
      <c r="G984" s="139"/>
      <c r="H984" s="139"/>
      <c r="I984" s="139"/>
      <c r="J984" s="139"/>
      <c r="K984" s="139"/>
      <c r="L984" s="139"/>
      <c r="M984" s="139"/>
      <c r="N984" s="191"/>
      <c r="O984" s="139"/>
      <c r="P984" s="139"/>
      <c r="Q984" s="196"/>
      <c r="R984" s="139"/>
    </row>
    <row r="985">
      <c r="A985" s="139"/>
      <c r="B985" s="191"/>
      <c r="C985" s="139"/>
      <c r="D985" s="139"/>
      <c r="E985" s="139"/>
      <c r="F985" s="139"/>
      <c r="G985" s="139"/>
      <c r="H985" s="139"/>
      <c r="I985" s="139"/>
      <c r="J985" s="139"/>
      <c r="K985" s="139"/>
      <c r="L985" s="139"/>
      <c r="M985" s="139"/>
      <c r="N985" s="191"/>
      <c r="O985" s="139"/>
      <c r="P985" s="139"/>
      <c r="Q985" s="196"/>
      <c r="R985" s="139"/>
    </row>
    <row r="986">
      <c r="A986" s="139"/>
      <c r="B986" s="191"/>
      <c r="C986" s="139"/>
      <c r="D986" s="139"/>
      <c r="E986" s="139"/>
      <c r="F986" s="139"/>
      <c r="G986" s="139"/>
      <c r="H986" s="139"/>
      <c r="I986" s="139"/>
      <c r="J986" s="139"/>
      <c r="K986" s="139"/>
      <c r="L986" s="139"/>
      <c r="M986" s="139"/>
      <c r="N986" s="191"/>
      <c r="O986" s="139"/>
      <c r="P986" s="139"/>
      <c r="Q986" s="196"/>
      <c r="R986" s="139"/>
    </row>
    <row r="987">
      <c r="A987" s="139"/>
      <c r="B987" s="191"/>
      <c r="C987" s="139"/>
      <c r="D987" s="139"/>
      <c r="E987" s="139"/>
      <c r="F987" s="139"/>
      <c r="G987" s="139"/>
      <c r="H987" s="139"/>
      <c r="I987" s="139"/>
      <c r="J987" s="139"/>
      <c r="K987" s="139"/>
      <c r="L987" s="139"/>
      <c r="M987" s="139"/>
      <c r="N987" s="191"/>
      <c r="O987" s="139"/>
      <c r="P987" s="139"/>
      <c r="Q987" s="196"/>
      <c r="R987" s="139"/>
    </row>
    <row r="988">
      <c r="A988" s="139"/>
      <c r="B988" s="191"/>
      <c r="C988" s="139"/>
      <c r="D988" s="139"/>
      <c r="E988" s="139"/>
      <c r="F988" s="139"/>
      <c r="G988" s="139"/>
      <c r="H988" s="139"/>
      <c r="I988" s="139"/>
      <c r="J988" s="139"/>
      <c r="K988" s="139"/>
      <c r="L988" s="139"/>
      <c r="M988" s="139"/>
      <c r="N988" s="191"/>
      <c r="O988" s="139"/>
      <c r="P988" s="139"/>
      <c r="Q988" s="196"/>
      <c r="R988" s="139"/>
    </row>
    <row r="989">
      <c r="A989" s="139"/>
      <c r="B989" s="191"/>
      <c r="C989" s="139"/>
      <c r="D989" s="139"/>
      <c r="E989" s="139"/>
      <c r="F989" s="139"/>
      <c r="G989" s="139"/>
      <c r="H989" s="139"/>
      <c r="I989" s="139"/>
      <c r="J989" s="139"/>
      <c r="K989" s="139"/>
      <c r="L989" s="139"/>
      <c r="M989" s="139"/>
      <c r="N989" s="191"/>
      <c r="O989" s="139"/>
      <c r="P989" s="139"/>
      <c r="Q989" s="196"/>
      <c r="R989" s="139"/>
    </row>
    <row r="990">
      <c r="A990" s="139"/>
      <c r="B990" s="191"/>
      <c r="C990" s="139"/>
      <c r="D990" s="139"/>
      <c r="E990" s="139"/>
      <c r="F990" s="139"/>
      <c r="G990" s="139"/>
      <c r="H990" s="139"/>
      <c r="I990" s="139"/>
      <c r="J990" s="139"/>
      <c r="K990" s="139"/>
      <c r="L990" s="139"/>
      <c r="M990" s="139"/>
      <c r="N990" s="191"/>
      <c r="O990" s="139"/>
      <c r="P990" s="139"/>
      <c r="Q990" s="196"/>
      <c r="R990" s="139"/>
    </row>
    <row r="991">
      <c r="A991" s="139"/>
      <c r="B991" s="191"/>
      <c r="C991" s="139"/>
      <c r="D991" s="139"/>
      <c r="E991" s="139"/>
      <c r="F991" s="139"/>
      <c r="G991" s="139"/>
      <c r="H991" s="139"/>
      <c r="I991" s="139"/>
      <c r="J991" s="139"/>
      <c r="K991" s="139"/>
      <c r="L991" s="139"/>
      <c r="M991" s="139"/>
      <c r="N991" s="191"/>
      <c r="O991" s="139"/>
      <c r="P991" s="139"/>
      <c r="Q991" s="196"/>
      <c r="R991" s="139"/>
    </row>
    <row r="992">
      <c r="A992" s="139"/>
      <c r="B992" s="191"/>
      <c r="C992" s="139"/>
      <c r="D992" s="139"/>
      <c r="E992" s="139"/>
      <c r="F992" s="139"/>
      <c r="G992" s="139"/>
      <c r="H992" s="139"/>
      <c r="I992" s="139"/>
      <c r="J992" s="139"/>
      <c r="K992" s="139"/>
      <c r="L992" s="139"/>
      <c r="M992" s="139"/>
      <c r="N992" s="191"/>
      <c r="O992" s="139"/>
      <c r="P992" s="139"/>
      <c r="Q992" s="196"/>
      <c r="R992" s="139"/>
    </row>
    <row r="993">
      <c r="A993" s="139"/>
      <c r="B993" s="191"/>
      <c r="C993" s="139"/>
      <c r="D993" s="139"/>
      <c r="E993" s="139"/>
      <c r="F993" s="139"/>
      <c r="G993" s="139"/>
      <c r="H993" s="139"/>
      <c r="I993" s="139"/>
      <c r="J993" s="139"/>
      <c r="K993" s="139"/>
      <c r="L993" s="139"/>
      <c r="M993" s="139"/>
      <c r="N993" s="191"/>
      <c r="O993" s="139"/>
      <c r="P993" s="139"/>
      <c r="Q993" s="196"/>
      <c r="R993" s="139"/>
    </row>
    <row r="994">
      <c r="A994" s="139"/>
      <c r="B994" s="191"/>
      <c r="C994" s="139"/>
      <c r="D994" s="139"/>
      <c r="E994" s="139"/>
      <c r="F994" s="139"/>
      <c r="G994" s="139"/>
      <c r="H994" s="139"/>
      <c r="I994" s="139"/>
      <c r="J994" s="139"/>
      <c r="K994" s="139"/>
      <c r="L994" s="139"/>
      <c r="M994" s="139"/>
      <c r="N994" s="191"/>
      <c r="O994" s="139"/>
      <c r="P994" s="139"/>
      <c r="Q994" s="196"/>
      <c r="R994" s="139"/>
    </row>
    <row r="995">
      <c r="A995" s="139"/>
      <c r="B995" s="191"/>
      <c r="C995" s="139"/>
      <c r="D995" s="139"/>
      <c r="E995" s="139"/>
      <c r="F995" s="139"/>
      <c r="G995" s="139"/>
      <c r="H995" s="139"/>
      <c r="I995" s="139"/>
      <c r="J995" s="139"/>
      <c r="K995" s="139"/>
      <c r="L995" s="139"/>
      <c r="M995" s="139"/>
      <c r="N995" s="191"/>
      <c r="O995" s="139"/>
      <c r="P995" s="139"/>
      <c r="Q995" s="196"/>
      <c r="R995" s="139"/>
    </row>
    <row r="996">
      <c r="A996" s="139"/>
      <c r="B996" s="191"/>
      <c r="C996" s="139"/>
      <c r="D996" s="139"/>
      <c r="E996" s="139"/>
      <c r="F996" s="139"/>
      <c r="G996" s="139"/>
      <c r="H996" s="139"/>
      <c r="I996" s="139"/>
      <c r="J996" s="139"/>
      <c r="K996" s="139"/>
      <c r="L996" s="139"/>
      <c r="M996" s="139"/>
      <c r="N996" s="191"/>
      <c r="O996" s="139"/>
      <c r="P996" s="139"/>
      <c r="Q996" s="196"/>
      <c r="R996" s="139"/>
    </row>
    <row r="997">
      <c r="A997" s="139"/>
      <c r="B997" s="191"/>
      <c r="C997" s="139"/>
      <c r="D997" s="139"/>
      <c r="E997" s="139"/>
      <c r="F997" s="139"/>
      <c r="G997" s="139"/>
      <c r="H997" s="139"/>
      <c r="I997" s="139"/>
      <c r="J997" s="139"/>
      <c r="K997" s="139"/>
      <c r="L997" s="139"/>
      <c r="M997" s="139"/>
      <c r="N997" s="191"/>
      <c r="O997" s="139"/>
      <c r="P997" s="139"/>
      <c r="Q997" s="196"/>
      <c r="R997" s="139"/>
    </row>
    <row r="998">
      <c r="A998" s="139"/>
      <c r="B998" s="191"/>
      <c r="C998" s="139"/>
      <c r="D998" s="139"/>
      <c r="E998" s="139"/>
      <c r="F998" s="139"/>
      <c r="G998" s="139"/>
      <c r="H998" s="139"/>
      <c r="I998" s="139"/>
      <c r="J998" s="139"/>
      <c r="K998" s="139"/>
      <c r="L998" s="139"/>
      <c r="M998" s="139"/>
      <c r="N998" s="191"/>
      <c r="O998" s="139"/>
      <c r="P998" s="139"/>
      <c r="Q998" s="196"/>
      <c r="R998" s="139"/>
    </row>
    <row r="999">
      <c r="A999" s="139"/>
      <c r="B999" s="191"/>
      <c r="C999" s="139"/>
      <c r="D999" s="139"/>
      <c r="E999" s="139"/>
      <c r="F999" s="139"/>
      <c r="G999" s="139"/>
      <c r="H999" s="139"/>
      <c r="I999" s="139"/>
      <c r="J999" s="139"/>
      <c r="K999" s="139"/>
      <c r="L999" s="139"/>
      <c r="M999" s="139"/>
      <c r="N999" s="191"/>
      <c r="O999" s="139"/>
      <c r="P999" s="139"/>
      <c r="Q999" s="196"/>
      <c r="R999" s="139"/>
    </row>
    <row r="1000">
      <c r="A1000" s="139"/>
      <c r="B1000" s="191"/>
      <c r="C1000" s="139"/>
      <c r="D1000" s="139"/>
      <c r="E1000" s="139"/>
      <c r="F1000" s="139"/>
      <c r="G1000" s="139"/>
      <c r="H1000" s="139"/>
      <c r="I1000" s="139"/>
      <c r="J1000" s="139"/>
      <c r="K1000" s="139"/>
      <c r="L1000" s="139"/>
      <c r="M1000" s="139"/>
      <c r="N1000" s="191"/>
      <c r="O1000" s="139"/>
      <c r="P1000" s="139"/>
      <c r="Q1000" s="196"/>
      <c r="R1000" s="139"/>
    </row>
    <row r="1001">
      <c r="A1001" s="139"/>
      <c r="B1001" s="191"/>
      <c r="C1001" s="139"/>
      <c r="D1001" s="139"/>
      <c r="E1001" s="139"/>
      <c r="F1001" s="139"/>
      <c r="G1001" s="139"/>
      <c r="H1001" s="139"/>
      <c r="I1001" s="139"/>
      <c r="J1001" s="139"/>
      <c r="K1001" s="139"/>
      <c r="L1001" s="139"/>
      <c r="M1001" s="139"/>
      <c r="N1001" s="191"/>
      <c r="O1001" s="139"/>
      <c r="P1001" s="139"/>
      <c r="Q1001" s="196"/>
      <c r="R1001" s="139"/>
    </row>
    <row r="1002">
      <c r="A1002" s="139"/>
      <c r="B1002" s="191"/>
      <c r="C1002" s="139"/>
      <c r="D1002" s="139"/>
      <c r="E1002" s="139"/>
      <c r="F1002" s="139"/>
      <c r="G1002" s="139"/>
      <c r="H1002" s="139"/>
      <c r="I1002" s="139"/>
      <c r="J1002" s="139"/>
      <c r="K1002" s="139"/>
      <c r="L1002" s="139"/>
      <c r="M1002" s="139"/>
      <c r="N1002" s="191"/>
      <c r="O1002" s="139"/>
      <c r="P1002" s="139"/>
      <c r="Q1002" s="196"/>
      <c r="R1002" s="139"/>
    </row>
    <row r="1003">
      <c r="A1003" s="139"/>
      <c r="B1003" s="191"/>
      <c r="C1003" s="139"/>
      <c r="D1003" s="139"/>
      <c r="E1003" s="139"/>
      <c r="F1003" s="139"/>
      <c r="G1003" s="139"/>
      <c r="H1003" s="139"/>
      <c r="I1003" s="139"/>
      <c r="J1003" s="139"/>
      <c r="K1003" s="139"/>
      <c r="L1003" s="139"/>
      <c r="M1003" s="139"/>
      <c r="N1003" s="191"/>
      <c r="O1003" s="139"/>
      <c r="P1003" s="139"/>
      <c r="Q1003" s="196"/>
      <c r="R1003" s="139"/>
    </row>
    <row r="1004">
      <c r="A1004" s="139"/>
      <c r="B1004" s="191"/>
      <c r="C1004" s="139"/>
      <c r="D1004" s="139"/>
      <c r="E1004" s="139"/>
      <c r="F1004" s="139"/>
      <c r="G1004" s="139"/>
      <c r="H1004" s="139"/>
      <c r="I1004" s="139"/>
      <c r="J1004" s="139"/>
      <c r="K1004" s="139"/>
      <c r="L1004" s="139"/>
      <c r="M1004" s="139"/>
      <c r="N1004" s="191"/>
      <c r="O1004" s="139"/>
      <c r="P1004" s="139"/>
      <c r="Q1004" s="196"/>
      <c r="R1004" s="139"/>
    </row>
    <row r="1005">
      <c r="A1005" s="139"/>
      <c r="B1005" s="191"/>
      <c r="C1005" s="139"/>
      <c r="D1005" s="139"/>
      <c r="E1005" s="139"/>
      <c r="F1005" s="139"/>
      <c r="G1005" s="139"/>
      <c r="H1005" s="139"/>
      <c r="I1005" s="139"/>
      <c r="J1005" s="139"/>
      <c r="K1005" s="139"/>
      <c r="L1005" s="139"/>
      <c r="M1005" s="139"/>
      <c r="N1005" s="191"/>
      <c r="O1005" s="139"/>
      <c r="P1005" s="139"/>
      <c r="Q1005" s="196"/>
      <c r="R1005" s="139"/>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13"/>
    <col customWidth="1" min="3" max="3" width="10.5"/>
    <col customWidth="1" min="5" max="5" width="14.38"/>
    <col customWidth="1" min="6" max="6" width="15.25"/>
    <col customWidth="1" min="8" max="8" width="14.25"/>
    <col customWidth="1" min="9" max="9" width="15.13"/>
    <col customWidth="1" min="10" max="10" width="26.0"/>
    <col customWidth="1" min="11" max="11" width="38.88"/>
    <col customWidth="1" min="12" max="13" width="75.25"/>
  </cols>
  <sheetData>
    <row r="1">
      <c r="A1" s="612" t="s">
        <v>3181</v>
      </c>
      <c r="B1" s="613" t="s">
        <v>167</v>
      </c>
      <c r="C1" s="623" t="s">
        <v>1911</v>
      </c>
      <c r="D1" s="623" t="s">
        <v>4318</v>
      </c>
      <c r="E1" s="623" t="s">
        <v>4319</v>
      </c>
      <c r="F1" s="623" t="s">
        <v>4320</v>
      </c>
      <c r="G1" s="623" t="s">
        <v>686</v>
      </c>
      <c r="H1" s="623" t="s">
        <v>4321</v>
      </c>
      <c r="I1" s="623" t="s">
        <v>4322</v>
      </c>
      <c r="J1" s="623" t="s">
        <v>4323</v>
      </c>
      <c r="K1" s="623" t="s">
        <v>4324</v>
      </c>
      <c r="L1" s="623" t="s">
        <v>738</v>
      </c>
      <c r="M1" s="623" t="s">
        <v>4325</v>
      </c>
    </row>
    <row r="2">
      <c r="A2" s="624">
        <v>1.0</v>
      </c>
      <c r="B2" s="625" t="s">
        <v>4326</v>
      </c>
      <c r="C2" s="625" t="s">
        <v>4327</v>
      </c>
      <c r="D2" s="625">
        <v>3.0</v>
      </c>
      <c r="E2" s="625" t="s">
        <v>4328</v>
      </c>
      <c r="F2" s="625" t="s">
        <v>4329</v>
      </c>
      <c r="G2" s="625" t="s">
        <v>725</v>
      </c>
      <c r="H2" s="625" t="s">
        <v>4330</v>
      </c>
      <c r="I2" s="625" t="s">
        <v>729</v>
      </c>
      <c r="J2" s="625" t="s">
        <v>4331</v>
      </c>
      <c r="K2" s="625" t="s">
        <v>4332</v>
      </c>
      <c r="L2" s="626" t="s">
        <v>4333</v>
      </c>
      <c r="M2" s="627"/>
    </row>
    <row r="3">
      <c r="A3" s="624">
        <v>2.0</v>
      </c>
      <c r="B3" s="625" t="s">
        <v>4334</v>
      </c>
      <c r="C3" s="625" t="s">
        <v>3675</v>
      </c>
      <c r="D3" s="625">
        <v>6.0</v>
      </c>
      <c r="E3" s="625" t="s">
        <v>4328</v>
      </c>
      <c r="F3" s="625" t="s">
        <v>4329</v>
      </c>
      <c r="G3" s="625" t="s">
        <v>725</v>
      </c>
      <c r="H3" s="625" t="s">
        <v>4330</v>
      </c>
      <c r="I3" s="625" t="s">
        <v>729</v>
      </c>
      <c r="J3" s="625" t="s">
        <v>4335</v>
      </c>
      <c r="K3" s="625" t="s">
        <v>26</v>
      </c>
      <c r="L3" s="625" t="s">
        <v>4336</v>
      </c>
      <c r="M3" s="627"/>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28">
        <v>4.0</v>
      </c>
    </row>
    <row r="2">
      <c r="A2" s="628">
        <v>5.0</v>
      </c>
    </row>
    <row r="3">
      <c r="A3" s="628">
        <v>15.0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0.25"/>
    <col customWidth="1" min="2" max="2" width="18.63"/>
    <col customWidth="1" min="3" max="3" width="21.88"/>
    <col customWidth="1" min="4" max="4" width="11.63"/>
    <col customWidth="1" min="5" max="5" width="11.25"/>
    <col customWidth="1" min="6" max="6" width="5.13"/>
    <col customWidth="1" min="7" max="7" width="10.5"/>
    <col customWidth="1" min="8" max="9" width="8.13"/>
    <col customWidth="1" min="10" max="10" width="14.75"/>
    <col customWidth="1" min="11" max="11" width="8.38"/>
    <col customWidth="1" min="12" max="12" width="14.0"/>
    <col customWidth="1" min="13" max="13" width="13.5"/>
    <col customWidth="1" min="14" max="14" width="29.25"/>
    <col customWidth="1" min="15" max="15" width="7.75"/>
    <col customWidth="1" min="16" max="16" width="12.13"/>
    <col customWidth="1" min="17" max="17" width="5.63"/>
    <col customWidth="1" min="18" max="18" width="14.5"/>
    <col customWidth="1" min="19" max="19" width="19.25"/>
    <col customWidth="1" min="20" max="20" width="33.13"/>
  </cols>
  <sheetData>
    <row r="1">
      <c r="A1" s="91" t="s">
        <v>167</v>
      </c>
      <c r="B1" s="194" t="s">
        <v>298</v>
      </c>
      <c r="C1" s="92" t="s">
        <v>4337</v>
      </c>
      <c r="D1" s="92" t="s">
        <v>170</v>
      </c>
      <c r="E1" s="92" t="s">
        <v>4338</v>
      </c>
      <c r="F1" s="92" t="s">
        <v>171</v>
      </c>
      <c r="G1" s="92" t="s">
        <v>172</v>
      </c>
      <c r="H1" s="92" t="s">
        <v>4339</v>
      </c>
      <c r="I1" s="92" t="s">
        <v>4340</v>
      </c>
      <c r="J1" s="92" t="s">
        <v>4341</v>
      </c>
      <c r="K1" s="92" t="s">
        <v>4342</v>
      </c>
      <c r="L1" s="92" t="s">
        <v>4343</v>
      </c>
      <c r="M1" s="92" t="s">
        <v>4344</v>
      </c>
      <c r="N1" s="92" t="s">
        <v>4345</v>
      </c>
      <c r="O1" s="92" t="s">
        <v>4346</v>
      </c>
      <c r="P1" s="92" t="s">
        <v>4347</v>
      </c>
      <c r="Q1" s="92" t="s">
        <v>620</v>
      </c>
      <c r="R1" s="92" t="s">
        <v>4348</v>
      </c>
      <c r="S1" s="92" t="s">
        <v>4349</v>
      </c>
      <c r="T1" s="92" t="s">
        <v>738</v>
      </c>
    </row>
    <row r="2">
      <c r="A2" s="96"/>
      <c r="B2" s="97"/>
      <c r="C2" s="97"/>
      <c r="D2" s="97"/>
      <c r="E2" s="97"/>
      <c r="F2" s="97"/>
      <c r="G2" s="97"/>
      <c r="H2" s="97"/>
      <c r="I2" s="97"/>
      <c r="J2" s="97"/>
      <c r="K2" s="97"/>
      <c r="L2" s="97"/>
      <c r="M2" s="97"/>
      <c r="N2" s="97"/>
      <c r="O2" s="97"/>
      <c r="P2" s="97"/>
      <c r="Q2" s="97"/>
      <c r="R2" s="97"/>
      <c r="S2" s="97"/>
      <c r="T2" s="97"/>
    </row>
    <row r="3">
      <c r="A3" s="563" t="s">
        <v>4350</v>
      </c>
      <c r="B3" s="629" t="s">
        <v>26</v>
      </c>
      <c r="C3" s="449" t="s">
        <v>4351</v>
      </c>
      <c r="D3" s="449" t="s">
        <v>339</v>
      </c>
      <c r="E3" s="449" t="s">
        <v>26</v>
      </c>
      <c r="F3" s="449">
        <v>3.0</v>
      </c>
      <c r="G3" s="449" t="s">
        <v>26</v>
      </c>
      <c r="H3" s="449" t="s">
        <v>26</v>
      </c>
      <c r="I3" s="449">
        <v>11.0</v>
      </c>
      <c r="J3" s="449" t="s">
        <v>693</v>
      </c>
      <c r="K3" s="629" t="s">
        <v>26</v>
      </c>
      <c r="L3" s="449" t="str">
        <f>IFERROR(__xludf.DUMMYFUNCTION("LET(
  n, VALUE(REGEXEXTRACT(J3, ""\d+""))/10,
  last, MOD(n, 10),
  word, IFS(
    last = 1, ""миля"",
    AND(last &gt;= 2, last &lt;= 4), ""мили"",
    TRUE, ""миль""
  ),
  n &amp; "" "" &amp; word &amp; ""/час""
)"),"6 миль/час")</f>
        <v>6 миль/час</v>
      </c>
      <c r="M3" s="449" t="s">
        <v>26</v>
      </c>
      <c r="N3" s="449" t="str">
        <f t="shared" ref="N3:N21" si="1">SWITCH(R3,"Средний","1 фнт","Большой","4 фнт","Огромный","16 фнт","Громадный","64 фнт",)</f>
        <v>4 фнт</v>
      </c>
      <c r="O3" s="449">
        <v>1.0</v>
      </c>
      <c r="P3" s="449">
        <v>1.0</v>
      </c>
      <c r="Q3" s="449">
        <v>18.0</v>
      </c>
      <c r="R3" s="449" t="s">
        <v>4352</v>
      </c>
      <c r="S3" s="449" t="s">
        <v>4353</v>
      </c>
      <c r="T3" s="450"/>
    </row>
    <row r="4">
      <c r="A4" s="586" t="s">
        <v>4354</v>
      </c>
      <c r="B4" s="630" t="s">
        <v>26</v>
      </c>
      <c r="C4" s="445" t="s">
        <v>4351</v>
      </c>
      <c r="D4" s="445" t="s">
        <v>339</v>
      </c>
      <c r="E4" s="445" t="s">
        <v>26</v>
      </c>
      <c r="F4" s="445">
        <v>4.0</v>
      </c>
      <c r="G4" s="445" t="s">
        <v>26</v>
      </c>
      <c r="H4" s="445" t="s">
        <v>26</v>
      </c>
      <c r="I4" s="445">
        <v>13.0</v>
      </c>
      <c r="J4" s="446" t="s">
        <v>4355</v>
      </c>
      <c r="K4" s="630" t="s">
        <v>26</v>
      </c>
      <c r="L4" s="445" t="str">
        <f>IFERROR(__xludf.DUMMYFUNCTION("LET(
  n, VALUE(REGEXEXTRACT(J4, ""\d+""))/10,
  last, MOD(n, 10),
  word, IFS(
    last = 1, ""миля"",
    AND(last &gt;= 2, last &lt;= 4), ""мили"",
    TRUE, ""миль""
  ),
  n &amp; "" "" &amp; word &amp; ""/час""
)"),"7 миль/час")</f>
        <v>7 миль/час</v>
      </c>
      <c r="M4" s="445" t="s">
        <v>26</v>
      </c>
      <c r="N4" s="445" t="str">
        <f t="shared" si="1"/>
        <v>4 фнт</v>
      </c>
      <c r="O4" s="445">
        <v>1.0</v>
      </c>
      <c r="P4" s="445">
        <v>1.0</v>
      </c>
      <c r="Q4" s="445">
        <v>18.0</v>
      </c>
      <c r="R4" s="445" t="s">
        <v>4352</v>
      </c>
      <c r="S4" s="445" t="s">
        <v>4353</v>
      </c>
      <c r="T4" s="446"/>
    </row>
    <row r="5">
      <c r="A5" s="563" t="s">
        <v>4356</v>
      </c>
      <c r="B5" s="629" t="s">
        <v>26</v>
      </c>
      <c r="C5" s="449" t="s">
        <v>4351</v>
      </c>
      <c r="D5" s="449" t="s">
        <v>241</v>
      </c>
      <c r="E5" s="449" t="s">
        <v>26</v>
      </c>
      <c r="F5" s="449">
        <v>2.0</v>
      </c>
      <c r="G5" s="449" t="s">
        <v>26</v>
      </c>
      <c r="H5" s="449" t="s">
        <v>26</v>
      </c>
      <c r="I5" s="449">
        <v>9.0</v>
      </c>
      <c r="J5" s="450" t="s">
        <v>4357</v>
      </c>
      <c r="K5" s="629" t="s">
        <v>26</v>
      </c>
      <c r="L5" s="449" t="str">
        <f>IFERROR(__xludf.DUMMYFUNCTION("LET(
  n, VALUE(REGEXEXTRACT(J5, ""\d+""))/10,
  last, MOD(n, 10),
  word, IFS(
    last = 1, ""миля"",
    AND(last &gt;= 2, last &lt;= 4), ""мили"",
    TRUE, ""миль""
  ),
  n &amp; "" "" &amp; word &amp; ""/час""
)"),"5 миль/час")</f>
        <v>5 миль/час</v>
      </c>
      <c r="M5" s="449" t="s">
        <v>26</v>
      </c>
      <c r="N5" s="449" t="str">
        <f t="shared" si="1"/>
        <v>4 фнт</v>
      </c>
      <c r="O5" s="449">
        <v>1.0</v>
      </c>
      <c r="P5" s="449">
        <v>1.0</v>
      </c>
      <c r="Q5" s="449">
        <v>16.0</v>
      </c>
      <c r="R5" s="449" t="s">
        <v>4352</v>
      </c>
      <c r="S5" s="449" t="s">
        <v>4358</v>
      </c>
      <c r="T5" s="450"/>
    </row>
    <row r="6">
      <c r="A6" s="586" t="s">
        <v>4359</v>
      </c>
      <c r="B6" s="630" t="s">
        <v>26</v>
      </c>
      <c r="C6" s="445" t="s">
        <v>4351</v>
      </c>
      <c r="D6" s="445" t="s">
        <v>241</v>
      </c>
      <c r="E6" s="445" t="s">
        <v>26</v>
      </c>
      <c r="F6" s="445">
        <v>2.0</v>
      </c>
      <c r="G6" s="445" t="s">
        <v>26</v>
      </c>
      <c r="H6" s="445" t="s">
        <v>26</v>
      </c>
      <c r="I6" s="445">
        <v>13.0</v>
      </c>
      <c r="J6" s="446" t="s">
        <v>4360</v>
      </c>
      <c r="K6" s="630" t="s">
        <v>26</v>
      </c>
      <c r="L6" s="445" t="str">
        <f>IFERROR(__xludf.DUMMYFUNCTION("LET(
  n, VALUE(REGEXEXTRACT(J6, ""\d+""))/10,
  last, MOD(n, 10),
  word, IFS(
    last = 1, ""миля"",
    AND(last &gt;= 2, last &lt;= 4), ""мили"",
    TRUE, ""миль""
  ),
  n &amp; "" "" &amp; word &amp; ""/час""
)"),"4 мили/час")</f>
        <v>4 мили/час</v>
      </c>
      <c r="M6" s="445" t="s">
        <v>26</v>
      </c>
      <c r="N6" s="445" t="str">
        <f t="shared" si="1"/>
        <v>1 фнт</v>
      </c>
      <c r="O6" s="445">
        <v>1.0</v>
      </c>
      <c r="P6" s="445">
        <v>0.0</v>
      </c>
      <c r="Q6" s="445">
        <v>12.0</v>
      </c>
      <c r="R6" s="445" t="s">
        <v>4361</v>
      </c>
      <c r="S6" s="445" t="s">
        <v>4362</v>
      </c>
      <c r="T6" s="446"/>
    </row>
    <row r="7">
      <c r="A7" s="563" t="s">
        <v>4363</v>
      </c>
      <c r="B7" s="629" t="s">
        <v>26</v>
      </c>
      <c r="C7" s="449" t="s">
        <v>4351</v>
      </c>
      <c r="D7" s="449" t="s">
        <v>282</v>
      </c>
      <c r="E7" s="449" t="s">
        <v>26</v>
      </c>
      <c r="F7" s="449">
        <v>3.0</v>
      </c>
      <c r="G7" s="449" t="s">
        <v>26</v>
      </c>
      <c r="H7" s="449" t="s">
        <v>26</v>
      </c>
      <c r="I7" s="449">
        <v>10.0</v>
      </c>
      <c r="J7" s="450" t="s">
        <v>693</v>
      </c>
      <c r="K7" s="629" t="s">
        <v>26</v>
      </c>
      <c r="L7" s="449" t="str">
        <f>IFERROR(__xludf.DUMMYFUNCTION("LET(
  n, VALUE(REGEXEXTRACT(J7, ""\d+""))/10,
  last, MOD(n, 10),
  word, IFS(
    last = 1, ""миля"",
    AND(last &gt;= 2, last &lt;= 4), ""мили"",
    TRUE, ""миль""
  ),
  n &amp; "" "" &amp; word &amp; ""/час""
)"),"6 миль/час")</f>
        <v>6 миль/час</v>
      </c>
      <c r="M7" s="449" t="s">
        <v>26</v>
      </c>
      <c r="N7" s="449" t="str">
        <f t="shared" si="1"/>
        <v>4 фнт</v>
      </c>
      <c r="O7" s="449">
        <v>1.0</v>
      </c>
      <c r="P7" s="449">
        <v>1.0</v>
      </c>
      <c r="Q7" s="449">
        <v>16.0</v>
      </c>
      <c r="R7" s="449" t="s">
        <v>4352</v>
      </c>
      <c r="S7" s="449" t="s">
        <v>4358</v>
      </c>
      <c r="T7" s="450"/>
    </row>
    <row r="8">
      <c r="A8" s="586" t="s">
        <v>4364</v>
      </c>
      <c r="B8" s="630" t="s">
        <v>26</v>
      </c>
      <c r="C8" s="445" t="s">
        <v>4351</v>
      </c>
      <c r="D8" s="445" t="s">
        <v>241</v>
      </c>
      <c r="E8" s="445" t="s">
        <v>26</v>
      </c>
      <c r="F8" s="445">
        <v>2.0</v>
      </c>
      <c r="G8" s="445" t="s">
        <v>26</v>
      </c>
      <c r="H8" s="445" t="s">
        <v>26</v>
      </c>
      <c r="I8" s="445">
        <v>10.0</v>
      </c>
      <c r="J8" s="446" t="s">
        <v>4360</v>
      </c>
      <c r="K8" s="630" t="s">
        <v>26</v>
      </c>
      <c r="L8" s="445" t="str">
        <f>IFERROR(__xludf.DUMMYFUNCTION("LET(
  n, VALUE(REGEXEXTRACT(J8, ""\d+""))/10,
  last, MOD(n, 10),
  word, IFS(
    last = 1, ""миля"",
    AND(last &gt;= 2, last &lt;= 4), ""мили"",
    TRUE, ""миль""
  ),
  n &amp; "" "" &amp; word &amp; ""/час""
)"),"4 мили/час")</f>
        <v>4 мили/час</v>
      </c>
      <c r="M8" s="445" t="s">
        <v>26</v>
      </c>
      <c r="N8" s="445" t="str">
        <f t="shared" si="1"/>
        <v>4 фнт</v>
      </c>
      <c r="O8" s="445">
        <v>1.0</v>
      </c>
      <c r="P8" s="445">
        <v>1.0</v>
      </c>
      <c r="Q8" s="445">
        <v>18.0</v>
      </c>
      <c r="R8" s="445" t="s">
        <v>4352</v>
      </c>
      <c r="S8" s="445" t="s">
        <v>4353</v>
      </c>
      <c r="T8" s="446"/>
    </row>
    <row r="9">
      <c r="A9" s="563" t="s">
        <v>4365</v>
      </c>
      <c r="B9" s="629" t="s">
        <v>26</v>
      </c>
      <c r="C9" s="449" t="s">
        <v>4351</v>
      </c>
      <c r="D9" s="449" t="s">
        <v>224</v>
      </c>
      <c r="E9" s="449" t="s">
        <v>26</v>
      </c>
      <c r="F9" s="449">
        <v>1.0</v>
      </c>
      <c r="G9" s="449" t="s">
        <v>26</v>
      </c>
      <c r="H9" s="449" t="s">
        <v>26</v>
      </c>
      <c r="I9" s="449">
        <v>12.0</v>
      </c>
      <c r="J9" s="450" t="s">
        <v>4360</v>
      </c>
      <c r="K9" s="629" t="s">
        <v>26</v>
      </c>
      <c r="L9" s="449" t="str">
        <f>IFERROR(__xludf.DUMMYFUNCTION("LET(
  n, VALUE(REGEXEXTRACT(J9, ""\d+""))/10,
  last, MOD(n, 10),
  word, IFS(
    last = 1, ""миля"",
    AND(last &gt;= 2, last &lt;= 4), ""мили"",
    TRUE, ""миль""
  ),
  n &amp; "" "" &amp; word &amp; ""/час""
)"),"4 мили/час")</f>
        <v>4 мили/час</v>
      </c>
      <c r="M9" s="449" t="s">
        <v>26</v>
      </c>
      <c r="N9" s="449" t="str">
        <f t="shared" si="1"/>
        <v>1 фнт</v>
      </c>
      <c r="O9" s="449">
        <v>1.0</v>
      </c>
      <c r="P9" s="449">
        <v>0.0</v>
      </c>
      <c r="Q9" s="449">
        <v>13.0</v>
      </c>
      <c r="R9" s="449" t="s">
        <v>4361</v>
      </c>
      <c r="S9" s="449" t="s">
        <v>4366</v>
      </c>
      <c r="T9" s="450"/>
    </row>
    <row r="10">
      <c r="A10" s="586" t="s">
        <v>4367</v>
      </c>
      <c r="B10" s="630" t="s">
        <v>26</v>
      </c>
      <c r="C10" s="445" t="s">
        <v>4351</v>
      </c>
      <c r="D10" s="445" t="s">
        <v>1099</v>
      </c>
      <c r="E10" s="445" t="s">
        <v>26</v>
      </c>
      <c r="F10" s="445">
        <v>1.0</v>
      </c>
      <c r="G10" s="445" t="s">
        <v>26</v>
      </c>
      <c r="H10" s="445" t="s">
        <v>26</v>
      </c>
      <c r="I10" s="445">
        <v>10.0</v>
      </c>
      <c r="J10" s="446" t="s">
        <v>4360</v>
      </c>
      <c r="K10" s="630" t="s">
        <v>26</v>
      </c>
      <c r="L10" s="445" t="str">
        <f>IFERROR(__xludf.DUMMYFUNCTION("LET(
  n, VALUE(REGEXEXTRACT(J10, ""\d+""))/10,
  last, MOD(n, 10),
  word, IFS(
    last = 1, ""миля"",
    AND(last &gt;= 2, last &lt;= 4), ""мили"",
    TRUE, ""миль""
  ),
  n &amp; "" "" &amp; word &amp; ""/час""
)"),"4 мили/час")</f>
        <v>4 мили/час</v>
      </c>
      <c r="M10" s="445" t="s">
        <v>26</v>
      </c>
      <c r="N10" s="445" t="str">
        <f t="shared" si="1"/>
        <v>1 фнт</v>
      </c>
      <c r="O10" s="445">
        <v>1.0</v>
      </c>
      <c r="P10" s="445">
        <v>0.0</v>
      </c>
      <c r="Q10" s="445">
        <v>14.0</v>
      </c>
      <c r="R10" s="445" t="s">
        <v>4361</v>
      </c>
      <c r="S10" s="445" t="s">
        <v>4368</v>
      </c>
      <c r="T10" s="446"/>
    </row>
    <row r="11">
      <c r="A11" s="563" t="s">
        <v>4369</v>
      </c>
      <c r="B11" s="629" t="s">
        <v>26</v>
      </c>
      <c r="C11" s="449" t="s">
        <v>4351</v>
      </c>
      <c r="D11" s="449" t="s">
        <v>257</v>
      </c>
      <c r="E11" s="449" t="s">
        <v>26</v>
      </c>
      <c r="F11" s="449">
        <v>2.0</v>
      </c>
      <c r="G11" s="449" t="s">
        <v>26</v>
      </c>
      <c r="H11" s="449" t="s">
        <v>26</v>
      </c>
      <c r="I11" s="449">
        <v>10.0</v>
      </c>
      <c r="J11" s="450" t="s">
        <v>4360</v>
      </c>
      <c r="K11" s="629" t="s">
        <v>26</v>
      </c>
      <c r="L11" s="449" t="str">
        <f>IFERROR(__xludf.DUMMYFUNCTION("LET(
  n, VALUE(REGEXEXTRACT(J11, ""\d+""))/10,
  last, MOD(n, 10),
  word, IFS(
    last = 1, ""миля"",
    AND(last &gt;= 2, last &lt;= 4), ""мили"",
    TRUE, ""миль""
  ),
  n &amp; "" "" &amp; word &amp; ""/час""
)"),"4 мили/час")</f>
        <v>4 мили/час</v>
      </c>
      <c r="M11" s="449" t="s">
        <v>26</v>
      </c>
      <c r="N11" s="449" t="str">
        <f t="shared" si="1"/>
        <v>1 фнт</v>
      </c>
      <c r="O11" s="449">
        <v>1.0</v>
      </c>
      <c r="P11" s="449">
        <v>0.0</v>
      </c>
      <c r="Q11" s="449">
        <v>15.0</v>
      </c>
      <c r="R11" s="449" t="s">
        <v>4361</v>
      </c>
      <c r="S11" s="449" t="s">
        <v>4370</v>
      </c>
      <c r="T11" s="450"/>
    </row>
    <row r="12">
      <c r="A12" s="586" t="s">
        <v>4371</v>
      </c>
      <c r="B12" s="630" t="s">
        <v>26</v>
      </c>
      <c r="C12" s="445" t="s">
        <v>4351</v>
      </c>
      <c r="D12" s="445" t="s">
        <v>332</v>
      </c>
      <c r="E12" s="445" t="s">
        <v>26</v>
      </c>
      <c r="F12" s="445">
        <v>4.0</v>
      </c>
      <c r="G12" s="445" t="s">
        <v>26</v>
      </c>
      <c r="H12" s="445" t="s">
        <v>26</v>
      </c>
      <c r="I12" s="445">
        <v>12.0</v>
      </c>
      <c r="J12" s="446" t="s">
        <v>4360</v>
      </c>
      <c r="K12" s="630" t="s">
        <v>26</v>
      </c>
      <c r="L12" s="445" t="str">
        <f>IFERROR(__xludf.DUMMYFUNCTION("LET(
  n, VALUE(REGEXEXTRACT(J12, ""\d+""))/10,
  last, MOD(n, 10),
  word, IFS(
    last = 1, ""миля"",
    AND(last &gt;= 2, last &lt;= 4), ""мили"",
    TRUE, ""миль""
  ),
  n &amp; "" "" &amp; word &amp; ""/час""
)"),"4 мили/час")</f>
        <v>4 мили/час</v>
      </c>
      <c r="M12" s="445" t="s">
        <v>26</v>
      </c>
      <c r="N12" s="445" t="str">
        <f t="shared" si="1"/>
        <v>16 фнт</v>
      </c>
      <c r="O12" s="445">
        <v>2.0</v>
      </c>
      <c r="P12" s="445">
        <v>4.0</v>
      </c>
      <c r="Q12" s="445">
        <v>22.0</v>
      </c>
      <c r="R12" s="445" t="s">
        <v>4372</v>
      </c>
      <c r="S12" s="445" t="s">
        <v>4373</v>
      </c>
      <c r="T12" s="446"/>
    </row>
    <row r="13">
      <c r="A13" s="563" t="s">
        <v>4374</v>
      </c>
      <c r="B13" s="629" t="s">
        <v>26</v>
      </c>
      <c r="C13" s="449" t="s">
        <v>4351</v>
      </c>
      <c r="D13" s="449" t="s">
        <v>241</v>
      </c>
      <c r="E13" s="449" t="s">
        <v>26</v>
      </c>
      <c r="F13" s="449">
        <v>3.0</v>
      </c>
      <c r="G13" s="449" t="s">
        <v>26</v>
      </c>
      <c r="H13" s="449" t="s">
        <v>26</v>
      </c>
      <c r="I13" s="449">
        <v>11.0</v>
      </c>
      <c r="J13" s="450" t="s">
        <v>4357</v>
      </c>
      <c r="K13" s="629" t="s">
        <v>26</v>
      </c>
      <c r="L13" s="449" t="str">
        <f>IFERROR(__xludf.DUMMYFUNCTION("LET(
  n, VALUE(REGEXEXTRACT(J13, ""\d+""))/10,
  last, MOD(n, 10),
  word, IFS(
    last = 1, ""миля"",
    AND(last &gt;= 2, last &lt;= 4), ""мили"",
    TRUE, ""миль""
  ),
  n &amp; "" "" &amp; word &amp; ""/час""
)"),"5 миль/час")</f>
        <v>5 миль/час</v>
      </c>
      <c r="M13" s="449" t="s">
        <v>26</v>
      </c>
      <c r="N13" s="449" t="str">
        <f t="shared" si="1"/>
        <v>4 фнт</v>
      </c>
      <c r="O13" s="449">
        <v>1.0</v>
      </c>
      <c r="P13" s="449">
        <v>1.0</v>
      </c>
      <c r="Q13" s="449">
        <v>14.0</v>
      </c>
      <c r="R13" s="449" t="s">
        <v>4352</v>
      </c>
      <c r="S13" s="449" t="s">
        <v>4375</v>
      </c>
      <c r="T13" s="450"/>
    </row>
    <row r="14">
      <c r="A14" s="586" t="s">
        <v>2674</v>
      </c>
      <c r="B14" s="630" t="s">
        <v>26</v>
      </c>
      <c r="C14" s="445" t="s">
        <v>4351</v>
      </c>
      <c r="D14" s="445" t="s">
        <v>593</v>
      </c>
      <c r="E14" s="445" t="str">
        <f>IFERROR(__xludf.DUMMYFUNCTION("VALUE(REGEXEXTRACT(D14, ""\d+""))/100 &amp; "" зм / день"""),"40 зм / день")</f>
        <v>40 зм / день</v>
      </c>
      <c r="F14" s="445">
        <v>5.0</v>
      </c>
      <c r="G14" s="445" t="s">
        <v>26</v>
      </c>
      <c r="H14" s="445" t="s">
        <v>26</v>
      </c>
      <c r="I14" s="445">
        <v>12.0</v>
      </c>
      <c r="J14" s="446" t="s">
        <v>4376</v>
      </c>
      <c r="K14" s="630" t="s">
        <v>26</v>
      </c>
      <c r="L14" s="445" t="str">
        <f>IFERROR(__xludf.DUMMYFUNCTION("LET(
  n, VALUE(REGEXEXTRACT(J14, ""\d+""))/10,
  last, MOD(n, 10),
  word, IFS(
    last = 1, ""миля"",
    AND(last &gt;= 2, last &lt;= 4), ""мили"",
    TRUE, ""миль""
  ),
  n &amp; "" "" &amp; word &amp; ""/час""
)"),"8 миль/час")</f>
        <v>8 миль/час</v>
      </c>
      <c r="M14" s="445" t="s">
        <v>26</v>
      </c>
      <c r="N14" s="445" t="str">
        <f t="shared" si="1"/>
        <v>4 фнт</v>
      </c>
      <c r="O14" s="445">
        <v>1.0</v>
      </c>
      <c r="P14" s="445">
        <v>2.0</v>
      </c>
      <c r="Q14" s="445">
        <v>18.0</v>
      </c>
      <c r="R14" s="445" t="s">
        <v>4352</v>
      </c>
      <c r="S14" s="445" t="s">
        <v>4353</v>
      </c>
      <c r="T14" s="446"/>
    </row>
    <row r="15">
      <c r="A15" s="563" t="s">
        <v>4377</v>
      </c>
      <c r="B15" s="629" t="s">
        <v>26</v>
      </c>
      <c r="C15" s="449" t="s">
        <v>4351</v>
      </c>
      <c r="D15" s="449" t="s">
        <v>341</v>
      </c>
      <c r="E15" s="449" t="str">
        <f>IFERROR(__xludf.DUMMYFUNCTION("VALUE(REGEXEXTRACT(D15, ""\d+""))/100 &amp; "" зм / день"""),"10 зм / день")</f>
        <v>10 зм / день</v>
      </c>
      <c r="F15" s="449">
        <v>4.0</v>
      </c>
      <c r="G15" s="449" t="s">
        <v>26</v>
      </c>
      <c r="H15" s="449" t="s">
        <v>26</v>
      </c>
      <c r="I15" s="449">
        <v>11.0</v>
      </c>
      <c r="J15" s="450" t="s">
        <v>4360</v>
      </c>
      <c r="K15" s="629" t="s">
        <v>26</v>
      </c>
      <c r="L15" s="449" t="str">
        <f>IFERROR(__xludf.DUMMYFUNCTION("LET(
  n, VALUE(REGEXEXTRACT(J15, ""\d+""))/10,
  last, MOD(n, 10),
  word, IFS(
    last = 1, ""миля"",
    AND(last &gt;= 2, last &lt;= 4), ""мили"",
    TRUE, ""миль""
  ),
  n &amp; "" "" &amp; word &amp; ""/час""
)"),"4 мили/час")</f>
        <v>4 мили/час</v>
      </c>
      <c r="M15" s="449" t="s">
        <v>26</v>
      </c>
      <c r="N15" s="449" t="str">
        <f t="shared" si="1"/>
        <v>4 фнт</v>
      </c>
      <c r="O15" s="449">
        <v>1.0</v>
      </c>
      <c r="P15" s="449">
        <v>0.0</v>
      </c>
      <c r="Q15" s="449">
        <v>15.0</v>
      </c>
      <c r="R15" s="449" t="s">
        <v>4352</v>
      </c>
      <c r="S15" s="449" t="s">
        <v>4378</v>
      </c>
      <c r="T15" s="450"/>
    </row>
    <row r="16">
      <c r="A16" s="586" t="s">
        <v>2928</v>
      </c>
      <c r="B16" s="630" t="s">
        <v>26</v>
      </c>
      <c r="C16" s="445" t="s">
        <v>4351</v>
      </c>
      <c r="D16" s="445" t="s">
        <v>572</v>
      </c>
      <c r="E16" s="445" t="str">
        <f>IFERROR(__xludf.DUMMYFUNCTION("VALUE(REGEXEXTRACT(D16, ""\d+""))/100 &amp; "" зм / день"""),"60 зм / день")</f>
        <v>60 зм / день</v>
      </c>
      <c r="F16" s="445">
        <v>6.0</v>
      </c>
      <c r="G16" s="445" t="s">
        <v>26</v>
      </c>
      <c r="H16" s="445" t="s">
        <v>26</v>
      </c>
      <c r="I16" s="445">
        <v>12.0</v>
      </c>
      <c r="J16" s="446" t="s">
        <v>721</v>
      </c>
      <c r="K16" s="630" t="s">
        <v>26</v>
      </c>
      <c r="L16" s="445" t="str">
        <f>IFERROR(__xludf.DUMMYFUNCTION("LET(
  n, VALUE(REGEXEXTRACT(J16, ""\d+""))/10,
  last, MOD(n, 10),
  word, IFS(
    last = 1, ""миля"",
    AND(last &gt;= 2, last &lt;= 4), ""мили"",
    TRUE, ""миль""
  ),
  n &amp; "" "" &amp; word &amp; ""/час""
)"),"9 миль/час")</f>
        <v>9 миль/час</v>
      </c>
      <c r="M16" s="445" t="s">
        <v>26</v>
      </c>
      <c r="N16" s="445" t="str">
        <f t="shared" si="1"/>
        <v>4 фнт</v>
      </c>
      <c r="O16" s="445">
        <v>1.0</v>
      </c>
      <c r="P16" s="445">
        <v>1.0</v>
      </c>
      <c r="Q16" s="445">
        <v>18.0</v>
      </c>
      <c r="R16" s="445" t="s">
        <v>4352</v>
      </c>
      <c r="S16" s="445" t="s">
        <v>4353</v>
      </c>
      <c r="T16" s="446"/>
    </row>
    <row r="17">
      <c r="A17" s="563" t="s">
        <v>4379</v>
      </c>
      <c r="B17" s="629" t="s">
        <v>26</v>
      </c>
      <c r="C17" s="449" t="s">
        <v>4351</v>
      </c>
      <c r="D17" s="449" t="s">
        <v>327</v>
      </c>
      <c r="E17" s="449" t="str">
        <f>IFERROR(__xludf.DUMMYFUNCTION("VALUE(REGEXEXTRACT(D17, ""\d+""))/100 &amp; "" зм / день"""),"5 зм / день")</f>
        <v>5 зм / день</v>
      </c>
      <c r="F17" s="449">
        <v>4.0</v>
      </c>
      <c r="G17" s="449" t="s">
        <v>26</v>
      </c>
      <c r="H17" s="449" t="s">
        <v>26</v>
      </c>
      <c r="I17" s="449">
        <v>15.0</v>
      </c>
      <c r="J17" s="450" t="s">
        <v>696</v>
      </c>
      <c r="K17" s="629" t="s">
        <v>26</v>
      </c>
      <c r="L17" s="449" t="str">
        <f>IFERROR(__xludf.DUMMYFUNCTION("LET(
  n, VALUE(REGEXEXTRACT(J17, ""\d+""))/10,
  last, MOD(n, 10),
  word, IFS(
    last = 1, ""миля"",
    AND(last &gt;= 2, last &lt;= 4), ""мили"",
    TRUE, ""миль""
  ),
  n &amp; "" "" &amp; word &amp; ""/час""
)"),"3 мили/час")</f>
        <v>3 мили/час</v>
      </c>
      <c r="M17" s="449" t="s">
        <v>26</v>
      </c>
      <c r="N17" s="449" t="str">
        <f t="shared" si="1"/>
        <v>4 фнт</v>
      </c>
      <c r="O17" s="449">
        <v>1.0</v>
      </c>
      <c r="P17" s="449">
        <v>1.0</v>
      </c>
      <c r="Q17" s="449">
        <v>13.0</v>
      </c>
      <c r="R17" s="449" t="s">
        <v>4352</v>
      </c>
      <c r="S17" s="449" t="s">
        <v>4380</v>
      </c>
      <c r="T17" s="450"/>
    </row>
    <row r="18">
      <c r="A18" s="586" t="s">
        <v>2677</v>
      </c>
      <c r="B18" s="630" t="s">
        <v>26</v>
      </c>
      <c r="C18" s="445" t="s">
        <v>4351</v>
      </c>
      <c r="D18" s="445" t="s">
        <v>572</v>
      </c>
      <c r="E18" s="445" t="str">
        <f>IFERROR(__xludf.DUMMYFUNCTION("VALUE(REGEXEXTRACT(D18, ""\d+""))/100 &amp; "" зм / день"""),"60 зм / день")</f>
        <v>60 зм / день</v>
      </c>
      <c r="F18" s="445">
        <v>6.0</v>
      </c>
      <c r="G18" s="445" t="s">
        <v>26</v>
      </c>
      <c r="H18" s="445" t="s">
        <v>26</v>
      </c>
      <c r="I18" s="445">
        <v>13.0</v>
      </c>
      <c r="J18" s="446" t="s">
        <v>693</v>
      </c>
      <c r="K18" s="630" t="s">
        <v>26</v>
      </c>
      <c r="L18" s="445" t="str">
        <f>IFERROR(__xludf.DUMMYFUNCTION("LET(
  n, VALUE(REGEXEXTRACT(J18, ""\d+""))/10,
  last, MOD(n, 10),
  word, IFS(
    last = 1, ""миля"",
    AND(last &gt;= 2, last &lt;= 4), ""мили"",
    TRUE, ""миль""
  ),
  n &amp; "" "" &amp; word &amp; ""/час""
)"),"6 миль/час")</f>
        <v>6 миль/час</v>
      </c>
      <c r="M18" s="445" t="s">
        <v>26</v>
      </c>
      <c r="N18" s="445" t="str">
        <f t="shared" si="1"/>
        <v>4 фнт</v>
      </c>
      <c r="O18" s="445">
        <v>1.0</v>
      </c>
      <c r="P18" s="445">
        <v>1.0</v>
      </c>
      <c r="Q18" s="445">
        <v>16.0</v>
      </c>
      <c r="R18" s="445" t="s">
        <v>4352</v>
      </c>
      <c r="S18" s="445" t="s">
        <v>4358</v>
      </c>
      <c r="T18" s="446"/>
    </row>
    <row r="19">
      <c r="A19" s="563" t="s">
        <v>4381</v>
      </c>
      <c r="B19" s="629" t="s">
        <v>26</v>
      </c>
      <c r="C19" s="449" t="s">
        <v>4351</v>
      </c>
      <c r="D19" s="449" t="s">
        <v>341</v>
      </c>
      <c r="E19" s="449" t="str">
        <f>IFERROR(__xludf.DUMMYFUNCTION("VALUE(REGEXEXTRACT(D19, ""\d+""))/100 &amp; "" зм / день"""),"10 зм / день")</f>
        <v>10 зм / день</v>
      </c>
      <c r="F19" s="449">
        <v>4.0</v>
      </c>
      <c r="G19" s="449" t="s">
        <v>26</v>
      </c>
      <c r="H19" s="449" t="s">
        <v>26</v>
      </c>
      <c r="I19" s="449">
        <v>14.0</v>
      </c>
      <c r="J19" s="450" t="s">
        <v>4357</v>
      </c>
      <c r="K19" s="629" t="s">
        <v>26</v>
      </c>
      <c r="L19" s="449" t="str">
        <f>IFERROR(__xludf.DUMMYFUNCTION("LET(
  n, VALUE(REGEXEXTRACT(J19, ""\d+""))/10,
  last, MOD(n, 10),
  word, IFS(
    last = 1, ""миля"",
    AND(last &gt;= 2, last &lt;= 4), ""мили"",
    TRUE, ""миль""
  ),
  n &amp; "" "" &amp; word &amp; ""/час""
)"),"5 миль/час")</f>
        <v>5 миль/час</v>
      </c>
      <c r="M19" s="449" t="s">
        <v>26</v>
      </c>
      <c r="N19" s="449" t="str">
        <f t="shared" si="1"/>
        <v>4 фнт</v>
      </c>
      <c r="O19" s="449">
        <v>1.0</v>
      </c>
      <c r="P19" s="449">
        <v>1.0</v>
      </c>
      <c r="Q19" s="449">
        <v>17.0</v>
      </c>
      <c r="R19" s="449" t="s">
        <v>4352</v>
      </c>
      <c r="S19" s="449" t="s">
        <v>4382</v>
      </c>
      <c r="T19" s="450"/>
    </row>
    <row r="20">
      <c r="A20" s="586" t="s">
        <v>4383</v>
      </c>
      <c r="B20" s="630" t="s">
        <v>26</v>
      </c>
      <c r="C20" s="445" t="s">
        <v>4351</v>
      </c>
      <c r="D20" s="445" t="s">
        <v>347</v>
      </c>
      <c r="E20" s="445" t="str">
        <f>IFERROR(__xludf.DUMMYFUNCTION("VALUE(REGEXEXTRACT(D20, ""\d+""))/100 &amp; "" зм / день"""),"12 зм / день")</f>
        <v>12 зм / день</v>
      </c>
      <c r="F20" s="445">
        <v>4.0</v>
      </c>
      <c r="G20" s="445" t="s">
        <v>26</v>
      </c>
      <c r="H20" s="445" t="s">
        <v>26</v>
      </c>
      <c r="I20" s="445">
        <v>11.0</v>
      </c>
      <c r="J20" s="446" t="s">
        <v>4360</v>
      </c>
      <c r="K20" s="630" t="s">
        <v>26</v>
      </c>
      <c r="L20" s="445" t="str">
        <f>IFERROR(__xludf.DUMMYFUNCTION("LET(
  n, VALUE(REGEXEXTRACT(J20, ""\d+""))/10,
  last, MOD(n, 10),
  word, IFS(
    last = 1, ""миля"",
    AND(last &gt;= 2, last &lt;= 4), ""мили"",
    TRUE, ""миль""
  ),
  n &amp; "" "" &amp; word &amp; ""/час""
)"),"4 мили/час")</f>
        <v>4 мили/час</v>
      </c>
      <c r="M20" s="445" t="s">
        <v>26</v>
      </c>
      <c r="N20" s="445" t="str">
        <f t="shared" si="1"/>
        <v>4 фнт</v>
      </c>
      <c r="O20" s="445">
        <v>1.0</v>
      </c>
      <c r="P20" s="445">
        <v>2.0</v>
      </c>
      <c r="Q20" s="445">
        <v>21.0</v>
      </c>
      <c r="R20" s="445" t="s">
        <v>4352</v>
      </c>
      <c r="S20" s="445" t="s">
        <v>4384</v>
      </c>
      <c r="T20" s="446"/>
    </row>
    <row r="21">
      <c r="A21" s="563" t="s">
        <v>4385</v>
      </c>
      <c r="B21" s="629" t="s">
        <v>26</v>
      </c>
      <c r="C21" s="449" t="s">
        <v>4351</v>
      </c>
      <c r="D21" s="449" t="s">
        <v>365</v>
      </c>
      <c r="E21" s="449" t="str">
        <f>IFERROR(__xludf.DUMMYFUNCTION("VALUE(REGEXEXTRACT(D21, ""\d+""))/100 &amp; "" зм / день"""),"20 зм / день")</f>
        <v>20 зм / день</v>
      </c>
      <c r="F21" s="449">
        <v>5.0</v>
      </c>
      <c r="G21" s="449" t="s">
        <v>26</v>
      </c>
      <c r="H21" s="449" t="s">
        <v>26</v>
      </c>
      <c r="I21" s="449">
        <v>12.0</v>
      </c>
      <c r="J21" s="450" t="s">
        <v>4360</v>
      </c>
      <c r="K21" s="629" t="s">
        <v>26</v>
      </c>
      <c r="L21" s="449" t="str">
        <f>IFERROR(__xludf.DUMMYFUNCTION("LET(
  n, VALUE(REGEXEXTRACT(J21, ""\d+""))/10,
  last, MOD(n, 10),
  word, IFS(
    last = 1, ""миля"",
    AND(last &gt;= 2, last &lt;= 4), ""мили"",
    TRUE, ""миль""
  ),
  n &amp; "" "" &amp; word &amp; ""/час""
)"),"4 мили/час")</f>
        <v>4 мили/час</v>
      </c>
      <c r="M21" s="449" t="s">
        <v>26</v>
      </c>
      <c r="N21" s="449" t="str">
        <f t="shared" si="1"/>
        <v>4 фнт</v>
      </c>
      <c r="O21" s="449">
        <v>1.0</v>
      </c>
      <c r="P21" s="449">
        <v>2.0</v>
      </c>
      <c r="Q21" s="449">
        <v>18.0</v>
      </c>
      <c r="R21" s="449" t="s">
        <v>4352</v>
      </c>
      <c r="S21" s="449" t="s">
        <v>4353</v>
      </c>
      <c r="T21" s="450"/>
    </row>
    <row r="22">
      <c r="A22" s="445" t="s">
        <v>4386</v>
      </c>
      <c r="B22" s="630" t="s">
        <v>26</v>
      </c>
      <c r="C22" s="445" t="s">
        <v>4387</v>
      </c>
      <c r="D22" s="445" t="s">
        <v>241</v>
      </c>
      <c r="E22" s="445" t="s">
        <v>26</v>
      </c>
      <c r="F22" s="445">
        <v>1.0</v>
      </c>
      <c r="G22" s="445" t="s">
        <v>4388</v>
      </c>
      <c r="H22" s="445">
        <v>50.0</v>
      </c>
      <c r="I22" s="445">
        <v>11.0</v>
      </c>
      <c r="J22" s="445" t="s">
        <v>724</v>
      </c>
      <c r="K22" s="630" t="s">
        <v>26</v>
      </c>
      <c r="L22" s="445" t="str">
        <f>IFERROR(__xludf.DUMMYFUNCTION("LET(
  n, VALUE(REGEXEXTRACT(J22, ""\d+""))/10,
  last, MOD(n, 10),
  word, IFS(
    last = 1, ""миля"",
    AND(last &gt;= 2, last &lt;= 4), ""мили"",
    TRUE, ""миль""
  ),
  n &amp; "" "" &amp; word &amp; ""/час""
)"),"1,5 миль/час")</f>
        <v>1,5 миль/час</v>
      </c>
      <c r="M22" s="445" t="s">
        <v>26</v>
      </c>
      <c r="N22" s="445" t="s">
        <v>26</v>
      </c>
      <c r="O22" s="445">
        <v>1.0</v>
      </c>
      <c r="P22" s="445">
        <v>3.0</v>
      </c>
      <c r="Q22" s="630" t="s">
        <v>26</v>
      </c>
      <c r="R22" s="630" t="s">
        <v>26</v>
      </c>
      <c r="S22" s="630" t="s">
        <v>4389</v>
      </c>
      <c r="T22" s="446"/>
    </row>
    <row r="23">
      <c r="A23" s="449" t="s">
        <v>4390</v>
      </c>
      <c r="B23" s="629" t="s">
        <v>26</v>
      </c>
      <c r="C23" s="449" t="s">
        <v>4387</v>
      </c>
      <c r="D23" s="449" t="s">
        <v>583</v>
      </c>
      <c r="E23" s="449" t="str">
        <f>IFERROR(__xludf.DUMMYFUNCTION("VALUE(REGEXEXTRACT(D23, ""\d+""))/100 &amp; "" зм / день"""),"30 зм / день")</f>
        <v>30 зм / день</v>
      </c>
      <c r="F23" s="449">
        <v>2.0</v>
      </c>
      <c r="G23" s="449" t="s">
        <v>4391</v>
      </c>
      <c r="H23" s="449">
        <v>100.0</v>
      </c>
      <c r="I23" s="449">
        <v>12.0</v>
      </c>
      <c r="J23" s="449" t="s">
        <v>691</v>
      </c>
      <c r="K23" s="629" t="s">
        <v>26</v>
      </c>
      <c r="L23" s="449" t="str">
        <f>IFERROR(__xludf.DUMMYFUNCTION("LET(
  n, VALUE(REGEXEXTRACT(J23, ""\d+""))/10,
  last, MOD(n, 10),
  word, IFS(
    last = 1, ""миля"",
    AND(last &gt;= 2, last &lt;= 4), ""мили"",
    TRUE, ""миль""
  ),
  n &amp; "" "" &amp; word &amp; ""/час""
)"),"1 миля/час")</f>
        <v>1 миля/час</v>
      </c>
      <c r="M23" s="449" t="s">
        <v>26</v>
      </c>
      <c r="N23" s="449" t="s">
        <v>26</v>
      </c>
      <c r="O23" s="449">
        <v>1.0</v>
      </c>
      <c r="P23" s="449">
        <v>6.0</v>
      </c>
      <c r="Q23" s="629" t="s">
        <v>26</v>
      </c>
      <c r="R23" s="629" t="s">
        <v>26</v>
      </c>
      <c r="S23" s="629" t="s">
        <v>4392</v>
      </c>
      <c r="T23" s="450"/>
    </row>
    <row r="24">
      <c r="A24" s="445" t="s">
        <v>4393</v>
      </c>
      <c r="B24" s="630" t="s">
        <v>26</v>
      </c>
      <c r="C24" s="445" t="s">
        <v>4387</v>
      </c>
      <c r="D24" s="445" t="s">
        <v>409</v>
      </c>
      <c r="E24" s="445" t="str">
        <f>IFERROR(__xludf.DUMMYFUNCTION("VALUE(REGEXEXTRACT(D24, ""\d+""))/100 &amp; "" зм / день"""),"100 зм / день")</f>
        <v>100 зм / день</v>
      </c>
      <c r="F24" s="445">
        <v>3.0</v>
      </c>
      <c r="G24" s="445" t="s">
        <v>4389</v>
      </c>
      <c r="H24" s="445">
        <v>300.0</v>
      </c>
      <c r="I24" s="445">
        <v>13.0</v>
      </c>
      <c r="J24" s="445" t="s">
        <v>696</v>
      </c>
      <c r="K24" s="630" t="s">
        <v>26</v>
      </c>
      <c r="L24" s="445" t="str">
        <f>IFERROR(__xludf.DUMMYFUNCTION("LET(
  n, VALUE(REGEXEXTRACT(J24, ""\d+""))/10,
  last, MOD(n, 10),
  word, IFS(
    last = 1, ""миля"",
    AND(last &gt;= 2, last &lt;= 4), ""мили"",
    TRUE, ""миль""
  ),
  n &amp; "" "" &amp; word &amp; ""/час""
)"),"3 мили/час")</f>
        <v>3 мили/час</v>
      </c>
      <c r="M24" s="445" t="s">
        <v>26</v>
      </c>
      <c r="N24" s="445" t="s">
        <v>26</v>
      </c>
      <c r="O24" s="445">
        <v>40.0</v>
      </c>
      <c r="P24" s="445">
        <v>150.0</v>
      </c>
      <c r="Q24" s="630" t="s">
        <v>26</v>
      </c>
      <c r="R24" s="630" t="s">
        <v>26</v>
      </c>
      <c r="S24" s="630" t="s">
        <v>4394</v>
      </c>
      <c r="T24" s="446"/>
    </row>
    <row r="25">
      <c r="A25" s="449" t="s">
        <v>4395</v>
      </c>
      <c r="B25" s="629" t="s">
        <v>26</v>
      </c>
      <c r="C25" s="449" t="s">
        <v>4387</v>
      </c>
      <c r="D25" s="449" t="s">
        <v>409</v>
      </c>
      <c r="E25" s="449" t="str">
        <f>IFERROR(__xludf.DUMMYFUNCTION("VALUE(REGEXEXTRACT(D25, ""\d+""))/100 &amp; "" зм / день"""),"100 зм / день")</f>
        <v>100 зм / день</v>
      </c>
      <c r="F25" s="449">
        <v>3.0</v>
      </c>
      <c r="G25" s="449" t="s">
        <v>4396</v>
      </c>
      <c r="H25" s="449">
        <v>300.0</v>
      </c>
      <c r="I25" s="449">
        <v>13.0</v>
      </c>
      <c r="J25" s="631" t="s">
        <v>4397</v>
      </c>
      <c r="K25" s="629" t="s">
        <v>26</v>
      </c>
      <c r="L25" s="449" t="str">
        <f>IFERROR(__xludf.DUMMYFUNCTION("LET(
  n, VALUE(REGEXEXTRACT(J25, ""\d+""))/10,
  last, MOD(n, 10),
  word, IFS(
    last = 1, ""миля"",
    AND(last &gt;= 2, last &lt;= 4), ""мили"",
    TRUE, ""миль""
  ),
  n &amp; "" "" &amp; word &amp; ""/час""
)"),"2 мили/час")</f>
        <v>2 мили/час</v>
      </c>
      <c r="M25" s="449" t="s">
        <v>26</v>
      </c>
      <c r="N25" s="449" t="s">
        <v>26</v>
      </c>
      <c r="O25" s="449">
        <v>20.0</v>
      </c>
      <c r="P25" s="449">
        <v>20.0</v>
      </c>
      <c r="Q25" s="629" t="s">
        <v>26</v>
      </c>
      <c r="R25" s="629" t="s">
        <v>26</v>
      </c>
      <c r="S25" s="629" t="s">
        <v>4398</v>
      </c>
      <c r="T25" s="450"/>
    </row>
    <row r="26">
      <c r="A26" s="445" t="s">
        <v>4399</v>
      </c>
      <c r="B26" s="630" t="s">
        <v>26</v>
      </c>
      <c r="C26" s="445" t="s">
        <v>4387</v>
      </c>
      <c r="D26" s="445" t="s">
        <v>1969</v>
      </c>
      <c r="E26" s="445" t="str">
        <f>IFERROR(__xludf.DUMMYFUNCTION("VALUE(REGEXEXTRACT(D26, ""\d+""))/100 &amp; "" зм / день"""),"250 зм / день")</f>
        <v>250 зм / день</v>
      </c>
      <c r="F26" s="445">
        <v>3.0</v>
      </c>
      <c r="G26" s="445" t="s">
        <v>4400</v>
      </c>
      <c r="H26" s="445">
        <v>500.0</v>
      </c>
      <c r="I26" s="445">
        <v>14.0</v>
      </c>
      <c r="J26" s="445" t="s">
        <v>4401</v>
      </c>
      <c r="K26" s="630" t="s">
        <v>26</v>
      </c>
      <c r="L26" s="445" t="str">
        <f>IFERROR(__xludf.DUMMYFUNCTION("LET(
  n, VALUE(REGEXEXTRACT(J26, ""\d+""))/10,
  last, MOD(n, 10),
  word, IFS(
    last = 1, ""миля"",
    AND(last &gt;= 2, last &lt;= 4), ""мили"",
    TRUE, ""миль""
  ),
  n &amp; "" "" &amp; word &amp; ""/час""
)"),"2,5 мили/час")</f>
        <v>2,5 мили/час</v>
      </c>
      <c r="M26" s="445" t="s">
        <v>26</v>
      </c>
      <c r="N26" s="445" t="s">
        <v>26</v>
      </c>
      <c r="O26" s="445">
        <v>60.0</v>
      </c>
      <c r="P26" s="445">
        <v>60.0</v>
      </c>
      <c r="Q26" s="630" t="s">
        <v>26</v>
      </c>
      <c r="R26" s="630" t="s">
        <v>26</v>
      </c>
      <c r="S26" s="630" t="s">
        <v>4402</v>
      </c>
      <c r="T26" s="446"/>
    </row>
    <row r="27">
      <c r="A27" s="449" t="s">
        <v>4403</v>
      </c>
      <c r="B27" s="629" t="s">
        <v>26</v>
      </c>
      <c r="C27" s="449" t="s">
        <v>4387</v>
      </c>
      <c r="D27" s="449" t="s">
        <v>2041</v>
      </c>
      <c r="E27" s="449" t="str">
        <f>IFERROR(__xludf.DUMMYFUNCTION("VALUE(REGEXEXTRACT(D27, ""\d+""))/100 &amp; "" зм / день"""),"300 зм / день")</f>
        <v>300 зм / день</v>
      </c>
      <c r="F27" s="449">
        <v>4.0</v>
      </c>
      <c r="G27" s="449" t="s">
        <v>4404</v>
      </c>
      <c r="H27" s="449">
        <v>500.0</v>
      </c>
      <c r="I27" s="449">
        <v>15.0</v>
      </c>
      <c r="J27" s="449" t="s">
        <v>4360</v>
      </c>
      <c r="K27" s="629" t="s">
        <v>26</v>
      </c>
      <c r="L27" s="449" t="str">
        <f>IFERROR(__xludf.DUMMYFUNCTION("LET(
  n, VALUE(REGEXEXTRACT(J27, ""\d+""))/10,
  last, MOD(n, 10),
  word, IFS(
    last = 1, ""миля"",
    AND(last &gt;= 2, last &lt;= 4), ""мили"",
    TRUE, ""миль""
  ),
  n &amp; "" "" &amp; word &amp; ""/час""
)"),"4 мили/час")</f>
        <v>4 мили/час</v>
      </c>
      <c r="M27" s="449" t="s">
        <v>26</v>
      </c>
      <c r="N27" s="449" t="s">
        <v>26</v>
      </c>
      <c r="O27" s="449">
        <v>80.0</v>
      </c>
      <c r="P27" s="449" t="s">
        <v>26</v>
      </c>
      <c r="Q27" s="629" t="s">
        <v>26</v>
      </c>
      <c r="R27" s="629" t="s">
        <v>26</v>
      </c>
      <c r="S27" s="629" t="s">
        <v>4405</v>
      </c>
      <c r="T27" s="450"/>
    </row>
    <row r="28">
      <c r="A28" s="632" t="s">
        <v>4406</v>
      </c>
      <c r="B28" s="630">
        <v>295.0</v>
      </c>
      <c r="C28" s="445" t="s">
        <v>4387</v>
      </c>
      <c r="D28" s="445" t="s">
        <v>4407</v>
      </c>
      <c r="E28" s="445" t="str">
        <f>IFERROR(__xludf.DUMMYFUNCTION("VALUE(REGEXEXTRACT(D28, ""\d+""))/100 &amp; "" зм / день"""),"500 зм / день")</f>
        <v>500 зм / день</v>
      </c>
      <c r="F28" s="445">
        <v>5.0</v>
      </c>
      <c r="G28" s="445" t="s">
        <v>4408</v>
      </c>
      <c r="H28" s="445">
        <v>1000.0</v>
      </c>
      <c r="I28" s="445">
        <v>16.0</v>
      </c>
      <c r="J28" s="445" t="s">
        <v>725</v>
      </c>
      <c r="K28" s="630" t="s">
        <v>26</v>
      </c>
      <c r="L28" s="445" t="str">
        <f>IFERROR(__xludf.DUMMYFUNCTION("LET(
  n, VALUE(REGEXEXTRACT(J28, ""\d+""))/10,
  last, MOD(n, 10),
  word, IFS(
    last = 1, ""миля"",
    AND(last &gt;= 2, last &lt;= 4), ""мили"",
    TRUE, ""миль""
  ),
  n &amp; "" "" &amp; word &amp; ""/час""
)"),"12 мили/час")</f>
        <v>12 мили/час</v>
      </c>
      <c r="M28" s="445" t="s">
        <v>26</v>
      </c>
      <c r="N28" s="445" t="s">
        <v>4409</v>
      </c>
      <c r="O28" s="445">
        <v>30.0</v>
      </c>
      <c r="P28" s="445">
        <v>200.0</v>
      </c>
      <c r="Q28" s="630" t="s">
        <v>26</v>
      </c>
      <c r="R28" s="630" t="s">
        <v>26</v>
      </c>
      <c r="S28" s="630" t="s">
        <v>4410</v>
      </c>
      <c r="T28" s="446"/>
    </row>
    <row r="29">
      <c r="A29" s="631" t="s">
        <v>4411</v>
      </c>
      <c r="B29" s="629">
        <v>300.0</v>
      </c>
      <c r="C29" s="449" t="s">
        <v>4387</v>
      </c>
      <c r="D29" s="449" t="s">
        <v>446</v>
      </c>
      <c r="E29" s="629" t="s">
        <v>26</v>
      </c>
      <c r="F29" s="449">
        <v>6.0</v>
      </c>
      <c r="G29" s="449" t="s">
        <v>4412</v>
      </c>
      <c r="H29" s="449">
        <v>1200.0</v>
      </c>
      <c r="I29" s="449">
        <v>16.0</v>
      </c>
      <c r="J29" s="449" t="s">
        <v>693</v>
      </c>
      <c r="K29" s="629" t="s">
        <v>26</v>
      </c>
      <c r="L29" s="449" t="str">
        <f>IFERROR(__xludf.DUMMYFUNCTION("LET(
  n, VALUE(REGEXEXTRACT(J29, ""\d+""))/10,
  last, MOD(n, 10),
  word, IFS(
    last = 1, ""миля"",
    AND(last &gt;= 2, last &lt;= 4), ""мили"",
    TRUE, ""миль""
  ),
  n &amp; "" "" &amp; word &amp; ""/час""
)"),"6 миль/час")</f>
        <v>6 миль/час</v>
      </c>
      <c r="M29" s="449" t="s">
        <v>26</v>
      </c>
      <c r="N29" s="449" t="s">
        <v>4413</v>
      </c>
      <c r="O29" s="449">
        <v>80.0</v>
      </c>
      <c r="P29" s="449">
        <v>20.0</v>
      </c>
      <c r="Q29" s="629" t="s">
        <v>26</v>
      </c>
      <c r="R29" s="629" t="s">
        <v>26</v>
      </c>
      <c r="S29" s="629" t="s">
        <v>4414</v>
      </c>
      <c r="T29" s="450"/>
    </row>
    <row r="30">
      <c r="A30" s="632" t="s">
        <v>4415</v>
      </c>
      <c r="B30" s="630">
        <v>310.0</v>
      </c>
      <c r="C30" s="445" t="s">
        <v>4387</v>
      </c>
      <c r="D30" s="445" t="s">
        <v>4416</v>
      </c>
      <c r="E30" s="630" t="s">
        <v>26</v>
      </c>
      <c r="F30" s="445">
        <v>7.0</v>
      </c>
      <c r="G30" s="445" t="s">
        <v>4417</v>
      </c>
      <c r="H30" s="445">
        <v>2000.0</v>
      </c>
      <c r="I30" s="445">
        <v>16.0</v>
      </c>
      <c r="J30" s="445" t="s">
        <v>4418</v>
      </c>
      <c r="K30" s="630" t="s">
        <v>26</v>
      </c>
      <c r="L30" s="445" t="str">
        <f>IFERROR(__xludf.DUMMYFUNCTION("LET(
  n, VALUE(REGEXEXTRACT(J30, ""\d+""))/10,
  last, MOD(n, 10),
  word, IFS(
    last = 1, ""миля"",
    AND(last &gt;= 2, last &lt;= 4), ""мили"",
    TRUE, ""миль""
  ),
  n &amp; "" "" &amp; word &amp; ""/час""
)"),"10 миль/час")</f>
        <v>10 миль/час</v>
      </c>
      <c r="M30" s="445" t="s">
        <v>26</v>
      </c>
      <c r="N30" s="445" t="s">
        <v>4419</v>
      </c>
      <c r="O30" s="445">
        <v>800.0</v>
      </c>
      <c r="P30" s="445">
        <v>200.0</v>
      </c>
      <c r="Q30" s="630" t="s">
        <v>26</v>
      </c>
      <c r="R30" s="630" t="s">
        <v>26</v>
      </c>
      <c r="S30" s="630" t="s">
        <v>4398</v>
      </c>
      <c r="T30" s="446"/>
    </row>
    <row r="31">
      <c r="A31" s="631" t="s">
        <v>4420</v>
      </c>
      <c r="B31" s="629">
        <v>320.0</v>
      </c>
      <c r="C31" s="449" t="s">
        <v>4387</v>
      </c>
      <c r="D31" s="449" t="s">
        <v>4421</v>
      </c>
      <c r="E31" s="629" t="s">
        <v>26</v>
      </c>
      <c r="F31" s="449">
        <v>8.0</v>
      </c>
      <c r="G31" s="449" t="s">
        <v>4422</v>
      </c>
      <c r="H31" s="449">
        <v>3000.0</v>
      </c>
      <c r="I31" s="449">
        <v>16.0</v>
      </c>
      <c r="J31" s="449" t="s">
        <v>4423</v>
      </c>
      <c r="K31" s="629" t="s">
        <v>26</v>
      </c>
      <c r="L31" s="449" t="str">
        <f>IFERROR(__xludf.DUMMYFUNCTION("LET(
  n, VALUE(REGEXEXTRACT(J31, ""\d+""))/10,
  last, MOD(n, 10),
  word, IFS(
    last = 1, ""миля"",
    AND(last &gt;= 2, last &lt;= 4), ""мили"",
    TRUE, ""миль""
  ),
  n &amp; "" "" &amp; word &amp; ""/час""
)"),"15 миль/час")</f>
        <v>15 миль/час</v>
      </c>
      <c r="M31" s="449" t="s">
        <v>26</v>
      </c>
      <c r="N31" s="449" t="s">
        <v>4424</v>
      </c>
      <c r="O31" s="449">
        <v>600.0</v>
      </c>
      <c r="P31" s="449">
        <v>100.0</v>
      </c>
      <c r="Q31" s="629" t="s">
        <v>26</v>
      </c>
      <c r="R31" s="629" t="s">
        <v>26</v>
      </c>
      <c r="S31" s="629" t="s">
        <v>4425</v>
      </c>
      <c r="T31" s="450"/>
    </row>
    <row r="32">
      <c r="A32" s="632" t="s">
        <v>4426</v>
      </c>
      <c r="B32" s="630">
        <v>350.0</v>
      </c>
      <c r="C32" s="445" t="s">
        <v>4387</v>
      </c>
      <c r="D32" s="445" t="s">
        <v>4427</v>
      </c>
      <c r="E32" s="630" t="s">
        <v>26</v>
      </c>
      <c r="F32" s="445">
        <v>9.0</v>
      </c>
      <c r="G32" s="445" t="s">
        <v>4428</v>
      </c>
      <c r="H32" s="445">
        <v>5000.0</v>
      </c>
      <c r="I32" s="445">
        <v>17.0</v>
      </c>
      <c r="J32" s="445" t="s">
        <v>4429</v>
      </c>
      <c r="K32" s="630" t="s">
        <v>26</v>
      </c>
      <c r="L32" s="445" t="str">
        <f>IFERROR(__xludf.DUMMYFUNCTION("LET(
  n, VALUE(REGEXEXTRACT(J32, ""\d+""))/10,
  last, MOD(n, 10),
  word, IFS(
    last = 1, ""миля"",
    AND(last &gt;= 2, last &lt;= 4), ""мили"",
    TRUE, ""миль""
  ),
  n &amp; "" "" &amp; word &amp; ""/час""
)"),"20 миль/час")</f>
        <v>20 миль/час</v>
      </c>
      <c r="M32" s="445" t="s">
        <v>26</v>
      </c>
      <c r="N32" s="445" t="s">
        <v>4430</v>
      </c>
      <c r="O32" s="445">
        <v>2000.0</v>
      </c>
      <c r="P32" s="445">
        <v>100.0</v>
      </c>
      <c r="Q32" s="630" t="s">
        <v>26</v>
      </c>
      <c r="R32" s="630" t="s">
        <v>26</v>
      </c>
      <c r="S32" s="630" t="s">
        <v>4431</v>
      </c>
      <c r="T32" s="446"/>
    </row>
    <row r="33">
      <c r="A33" s="449" t="s">
        <v>4432</v>
      </c>
      <c r="B33" s="629">
        <v>280.0</v>
      </c>
      <c r="C33" s="449" t="s">
        <v>4433</v>
      </c>
      <c r="D33" s="449" t="s">
        <v>409</v>
      </c>
      <c r="E33" s="449" t="str">
        <f>IFERROR(__xludf.DUMMYFUNCTION("VALUE(REGEXEXTRACT(D33, ""\d+""))/100 &amp; "" зм / день"""),"100 зм / день")</f>
        <v>100 зм / день</v>
      </c>
      <c r="F33" s="449">
        <v>3.0</v>
      </c>
      <c r="G33" s="449" t="s">
        <v>4434</v>
      </c>
      <c r="H33" s="449">
        <v>200.0</v>
      </c>
      <c r="I33" s="449">
        <v>13.0</v>
      </c>
      <c r="J33" s="449" t="s">
        <v>4418</v>
      </c>
      <c r="K33" s="629" t="s">
        <v>26</v>
      </c>
      <c r="L33" s="449" t="str">
        <f>IFERROR(__xludf.DUMMYFUNCTION("LET(
  n, VALUE(REGEXEXTRACT(J33, ""\d+""))/10,
  last, MOD(n, 10),
  word, IFS(
    last = 1, ""миля"",
    AND(last &gt;= 2, last &lt;= 4), ""мили"",
    TRUE, ""миль""
  ),
  n &amp; "" "" &amp; word &amp; ""/час""
)"),"10 миль/час")</f>
        <v>10 миль/час</v>
      </c>
      <c r="M33" s="449" t="s">
        <v>26</v>
      </c>
      <c r="N33" s="449" t="s">
        <v>4413</v>
      </c>
      <c r="O33" s="449">
        <v>10.0</v>
      </c>
      <c r="P33" s="449">
        <v>5.0</v>
      </c>
      <c r="Q33" s="629" t="s">
        <v>26</v>
      </c>
      <c r="R33" s="629" t="s">
        <v>26</v>
      </c>
      <c r="S33" s="629" t="s">
        <v>4435</v>
      </c>
      <c r="T33" s="450"/>
    </row>
    <row r="34">
      <c r="A34" s="445" t="s">
        <v>4436</v>
      </c>
      <c r="B34" s="445">
        <v>260.0</v>
      </c>
      <c r="C34" s="445" t="s">
        <v>4433</v>
      </c>
      <c r="D34" s="445" t="s">
        <v>1961</v>
      </c>
      <c r="E34" s="445" t="str">
        <f>IFERROR(__xludf.DUMMYFUNCTION("VALUE(REGEXEXTRACT(D34, ""\d+""))/100 &amp; "" зм / день"""),"200 зм / день")</f>
        <v>200 зм / день</v>
      </c>
      <c r="F34" s="445">
        <v>4.0</v>
      </c>
      <c r="G34" s="445" t="s">
        <v>4437</v>
      </c>
      <c r="H34" s="445">
        <v>400.0</v>
      </c>
      <c r="I34" s="445">
        <v>14.0</v>
      </c>
      <c r="J34" s="445" t="s">
        <v>4376</v>
      </c>
      <c r="K34" s="630" t="s">
        <v>26</v>
      </c>
      <c r="L34" s="445" t="str">
        <f>IFERROR(__xludf.DUMMYFUNCTION("LET(
  n, VALUE(REGEXEXTRACT(J34, ""\d+""))/10,
  last, MOD(n, 10),
  word, IFS(
    last = 1, ""миля"",
    AND(last &gt;= 2, last &lt;= 4), ""мили"",
    TRUE, ""миль""
  ),
  n &amp; "" "" &amp; word &amp; ""/час""
)"),"8 миль/час")</f>
        <v>8 миль/час</v>
      </c>
      <c r="M34" s="445" t="s">
        <v>26</v>
      </c>
      <c r="N34" s="445" t="s">
        <v>4413</v>
      </c>
      <c r="O34" s="445">
        <v>10.0</v>
      </c>
      <c r="P34" s="445">
        <v>20.0</v>
      </c>
      <c r="Q34" s="630" t="s">
        <v>26</v>
      </c>
      <c r="R34" s="630" t="s">
        <v>26</v>
      </c>
      <c r="S34" s="630" t="s">
        <v>4438</v>
      </c>
      <c r="T34" s="446"/>
    </row>
    <row r="35">
      <c r="A35" s="449" t="s">
        <v>4439</v>
      </c>
      <c r="B35" s="449">
        <v>270.0</v>
      </c>
      <c r="C35" s="449" t="s">
        <v>4433</v>
      </c>
      <c r="D35" s="449" t="s">
        <v>4440</v>
      </c>
      <c r="E35" s="449" t="str">
        <f>IFERROR(__xludf.DUMMYFUNCTION("VALUE(REGEXEXTRACT(D35, ""\d+""))/100 &amp; "" зм / день"""),"1000 зм / день")</f>
        <v>1000 зм / день</v>
      </c>
      <c r="F35" s="449">
        <v>5.0</v>
      </c>
      <c r="G35" s="449" t="s">
        <v>4441</v>
      </c>
      <c r="H35" s="449">
        <v>500.0</v>
      </c>
      <c r="I35" s="449">
        <v>14.0</v>
      </c>
      <c r="J35" s="449" t="s">
        <v>4418</v>
      </c>
      <c r="K35" s="629" t="s">
        <v>26</v>
      </c>
      <c r="L35" s="449" t="str">
        <f>IFERROR(__xludf.DUMMYFUNCTION("LET(
  n, VALUE(REGEXEXTRACT(J35, ""\d+""))/10,
  last, MOD(n, 10),
  word, IFS(
    last = 1, ""миля"",
    AND(last &gt;= 2, last &lt;= 4), ""мили"",
    TRUE, ""миль""
  ),
  n &amp; "" "" &amp; word &amp; ""/час""
)"),"10 миль/час")</f>
        <v>10 миль/час</v>
      </c>
      <c r="M35" s="449" t="s">
        <v>26</v>
      </c>
      <c r="N35" s="449" t="s">
        <v>4442</v>
      </c>
      <c r="O35" s="449">
        <v>10.0</v>
      </c>
      <c r="P35" s="449">
        <v>30.0</v>
      </c>
      <c r="Q35" s="629" t="s">
        <v>26</v>
      </c>
      <c r="R35" s="629" t="s">
        <v>26</v>
      </c>
      <c r="S35" s="629" t="s">
        <v>4394</v>
      </c>
      <c r="T35" s="450"/>
    </row>
    <row r="36">
      <c r="A36" s="445" t="s">
        <v>4443</v>
      </c>
      <c r="B36" s="445">
        <v>295.0</v>
      </c>
      <c r="C36" s="445" t="s">
        <v>4433</v>
      </c>
      <c r="D36" s="445" t="s">
        <v>4416</v>
      </c>
      <c r="E36" s="445" t="str">
        <f>IFERROR(__xludf.DUMMYFUNCTION("VALUE(REGEXEXTRACT(D36, ""\d+""))/100 &amp; "" зм / день"""),"5000 зм / день")</f>
        <v>5000 зм / день</v>
      </c>
      <c r="F36" s="445">
        <v>6.0</v>
      </c>
      <c r="G36" s="445" t="s">
        <v>4431</v>
      </c>
      <c r="H36" s="445">
        <v>800.0</v>
      </c>
      <c r="I36" s="445">
        <v>15.0</v>
      </c>
      <c r="J36" s="445" t="s">
        <v>4444</v>
      </c>
      <c r="K36" s="630" t="s">
        <v>26</v>
      </c>
      <c r="L36" s="445" t="str">
        <f>IFERROR(__xludf.DUMMYFUNCTION("LET(
  n, VALUE(REGEXEXTRACT(J36, ""\d+""))/10,
  last, MOD(n, 10),
  word, IFS(
    last = 1, ""миля"",
    AND(last &gt;= 2, last &lt;= 4), ""мили"",
    TRUE, ""миль""
  ),
  n &amp; "" "" &amp; word &amp; ""/час""
)"),"25 миль/час")</f>
        <v>25 миль/час</v>
      </c>
      <c r="M36" s="445" t="s">
        <v>26</v>
      </c>
      <c r="N36" s="445" t="s">
        <v>4445</v>
      </c>
      <c r="O36" s="445">
        <v>20.0</v>
      </c>
      <c r="P36" s="445">
        <v>100.0</v>
      </c>
      <c r="Q36" s="630" t="s">
        <v>26</v>
      </c>
      <c r="R36" s="630" t="s">
        <v>26</v>
      </c>
      <c r="S36" s="630" t="s">
        <v>4405</v>
      </c>
      <c r="T36" s="446"/>
    </row>
    <row r="37">
      <c r="A37" s="449" t="s">
        <v>4446</v>
      </c>
      <c r="B37" s="449">
        <v>300.0</v>
      </c>
      <c r="C37" s="449" t="s">
        <v>4433</v>
      </c>
      <c r="D37" s="449" t="s">
        <v>4447</v>
      </c>
      <c r="E37" s="629" t="s">
        <v>26</v>
      </c>
      <c r="F37" s="449">
        <v>7.0</v>
      </c>
      <c r="G37" s="449" t="s">
        <v>4448</v>
      </c>
      <c r="H37" s="449">
        <v>1000.0</v>
      </c>
      <c r="I37" s="449">
        <v>15.0</v>
      </c>
      <c r="J37" s="449" t="s">
        <v>4449</v>
      </c>
      <c r="K37" s="629" t="s">
        <v>26</v>
      </c>
      <c r="L37" s="449" t="str">
        <f>IFERROR(__xludf.DUMMYFUNCTION("LET(
  n, VALUE(REGEXEXTRACT(J37, ""\d+""))/10,
  last, MOD(n, 10),
  word, IFS(
    last = 1, ""миля"",
    AND(last &gt;= 2, last &lt;= 4), ""мили"",
    TRUE, ""миль""
  ),
  n &amp; "" "" &amp; word &amp; ""/час""
)"),"40 миль/час")</f>
        <v>40 миль/час</v>
      </c>
      <c r="M37" s="449" t="s">
        <v>26</v>
      </c>
      <c r="N37" s="449" t="s">
        <v>4413</v>
      </c>
      <c r="O37" s="449">
        <v>30.0</v>
      </c>
      <c r="P37" s="449">
        <v>200.0</v>
      </c>
      <c r="Q37" s="629" t="s">
        <v>26</v>
      </c>
      <c r="R37" s="629" t="s">
        <v>26</v>
      </c>
      <c r="S37" s="629" t="s">
        <v>4450</v>
      </c>
      <c r="T37" s="450"/>
    </row>
    <row r="38">
      <c r="A38" s="445" t="s">
        <v>4451</v>
      </c>
      <c r="B38" s="445">
        <v>310.0</v>
      </c>
      <c r="C38" s="445" t="s">
        <v>4433</v>
      </c>
      <c r="D38" s="445" t="s">
        <v>4452</v>
      </c>
      <c r="E38" s="630" t="s">
        <v>26</v>
      </c>
      <c r="F38" s="445">
        <v>8.0</v>
      </c>
      <c r="G38" s="445" t="s">
        <v>4453</v>
      </c>
      <c r="H38" s="445">
        <v>1500.0</v>
      </c>
      <c r="I38" s="445">
        <v>16.0</v>
      </c>
      <c r="J38" s="445" t="s">
        <v>4454</v>
      </c>
      <c r="K38" s="630" t="s">
        <v>26</v>
      </c>
      <c r="L38" s="445" t="str">
        <f>IFERROR(__xludf.DUMMYFUNCTION("LET(
  n, VALUE(REGEXEXTRACT(J38, ""\d+""))/10,
  last, MOD(n, 10),
  word, IFS(
    last = 1, ""миля"",
    AND(last &gt;= 2, last &lt;= 4), ""мили"",
    TRUE, ""миль""
  ),
  n &amp; "" "" &amp; word &amp; ""/час""
)"),"45 миль/час")</f>
        <v>45 миль/час</v>
      </c>
      <c r="M38" s="445" t="s">
        <v>26</v>
      </c>
      <c r="N38" s="445" t="s">
        <v>4455</v>
      </c>
      <c r="O38" s="445">
        <v>40.0</v>
      </c>
      <c r="P38" s="445">
        <v>300.0</v>
      </c>
      <c r="Q38" s="630" t="s">
        <v>26</v>
      </c>
      <c r="R38" s="630" t="s">
        <v>26</v>
      </c>
      <c r="S38" s="630" t="s">
        <v>4456</v>
      </c>
      <c r="T38" s="446"/>
    </row>
    <row r="39">
      <c r="A39" s="449" t="s">
        <v>4457</v>
      </c>
      <c r="B39" s="449">
        <v>320.0</v>
      </c>
      <c r="C39" s="449" t="s">
        <v>4433</v>
      </c>
      <c r="D39" s="449" t="s">
        <v>4458</v>
      </c>
      <c r="E39" s="629" t="s">
        <v>26</v>
      </c>
      <c r="F39" s="449">
        <v>9.0</v>
      </c>
      <c r="G39" s="449" t="s">
        <v>4459</v>
      </c>
      <c r="H39" s="449">
        <v>2000.0</v>
      </c>
      <c r="I39" s="449">
        <v>16.0</v>
      </c>
      <c r="J39" s="449" t="s">
        <v>4460</v>
      </c>
      <c r="K39" s="629" t="s">
        <v>26</v>
      </c>
      <c r="L39" s="449" t="str">
        <f>IFERROR(__xludf.DUMMYFUNCTION("LET(
  n, VALUE(REGEXEXTRACT(J39, ""\d+""))/10,
  last, MOD(n, 10),
  word, IFS(
    last = 1, ""миля"",
    AND(last &gt;= 2, last &lt;= 4), ""мили"",
    TRUE, ""миль""
  ),
  n &amp; "" "" &amp; word &amp; ""/час""
)"),"30 миль/час")</f>
        <v>30 миль/час</v>
      </c>
      <c r="M39" s="449" t="s">
        <v>26</v>
      </c>
      <c r="N39" s="449" t="s">
        <v>4461</v>
      </c>
      <c r="O39" s="449">
        <v>50.0</v>
      </c>
      <c r="P39" s="449">
        <v>400.0</v>
      </c>
      <c r="Q39" s="629" t="s">
        <v>26</v>
      </c>
      <c r="R39" s="629" t="s">
        <v>26</v>
      </c>
      <c r="S39" s="629" t="s">
        <v>4402</v>
      </c>
      <c r="T39" s="450"/>
    </row>
    <row r="40">
      <c r="A40" s="445" t="s">
        <v>4462</v>
      </c>
      <c r="B40" s="445">
        <v>350.0</v>
      </c>
      <c r="C40" s="445" t="s">
        <v>4433</v>
      </c>
      <c r="D40" s="445" t="s">
        <v>4463</v>
      </c>
      <c r="E40" s="630" t="s">
        <v>26</v>
      </c>
      <c r="F40" s="445">
        <v>10.0</v>
      </c>
      <c r="G40" s="445" t="s">
        <v>4464</v>
      </c>
      <c r="H40" s="445">
        <v>2500.0</v>
      </c>
      <c r="I40" s="445">
        <v>17.0</v>
      </c>
      <c r="J40" s="445" t="s">
        <v>4444</v>
      </c>
      <c r="K40" s="630" t="s">
        <v>26</v>
      </c>
      <c r="L40" s="445" t="str">
        <f>IFERROR(__xludf.DUMMYFUNCTION("LET(
  n, VALUE(REGEXEXTRACT(J40, ""\d+""))/10,
  last, MOD(n, 10),
  word, IFS(
    last = 1, ""миля"",
    AND(last &gt;= 2, last &lt;= 4), ""мили"",
    TRUE, ""миль""
  ),
  n &amp; "" "" &amp; word &amp; ""/час""
)"),"25 миль/час")</f>
        <v>25 миль/час</v>
      </c>
      <c r="M40" s="445" t="s">
        <v>26</v>
      </c>
      <c r="N40" s="445" t="s">
        <v>4465</v>
      </c>
      <c r="O40" s="445">
        <v>100.0</v>
      </c>
      <c r="P40" s="445">
        <v>800.0</v>
      </c>
      <c r="Q40" s="630" t="s">
        <v>26</v>
      </c>
      <c r="R40" s="630" t="s">
        <v>26</v>
      </c>
      <c r="S40" s="630" t="s">
        <v>4405</v>
      </c>
      <c r="T40" s="446"/>
    </row>
    <row r="41">
      <c r="A41" s="449" t="s">
        <v>4466</v>
      </c>
      <c r="B41" s="449">
        <v>310.0</v>
      </c>
      <c r="C41" s="449" t="s">
        <v>4433</v>
      </c>
      <c r="D41" s="449" t="s">
        <v>4407</v>
      </c>
      <c r="E41" s="449" t="str">
        <f>IFERROR(__xludf.DUMMYFUNCTION("VALUE(REGEXEXTRACT(D41, ""\d+""))/100 &amp; "" зм / день"""),"500 зм / день")</f>
        <v>500 зм / день</v>
      </c>
      <c r="F41" s="449">
        <v>5.0</v>
      </c>
      <c r="G41" s="449" t="s">
        <v>4400</v>
      </c>
      <c r="H41" s="449">
        <v>150.0</v>
      </c>
      <c r="I41" s="449">
        <v>15.0</v>
      </c>
      <c r="J41" s="449" t="s">
        <v>4467</v>
      </c>
      <c r="K41" s="629" t="s">
        <v>26</v>
      </c>
      <c r="L41" s="449" t="str">
        <f>IFERROR(__xludf.DUMMYFUNCTION("LET(
  n, VALUE(REGEXEXTRACT(J41, ""\d+""))/10,
  last, MOD(n, 10),
  word, IFS(
    last = 1, ""миля"",
    AND(last &gt;= 2, last &lt;= 4), ""мили"",
    TRUE, ""миль""
  ),
  n &amp; "" "" &amp; word &amp; ""/час""
)"),"80 миль/час")</f>
        <v>80 миль/час</v>
      </c>
      <c r="M41" s="449">
        <v>4.0</v>
      </c>
      <c r="N41" s="449" t="s">
        <v>4468</v>
      </c>
      <c r="O41" s="449">
        <v>1.0</v>
      </c>
      <c r="P41" s="449">
        <v>3.0</v>
      </c>
      <c r="Q41" s="629" t="s">
        <v>26</v>
      </c>
      <c r="R41" s="629" t="s">
        <v>26</v>
      </c>
      <c r="S41" s="629" t="s">
        <v>4469</v>
      </c>
      <c r="T41" s="450"/>
    </row>
    <row r="42">
      <c r="A42" s="445" t="s">
        <v>4470</v>
      </c>
      <c r="B42" s="445">
        <v>320.0</v>
      </c>
      <c r="C42" s="445" t="s">
        <v>4433</v>
      </c>
      <c r="D42" s="445" t="s">
        <v>4440</v>
      </c>
      <c r="E42" s="445" t="str">
        <f>IFERROR(__xludf.DUMMYFUNCTION("VALUE(REGEXEXTRACT(D42, ""\d+""))/100 &amp; "" зм / день"""),"1000 зм / день")</f>
        <v>1000 зм / день</v>
      </c>
      <c r="F42" s="445">
        <v>7.0</v>
      </c>
      <c r="G42" s="445" t="s">
        <v>4471</v>
      </c>
      <c r="H42" s="445">
        <v>200.0</v>
      </c>
      <c r="I42" s="445">
        <v>16.0</v>
      </c>
      <c r="J42" s="445" t="s">
        <v>4472</v>
      </c>
      <c r="K42" s="630" t="s">
        <v>26</v>
      </c>
      <c r="L42" s="445" t="str">
        <f>IFERROR(__xludf.DUMMYFUNCTION("LET(
  n, VALUE(REGEXEXTRACT(J42, ""\d+""))/10,
  last, MOD(n, 10),
  word, IFS(
    last = 1, ""миля"",
    AND(last &gt;= 2, last &lt;= 4), ""мили"",
    TRUE, ""миль""
  ),
  n &amp; "" "" &amp; word &amp; ""/час""
)"),"240 миль/час")</f>
        <v>240 миль/час</v>
      </c>
      <c r="M42" s="445">
        <v>3.0</v>
      </c>
      <c r="N42" s="445" t="s">
        <v>4473</v>
      </c>
      <c r="O42" s="445">
        <v>2.0</v>
      </c>
      <c r="P42" s="445">
        <v>12.0</v>
      </c>
      <c r="Q42" s="630" t="s">
        <v>26</v>
      </c>
      <c r="R42" s="630" t="s">
        <v>26</v>
      </c>
      <c r="S42" s="630" t="s">
        <v>4474</v>
      </c>
      <c r="T42" s="446"/>
    </row>
    <row r="43">
      <c r="A43" s="449" t="s">
        <v>4475</v>
      </c>
      <c r="B43" s="449">
        <v>330.0</v>
      </c>
      <c r="C43" s="449" t="s">
        <v>4433</v>
      </c>
      <c r="D43" s="449" t="s">
        <v>434</v>
      </c>
      <c r="E43" s="629" t="s">
        <v>26</v>
      </c>
      <c r="F43" s="449">
        <v>9.0</v>
      </c>
      <c r="G43" s="449" t="s">
        <v>4400</v>
      </c>
      <c r="H43" s="449">
        <v>250.0</v>
      </c>
      <c r="I43" s="449">
        <v>17.0</v>
      </c>
      <c r="J43" s="449" t="s">
        <v>4476</v>
      </c>
      <c r="K43" s="629" t="s">
        <v>26</v>
      </c>
      <c r="L43" s="449" t="str">
        <f>IFERROR(__xludf.DUMMYFUNCTION("LET(
  n, VALUE(REGEXEXTRACT(J43, ""\d+""))/10,
  last, MOD(n, 10),
  word, IFS(
    last = 1, ""миля"",
    AND(last &gt;= 2, last &lt;= 4), ""мили"",
    TRUE, ""миль""
  ),
  n &amp; "" "" &amp; word &amp; ""/час""
)"),"160 миль/час")</f>
        <v>160 миль/час</v>
      </c>
      <c r="M43" s="449">
        <v>1.0</v>
      </c>
      <c r="N43" s="449" t="s">
        <v>4455</v>
      </c>
      <c r="O43" s="449">
        <v>2.0</v>
      </c>
      <c r="P43" s="449">
        <v>4.0</v>
      </c>
      <c r="Q43" s="629" t="s">
        <v>26</v>
      </c>
      <c r="R43" s="629" t="s">
        <v>26</v>
      </c>
      <c r="S43" s="629" t="s">
        <v>4437</v>
      </c>
      <c r="T43" s="450"/>
    </row>
    <row r="44">
      <c r="A44" s="445" t="s">
        <v>4477</v>
      </c>
      <c r="B44" s="445">
        <v>330.0</v>
      </c>
      <c r="C44" s="445" t="s">
        <v>4433</v>
      </c>
      <c r="D44" s="445" t="s">
        <v>4440</v>
      </c>
      <c r="E44" s="445" t="str">
        <f>IFERROR(__xludf.DUMMYFUNCTION("VALUE(REGEXEXTRACT(D44, ""\d+""))/100 &amp; "" зм / день"""),"1000 зм / день")</f>
        <v>1000 зм / день</v>
      </c>
      <c r="F44" s="445">
        <v>4.0</v>
      </c>
      <c r="G44" s="445" t="s">
        <v>4469</v>
      </c>
      <c r="H44" s="445">
        <v>300.0</v>
      </c>
      <c r="I44" s="445">
        <v>14.0</v>
      </c>
      <c r="J44" s="445" t="s">
        <v>4467</v>
      </c>
      <c r="K44" s="630" t="s">
        <v>26</v>
      </c>
      <c r="L44" s="445" t="str">
        <f>IFERROR(__xludf.DUMMYFUNCTION("LET(
  n, VALUE(REGEXEXTRACT(J44, ""\d+""))/10,
  last, MOD(n, 10),
  word, IFS(
    last = 1, ""миля"",
    AND(last &gt;= 2, last &lt;= 4), ""мили"",
    TRUE, ""миль""
  ),
  n &amp; "" "" &amp; word &amp; ""/час""
)"),"80 миль/час")</f>
        <v>80 миль/час</v>
      </c>
      <c r="M44" s="445">
        <v>5.0</v>
      </c>
      <c r="N44" s="445" t="s">
        <v>4455</v>
      </c>
      <c r="O44" s="445">
        <v>1.0</v>
      </c>
      <c r="P44" s="445">
        <v>1.0</v>
      </c>
      <c r="Q44" s="630" t="s">
        <v>26</v>
      </c>
      <c r="R44" s="630" t="s">
        <v>26</v>
      </c>
      <c r="S44" s="630" t="s">
        <v>4478</v>
      </c>
      <c r="T44" s="446"/>
    </row>
    <row r="45">
      <c r="A45" s="449" t="s">
        <v>4479</v>
      </c>
      <c r="B45" s="449">
        <v>340.0</v>
      </c>
      <c r="C45" s="449" t="s">
        <v>4433</v>
      </c>
      <c r="D45" s="449" t="s">
        <v>434</v>
      </c>
      <c r="E45" s="629" t="s">
        <v>26</v>
      </c>
      <c r="F45" s="449">
        <v>6.0</v>
      </c>
      <c r="G45" s="449" t="s">
        <v>4437</v>
      </c>
      <c r="H45" s="449">
        <v>500.0</v>
      </c>
      <c r="I45" s="449">
        <v>15.0</v>
      </c>
      <c r="J45" s="449" t="s">
        <v>4480</v>
      </c>
      <c r="K45" s="629" t="s">
        <v>26</v>
      </c>
      <c r="L45" s="449" t="str">
        <f>IFERROR(__xludf.DUMMYFUNCTION("LET(
  n, VALUE(REGEXEXTRACT(J45, ""\d+""))/10,
  last, MOD(n, 10),
  word, IFS(
    last = 1, ""миля"",
    AND(last &gt;= 2, last &lt;= 4), ""мили"",
    TRUE, ""миль""
  ),
  n &amp; "" "" &amp; word &amp; ""/час""
)"),"100 миль/час")</f>
        <v>100 миль/час</v>
      </c>
      <c r="M45" s="449">
        <v>1.0</v>
      </c>
      <c r="N45" s="449" t="s">
        <v>4455</v>
      </c>
      <c r="O45" s="449">
        <v>2.0</v>
      </c>
      <c r="P45" s="449">
        <v>4.0</v>
      </c>
      <c r="Q45" s="629" t="s">
        <v>26</v>
      </c>
      <c r="R45" s="629" t="s">
        <v>26</v>
      </c>
      <c r="S45" s="629" t="s">
        <v>4469</v>
      </c>
      <c r="T45" s="450"/>
    </row>
    <row r="46">
      <c r="A46" s="445" t="s">
        <v>4481</v>
      </c>
      <c r="B46" s="445">
        <v>350.0</v>
      </c>
      <c r="C46" s="445" t="s">
        <v>4433</v>
      </c>
      <c r="D46" s="445" t="s">
        <v>4482</v>
      </c>
      <c r="E46" s="445" t="str">
        <f>IFERROR(__xludf.DUMMYFUNCTION("VALUE(REGEXEXTRACT(D46, ""\d+""))/100 &amp; "" зм / день"""),"4000 зм / день")</f>
        <v>4000 зм / день</v>
      </c>
      <c r="F46" s="445">
        <v>8.0</v>
      </c>
      <c r="G46" s="445" t="s">
        <v>4425</v>
      </c>
      <c r="H46" s="445">
        <v>800.0</v>
      </c>
      <c r="I46" s="445">
        <v>16.0</v>
      </c>
      <c r="J46" s="445" t="s">
        <v>4483</v>
      </c>
      <c r="K46" s="630" t="s">
        <v>26</v>
      </c>
      <c r="L46" s="445" t="str">
        <f>IFERROR(__xludf.DUMMYFUNCTION("LET(
  n, VALUE(REGEXEXTRACT(J46, ""\d+""))/10,
  last, MOD(n, 10),
  word, IFS(
    last = 1, ""миля"",
    AND(last &gt;= 2, last &lt;= 4), ""мили"",
    TRUE, ""миль""
  ),
  n &amp; "" "" &amp; word &amp; ""/час""
)"),"50 миль/час")</f>
        <v>50 миль/час</v>
      </c>
      <c r="M46" s="445">
        <v>2.0</v>
      </c>
      <c r="N46" s="445" t="s">
        <v>4455</v>
      </c>
      <c r="O46" s="445">
        <v>4.0</v>
      </c>
      <c r="P46" s="445">
        <v>25.0</v>
      </c>
      <c r="Q46" s="630" t="s">
        <v>26</v>
      </c>
      <c r="R46" s="630" t="s">
        <v>26</v>
      </c>
      <c r="S46" s="630" t="s">
        <v>4450</v>
      </c>
      <c r="T46" s="446"/>
    </row>
    <row r="47">
      <c r="A47" s="449" t="s">
        <v>4484</v>
      </c>
      <c r="B47" s="449">
        <v>310.0</v>
      </c>
      <c r="C47" s="449" t="s">
        <v>4485</v>
      </c>
      <c r="D47" s="449" t="s">
        <v>246</v>
      </c>
      <c r="E47" s="629" t="s">
        <v>26</v>
      </c>
      <c r="F47" s="449">
        <v>2.0</v>
      </c>
      <c r="G47" s="449" t="s">
        <v>441</v>
      </c>
      <c r="H47" s="449">
        <v>30.0</v>
      </c>
      <c r="I47" s="449">
        <v>11.0</v>
      </c>
      <c r="J47" s="449" t="s">
        <v>4486</v>
      </c>
      <c r="K47" s="449" t="s">
        <v>691</v>
      </c>
      <c r="L47" s="449" t="str">
        <f>IFERROR(__xludf.DUMMYFUNCTION("LET(
  n, VALUE(REGEXEXTRACT(J47, ""\d+""))/10,
  last, MOD(n, 10),
  word, IFS(
    last = 1, ""миля"",
    AND(last &gt;= 2, last &lt;= 4), ""мили"",
    TRUE, ""миль""
  ),
  n &amp; "" "" &amp; word &amp; ""/час""
)"),"4 мили/час")</f>
        <v>4 мили/час</v>
      </c>
      <c r="M47" s="449">
        <v>2.0</v>
      </c>
      <c r="N47" s="449" t="s">
        <v>26</v>
      </c>
      <c r="O47" s="449">
        <v>1.0</v>
      </c>
      <c r="P47" s="449">
        <v>1.0</v>
      </c>
      <c r="Q47" s="629" t="s">
        <v>26</v>
      </c>
      <c r="R47" s="629" t="s">
        <v>26</v>
      </c>
      <c r="S47" s="629" t="s">
        <v>1192</v>
      </c>
      <c r="T47" s="450"/>
    </row>
    <row r="48">
      <c r="A48" s="445" t="s">
        <v>4487</v>
      </c>
      <c r="B48" s="445">
        <v>315.0</v>
      </c>
      <c r="C48" s="445" t="s">
        <v>4485</v>
      </c>
      <c r="D48" s="445" t="s">
        <v>1239</v>
      </c>
      <c r="E48" s="630" t="s">
        <v>26</v>
      </c>
      <c r="F48" s="445">
        <v>3.0</v>
      </c>
      <c r="G48" s="445" t="s">
        <v>435</v>
      </c>
      <c r="H48" s="445">
        <v>45.0</v>
      </c>
      <c r="I48" s="445">
        <v>12.0</v>
      </c>
      <c r="J48" s="445" t="s">
        <v>4488</v>
      </c>
      <c r="K48" s="445" t="s">
        <v>4401</v>
      </c>
      <c r="L48" s="445" t="str">
        <f>IFERROR(__xludf.DUMMYFUNCTION("LET(
  n, VALUE(REGEXEXTRACT(J48, ""\d+""))/10,
  last, MOD(n, 10),
  word, IFS(
    last = 1, ""миля"",
    AND(last &gt;= 2, last &lt;= 4), ""мили"",
    TRUE, ""миль""
  ),
  n &amp; "" "" &amp; word &amp; ""/час""
)"),"5 миль/час")</f>
        <v>5 миль/час</v>
      </c>
      <c r="M48" s="445">
        <v>1.0</v>
      </c>
      <c r="N48" s="445" t="s">
        <v>4489</v>
      </c>
      <c r="O48" s="445">
        <v>1.0</v>
      </c>
      <c r="P48" s="445">
        <v>2.0</v>
      </c>
      <c r="Q48" s="630" t="s">
        <v>26</v>
      </c>
      <c r="R48" s="630" t="s">
        <v>26</v>
      </c>
      <c r="S48" s="630" t="s">
        <v>4490</v>
      </c>
      <c r="T48" s="446"/>
    </row>
    <row r="49">
      <c r="A49" s="449" t="s">
        <v>4491</v>
      </c>
      <c r="B49" s="449">
        <v>310.0</v>
      </c>
      <c r="C49" s="449" t="s">
        <v>4485</v>
      </c>
      <c r="D49" s="449" t="s">
        <v>700</v>
      </c>
      <c r="E49" s="449" t="str">
        <f>IFERROR(__xludf.DUMMYFUNCTION("VALUE(REGEXEXTRACT(D49, ""\d+""))/100 &amp; "" зм / день"""),"1,5 зм / день")</f>
        <v>1,5 зм / день</v>
      </c>
      <c r="F49" s="449">
        <v>4.0</v>
      </c>
      <c r="G49" s="449" t="s">
        <v>1192</v>
      </c>
      <c r="H49" s="449">
        <v>60.0</v>
      </c>
      <c r="I49" s="449">
        <v>13.0</v>
      </c>
      <c r="J49" s="449" t="s">
        <v>4492</v>
      </c>
      <c r="K49" s="449" t="s">
        <v>4397</v>
      </c>
      <c r="L49" s="449" t="str">
        <f>IFERROR(__xludf.DUMMYFUNCTION("LET(
  n, VALUE(REGEXEXTRACT(J49, ""\d+""))/10,
  last, MOD(n, 10),
  word, IFS(
    last = 1, ""миля"",
    AND(last &gt;= 2, last &lt;= 4), ""мили"",
    TRUE, ""миль""
  ),
  n &amp; "" "" &amp; word &amp; ""/час""
)"),"8 миль/час")</f>
        <v>8 миль/час</v>
      </c>
      <c r="M49" s="449">
        <v>3.0</v>
      </c>
      <c r="N49" s="449" t="s">
        <v>4493</v>
      </c>
      <c r="O49" s="449">
        <v>1.0</v>
      </c>
      <c r="P49" s="449">
        <v>1.0</v>
      </c>
      <c r="Q49" s="629" t="s">
        <v>26</v>
      </c>
      <c r="R49" s="629" t="s">
        <v>26</v>
      </c>
      <c r="S49" s="629" t="s">
        <v>4434</v>
      </c>
      <c r="T49" s="450"/>
    </row>
    <row r="50">
      <c r="A50" s="445" t="s">
        <v>4494</v>
      </c>
      <c r="B50" s="445">
        <v>310.0</v>
      </c>
      <c r="C50" s="445" t="s">
        <v>4485</v>
      </c>
      <c r="D50" s="445" t="s">
        <v>526</v>
      </c>
      <c r="E50" s="445" t="str">
        <f>IFERROR(__xludf.DUMMYFUNCTION("VALUE(REGEXEXTRACT(D50, ""\d+""))/100 &amp; "" зм / день"""),"3,5 зм / день")</f>
        <v>3,5 зм / день</v>
      </c>
      <c r="F50" s="445">
        <v>5.0</v>
      </c>
      <c r="G50" s="445" t="s">
        <v>4495</v>
      </c>
      <c r="H50" s="445">
        <v>100.0</v>
      </c>
      <c r="I50" s="445">
        <v>14.0</v>
      </c>
      <c r="J50" s="445" t="s">
        <v>4496</v>
      </c>
      <c r="K50" s="445" t="s">
        <v>4397</v>
      </c>
      <c r="L50" s="445" t="str">
        <f>IFERROR(__xludf.DUMMYFUNCTION("LET(
  n, VALUE(REGEXEXTRACT(J50, ""\d+""))/10,
  last, MOD(n, 10),
  word, IFS(
    last = 1, ""миля"",
    AND(last &gt;= 2, last &lt;= 4), ""мили"",
    TRUE, ""миль""
  ),
  n &amp; "" "" &amp; word &amp; ""/час""
)"),"10 миль/час")</f>
        <v>10 миль/час</v>
      </c>
      <c r="M50" s="445">
        <v>5.0</v>
      </c>
      <c r="N50" s="445" t="s">
        <v>4497</v>
      </c>
      <c r="O50" s="445">
        <v>1.0</v>
      </c>
      <c r="P50" s="445">
        <v>2.0</v>
      </c>
      <c r="Q50" s="630" t="s">
        <v>26</v>
      </c>
      <c r="R50" s="630" t="s">
        <v>26</v>
      </c>
      <c r="S50" s="630" t="s">
        <v>4498</v>
      </c>
      <c r="T50" s="446"/>
    </row>
    <row r="51">
      <c r="A51" s="449" t="s">
        <v>4499</v>
      </c>
      <c r="B51" s="449">
        <v>320.0</v>
      </c>
      <c r="C51" s="449" t="s">
        <v>4485</v>
      </c>
      <c r="D51" s="449" t="s">
        <v>335</v>
      </c>
      <c r="E51" s="449" t="str">
        <f>IFERROR(__xludf.DUMMYFUNCTION("VALUE(REGEXEXTRACT(D51, ""\d+""))/100 &amp; "" зм / день"""),"6 зм / день")</f>
        <v>6 зм / день</v>
      </c>
      <c r="F51" s="449">
        <v>5.0</v>
      </c>
      <c r="G51" s="449" t="s">
        <v>4437</v>
      </c>
      <c r="H51" s="449">
        <v>150.0</v>
      </c>
      <c r="I51" s="449">
        <v>14.0</v>
      </c>
      <c r="J51" s="449" t="s">
        <v>4500</v>
      </c>
      <c r="K51" s="449" t="s">
        <v>4401</v>
      </c>
      <c r="L51" s="449" t="str">
        <f>IFERROR(__xludf.DUMMYFUNCTION("LET(
  n, VALUE(REGEXEXTRACT(J51, ""\d+""))/10,
  last, MOD(n, 10),
  word, IFS(
    last = 1, ""миля"",
    AND(last &gt;= 2, last &lt;= 4), ""мили"",
    TRUE, ""миль""
  ),
  n &amp; "" "" &amp; word &amp; ""/час""
)"),"25 миль/час")</f>
        <v>25 миль/час</v>
      </c>
      <c r="M51" s="449">
        <v>3.0</v>
      </c>
      <c r="N51" s="449" t="s">
        <v>4501</v>
      </c>
      <c r="O51" s="449">
        <v>1.0</v>
      </c>
      <c r="P51" s="449">
        <v>4.0</v>
      </c>
      <c r="Q51" s="629" t="s">
        <v>26</v>
      </c>
      <c r="R51" s="629" t="s">
        <v>26</v>
      </c>
      <c r="S51" s="629" t="s">
        <v>4502</v>
      </c>
      <c r="T51" s="450"/>
    </row>
    <row r="52">
      <c r="A52" s="445" t="s">
        <v>4503</v>
      </c>
      <c r="B52" s="445">
        <v>320.0</v>
      </c>
      <c r="C52" s="445" t="s">
        <v>4485</v>
      </c>
      <c r="D52" s="445" t="s">
        <v>322</v>
      </c>
      <c r="E52" s="445" t="str">
        <f>IFERROR(__xludf.DUMMYFUNCTION("VALUE(REGEXEXTRACT(D52, ""\d+""))/100 &amp; "" зм / день"""),"8 зм / день")</f>
        <v>8 зм / день</v>
      </c>
      <c r="F52" s="445">
        <v>6.0</v>
      </c>
      <c r="G52" s="445" t="s">
        <v>4441</v>
      </c>
      <c r="H52" s="445">
        <v>200.0</v>
      </c>
      <c r="I52" s="445">
        <v>14.0</v>
      </c>
      <c r="J52" s="445" t="s">
        <v>4504</v>
      </c>
      <c r="K52" s="445" t="s">
        <v>691</v>
      </c>
      <c r="L52" s="445" t="str">
        <f>IFERROR(__xludf.DUMMYFUNCTION("LET(
  n, VALUE(REGEXEXTRACT(J52, ""\d+""))/10,
  last, MOD(n, 10),
  word, IFS(
    last = 1, ""миля"",
    AND(last &gt;= 2, last &lt;= 4), ""мили"",
    TRUE, ""миль""
  ),
  n &amp; "" "" &amp; word &amp; ""/час""
)"),"12 мили/час")</f>
        <v>12 мили/час</v>
      </c>
      <c r="M52" s="445">
        <v>4.0</v>
      </c>
      <c r="N52" s="445" t="s">
        <v>4497</v>
      </c>
      <c r="O52" s="445">
        <v>1.0</v>
      </c>
      <c r="P52" s="445">
        <v>8.0</v>
      </c>
      <c r="Q52" s="630" t="s">
        <v>26</v>
      </c>
      <c r="R52" s="630" t="s">
        <v>26</v>
      </c>
      <c r="S52" s="630" t="s">
        <v>4505</v>
      </c>
      <c r="T52" s="446"/>
    </row>
    <row r="53">
      <c r="A53" s="449" t="s">
        <v>4506</v>
      </c>
      <c r="B53" s="449">
        <v>320.0</v>
      </c>
      <c r="C53" s="449" t="s">
        <v>4485</v>
      </c>
      <c r="D53" s="449" t="s">
        <v>365</v>
      </c>
      <c r="E53" s="449" t="str">
        <f>IFERROR(__xludf.DUMMYFUNCTION("VALUE(REGEXEXTRACT(D53, ""\d+""))/100 &amp; "" зм / день"""),"20 зм / день")</f>
        <v>20 зм / день</v>
      </c>
      <c r="F53" s="449">
        <v>7.0</v>
      </c>
      <c r="G53" s="449" t="s">
        <v>4478</v>
      </c>
      <c r="H53" s="449">
        <v>150.0</v>
      </c>
      <c r="I53" s="449">
        <v>16.0</v>
      </c>
      <c r="J53" s="449" t="s">
        <v>4507</v>
      </c>
      <c r="K53" s="449" t="s">
        <v>696</v>
      </c>
      <c r="L53" s="449" t="str">
        <f>IFERROR(__xludf.DUMMYFUNCTION("LET(
  n, VALUE(REGEXEXTRACT(J53, ""\d+""))/10,
  last, MOD(n, 10),
  word, IFS(
    last = 1, ""миля"",
    AND(last &gt;= 2, last &lt;= 4), ""мили"",
    TRUE, ""миль""
  ),
  n &amp; "" "" &amp; word &amp; ""/час""
)"),"30 миль/час")</f>
        <v>30 миль/час</v>
      </c>
      <c r="M53" s="449">
        <v>2.0</v>
      </c>
      <c r="N53" s="449" t="s">
        <v>4501</v>
      </c>
      <c r="O53" s="449">
        <v>1.0</v>
      </c>
      <c r="P53" s="449">
        <v>4.0</v>
      </c>
      <c r="Q53" s="629" t="s">
        <v>26</v>
      </c>
      <c r="R53" s="629" t="s">
        <v>26</v>
      </c>
      <c r="S53" s="629" t="s">
        <v>4469</v>
      </c>
      <c r="T53" s="450"/>
    </row>
    <row r="54">
      <c r="A54" s="445" t="s">
        <v>4508</v>
      </c>
      <c r="B54" s="445">
        <v>320.0</v>
      </c>
      <c r="C54" s="445" t="s">
        <v>4485</v>
      </c>
      <c r="D54" s="445" t="s">
        <v>593</v>
      </c>
      <c r="E54" s="630" t="s">
        <v>26</v>
      </c>
      <c r="F54" s="445">
        <v>7.0</v>
      </c>
      <c r="G54" s="445" t="s">
        <v>4474</v>
      </c>
      <c r="H54" s="445">
        <v>225.0</v>
      </c>
      <c r="I54" s="445">
        <v>18.0</v>
      </c>
      <c r="J54" s="445" t="s">
        <v>4496</v>
      </c>
      <c r="K54" s="445" t="s">
        <v>691</v>
      </c>
      <c r="L54" s="445" t="str">
        <f>IFERROR(__xludf.DUMMYFUNCTION("LET(
  n, VALUE(REGEXEXTRACT(J54, ""\d+""))/10,
  last, MOD(n, 10),
  word, IFS(
    last = 1, ""миля"",
    AND(last &gt;= 2, last &lt;= 4), ""мили"",
    TRUE, ""миль""
  ),
  n &amp; "" "" &amp; word &amp; ""/час""
)"),"10 миль/час")</f>
        <v>10 миль/час</v>
      </c>
      <c r="M54" s="445">
        <v>1.0</v>
      </c>
      <c r="N54" s="445" t="s">
        <v>4497</v>
      </c>
      <c r="O54" s="445">
        <v>1.0</v>
      </c>
      <c r="P54" s="445">
        <v>12.0</v>
      </c>
      <c r="Q54" s="630" t="s">
        <v>26</v>
      </c>
      <c r="R54" s="630" t="s">
        <v>26</v>
      </c>
      <c r="S54" s="630" t="s">
        <v>4435</v>
      </c>
      <c r="T54" s="446"/>
    </row>
    <row r="55">
      <c r="A55" s="449" t="s">
        <v>4509</v>
      </c>
      <c r="B55" s="449">
        <v>340.0</v>
      </c>
      <c r="C55" s="449" t="s">
        <v>4485</v>
      </c>
      <c r="D55" s="449" t="s">
        <v>341</v>
      </c>
      <c r="E55" s="449" t="str">
        <f>IFERROR(__xludf.DUMMYFUNCTION("VALUE(REGEXEXTRACT(D55, ""\d+""))/100 &amp; "" зм / день"""),"10 зм / день")</f>
        <v>10 зм / день</v>
      </c>
      <c r="F55" s="449">
        <v>6.0</v>
      </c>
      <c r="G55" s="449" t="s">
        <v>4471</v>
      </c>
      <c r="H55" s="449">
        <v>200.0</v>
      </c>
      <c r="I55" s="449">
        <v>11.0</v>
      </c>
      <c r="J55" s="449" t="s">
        <v>4496</v>
      </c>
      <c r="K55" s="449" t="s">
        <v>691</v>
      </c>
      <c r="L55" s="449" t="str">
        <f>IFERROR(__xludf.DUMMYFUNCTION("LET(
  n, VALUE(REGEXEXTRACT(J55, ""\d+""))/10,
  last, MOD(n, 10),
  word, IFS(
    last = 1, ""миля"",
    AND(last &gt;= 2, last &lt;= 4), ""мили"",
    TRUE, ""миль""
  ),
  n &amp; "" "" &amp; word &amp; ""/час""
)"),"10 миль/час")</f>
        <v>10 миль/час</v>
      </c>
      <c r="M55" s="449">
        <v>3.0</v>
      </c>
      <c r="N55" s="449" t="s">
        <v>4510</v>
      </c>
      <c r="O55" s="449">
        <v>1.0</v>
      </c>
      <c r="P55" s="449">
        <v>18.0</v>
      </c>
      <c r="Q55" s="629" t="s">
        <v>26</v>
      </c>
      <c r="R55" s="629" t="s">
        <v>26</v>
      </c>
      <c r="S55" s="629" t="s">
        <v>4438</v>
      </c>
      <c r="T55" s="450"/>
    </row>
    <row r="56">
      <c r="A56" s="445" t="s">
        <v>4511</v>
      </c>
      <c r="B56" s="445">
        <v>280.0</v>
      </c>
      <c r="C56" s="445" t="s">
        <v>4485</v>
      </c>
      <c r="D56" s="445" t="s">
        <v>572</v>
      </c>
      <c r="E56" s="445" t="str">
        <f>IFERROR(__xludf.DUMMYFUNCTION("VALUE(REGEXEXTRACT(D56, ""\d+""))/100 &amp; "" зм / день"""),"60 зм / день")</f>
        <v>60 зм / день</v>
      </c>
      <c r="F56" s="445">
        <v>4.0</v>
      </c>
      <c r="G56" s="445" t="s">
        <v>4512</v>
      </c>
      <c r="H56" s="445">
        <v>500.0</v>
      </c>
      <c r="I56" s="445">
        <v>15.0</v>
      </c>
      <c r="J56" s="445" t="s">
        <v>4488</v>
      </c>
      <c r="K56" s="445" t="s">
        <v>710</v>
      </c>
      <c r="L56" s="445" t="str">
        <f>IFERROR(__xludf.DUMMYFUNCTION("LET(
  n, VALUE(REGEXEXTRACT(J56, ""\d+""))/10,
  last, MOD(n, 10),
  word, IFS(
    last = 1, ""миля"",
    AND(last &gt;= 2, last &lt;= 4), ""мили"",
    TRUE, ""миль""
  ),
  n &amp; "" "" &amp; word &amp; ""/час""
)"),"5 миль/час")</f>
        <v>5 миль/час</v>
      </c>
      <c r="M56" s="445">
        <v>4.0</v>
      </c>
      <c r="N56" s="445" t="s">
        <v>4513</v>
      </c>
      <c r="O56" s="445">
        <v>8.0</v>
      </c>
      <c r="P56" s="445">
        <v>0.0</v>
      </c>
      <c r="Q56" s="630" t="s">
        <v>26</v>
      </c>
      <c r="R56" s="630" t="s">
        <v>26</v>
      </c>
      <c r="S56" s="630" t="s">
        <v>4514</v>
      </c>
      <c r="T56" s="446"/>
    </row>
    <row r="57">
      <c r="A57" s="455" t="s">
        <v>4515</v>
      </c>
      <c r="B57" s="449">
        <v>300.0</v>
      </c>
      <c r="C57" s="449" t="s">
        <v>4485</v>
      </c>
      <c r="D57" s="449" t="s">
        <v>409</v>
      </c>
      <c r="E57" s="629" t="s">
        <v>26</v>
      </c>
      <c r="F57" s="449">
        <v>6.0</v>
      </c>
      <c r="G57" s="449" t="s">
        <v>4448</v>
      </c>
      <c r="H57" s="449">
        <v>750.0</v>
      </c>
      <c r="I57" s="449">
        <v>16.0</v>
      </c>
      <c r="J57" s="449" t="s">
        <v>4496</v>
      </c>
      <c r="K57" s="449" t="s">
        <v>691</v>
      </c>
      <c r="L57" s="449" t="str">
        <f>IFERROR(__xludf.DUMMYFUNCTION("LET(
  n, VALUE(REGEXEXTRACT(J57, ""\d+""))/10,
  last, MOD(n, 10),
  word, IFS(
    last = 1, ""миля"",
    AND(last &gt;= 2, last &lt;= 4), ""мили"",
    TRUE, ""миль""
  ),
  n &amp; "" "" &amp; word &amp; ""/час""
)"),"10 миль/час")</f>
        <v>10 миль/час</v>
      </c>
      <c r="M57" s="449">
        <v>3.0</v>
      </c>
      <c r="N57" s="449" t="s">
        <v>4430</v>
      </c>
      <c r="O57" s="449">
        <v>10.0</v>
      </c>
      <c r="P57" s="449">
        <v>0.0</v>
      </c>
      <c r="Q57" s="629" t="s">
        <v>26</v>
      </c>
      <c r="R57" s="629" t="s">
        <v>26</v>
      </c>
      <c r="S57" s="629" t="s">
        <v>4516</v>
      </c>
      <c r="T57" s="450"/>
    </row>
    <row r="58">
      <c r="A58" s="457" t="s">
        <v>4517</v>
      </c>
      <c r="B58" s="445">
        <v>320.0</v>
      </c>
      <c r="C58" s="445" t="s">
        <v>4485</v>
      </c>
      <c r="D58" s="445" t="s">
        <v>1488</v>
      </c>
      <c r="E58" s="630" t="s">
        <v>26</v>
      </c>
      <c r="F58" s="445">
        <v>8.0</v>
      </c>
      <c r="G58" s="445" t="s">
        <v>4518</v>
      </c>
      <c r="H58" s="445">
        <v>1000.0</v>
      </c>
      <c r="I58" s="445">
        <v>17.0</v>
      </c>
      <c r="J58" s="445" t="s">
        <v>4500</v>
      </c>
      <c r="K58" s="445" t="s">
        <v>4401</v>
      </c>
      <c r="L58" s="445" t="str">
        <f>IFERROR(__xludf.DUMMYFUNCTION("LET(
  n, VALUE(REGEXEXTRACT(J58, ""\d+""))/10,
  last, MOD(n, 10),
  word, IFS(
    last = 1, ""миля"",
    AND(last &gt;= 2, last &lt;= 4), ""мили"",
    TRUE, ""миль""
  ),
  n &amp; "" "" &amp; word &amp; ""/час""
)"),"25 миль/час")</f>
        <v>25 миль/час</v>
      </c>
      <c r="M58" s="445">
        <v>5.0</v>
      </c>
      <c r="N58" s="445" t="s">
        <v>4519</v>
      </c>
      <c r="O58" s="445">
        <v>12.0</v>
      </c>
      <c r="P58" s="445">
        <v>0.0</v>
      </c>
      <c r="Q58" s="630" t="s">
        <v>26</v>
      </c>
      <c r="R58" s="630" t="s">
        <v>26</v>
      </c>
      <c r="S58" s="630" t="s">
        <v>4520</v>
      </c>
      <c r="T58" s="446"/>
    </row>
    <row r="59">
      <c r="A59" s="449" t="s">
        <v>4521</v>
      </c>
      <c r="B59" s="449">
        <v>280.0</v>
      </c>
      <c r="C59" s="449" t="s">
        <v>4485</v>
      </c>
      <c r="D59" s="449" t="s">
        <v>365</v>
      </c>
      <c r="E59" s="629" t="s">
        <v>26</v>
      </c>
      <c r="F59" s="449">
        <v>3.0</v>
      </c>
      <c r="G59" s="449" t="s">
        <v>4410</v>
      </c>
      <c r="H59" s="449">
        <v>300.0</v>
      </c>
      <c r="I59" s="449">
        <v>15.0</v>
      </c>
      <c r="J59" s="449" t="s">
        <v>26</v>
      </c>
      <c r="K59" s="449" t="s">
        <v>26</v>
      </c>
      <c r="L59" s="449" t="s">
        <v>26</v>
      </c>
      <c r="M59" s="449">
        <v>2.0</v>
      </c>
      <c r="N59" s="449" t="s">
        <v>4522</v>
      </c>
      <c r="O59" s="449">
        <v>1.0</v>
      </c>
      <c r="P59" s="449">
        <v>40.0</v>
      </c>
      <c r="Q59" s="629" t="s">
        <v>26</v>
      </c>
      <c r="R59" s="629" t="s">
        <v>26</v>
      </c>
      <c r="S59" s="629" t="s">
        <v>4405</v>
      </c>
      <c r="T59" s="450"/>
    </row>
    <row r="60">
      <c r="A60" s="445" t="s">
        <v>4523</v>
      </c>
      <c r="B60" s="445">
        <v>280.0</v>
      </c>
      <c r="C60" s="445" t="s">
        <v>4485</v>
      </c>
      <c r="D60" s="445" t="s">
        <v>341</v>
      </c>
      <c r="E60" s="630" t="s">
        <v>26</v>
      </c>
      <c r="F60" s="445">
        <v>3.0</v>
      </c>
      <c r="G60" s="445" t="s">
        <v>4431</v>
      </c>
      <c r="H60" s="445">
        <v>300.0</v>
      </c>
      <c r="I60" s="445">
        <v>16.0</v>
      </c>
      <c r="J60" s="445" t="s">
        <v>26</v>
      </c>
      <c r="K60" s="445" t="s">
        <v>26</v>
      </c>
      <c r="L60" s="445" t="s">
        <v>26</v>
      </c>
      <c r="M60" s="445">
        <v>2.0</v>
      </c>
      <c r="N60" s="445" t="s">
        <v>4524</v>
      </c>
      <c r="O60" s="445">
        <v>1.0</v>
      </c>
      <c r="P60" s="445">
        <v>0.0</v>
      </c>
      <c r="Q60" s="630" t="s">
        <v>26</v>
      </c>
      <c r="R60" s="630" t="s">
        <v>26</v>
      </c>
      <c r="S60" s="630" t="s">
        <v>4410</v>
      </c>
      <c r="T60" s="446"/>
    </row>
    <row r="61">
      <c r="A61" s="449" t="s">
        <v>4525</v>
      </c>
      <c r="B61" s="449">
        <v>350.0</v>
      </c>
      <c r="C61" s="449" t="s">
        <v>4485</v>
      </c>
      <c r="D61" s="449" t="s">
        <v>610</v>
      </c>
      <c r="E61" s="449" t="str">
        <f>IFERROR(__xludf.DUMMYFUNCTION("VALUE(REGEXEXTRACT(D61, ""\d+""))/100 &amp; "" зм / день"""),"50 зм / день")</f>
        <v>50 зм / день</v>
      </c>
      <c r="F61" s="449">
        <v>6.0</v>
      </c>
      <c r="G61" s="449" t="s">
        <v>4396</v>
      </c>
      <c r="H61" s="449">
        <v>300.0</v>
      </c>
      <c r="I61" s="449">
        <v>18.0</v>
      </c>
      <c r="J61" s="449" t="s">
        <v>4492</v>
      </c>
      <c r="K61" s="449" t="s">
        <v>4397</v>
      </c>
      <c r="L61" s="449" t="str">
        <f>IFERROR(__xludf.DUMMYFUNCTION("LET(
  n, VALUE(REGEXEXTRACT(J61, ""\d+""))/10,
  last, MOD(n, 10),
  word, IFS(
    last = 1, ""миля"",
    AND(last &gt;= 2, last &lt;= 4), ""мили"",
    TRUE, ""миль""
  ),
  n &amp; "" "" &amp; word &amp; ""/час""
)"),"8 миль/час")</f>
        <v>8 миль/час</v>
      </c>
      <c r="M61" s="449">
        <v>4.0</v>
      </c>
      <c r="N61" s="449" t="s">
        <v>4510</v>
      </c>
      <c r="O61" s="449">
        <v>1.0</v>
      </c>
      <c r="P61" s="449">
        <v>3.0</v>
      </c>
      <c r="Q61" s="629" t="s">
        <v>26</v>
      </c>
      <c r="R61" s="629" t="s">
        <v>26</v>
      </c>
      <c r="S61" s="629" t="s">
        <v>4392</v>
      </c>
      <c r="T61" s="450"/>
    </row>
    <row r="62">
      <c r="A62" s="445" t="s">
        <v>4526</v>
      </c>
      <c r="B62" s="445">
        <v>350.0</v>
      </c>
      <c r="C62" s="445" t="s">
        <v>4485</v>
      </c>
      <c r="D62" s="445" t="s">
        <v>4527</v>
      </c>
      <c r="E62" s="630" t="s">
        <v>26</v>
      </c>
      <c r="F62" s="445">
        <v>7.0</v>
      </c>
      <c r="G62" s="445" t="s">
        <v>4396</v>
      </c>
      <c r="H62" s="445">
        <v>250.0</v>
      </c>
      <c r="I62" s="445">
        <v>18.0</v>
      </c>
      <c r="J62" s="445" t="s">
        <v>4528</v>
      </c>
      <c r="K62" s="445" t="s">
        <v>691</v>
      </c>
      <c r="L62" s="445" t="str">
        <f>IFERROR(__xludf.DUMMYFUNCTION("LET(
  n, VALUE(REGEXEXTRACT(J62, ""\d+""))/10,
  last, MOD(n, 10),
  word, IFS(
    last = 1, ""миля"",
    AND(last &gt;= 2, last &lt;= 4), ""мили"",
    TRUE, ""миль""
  ),
  n &amp; "" "" &amp; word &amp; ""/час""
)"),"15 миль/час")</f>
        <v>15 миль/час</v>
      </c>
      <c r="M62" s="445">
        <v>3.0</v>
      </c>
      <c r="N62" s="445" t="s">
        <v>4510</v>
      </c>
      <c r="O62" s="445">
        <v>1.0</v>
      </c>
      <c r="P62" s="445">
        <v>6.0</v>
      </c>
      <c r="Q62" s="630" t="s">
        <v>26</v>
      </c>
      <c r="R62" s="630" t="s">
        <v>26</v>
      </c>
      <c r="S62" s="630" t="s">
        <v>4478</v>
      </c>
      <c r="T62" s="446"/>
    </row>
    <row r="63">
      <c r="A63" s="449" t="s">
        <v>4529</v>
      </c>
      <c r="B63" s="449">
        <v>360.0</v>
      </c>
      <c r="C63" s="449" t="s">
        <v>4485</v>
      </c>
      <c r="D63" s="449" t="s">
        <v>1961</v>
      </c>
      <c r="E63" s="629" t="s">
        <v>26</v>
      </c>
      <c r="F63" s="449">
        <v>9.0</v>
      </c>
      <c r="G63" s="449" t="s">
        <v>4471</v>
      </c>
      <c r="H63" s="449">
        <v>500.0</v>
      </c>
      <c r="I63" s="449">
        <v>19.0</v>
      </c>
      <c r="J63" s="449" t="s">
        <v>4429</v>
      </c>
      <c r="K63" s="449" t="s">
        <v>26</v>
      </c>
      <c r="L63" s="449" t="str">
        <f>IFERROR(__xludf.DUMMYFUNCTION("LET(
  n, VALUE(REGEXEXTRACT(J63, ""\d+""))/10,
  last, MOD(n, 10),
  word, IFS(
    last = 1, ""миля"",
    AND(last &gt;= 2, last &lt;= 4), ""мили"",
    TRUE, ""миль""
  ),
  n &amp; "" "" &amp; word &amp; ""/час""
)"),"20 миль/час")</f>
        <v>20 миль/час</v>
      </c>
      <c r="M63" s="449">
        <v>1.0</v>
      </c>
      <c r="N63" s="449" t="s">
        <v>4455</v>
      </c>
      <c r="O63" s="449">
        <v>1.0</v>
      </c>
      <c r="P63" s="449">
        <v>1.0</v>
      </c>
      <c r="Q63" s="629" t="s">
        <v>26</v>
      </c>
      <c r="R63" s="629" t="s">
        <v>26</v>
      </c>
      <c r="S63" s="629" t="s">
        <v>4435</v>
      </c>
      <c r="T63" s="450"/>
    </row>
    <row r="64">
      <c r="A64" s="633"/>
      <c r="B64" s="633"/>
      <c r="C64" s="633"/>
      <c r="D64" s="633"/>
      <c r="E64" s="633"/>
      <c r="F64" s="633"/>
      <c r="G64" s="633"/>
      <c r="H64" s="633"/>
      <c r="I64" s="633"/>
      <c r="J64" s="633"/>
      <c r="K64" s="633"/>
      <c r="L64" s="633"/>
      <c r="M64" s="633"/>
      <c r="N64" s="633"/>
      <c r="O64" s="633"/>
      <c r="P64" s="633"/>
      <c r="Q64" s="633"/>
      <c r="R64" s="633"/>
      <c r="S64" s="633"/>
      <c r="T64" s="633"/>
    </row>
    <row r="65">
      <c r="A65" s="633"/>
      <c r="B65" s="633"/>
      <c r="C65" s="633"/>
      <c r="D65" s="633"/>
      <c r="E65" s="633"/>
      <c r="F65" s="633"/>
      <c r="G65" s="633"/>
      <c r="H65" s="633"/>
      <c r="I65" s="633"/>
      <c r="J65" s="633"/>
      <c r="K65" s="633"/>
      <c r="L65" s="633"/>
      <c r="M65" s="633"/>
      <c r="N65" s="633"/>
      <c r="O65" s="633"/>
      <c r="P65" s="633"/>
      <c r="Q65" s="633"/>
      <c r="R65" s="633"/>
      <c r="S65" s="633"/>
      <c r="T65" s="633"/>
    </row>
    <row r="66">
      <c r="A66" s="633"/>
      <c r="B66" s="633"/>
      <c r="C66" s="633"/>
      <c r="D66" s="633"/>
      <c r="E66" s="633"/>
      <c r="F66" s="633"/>
      <c r="G66" s="633"/>
      <c r="H66" s="633"/>
      <c r="I66" s="633"/>
      <c r="J66" s="633"/>
      <c r="K66" s="633"/>
      <c r="L66" s="633"/>
      <c r="M66" s="633"/>
      <c r="N66" s="633"/>
      <c r="O66" s="633"/>
      <c r="P66" s="633"/>
      <c r="Q66" s="633"/>
      <c r="R66" s="633"/>
      <c r="S66" s="633"/>
      <c r="T66" s="633"/>
    </row>
    <row r="67">
      <c r="A67" s="633"/>
      <c r="B67" s="633"/>
      <c r="C67" s="633"/>
      <c r="D67" s="633"/>
      <c r="E67" s="633"/>
      <c r="F67" s="633"/>
      <c r="G67" s="633"/>
      <c r="H67" s="633"/>
      <c r="I67" s="633"/>
      <c r="J67" s="633"/>
      <c r="K67" s="633"/>
      <c r="L67" s="633"/>
      <c r="M67" s="633"/>
      <c r="N67" s="633"/>
      <c r="O67" s="633"/>
      <c r="P67" s="633"/>
      <c r="Q67" s="633"/>
      <c r="R67" s="633"/>
      <c r="S67" s="633"/>
      <c r="T67" s="633"/>
    </row>
    <row r="68">
      <c r="A68" s="633"/>
      <c r="B68" s="633"/>
      <c r="C68" s="633"/>
      <c r="D68" s="633"/>
      <c r="E68" s="633"/>
      <c r="F68" s="633"/>
      <c r="G68" s="633"/>
      <c r="H68" s="633"/>
      <c r="I68" s="633"/>
      <c r="J68" s="633"/>
      <c r="K68" s="633"/>
      <c r="L68" s="633"/>
      <c r="M68" s="633"/>
      <c r="N68" s="633"/>
      <c r="O68" s="633"/>
      <c r="P68" s="633"/>
      <c r="Q68" s="633"/>
      <c r="R68" s="633"/>
      <c r="S68" s="633"/>
      <c r="T68" s="633"/>
    </row>
    <row r="69">
      <c r="A69" s="633"/>
      <c r="B69" s="633"/>
      <c r="C69" s="633"/>
      <c r="D69" s="633"/>
      <c r="E69" s="633"/>
      <c r="F69" s="633"/>
      <c r="G69" s="633"/>
      <c r="H69" s="633"/>
      <c r="I69" s="633"/>
      <c r="J69" s="633"/>
      <c r="K69" s="633"/>
      <c r="L69" s="633"/>
      <c r="M69" s="633"/>
      <c r="N69" s="633"/>
      <c r="O69" s="633"/>
      <c r="P69" s="633"/>
      <c r="Q69" s="633"/>
      <c r="R69" s="633"/>
      <c r="S69" s="633"/>
      <c r="T69" s="633"/>
    </row>
    <row r="70">
      <c r="A70" s="633"/>
      <c r="B70" s="633"/>
      <c r="C70" s="633"/>
      <c r="D70" s="633"/>
      <c r="E70" s="633"/>
      <c r="F70" s="633"/>
      <c r="G70" s="633"/>
      <c r="H70" s="633"/>
      <c r="I70" s="633"/>
      <c r="J70" s="633"/>
      <c r="K70" s="633"/>
      <c r="L70" s="633"/>
      <c r="M70" s="633"/>
      <c r="N70" s="633"/>
      <c r="O70" s="633"/>
      <c r="P70" s="633"/>
      <c r="Q70" s="633"/>
      <c r="R70" s="633"/>
      <c r="S70" s="633"/>
      <c r="T70" s="633"/>
    </row>
    <row r="71">
      <c r="A71" s="633"/>
      <c r="B71" s="633"/>
      <c r="C71" s="633"/>
      <c r="D71" s="633"/>
      <c r="E71" s="633"/>
      <c r="F71" s="633"/>
      <c r="G71" s="633"/>
      <c r="H71" s="633"/>
      <c r="I71" s="633"/>
      <c r="J71" s="633"/>
      <c r="K71" s="633"/>
      <c r="L71" s="633"/>
      <c r="M71" s="633"/>
      <c r="N71" s="633"/>
      <c r="O71" s="633"/>
      <c r="P71" s="633"/>
      <c r="Q71" s="633"/>
      <c r="R71" s="633"/>
      <c r="S71" s="633"/>
      <c r="T71" s="633"/>
    </row>
    <row r="72">
      <c r="A72" s="633"/>
      <c r="B72" s="633"/>
      <c r="C72" s="633"/>
      <c r="D72" s="633"/>
      <c r="E72" s="633"/>
      <c r="F72" s="633"/>
      <c r="G72" s="633"/>
      <c r="H72" s="633"/>
      <c r="I72" s="633"/>
      <c r="J72" s="633"/>
      <c r="K72" s="633"/>
      <c r="L72" s="633"/>
      <c r="M72" s="633"/>
      <c r="N72" s="633"/>
      <c r="O72" s="633"/>
      <c r="P72" s="633"/>
      <c r="Q72" s="633"/>
      <c r="R72" s="633"/>
      <c r="S72" s="633"/>
      <c r="T72" s="633"/>
    </row>
    <row r="73">
      <c r="A73" s="633"/>
      <c r="B73" s="633"/>
      <c r="C73" s="633"/>
      <c r="D73" s="633"/>
      <c r="E73" s="633"/>
      <c r="F73" s="633"/>
      <c r="G73" s="633"/>
      <c r="H73" s="633"/>
      <c r="I73" s="633"/>
      <c r="J73" s="633"/>
      <c r="K73" s="633"/>
      <c r="L73" s="633"/>
      <c r="M73" s="633"/>
      <c r="N73" s="633"/>
      <c r="O73" s="633"/>
      <c r="P73" s="633"/>
      <c r="Q73" s="633"/>
      <c r="R73" s="633"/>
      <c r="S73" s="633"/>
      <c r="T73" s="633"/>
    </row>
    <row r="74">
      <c r="A74" s="633"/>
      <c r="B74" s="633"/>
      <c r="C74" s="633"/>
      <c r="D74" s="633"/>
      <c r="E74" s="633"/>
      <c r="F74" s="633"/>
      <c r="G74" s="633"/>
      <c r="H74" s="633"/>
      <c r="I74" s="633"/>
      <c r="J74" s="633"/>
      <c r="K74" s="633"/>
      <c r="L74" s="633"/>
      <c r="M74" s="633"/>
      <c r="N74" s="633"/>
      <c r="O74" s="633"/>
      <c r="P74" s="633"/>
      <c r="Q74" s="633"/>
      <c r="R74" s="633"/>
      <c r="S74" s="633"/>
      <c r="T74" s="633"/>
    </row>
    <row r="75">
      <c r="A75" s="633"/>
      <c r="B75" s="633"/>
      <c r="C75" s="633"/>
      <c r="D75" s="633"/>
      <c r="E75" s="633"/>
      <c r="F75" s="633"/>
      <c r="G75" s="633"/>
      <c r="H75" s="633"/>
      <c r="I75" s="633"/>
      <c r="J75" s="633"/>
      <c r="K75" s="633"/>
      <c r="L75" s="633"/>
      <c r="M75" s="633"/>
      <c r="N75" s="633"/>
      <c r="O75" s="633"/>
      <c r="P75" s="633"/>
      <c r="Q75" s="633"/>
      <c r="R75" s="633"/>
      <c r="S75" s="633"/>
      <c r="T75" s="633"/>
    </row>
    <row r="76">
      <c r="A76" s="633"/>
      <c r="B76" s="633"/>
      <c r="C76" s="633"/>
      <c r="D76" s="633"/>
      <c r="E76" s="633"/>
      <c r="F76" s="633"/>
      <c r="G76" s="633"/>
      <c r="H76" s="633"/>
      <c r="I76" s="633"/>
      <c r="J76" s="633"/>
      <c r="K76" s="633"/>
      <c r="L76" s="633"/>
      <c r="M76" s="633"/>
      <c r="N76" s="633"/>
      <c r="O76" s="633"/>
      <c r="P76" s="633"/>
      <c r="Q76" s="633"/>
      <c r="R76" s="633"/>
      <c r="S76" s="633"/>
      <c r="T76" s="633"/>
    </row>
    <row r="77">
      <c r="A77" s="633"/>
      <c r="B77" s="633"/>
      <c r="C77" s="633"/>
      <c r="D77" s="633"/>
      <c r="E77" s="633"/>
      <c r="F77" s="633"/>
      <c r="G77" s="633"/>
      <c r="H77" s="633"/>
      <c r="I77" s="633"/>
      <c r="J77" s="633"/>
      <c r="K77" s="633"/>
      <c r="L77" s="633"/>
      <c r="M77" s="633"/>
      <c r="N77" s="633"/>
      <c r="O77" s="633"/>
      <c r="P77" s="633"/>
      <c r="Q77" s="633"/>
      <c r="R77" s="633"/>
      <c r="S77" s="633"/>
      <c r="T77" s="633"/>
    </row>
    <row r="78">
      <c r="A78" s="633"/>
      <c r="B78" s="633"/>
      <c r="C78" s="633"/>
      <c r="D78" s="633"/>
      <c r="E78" s="633"/>
      <c r="F78" s="633"/>
      <c r="G78" s="633"/>
      <c r="H78" s="633"/>
      <c r="I78" s="633"/>
      <c r="J78" s="633"/>
      <c r="K78" s="633"/>
      <c r="L78" s="633"/>
      <c r="M78" s="633"/>
      <c r="N78" s="633"/>
      <c r="O78" s="633"/>
      <c r="P78" s="633"/>
      <c r="Q78" s="633"/>
      <c r="R78" s="633"/>
      <c r="S78" s="633"/>
      <c r="T78" s="633"/>
    </row>
    <row r="79">
      <c r="A79" s="633"/>
      <c r="B79" s="633"/>
      <c r="C79" s="633"/>
      <c r="D79" s="633"/>
      <c r="E79" s="633"/>
      <c r="F79" s="633"/>
      <c r="G79" s="633"/>
      <c r="H79" s="633"/>
      <c r="I79" s="633"/>
      <c r="J79" s="633"/>
      <c r="K79" s="633"/>
      <c r="L79" s="633"/>
      <c r="M79" s="633"/>
      <c r="N79" s="633"/>
      <c r="O79" s="633"/>
      <c r="P79" s="633"/>
      <c r="Q79" s="633"/>
      <c r="R79" s="633"/>
      <c r="S79" s="633"/>
      <c r="T79" s="633"/>
    </row>
    <row r="80">
      <c r="A80" s="633"/>
      <c r="B80" s="633"/>
      <c r="C80" s="633"/>
      <c r="D80" s="633"/>
      <c r="E80" s="633"/>
      <c r="F80" s="633"/>
      <c r="G80" s="633"/>
      <c r="H80" s="633"/>
      <c r="I80" s="633"/>
      <c r="J80" s="633"/>
      <c r="K80" s="633"/>
      <c r="L80" s="633"/>
      <c r="M80" s="633"/>
      <c r="N80" s="633"/>
      <c r="O80" s="633"/>
      <c r="P80" s="633"/>
      <c r="Q80" s="633"/>
      <c r="R80" s="633"/>
      <c r="S80" s="633"/>
      <c r="T80" s="633"/>
    </row>
    <row r="81">
      <c r="A81" s="633"/>
      <c r="B81" s="633"/>
      <c r="C81" s="633"/>
      <c r="D81" s="633"/>
      <c r="E81" s="633"/>
      <c r="F81" s="633"/>
      <c r="G81" s="633"/>
      <c r="H81" s="633"/>
      <c r="I81" s="633"/>
      <c r="J81" s="633"/>
      <c r="K81" s="633"/>
      <c r="L81" s="633"/>
      <c r="M81" s="633"/>
      <c r="N81" s="633"/>
      <c r="O81" s="633"/>
      <c r="P81" s="633"/>
      <c r="Q81" s="633"/>
      <c r="R81" s="633"/>
      <c r="S81" s="633"/>
      <c r="T81" s="633"/>
    </row>
    <row r="82">
      <c r="A82" s="633"/>
      <c r="B82" s="633"/>
      <c r="C82" s="633"/>
      <c r="D82" s="633"/>
      <c r="E82" s="633"/>
      <c r="F82" s="633"/>
      <c r="G82" s="633"/>
      <c r="H82" s="633"/>
      <c r="I82" s="633"/>
      <c r="J82" s="633"/>
      <c r="K82" s="633"/>
      <c r="L82" s="633"/>
      <c r="M82" s="633"/>
      <c r="N82" s="633"/>
      <c r="O82" s="633"/>
      <c r="P82" s="633"/>
      <c r="Q82" s="633"/>
      <c r="R82" s="633"/>
      <c r="S82" s="633"/>
      <c r="T82" s="633"/>
    </row>
    <row r="83">
      <c r="A83" s="633"/>
      <c r="B83" s="633"/>
      <c r="C83" s="633"/>
      <c r="D83" s="633"/>
      <c r="E83" s="633"/>
      <c r="F83" s="633"/>
      <c r="G83" s="633"/>
      <c r="H83" s="633"/>
      <c r="I83" s="633"/>
      <c r="J83" s="633"/>
      <c r="K83" s="633"/>
      <c r="L83" s="633"/>
      <c r="M83" s="633"/>
      <c r="N83" s="633"/>
      <c r="O83" s="633"/>
      <c r="P83" s="633"/>
      <c r="Q83" s="633"/>
      <c r="R83" s="633"/>
      <c r="S83" s="633"/>
      <c r="T83" s="633"/>
    </row>
    <row r="84">
      <c r="A84" s="633"/>
      <c r="B84" s="633"/>
      <c r="C84" s="633"/>
      <c r="D84" s="633"/>
      <c r="E84" s="633"/>
      <c r="F84" s="633"/>
      <c r="G84" s="633"/>
      <c r="H84" s="633"/>
      <c r="I84" s="633"/>
      <c r="J84" s="633"/>
      <c r="K84" s="633"/>
      <c r="L84" s="633"/>
      <c r="M84" s="633"/>
      <c r="N84" s="633"/>
      <c r="O84" s="633"/>
      <c r="P84" s="633"/>
      <c r="Q84" s="633"/>
      <c r="R84" s="633"/>
      <c r="S84" s="633"/>
      <c r="T84" s="633"/>
    </row>
    <row r="85">
      <c r="A85" s="633"/>
      <c r="B85" s="633"/>
      <c r="C85" s="633"/>
      <c r="D85" s="633"/>
      <c r="E85" s="633"/>
      <c r="F85" s="633"/>
      <c r="G85" s="633"/>
      <c r="H85" s="633"/>
      <c r="I85" s="633"/>
      <c r="J85" s="633"/>
      <c r="K85" s="633"/>
      <c r="L85" s="633"/>
      <c r="M85" s="633"/>
      <c r="N85" s="633"/>
      <c r="O85" s="633"/>
      <c r="P85" s="633"/>
      <c r="Q85" s="633"/>
      <c r="R85" s="633"/>
      <c r="S85" s="633"/>
      <c r="T85" s="633"/>
    </row>
    <row r="86">
      <c r="A86" s="633"/>
      <c r="B86" s="633"/>
      <c r="C86" s="633"/>
      <c r="D86" s="633"/>
      <c r="E86" s="633"/>
      <c r="F86" s="633"/>
      <c r="G86" s="633"/>
      <c r="H86" s="633"/>
      <c r="I86" s="633"/>
      <c r="J86" s="633"/>
      <c r="K86" s="633"/>
      <c r="L86" s="633"/>
      <c r="M86" s="633"/>
      <c r="N86" s="633"/>
      <c r="O86" s="633"/>
      <c r="P86" s="633"/>
      <c r="Q86" s="633"/>
      <c r="R86" s="633"/>
      <c r="S86" s="633"/>
      <c r="T86" s="633"/>
    </row>
    <row r="87">
      <c r="A87" s="633"/>
      <c r="B87" s="633"/>
      <c r="C87" s="633"/>
      <c r="D87" s="633"/>
      <c r="E87" s="633"/>
      <c r="F87" s="633"/>
      <c r="G87" s="633"/>
      <c r="H87" s="633"/>
      <c r="I87" s="633"/>
      <c r="J87" s="633"/>
      <c r="K87" s="633"/>
      <c r="L87" s="633"/>
      <c r="M87" s="633"/>
      <c r="N87" s="633"/>
      <c r="O87" s="633"/>
      <c r="P87" s="633"/>
      <c r="Q87" s="633"/>
      <c r="R87" s="633"/>
      <c r="S87" s="633"/>
      <c r="T87" s="633"/>
    </row>
    <row r="88">
      <c r="A88" s="633"/>
      <c r="B88" s="633"/>
      <c r="C88" s="633"/>
      <c r="D88" s="633"/>
      <c r="E88" s="633"/>
      <c r="F88" s="633"/>
      <c r="G88" s="633"/>
      <c r="H88" s="633"/>
      <c r="I88" s="633"/>
      <c r="J88" s="633"/>
      <c r="K88" s="633"/>
      <c r="L88" s="633"/>
      <c r="M88" s="633"/>
      <c r="N88" s="633"/>
      <c r="O88" s="633"/>
      <c r="P88" s="633"/>
      <c r="Q88" s="633"/>
      <c r="R88" s="633"/>
      <c r="S88" s="633"/>
      <c r="T88" s="633"/>
    </row>
    <row r="89">
      <c r="A89" s="633"/>
      <c r="B89" s="633"/>
      <c r="C89" s="633"/>
      <c r="D89" s="633"/>
      <c r="E89" s="633"/>
      <c r="F89" s="633"/>
      <c r="G89" s="633"/>
      <c r="H89" s="633"/>
      <c r="I89" s="633"/>
      <c r="J89" s="633"/>
      <c r="K89" s="633"/>
      <c r="L89" s="633"/>
      <c r="M89" s="633"/>
      <c r="N89" s="633"/>
      <c r="O89" s="633"/>
      <c r="P89" s="633"/>
      <c r="Q89" s="633"/>
      <c r="R89" s="633"/>
      <c r="S89" s="633"/>
      <c r="T89" s="633"/>
    </row>
    <row r="90">
      <c r="A90" s="633"/>
      <c r="B90" s="633"/>
      <c r="C90" s="633"/>
      <c r="D90" s="633"/>
      <c r="E90" s="633"/>
      <c r="F90" s="633"/>
      <c r="G90" s="633"/>
      <c r="H90" s="633"/>
      <c r="I90" s="633"/>
      <c r="J90" s="633"/>
      <c r="K90" s="633"/>
      <c r="L90" s="633"/>
      <c r="M90" s="633"/>
      <c r="N90" s="633"/>
      <c r="O90" s="633"/>
      <c r="P90" s="633"/>
      <c r="Q90" s="633"/>
      <c r="R90" s="633"/>
      <c r="S90" s="633"/>
      <c r="T90" s="633"/>
    </row>
    <row r="91">
      <c r="A91" s="633"/>
      <c r="B91" s="633"/>
      <c r="C91" s="633"/>
      <c r="D91" s="633"/>
      <c r="E91" s="633"/>
      <c r="F91" s="633"/>
      <c r="G91" s="633"/>
      <c r="H91" s="633"/>
      <c r="I91" s="633"/>
      <c r="J91" s="633"/>
      <c r="K91" s="633"/>
      <c r="L91" s="633"/>
      <c r="M91" s="633"/>
      <c r="N91" s="633"/>
      <c r="O91" s="633"/>
      <c r="P91" s="633"/>
      <c r="Q91" s="633"/>
      <c r="R91" s="633"/>
      <c r="S91" s="633"/>
      <c r="T91" s="633"/>
    </row>
    <row r="92">
      <c r="A92" s="633"/>
      <c r="B92" s="633"/>
      <c r="C92" s="633"/>
      <c r="D92" s="633"/>
      <c r="E92" s="633"/>
      <c r="F92" s="633"/>
      <c r="G92" s="633"/>
      <c r="H92" s="633"/>
      <c r="I92" s="633"/>
      <c r="J92" s="633"/>
      <c r="K92" s="633"/>
      <c r="L92" s="633"/>
      <c r="M92" s="633"/>
      <c r="N92" s="633"/>
      <c r="O92" s="633"/>
      <c r="P92" s="633"/>
      <c r="Q92" s="633"/>
      <c r="R92" s="633"/>
      <c r="S92" s="633"/>
      <c r="T92" s="633"/>
    </row>
    <row r="93">
      <c r="A93" s="633"/>
      <c r="B93" s="633"/>
      <c r="C93" s="633"/>
      <c r="D93" s="633"/>
      <c r="E93" s="633"/>
      <c r="F93" s="633"/>
      <c r="G93" s="633"/>
      <c r="H93" s="633"/>
      <c r="I93" s="633"/>
      <c r="J93" s="633"/>
      <c r="K93" s="633"/>
      <c r="L93" s="633"/>
      <c r="M93" s="633"/>
      <c r="N93" s="633"/>
      <c r="O93" s="633"/>
      <c r="P93" s="633"/>
      <c r="Q93" s="633"/>
      <c r="R93" s="633"/>
      <c r="S93" s="633"/>
      <c r="T93" s="633"/>
    </row>
    <row r="94">
      <c r="A94" s="633"/>
      <c r="B94" s="633"/>
      <c r="C94" s="633"/>
      <c r="D94" s="633"/>
      <c r="E94" s="633"/>
      <c r="F94" s="633"/>
      <c r="G94" s="633"/>
      <c r="H94" s="633"/>
      <c r="I94" s="633"/>
      <c r="J94" s="633"/>
      <c r="K94" s="633"/>
      <c r="L94" s="633"/>
      <c r="M94" s="633"/>
      <c r="N94" s="633"/>
      <c r="O94" s="633"/>
      <c r="P94" s="633"/>
      <c r="Q94" s="633"/>
      <c r="R94" s="633"/>
      <c r="S94" s="633"/>
      <c r="T94" s="633"/>
    </row>
    <row r="95">
      <c r="A95" s="633"/>
      <c r="B95" s="633"/>
      <c r="C95" s="633"/>
      <c r="D95" s="633"/>
      <c r="E95" s="633"/>
      <c r="F95" s="633"/>
      <c r="G95" s="633"/>
      <c r="H95" s="633"/>
      <c r="I95" s="633"/>
      <c r="J95" s="633"/>
      <c r="K95" s="633"/>
      <c r="L95" s="633"/>
      <c r="M95" s="633"/>
      <c r="N95" s="633"/>
      <c r="O95" s="633"/>
      <c r="P95" s="633"/>
      <c r="Q95" s="633"/>
      <c r="R95" s="633"/>
      <c r="S95" s="633"/>
      <c r="T95" s="633"/>
    </row>
    <row r="96">
      <c r="A96" s="633"/>
      <c r="B96" s="633"/>
      <c r="C96" s="633"/>
      <c r="D96" s="633"/>
      <c r="E96" s="633"/>
      <c r="F96" s="633"/>
      <c r="G96" s="633"/>
      <c r="H96" s="633"/>
      <c r="I96" s="633"/>
      <c r="J96" s="633"/>
      <c r="K96" s="633"/>
      <c r="L96" s="633"/>
      <c r="M96" s="633"/>
      <c r="N96" s="633"/>
      <c r="O96" s="633"/>
      <c r="P96" s="633"/>
      <c r="Q96" s="633"/>
      <c r="R96" s="633"/>
      <c r="S96" s="633"/>
      <c r="T96" s="633"/>
    </row>
    <row r="97">
      <c r="A97" s="633"/>
      <c r="B97" s="633"/>
      <c r="C97" s="633"/>
      <c r="D97" s="633"/>
      <c r="E97" s="633"/>
      <c r="F97" s="633"/>
      <c r="G97" s="633"/>
      <c r="H97" s="633"/>
      <c r="I97" s="633"/>
      <c r="J97" s="633"/>
      <c r="K97" s="633"/>
      <c r="L97" s="633"/>
      <c r="M97" s="633"/>
      <c r="N97" s="633"/>
      <c r="O97" s="633"/>
      <c r="P97" s="633"/>
      <c r="Q97" s="633"/>
      <c r="R97" s="633"/>
      <c r="S97" s="633"/>
      <c r="T97" s="633"/>
    </row>
    <row r="98">
      <c r="A98" s="633"/>
      <c r="B98" s="633"/>
      <c r="C98" s="633"/>
      <c r="D98" s="633"/>
      <c r="E98" s="633"/>
      <c r="F98" s="633"/>
      <c r="G98" s="633"/>
      <c r="H98" s="633"/>
      <c r="I98" s="633"/>
      <c r="J98" s="633"/>
      <c r="K98" s="633"/>
      <c r="L98" s="633"/>
      <c r="M98" s="633"/>
      <c r="N98" s="633"/>
      <c r="O98" s="633"/>
      <c r="P98" s="633"/>
      <c r="Q98" s="633"/>
      <c r="R98" s="633"/>
      <c r="S98" s="633"/>
      <c r="T98" s="633"/>
    </row>
    <row r="99">
      <c r="A99" s="633"/>
      <c r="B99" s="633"/>
      <c r="C99" s="633"/>
      <c r="D99" s="633"/>
      <c r="E99" s="633"/>
      <c r="F99" s="633"/>
      <c r="G99" s="633"/>
      <c r="H99" s="633"/>
      <c r="I99" s="633"/>
      <c r="J99" s="633"/>
      <c r="K99" s="633"/>
      <c r="L99" s="633"/>
      <c r="M99" s="633"/>
      <c r="N99" s="633"/>
      <c r="O99" s="633"/>
      <c r="P99" s="633"/>
      <c r="Q99" s="633"/>
      <c r="R99" s="633"/>
      <c r="S99" s="633"/>
      <c r="T99" s="633"/>
    </row>
    <row r="100">
      <c r="A100" s="633"/>
      <c r="B100" s="633"/>
      <c r="C100" s="633"/>
      <c r="D100" s="633"/>
      <c r="E100" s="633"/>
      <c r="F100" s="633"/>
      <c r="G100" s="633"/>
      <c r="H100" s="633"/>
      <c r="I100" s="633"/>
      <c r="J100" s="633"/>
      <c r="K100" s="633"/>
      <c r="L100" s="633"/>
      <c r="M100" s="633"/>
      <c r="N100" s="633"/>
      <c r="O100" s="633"/>
      <c r="P100" s="633"/>
      <c r="Q100" s="633"/>
      <c r="R100" s="633"/>
      <c r="S100" s="633"/>
      <c r="T100" s="633"/>
    </row>
    <row r="101">
      <c r="A101" s="633"/>
      <c r="B101" s="633"/>
      <c r="C101" s="633"/>
      <c r="D101" s="633"/>
      <c r="E101" s="633"/>
      <c r="F101" s="633"/>
      <c r="G101" s="633"/>
      <c r="H101" s="633"/>
      <c r="I101" s="633"/>
      <c r="J101" s="633"/>
      <c r="K101" s="633"/>
      <c r="L101" s="633"/>
      <c r="M101" s="633"/>
      <c r="N101" s="633"/>
      <c r="O101" s="633"/>
      <c r="P101" s="633"/>
      <c r="Q101" s="633"/>
      <c r="R101" s="633"/>
      <c r="S101" s="633"/>
      <c r="T101" s="633"/>
    </row>
    <row r="102">
      <c r="A102" s="633"/>
      <c r="B102" s="633"/>
      <c r="C102" s="633"/>
      <c r="D102" s="633"/>
      <c r="E102" s="633"/>
      <c r="F102" s="633"/>
      <c r="G102" s="633"/>
      <c r="H102" s="633"/>
      <c r="I102" s="633"/>
      <c r="J102" s="633"/>
      <c r="K102" s="633"/>
      <c r="L102" s="633"/>
      <c r="M102" s="633"/>
      <c r="N102" s="633"/>
      <c r="O102" s="633"/>
      <c r="P102" s="633"/>
      <c r="Q102" s="633"/>
      <c r="R102" s="633"/>
      <c r="S102" s="633"/>
      <c r="T102" s="633"/>
    </row>
    <row r="103">
      <c r="A103" s="633"/>
      <c r="B103" s="633"/>
      <c r="C103" s="633"/>
      <c r="D103" s="633"/>
      <c r="E103" s="633"/>
      <c r="F103" s="633"/>
      <c r="G103" s="633"/>
      <c r="H103" s="633"/>
      <c r="I103" s="633"/>
      <c r="J103" s="633"/>
      <c r="K103" s="633"/>
      <c r="L103" s="633"/>
      <c r="M103" s="633"/>
      <c r="N103" s="633"/>
      <c r="O103" s="633"/>
      <c r="P103" s="633"/>
      <c r="Q103" s="633"/>
      <c r="R103" s="633"/>
      <c r="S103" s="633"/>
      <c r="T103" s="633"/>
    </row>
    <row r="104">
      <c r="A104" s="633"/>
      <c r="B104" s="633"/>
      <c r="C104" s="633"/>
      <c r="D104" s="633"/>
      <c r="E104" s="633"/>
      <c r="F104" s="633"/>
      <c r="G104" s="633"/>
      <c r="H104" s="633"/>
      <c r="I104" s="633"/>
      <c r="J104" s="633"/>
      <c r="K104" s="633"/>
      <c r="L104" s="633"/>
      <c r="M104" s="633"/>
      <c r="N104" s="633"/>
      <c r="O104" s="633"/>
      <c r="P104" s="633"/>
      <c r="Q104" s="633"/>
      <c r="R104" s="633"/>
      <c r="S104" s="633"/>
      <c r="T104" s="633"/>
    </row>
    <row r="105">
      <c r="A105" s="633"/>
      <c r="B105" s="633"/>
      <c r="C105" s="633"/>
      <c r="D105" s="633"/>
      <c r="E105" s="633"/>
      <c r="F105" s="633"/>
      <c r="G105" s="633"/>
      <c r="H105" s="633"/>
      <c r="I105" s="633"/>
      <c r="J105" s="633"/>
      <c r="K105" s="633"/>
      <c r="L105" s="633"/>
      <c r="M105" s="633"/>
      <c r="N105" s="633"/>
      <c r="O105" s="633"/>
      <c r="P105" s="633"/>
      <c r="Q105" s="633"/>
      <c r="R105" s="633"/>
      <c r="S105" s="633"/>
      <c r="T105" s="633"/>
    </row>
    <row r="106">
      <c r="A106" s="633"/>
      <c r="B106" s="633"/>
      <c r="C106" s="633"/>
      <c r="D106" s="633"/>
      <c r="E106" s="633"/>
      <c r="F106" s="633"/>
      <c r="G106" s="633"/>
      <c r="H106" s="633"/>
      <c r="I106" s="633"/>
      <c r="J106" s="633"/>
      <c r="K106" s="633"/>
      <c r="L106" s="633"/>
      <c r="M106" s="633"/>
      <c r="N106" s="633"/>
      <c r="O106" s="633"/>
      <c r="P106" s="633"/>
      <c r="Q106" s="633"/>
      <c r="R106" s="633"/>
      <c r="S106" s="633"/>
      <c r="T106" s="633"/>
    </row>
    <row r="107">
      <c r="A107" s="633"/>
      <c r="B107" s="633"/>
      <c r="C107" s="633"/>
      <c r="D107" s="633"/>
      <c r="E107" s="633"/>
      <c r="F107" s="633"/>
      <c r="G107" s="633"/>
      <c r="H107" s="633"/>
      <c r="I107" s="633"/>
      <c r="J107" s="633"/>
      <c r="K107" s="633"/>
      <c r="L107" s="633"/>
      <c r="M107" s="633"/>
      <c r="N107" s="633"/>
      <c r="O107" s="633"/>
      <c r="P107" s="633"/>
      <c r="Q107" s="633"/>
      <c r="R107" s="633"/>
      <c r="S107" s="633"/>
      <c r="T107" s="633"/>
    </row>
    <row r="108">
      <c r="A108" s="633"/>
      <c r="B108" s="633"/>
      <c r="C108" s="633"/>
      <c r="D108" s="633"/>
      <c r="E108" s="633"/>
      <c r="F108" s="633"/>
      <c r="G108" s="633"/>
      <c r="H108" s="633"/>
      <c r="I108" s="633"/>
      <c r="J108" s="633"/>
      <c r="K108" s="633"/>
      <c r="L108" s="633"/>
      <c r="M108" s="633"/>
      <c r="N108" s="633"/>
      <c r="O108" s="633"/>
      <c r="P108" s="633"/>
      <c r="Q108" s="633"/>
      <c r="R108" s="633"/>
      <c r="S108" s="633"/>
      <c r="T108" s="633"/>
    </row>
    <row r="109">
      <c r="A109" s="633"/>
      <c r="B109" s="633"/>
      <c r="C109" s="633"/>
      <c r="D109" s="633"/>
      <c r="E109" s="633"/>
      <c r="F109" s="633"/>
      <c r="G109" s="633"/>
      <c r="H109" s="633"/>
      <c r="I109" s="633"/>
      <c r="J109" s="633"/>
      <c r="K109" s="633"/>
      <c r="L109" s="633"/>
      <c r="M109" s="633"/>
      <c r="N109" s="633"/>
      <c r="O109" s="633"/>
      <c r="P109" s="633"/>
      <c r="Q109" s="633"/>
      <c r="R109" s="633"/>
      <c r="S109" s="633"/>
      <c r="T109" s="633"/>
    </row>
    <row r="110">
      <c r="A110" s="633"/>
      <c r="B110" s="633"/>
      <c r="C110" s="633"/>
      <c r="D110" s="633"/>
      <c r="E110" s="633"/>
      <c r="F110" s="633"/>
      <c r="G110" s="633"/>
      <c r="H110" s="633"/>
      <c r="I110" s="633"/>
      <c r="J110" s="633"/>
      <c r="K110" s="633"/>
      <c r="L110" s="633"/>
      <c r="M110" s="633"/>
      <c r="N110" s="633"/>
      <c r="O110" s="633"/>
      <c r="P110" s="633"/>
      <c r="Q110" s="633"/>
      <c r="R110" s="633"/>
      <c r="S110" s="633"/>
      <c r="T110" s="633"/>
    </row>
    <row r="111">
      <c r="A111" s="633"/>
      <c r="B111" s="633"/>
      <c r="C111" s="633"/>
      <c r="D111" s="633"/>
      <c r="E111" s="633"/>
      <c r="F111" s="633"/>
      <c r="G111" s="633"/>
      <c r="H111" s="633"/>
      <c r="I111" s="633"/>
      <c r="J111" s="633"/>
      <c r="K111" s="633"/>
      <c r="L111" s="633"/>
      <c r="M111" s="633"/>
      <c r="N111" s="633"/>
      <c r="O111" s="633"/>
      <c r="P111" s="633"/>
      <c r="Q111" s="633"/>
      <c r="R111" s="633"/>
      <c r="S111" s="633"/>
      <c r="T111" s="633"/>
    </row>
    <row r="112">
      <c r="A112" s="633"/>
      <c r="B112" s="633"/>
      <c r="C112" s="633"/>
      <c r="D112" s="633"/>
      <c r="E112" s="633"/>
      <c r="F112" s="633"/>
      <c r="G112" s="633"/>
      <c r="H112" s="633"/>
      <c r="I112" s="633"/>
      <c r="J112" s="633"/>
      <c r="K112" s="633"/>
      <c r="L112" s="633"/>
      <c r="M112" s="633"/>
      <c r="N112" s="633"/>
      <c r="O112" s="633"/>
      <c r="P112" s="633"/>
      <c r="Q112" s="633"/>
      <c r="R112" s="633"/>
      <c r="S112" s="633"/>
      <c r="T112" s="633"/>
    </row>
    <row r="113">
      <c r="A113" s="633"/>
      <c r="B113" s="633"/>
      <c r="C113" s="633"/>
      <c r="D113" s="633"/>
      <c r="E113" s="633"/>
      <c r="F113" s="633"/>
      <c r="G113" s="633"/>
      <c r="H113" s="633"/>
      <c r="I113" s="633"/>
      <c r="J113" s="633"/>
      <c r="K113" s="633"/>
      <c r="L113" s="633"/>
      <c r="M113" s="633"/>
      <c r="N113" s="633"/>
      <c r="O113" s="633"/>
      <c r="P113" s="633"/>
      <c r="Q113" s="633"/>
      <c r="R113" s="633"/>
      <c r="S113" s="633"/>
      <c r="T113" s="633"/>
    </row>
    <row r="114">
      <c r="A114" s="633"/>
      <c r="B114" s="633"/>
      <c r="C114" s="633"/>
      <c r="D114" s="633"/>
      <c r="E114" s="633"/>
      <c r="F114" s="633"/>
      <c r="G114" s="633"/>
      <c r="H114" s="633"/>
      <c r="I114" s="633"/>
      <c r="J114" s="633"/>
      <c r="K114" s="633"/>
      <c r="L114" s="633"/>
      <c r="M114" s="633"/>
      <c r="N114" s="633"/>
      <c r="O114" s="633"/>
      <c r="P114" s="633"/>
      <c r="Q114" s="633"/>
      <c r="R114" s="633"/>
      <c r="S114" s="633"/>
      <c r="T114" s="633"/>
    </row>
    <row r="115">
      <c r="A115" s="633"/>
      <c r="B115" s="633"/>
      <c r="C115" s="633"/>
      <c r="D115" s="633"/>
      <c r="E115" s="633"/>
      <c r="F115" s="633"/>
      <c r="G115" s="633"/>
      <c r="H115" s="633"/>
      <c r="I115" s="633"/>
      <c r="J115" s="633"/>
      <c r="K115" s="633"/>
      <c r="L115" s="633"/>
      <c r="M115" s="633"/>
      <c r="N115" s="633"/>
      <c r="O115" s="633"/>
      <c r="P115" s="633"/>
      <c r="Q115" s="633"/>
      <c r="R115" s="633"/>
      <c r="S115" s="633"/>
      <c r="T115" s="633"/>
    </row>
    <row r="116">
      <c r="A116" s="633"/>
      <c r="B116" s="633"/>
      <c r="C116" s="633"/>
      <c r="D116" s="633"/>
      <c r="E116" s="633"/>
      <c r="F116" s="633"/>
      <c r="G116" s="633"/>
      <c r="H116" s="633"/>
      <c r="I116" s="633"/>
      <c r="J116" s="633"/>
      <c r="K116" s="633"/>
      <c r="L116" s="633"/>
      <c r="M116" s="633"/>
      <c r="N116" s="633"/>
      <c r="O116" s="633"/>
      <c r="P116" s="633"/>
      <c r="Q116" s="633"/>
      <c r="R116" s="633"/>
      <c r="S116" s="633"/>
      <c r="T116" s="633"/>
    </row>
    <row r="117">
      <c r="A117" s="633"/>
      <c r="B117" s="633"/>
      <c r="C117" s="633"/>
      <c r="D117" s="633"/>
      <c r="E117" s="633"/>
      <c r="F117" s="633"/>
      <c r="G117" s="633"/>
      <c r="H117" s="633"/>
      <c r="I117" s="633"/>
      <c r="J117" s="633"/>
      <c r="K117" s="633"/>
      <c r="L117" s="633"/>
      <c r="M117" s="633"/>
      <c r="N117" s="633"/>
      <c r="O117" s="633"/>
      <c r="P117" s="633"/>
      <c r="Q117" s="633"/>
      <c r="R117" s="633"/>
      <c r="S117" s="633"/>
      <c r="T117" s="633"/>
    </row>
    <row r="118">
      <c r="A118" s="633"/>
      <c r="B118" s="633"/>
      <c r="C118" s="633"/>
      <c r="D118" s="633"/>
      <c r="E118" s="633"/>
      <c r="F118" s="633"/>
      <c r="G118" s="633"/>
      <c r="H118" s="633"/>
      <c r="I118" s="633"/>
      <c r="J118" s="633"/>
      <c r="K118" s="633"/>
      <c r="L118" s="633"/>
      <c r="M118" s="633"/>
      <c r="N118" s="633"/>
      <c r="O118" s="633"/>
      <c r="P118" s="633"/>
      <c r="Q118" s="633"/>
      <c r="R118" s="633"/>
      <c r="S118" s="633"/>
      <c r="T118" s="633"/>
    </row>
    <row r="119">
      <c r="A119" s="633"/>
      <c r="B119" s="633"/>
      <c r="C119" s="633"/>
      <c r="D119" s="633"/>
      <c r="E119" s="633"/>
      <c r="F119" s="633"/>
      <c r="G119" s="633"/>
      <c r="H119" s="633"/>
      <c r="I119" s="633"/>
      <c r="J119" s="633"/>
      <c r="K119" s="633"/>
      <c r="L119" s="633"/>
      <c r="M119" s="633"/>
      <c r="N119" s="633"/>
      <c r="O119" s="633"/>
      <c r="P119" s="633"/>
      <c r="Q119" s="633"/>
      <c r="R119" s="633"/>
      <c r="S119" s="633"/>
      <c r="T119" s="633"/>
    </row>
    <row r="120">
      <c r="A120" s="633"/>
      <c r="B120" s="633"/>
      <c r="C120" s="633"/>
      <c r="D120" s="633"/>
      <c r="E120" s="633"/>
      <c r="F120" s="633"/>
      <c r="G120" s="633"/>
      <c r="H120" s="633"/>
      <c r="I120" s="633"/>
      <c r="J120" s="633"/>
      <c r="K120" s="633"/>
      <c r="L120" s="633"/>
      <c r="M120" s="633"/>
      <c r="N120" s="633"/>
      <c r="O120" s="633"/>
      <c r="P120" s="633"/>
      <c r="Q120" s="633"/>
      <c r="R120" s="633"/>
      <c r="S120" s="633"/>
      <c r="T120" s="633"/>
    </row>
    <row r="121">
      <c r="A121" s="633"/>
      <c r="B121" s="633"/>
      <c r="C121" s="633"/>
      <c r="D121" s="633"/>
      <c r="E121" s="633"/>
      <c r="F121" s="633"/>
      <c r="G121" s="633"/>
      <c r="H121" s="633"/>
      <c r="I121" s="633"/>
      <c r="J121" s="633"/>
      <c r="K121" s="633"/>
      <c r="L121" s="633"/>
      <c r="M121" s="633"/>
      <c r="N121" s="633"/>
      <c r="O121" s="633"/>
      <c r="P121" s="633"/>
      <c r="Q121" s="633"/>
      <c r="R121" s="633"/>
      <c r="S121" s="633"/>
      <c r="T121" s="633"/>
    </row>
    <row r="122">
      <c r="A122" s="633"/>
      <c r="B122" s="633"/>
      <c r="C122" s="633"/>
      <c r="D122" s="633"/>
      <c r="E122" s="633"/>
      <c r="F122" s="633"/>
      <c r="G122" s="633"/>
      <c r="H122" s="633"/>
      <c r="I122" s="633"/>
      <c r="J122" s="633"/>
      <c r="K122" s="633"/>
      <c r="L122" s="633"/>
      <c r="M122" s="633"/>
      <c r="N122" s="633"/>
      <c r="O122" s="633"/>
      <c r="P122" s="633"/>
      <c r="Q122" s="633"/>
      <c r="R122" s="633"/>
      <c r="S122" s="633"/>
      <c r="T122" s="633"/>
    </row>
    <row r="123">
      <c r="A123" s="633"/>
      <c r="B123" s="633"/>
      <c r="C123" s="633"/>
      <c r="D123" s="633"/>
      <c r="E123" s="633"/>
      <c r="F123" s="633"/>
      <c r="G123" s="633"/>
      <c r="H123" s="633"/>
      <c r="I123" s="633"/>
      <c r="J123" s="633"/>
      <c r="K123" s="633"/>
      <c r="L123" s="633"/>
      <c r="M123" s="633"/>
      <c r="N123" s="633"/>
      <c r="O123" s="633"/>
      <c r="P123" s="633"/>
      <c r="Q123" s="633"/>
      <c r="R123" s="633"/>
      <c r="S123" s="633"/>
      <c r="T123" s="633"/>
    </row>
    <row r="124">
      <c r="A124" s="633"/>
      <c r="B124" s="633"/>
      <c r="C124" s="633"/>
      <c r="D124" s="633"/>
      <c r="E124" s="633"/>
      <c r="F124" s="633"/>
      <c r="G124" s="633"/>
      <c r="H124" s="633"/>
      <c r="I124" s="633"/>
      <c r="J124" s="633"/>
      <c r="K124" s="633"/>
      <c r="L124" s="633"/>
      <c r="M124" s="633"/>
      <c r="N124" s="633"/>
      <c r="O124" s="633"/>
      <c r="P124" s="633"/>
      <c r="Q124" s="633"/>
      <c r="R124" s="633"/>
      <c r="S124" s="633"/>
      <c r="T124" s="633"/>
    </row>
    <row r="125">
      <c r="A125" s="633"/>
      <c r="B125" s="633"/>
      <c r="C125" s="633"/>
      <c r="D125" s="633"/>
      <c r="E125" s="633"/>
      <c r="F125" s="633"/>
      <c r="G125" s="633"/>
      <c r="H125" s="633"/>
      <c r="I125" s="633"/>
      <c r="J125" s="633"/>
      <c r="K125" s="633"/>
      <c r="L125" s="633"/>
      <c r="M125" s="633"/>
      <c r="N125" s="633"/>
      <c r="O125" s="633"/>
      <c r="P125" s="633"/>
      <c r="Q125" s="633"/>
      <c r="R125" s="633"/>
      <c r="S125" s="633"/>
      <c r="T125" s="633"/>
    </row>
    <row r="126">
      <c r="A126" s="633"/>
      <c r="B126" s="633"/>
      <c r="C126" s="633"/>
      <c r="D126" s="633"/>
      <c r="E126" s="633"/>
      <c r="F126" s="633"/>
      <c r="G126" s="633"/>
      <c r="H126" s="633"/>
      <c r="I126" s="633"/>
      <c r="J126" s="633"/>
      <c r="K126" s="633"/>
      <c r="L126" s="633"/>
      <c r="M126" s="633"/>
      <c r="N126" s="633"/>
      <c r="O126" s="633"/>
      <c r="P126" s="633"/>
      <c r="Q126" s="633"/>
      <c r="R126" s="633"/>
      <c r="S126" s="633"/>
      <c r="T126" s="633"/>
    </row>
    <row r="127">
      <c r="A127" s="633"/>
      <c r="B127" s="633"/>
      <c r="C127" s="633"/>
      <c r="D127" s="633"/>
      <c r="E127" s="633"/>
      <c r="F127" s="633"/>
      <c r="G127" s="633"/>
      <c r="H127" s="633"/>
      <c r="I127" s="633"/>
      <c r="J127" s="633"/>
      <c r="K127" s="633"/>
      <c r="L127" s="633"/>
      <c r="M127" s="633"/>
      <c r="N127" s="633"/>
      <c r="O127" s="633"/>
      <c r="P127" s="633"/>
      <c r="Q127" s="633"/>
      <c r="R127" s="633"/>
      <c r="S127" s="633"/>
      <c r="T127" s="633"/>
    </row>
    <row r="128">
      <c r="A128" s="633"/>
      <c r="B128" s="633"/>
      <c r="C128" s="633"/>
      <c r="D128" s="633"/>
      <c r="E128" s="633"/>
      <c r="F128" s="633"/>
      <c r="G128" s="633"/>
      <c r="H128" s="633"/>
      <c r="I128" s="633"/>
      <c r="J128" s="633"/>
      <c r="K128" s="633"/>
      <c r="L128" s="633"/>
      <c r="M128" s="633"/>
      <c r="N128" s="633"/>
      <c r="O128" s="633"/>
      <c r="P128" s="633"/>
      <c r="Q128" s="633"/>
      <c r="R128" s="633"/>
      <c r="S128" s="633"/>
      <c r="T128" s="633"/>
    </row>
    <row r="129">
      <c r="A129" s="633"/>
      <c r="B129" s="633"/>
      <c r="C129" s="633"/>
      <c r="D129" s="633"/>
      <c r="E129" s="633"/>
      <c r="F129" s="633"/>
      <c r="G129" s="633"/>
      <c r="H129" s="633"/>
      <c r="I129" s="633"/>
      <c r="J129" s="633"/>
      <c r="K129" s="633"/>
      <c r="L129" s="633"/>
      <c r="M129" s="633"/>
      <c r="N129" s="633"/>
      <c r="O129" s="633"/>
      <c r="P129" s="633"/>
      <c r="Q129" s="633"/>
      <c r="R129" s="633"/>
      <c r="S129" s="633"/>
      <c r="T129" s="633"/>
    </row>
    <row r="130">
      <c r="A130" s="633"/>
      <c r="B130" s="633"/>
      <c r="C130" s="633"/>
      <c r="D130" s="633"/>
      <c r="E130" s="633"/>
      <c r="F130" s="633"/>
      <c r="G130" s="633"/>
      <c r="H130" s="633"/>
      <c r="I130" s="633"/>
      <c r="J130" s="633"/>
      <c r="K130" s="633"/>
      <c r="L130" s="633"/>
      <c r="M130" s="633"/>
      <c r="N130" s="633"/>
      <c r="O130" s="633"/>
      <c r="P130" s="633"/>
      <c r="Q130" s="633"/>
      <c r="R130" s="633"/>
      <c r="S130" s="633"/>
      <c r="T130" s="633"/>
    </row>
    <row r="131">
      <c r="A131" s="633"/>
      <c r="B131" s="633"/>
      <c r="C131" s="633"/>
      <c r="D131" s="633"/>
      <c r="E131" s="633"/>
      <c r="F131" s="633"/>
      <c r="G131" s="633"/>
      <c r="H131" s="633"/>
      <c r="I131" s="633"/>
      <c r="J131" s="633"/>
      <c r="K131" s="633"/>
      <c r="L131" s="633"/>
      <c r="M131" s="633"/>
      <c r="N131" s="633"/>
      <c r="O131" s="633"/>
      <c r="P131" s="633"/>
      <c r="Q131" s="633"/>
      <c r="R131" s="633"/>
      <c r="S131" s="633"/>
      <c r="T131" s="633"/>
    </row>
    <row r="132">
      <c r="A132" s="633"/>
      <c r="B132" s="633"/>
      <c r="C132" s="633"/>
      <c r="D132" s="633"/>
      <c r="E132" s="633"/>
      <c r="F132" s="633"/>
      <c r="G132" s="633"/>
      <c r="H132" s="633"/>
      <c r="I132" s="633"/>
      <c r="J132" s="633"/>
      <c r="K132" s="633"/>
      <c r="L132" s="633"/>
      <c r="M132" s="633"/>
      <c r="N132" s="633"/>
      <c r="O132" s="633"/>
      <c r="P132" s="633"/>
      <c r="Q132" s="633"/>
      <c r="R132" s="633"/>
      <c r="S132" s="633"/>
      <c r="T132" s="633"/>
    </row>
    <row r="133">
      <c r="A133" s="633"/>
      <c r="B133" s="633"/>
      <c r="C133" s="633"/>
      <c r="D133" s="633"/>
      <c r="E133" s="633"/>
      <c r="F133" s="633"/>
      <c r="G133" s="633"/>
      <c r="H133" s="633"/>
      <c r="I133" s="633"/>
      <c r="J133" s="633"/>
      <c r="K133" s="633"/>
      <c r="L133" s="633"/>
      <c r="M133" s="633"/>
      <c r="N133" s="633"/>
      <c r="O133" s="633"/>
      <c r="P133" s="633"/>
      <c r="Q133" s="633"/>
      <c r="R133" s="633"/>
      <c r="S133" s="633"/>
      <c r="T133" s="633"/>
    </row>
    <row r="134">
      <c r="A134" s="633"/>
      <c r="B134" s="633"/>
      <c r="C134" s="633"/>
      <c r="D134" s="633"/>
      <c r="E134" s="633"/>
      <c r="F134" s="633"/>
      <c r="G134" s="633"/>
      <c r="H134" s="633"/>
      <c r="I134" s="633"/>
      <c r="J134" s="633"/>
      <c r="K134" s="633"/>
      <c r="L134" s="633"/>
      <c r="M134" s="633"/>
      <c r="N134" s="633"/>
      <c r="O134" s="633"/>
      <c r="P134" s="633"/>
      <c r="Q134" s="633"/>
      <c r="R134" s="633"/>
      <c r="S134" s="633"/>
      <c r="T134" s="633"/>
    </row>
    <row r="135">
      <c r="A135" s="633"/>
      <c r="B135" s="633"/>
      <c r="C135" s="633"/>
      <c r="D135" s="633"/>
      <c r="E135" s="633"/>
      <c r="F135" s="633"/>
      <c r="G135" s="633"/>
      <c r="H135" s="633"/>
      <c r="I135" s="633"/>
      <c r="J135" s="633"/>
      <c r="K135" s="633"/>
      <c r="L135" s="633"/>
      <c r="M135" s="633"/>
      <c r="N135" s="633"/>
      <c r="O135" s="633"/>
      <c r="P135" s="633"/>
      <c r="Q135" s="633"/>
      <c r="R135" s="633"/>
      <c r="S135" s="633"/>
      <c r="T135" s="633"/>
    </row>
    <row r="136">
      <c r="A136" s="633"/>
      <c r="B136" s="633"/>
      <c r="C136" s="633"/>
      <c r="D136" s="633"/>
      <c r="E136" s="633"/>
      <c r="F136" s="633"/>
      <c r="G136" s="633"/>
      <c r="H136" s="633"/>
      <c r="I136" s="633"/>
      <c r="J136" s="633"/>
      <c r="K136" s="633"/>
      <c r="L136" s="633"/>
      <c r="M136" s="633"/>
      <c r="N136" s="633"/>
      <c r="O136" s="633"/>
      <c r="P136" s="633"/>
      <c r="Q136" s="633"/>
      <c r="R136" s="633"/>
      <c r="S136" s="633"/>
      <c r="T136" s="633"/>
    </row>
    <row r="137">
      <c r="A137" s="633"/>
      <c r="B137" s="633"/>
      <c r="C137" s="633"/>
      <c r="D137" s="633"/>
      <c r="E137" s="633"/>
      <c r="F137" s="633"/>
      <c r="G137" s="633"/>
      <c r="H137" s="633"/>
      <c r="I137" s="633"/>
      <c r="J137" s="633"/>
      <c r="K137" s="633"/>
      <c r="L137" s="633"/>
      <c r="M137" s="633"/>
      <c r="N137" s="633"/>
      <c r="O137" s="633"/>
      <c r="P137" s="633"/>
      <c r="Q137" s="633"/>
      <c r="R137" s="633"/>
      <c r="S137" s="633"/>
      <c r="T137" s="633"/>
    </row>
    <row r="138">
      <c r="A138" s="633"/>
      <c r="B138" s="633"/>
      <c r="C138" s="633"/>
      <c r="D138" s="633"/>
      <c r="E138" s="633"/>
      <c r="F138" s="633"/>
      <c r="G138" s="633"/>
      <c r="H138" s="633"/>
      <c r="I138" s="633"/>
      <c r="J138" s="633"/>
      <c r="K138" s="633"/>
      <c r="L138" s="633"/>
      <c r="M138" s="633"/>
      <c r="N138" s="633"/>
      <c r="O138" s="633"/>
      <c r="P138" s="633"/>
      <c r="Q138" s="633"/>
      <c r="R138" s="633"/>
      <c r="S138" s="633"/>
      <c r="T138" s="633"/>
    </row>
    <row r="139">
      <c r="A139" s="633"/>
      <c r="B139" s="633"/>
      <c r="C139" s="633"/>
      <c r="D139" s="633"/>
      <c r="E139" s="633"/>
      <c r="F139" s="633"/>
      <c r="G139" s="633"/>
      <c r="H139" s="633"/>
      <c r="I139" s="633"/>
      <c r="J139" s="633"/>
      <c r="K139" s="633"/>
      <c r="L139" s="633"/>
      <c r="M139" s="633"/>
      <c r="N139" s="633"/>
      <c r="O139" s="633"/>
      <c r="P139" s="633"/>
      <c r="Q139" s="633"/>
      <c r="R139" s="633"/>
      <c r="S139" s="633"/>
      <c r="T139" s="633"/>
    </row>
    <row r="140">
      <c r="A140" s="633"/>
      <c r="B140" s="633"/>
      <c r="C140" s="633"/>
      <c r="D140" s="633"/>
      <c r="E140" s="633"/>
      <c r="F140" s="633"/>
      <c r="G140" s="633"/>
      <c r="H140" s="633"/>
      <c r="I140" s="633"/>
      <c r="J140" s="633"/>
      <c r="K140" s="633"/>
      <c r="L140" s="633"/>
      <c r="M140" s="633"/>
      <c r="N140" s="633"/>
      <c r="O140" s="633"/>
      <c r="P140" s="633"/>
      <c r="Q140" s="633"/>
      <c r="R140" s="633"/>
      <c r="S140" s="633"/>
      <c r="T140" s="633"/>
    </row>
    <row r="141">
      <c r="A141" s="633"/>
      <c r="B141" s="633"/>
      <c r="C141" s="633"/>
      <c r="D141" s="633"/>
      <c r="E141" s="633"/>
      <c r="F141" s="633"/>
      <c r="G141" s="633"/>
      <c r="H141" s="633"/>
      <c r="I141" s="633"/>
      <c r="J141" s="633"/>
      <c r="K141" s="633"/>
      <c r="L141" s="633"/>
      <c r="M141" s="633"/>
      <c r="N141" s="633"/>
      <c r="O141" s="633"/>
      <c r="P141" s="633"/>
      <c r="Q141" s="633"/>
      <c r="R141" s="633"/>
      <c r="S141" s="633"/>
      <c r="T141" s="633"/>
    </row>
    <row r="142">
      <c r="A142" s="633"/>
      <c r="B142" s="633"/>
      <c r="C142" s="633"/>
      <c r="D142" s="633"/>
      <c r="E142" s="633"/>
      <c r="F142" s="633"/>
      <c r="G142" s="633"/>
      <c r="H142" s="633"/>
      <c r="I142" s="633"/>
      <c r="J142" s="633"/>
      <c r="K142" s="633"/>
      <c r="L142" s="633"/>
      <c r="M142" s="633"/>
      <c r="N142" s="633"/>
      <c r="O142" s="633"/>
      <c r="P142" s="633"/>
      <c r="Q142" s="633"/>
      <c r="R142" s="633"/>
      <c r="S142" s="633"/>
      <c r="T142" s="633"/>
    </row>
    <row r="143">
      <c r="A143" s="633"/>
      <c r="B143" s="633"/>
      <c r="C143" s="633"/>
      <c r="D143" s="633"/>
      <c r="E143" s="633"/>
      <c r="F143" s="633"/>
      <c r="G143" s="633"/>
      <c r="H143" s="633"/>
      <c r="I143" s="633"/>
      <c r="J143" s="633"/>
      <c r="K143" s="633"/>
      <c r="L143" s="633"/>
      <c r="M143" s="633"/>
      <c r="N143" s="633"/>
      <c r="O143" s="633"/>
      <c r="P143" s="633"/>
      <c r="Q143" s="633"/>
      <c r="R143" s="633"/>
      <c r="S143" s="633"/>
      <c r="T143" s="633"/>
    </row>
    <row r="144">
      <c r="A144" s="633"/>
      <c r="B144" s="633"/>
      <c r="C144" s="633"/>
      <c r="D144" s="633"/>
      <c r="E144" s="633"/>
      <c r="F144" s="633"/>
      <c r="G144" s="633"/>
      <c r="H144" s="633"/>
      <c r="I144" s="633"/>
      <c r="J144" s="633"/>
      <c r="K144" s="633"/>
      <c r="L144" s="633"/>
      <c r="M144" s="633"/>
      <c r="N144" s="633"/>
      <c r="O144" s="633"/>
      <c r="P144" s="633"/>
      <c r="Q144" s="633"/>
      <c r="R144" s="633"/>
      <c r="S144" s="633"/>
      <c r="T144" s="633"/>
    </row>
    <row r="145">
      <c r="A145" s="633"/>
      <c r="B145" s="633"/>
      <c r="C145" s="633"/>
      <c r="D145" s="633"/>
      <c r="E145" s="633"/>
      <c r="F145" s="633"/>
      <c r="G145" s="633"/>
      <c r="H145" s="633"/>
      <c r="I145" s="633"/>
      <c r="J145" s="633"/>
      <c r="K145" s="633"/>
      <c r="L145" s="633"/>
      <c r="M145" s="633"/>
      <c r="N145" s="633"/>
      <c r="O145" s="633"/>
      <c r="P145" s="633"/>
      <c r="Q145" s="633"/>
      <c r="R145" s="633"/>
      <c r="S145" s="633"/>
      <c r="T145" s="633"/>
    </row>
    <row r="146">
      <c r="A146" s="633"/>
      <c r="B146" s="633"/>
      <c r="C146" s="633"/>
      <c r="D146" s="633"/>
      <c r="E146" s="633"/>
      <c r="F146" s="633"/>
      <c r="G146" s="633"/>
      <c r="H146" s="633"/>
      <c r="I146" s="633"/>
      <c r="J146" s="633"/>
      <c r="K146" s="633"/>
      <c r="L146" s="633"/>
      <c r="M146" s="633"/>
      <c r="N146" s="633"/>
      <c r="O146" s="633"/>
      <c r="P146" s="633"/>
      <c r="Q146" s="633"/>
      <c r="R146" s="633"/>
      <c r="S146" s="633"/>
      <c r="T146" s="633"/>
    </row>
    <row r="147">
      <c r="A147" s="633"/>
      <c r="B147" s="633"/>
      <c r="C147" s="633"/>
      <c r="D147" s="633"/>
      <c r="E147" s="633"/>
      <c r="F147" s="633"/>
      <c r="G147" s="633"/>
      <c r="H147" s="633"/>
      <c r="I147" s="633"/>
      <c r="J147" s="633"/>
      <c r="K147" s="633"/>
      <c r="L147" s="633"/>
      <c r="M147" s="633"/>
      <c r="N147" s="633"/>
      <c r="O147" s="633"/>
      <c r="P147" s="633"/>
      <c r="Q147" s="633"/>
      <c r="R147" s="633"/>
      <c r="S147" s="633"/>
      <c r="T147" s="633"/>
    </row>
    <row r="148">
      <c r="A148" s="633"/>
      <c r="B148" s="633"/>
      <c r="C148" s="633"/>
      <c r="D148" s="633"/>
      <c r="E148" s="633"/>
      <c r="F148" s="633"/>
      <c r="G148" s="633"/>
      <c r="H148" s="633"/>
      <c r="I148" s="633"/>
      <c r="J148" s="633"/>
      <c r="K148" s="633"/>
      <c r="L148" s="633"/>
      <c r="M148" s="633"/>
      <c r="N148" s="633"/>
      <c r="O148" s="633"/>
      <c r="P148" s="633"/>
      <c r="Q148" s="633"/>
      <c r="R148" s="633"/>
      <c r="S148" s="633"/>
      <c r="T148" s="633"/>
    </row>
    <row r="149">
      <c r="A149" s="633"/>
      <c r="B149" s="633"/>
      <c r="C149" s="633"/>
      <c r="D149" s="633"/>
      <c r="E149" s="633"/>
      <c r="F149" s="633"/>
      <c r="G149" s="633"/>
      <c r="H149" s="633"/>
      <c r="I149" s="633"/>
      <c r="J149" s="633"/>
      <c r="K149" s="633"/>
      <c r="L149" s="633"/>
      <c r="M149" s="633"/>
      <c r="N149" s="633"/>
      <c r="O149" s="633"/>
      <c r="P149" s="633"/>
      <c r="Q149" s="633"/>
      <c r="R149" s="633"/>
      <c r="S149" s="633"/>
      <c r="T149" s="633"/>
    </row>
    <row r="150">
      <c r="A150" s="633"/>
      <c r="B150" s="633"/>
      <c r="C150" s="633"/>
      <c r="D150" s="633"/>
      <c r="E150" s="633"/>
      <c r="F150" s="633"/>
      <c r="G150" s="633"/>
      <c r="H150" s="633"/>
      <c r="I150" s="633"/>
      <c r="J150" s="633"/>
      <c r="K150" s="633"/>
      <c r="L150" s="633"/>
      <c r="M150" s="633"/>
      <c r="N150" s="633"/>
      <c r="O150" s="633"/>
      <c r="P150" s="633"/>
      <c r="Q150" s="633"/>
      <c r="R150" s="633"/>
      <c r="S150" s="633"/>
      <c r="T150" s="633"/>
    </row>
    <row r="151">
      <c r="A151" s="633"/>
      <c r="B151" s="633"/>
      <c r="C151" s="633"/>
      <c r="D151" s="633"/>
      <c r="E151" s="633"/>
      <c r="F151" s="633"/>
      <c r="G151" s="633"/>
      <c r="H151" s="633"/>
      <c r="I151" s="633"/>
      <c r="J151" s="633"/>
      <c r="K151" s="633"/>
      <c r="L151" s="633"/>
      <c r="M151" s="633"/>
      <c r="N151" s="633"/>
      <c r="O151" s="633"/>
      <c r="P151" s="633"/>
      <c r="Q151" s="633"/>
      <c r="R151" s="633"/>
      <c r="S151" s="633"/>
      <c r="T151" s="633"/>
    </row>
    <row r="152">
      <c r="A152" s="633"/>
      <c r="B152" s="633"/>
      <c r="C152" s="633"/>
      <c r="D152" s="633"/>
      <c r="E152" s="633"/>
      <c r="F152" s="633"/>
      <c r="G152" s="633"/>
      <c r="H152" s="633"/>
      <c r="I152" s="633"/>
      <c r="J152" s="633"/>
      <c r="K152" s="633"/>
      <c r="L152" s="633"/>
      <c r="M152" s="633"/>
      <c r="N152" s="633"/>
      <c r="O152" s="633"/>
      <c r="P152" s="633"/>
      <c r="Q152" s="633"/>
      <c r="R152" s="633"/>
      <c r="S152" s="633"/>
      <c r="T152" s="633"/>
    </row>
    <row r="153">
      <c r="A153" s="633"/>
      <c r="B153" s="633"/>
      <c r="C153" s="633"/>
      <c r="D153" s="633"/>
      <c r="E153" s="633"/>
      <c r="F153" s="633"/>
      <c r="G153" s="633"/>
      <c r="H153" s="633"/>
      <c r="I153" s="633"/>
      <c r="J153" s="633"/>
      <c r="K153" s="633"/>
      <c r="L153" s="633"/>
      <c r="M153" s="633"/>
      <c r="N153" s="633"/>
      <c r="O153" s="633"/>
      <c r="P153" s="633"/>
      <c r="Q153" s="633"/>
      <c r="R153" s="633"/>
      <c r="S153" s="633"/>
      <c r="T153" s="633"/>
    </row>
    <row r="154">
      <c r="A154" s="633"/>
      <c r="B154" s="633"/>
      <c r="C154" s="633"/>
      <c r="D154" s="633"/>
      <c r="E154" s="633"/>
      <c r="F154" s="633"/>
      <c r="G154" s="633"/>
      <c r="H154" s="633"/>
      <c r="I154" s="633"/>
      <c r="J154" s="633"/>
      <c r="K154" s="633"/>
      <c r="L154" s="633"/>
      <c r="M154" s="633"/>
      <c r="N154" s="633"/>
      <c r="O154" s="633"/>
      <c r="P154" s="633"/>
      <c r="Q154" s="633"/>
      <c r="R154" s="633"/>
      <c r="S154" s="633"/>
      <c r="T154" s="633"/>
    </row>
    <row r="155">
      <c r="A155" s="633"/>
      <c r="B155" s="633"/>
      <c r="C155" s="633"/>
      <c r="D155" s="633"/>
      <c r="E155" s="633"/>
      <c r="F155" s="633"/>
      <c r="G155" s="633"/>
      <c r="H155" s="633"/>
      <c r="I155" s="633"/>
      <c r="J155" s="633"/>
      <c r="K155" s="633"/>
      <c r="L155" s="633"/>
      <c r="M155" s="633"/>
      <c r="N155" s="633"/>
      <c r="O155" s="633"/>
      <c r="P155" s="633"/>
      <c r="Q155" s="633"/>
      <c r="R155" s="633"/>
      <c r="S155" s="633"/>
      <c r="T155" s="633"/>
    </row>
    <row r="156">
      <c r="A156" s="633"/>
      <c r="B156" s="633"/>
      <c r="C156" s="633"/>
      <c r="D156" s="633"/>
      <c r="E156" s="633"/>
      <c r="F156" s="633"/>
      <c r="G156" s="633"/>
      <c r="H156" s="633"/>
      <c r="I156" s="633"/>
      <c r="J156" s="633"/>
      <c r="K156" s="633"/>
      <c r="L156" s="633"/>
      <c r="M156" s="633"/>
      <c r="N156" s="633"/>
      <c r="O156" s="633"/>
      <c r="P156" s="633"/>
      <c r="Q156" s="633"/>
      <c r="R156" s="633"/>
      <c r="S156" s="633"/>
      <c r="T156" s="633"/>
    </row>
    <row r="157">
      <c r="A157" s="633"/>
      <c r="B157" s="633"/>
      <c r="C157" s="633"/>
      <c r="D157" s="633"/>
      <c r="E157" s="633"/>
      <c r="F157" s="633"/>
      <c r="G157" s="633"/>
      <c r="H157" s="633"/>
      <c r="I157" s="633"/>
      <c r="J157" s="633"/>
      <c r="K157" s="633"/>
      <c r="L157" s="633"/>
      <c r="M157" s="633"/>
      <c r="N157" s="633"/>
      <c r="O157" s="633"/>
      <c r="P157" s="633"/>
      <c r="Q157" s="633"/>
      <c r="R157" s="633"/>
      <c r="S157" s="633"/>
      <c r="T157" s="633"/>
    </row>
    <row r="158">
      <c r="A158" s="633"/>
      <c r="B158" s="633"/>
      <c r="C158" s="633"/>
      <c r="D158" s="633"/>
      <c r="E158" s="633"/>
      <c r="F158" s="633"/>
      <c r="G158" s="633"/>
      <c r="H158" s="633"/>
      <c r="I158" s="633"/>
      <c r="J158" s="633"/>
      <c r="K158" s="633"/>
      <c r="L158" s="633"/>
      <c r="M158" s="633"/>
      <c r="N158" s="633"/>
      <c r="O158" s="633"/>
      <c r="P158" s="633"/>
      <c r="Q158" s="633"/>
      <c r="R158" s="633"/>
      <c r="S158" s="633"/>
      <c r="T158" s="633"/>
    </row>
    <row r="159">
      <c r="A159" s="633"/>
      <c r="B159" s="633"/>
      <c r="C159" s="633"/>
      <c r="D159" s="633"/>
      <c r="E159" s="633"/>
      <c r="F159" s="633"/>
      <c r="G159" s="633"/>
      <c r="H159" s="633"/>
      <c r="I159" s="633"/>
      <c r="J159" s="633"/>
      <c r="K159" s="633"/>
      <c r="L159" s="633"/>
      <c r="M159" s="633"/>
      <c r="N159" s="633"/>
      <c r="O159" s="633"/>
      <c r="P159" s="633"/>
      <c r="Q159" s="633"/>
      <c r="R159" s="633"/>
      <c r="S159" s="633"/>
      <c r="T159" s="633"/>
    </row>
    <row r="160">
      <c r="A160" s="633"/>
      <c r="B160" s="633"/>
      <c r="C160" s="633"/>
      <c r="D160" s="633"/>
      <c r="E160" s="633"/>
      <c r="F160" s="633"/>
      <c r="G160" s="633"/>
      <c r="H160" s="633"/>
      <c r="I160" s="633"/>
      <c r="J160" s="633"/>
      <c r="K160" s="633"/>
      <c r="L160" s="633"/>
      <c r="M160" s="633"/>
      <c r="N160" s="633"/>
      <c r="O160" s="633"/>
      <c r="P160" s="633"/>
      <c r="Q160" s="633"/>
      <c r="R160" s="633"/>
      <c r="S160" s="633"/>
      <c r="T160" s="633"/>
    </row>
    <row r="161">
      <c r="A161" s="633"/>
      <c r="B161" s="633"/>
      <c r="C161" s="633"/>
      <c r="D161" s="633"/>
      <c r="E161" s="633"/>
      <c r="F161" s="633"/>
      <c r="G161" s="633"/>
      <c r="H161" s="633"/>
      <c r="I161" s="633"/>
      <c r="J161" s="633"/>
      <c r="K161" s="633"/>
      <c r="L161" s="633"/>
      <c r="M161" s="633"/>
      <c r="N161" s="633"/>
      <c r="O161" s="633"/>
      <c r="P161" s="633"/>
      <c r="Q161" s="633"/>
      <c r="R161" s="633"/>
      <c r="S161" s="633"/>
      <c r="T161" s="633"/>
    </row>
    <row r="162">
      <c r="A162" s="633"/>
      <c r="B162" s="633"/>
      <c r="C162" s="633"/>
      <c r="D162" s="633"/>
      <c r="E162" s="633"/>
      <c r="F162" s="633"/>
      <c r="G162" s="633"/>
      <c r="H162" s="633"/>
      <c r="I162" s="633"/>
      <c r="J162" s="633"/>
      <c r="K162" s="633"/>
      <c r="L162" s="633"/>
      <c r="M162" s="633"/>
      <c r="N162" s="633"/>
      <c r="O162" s="633"/>
      <c r="P162" s="633"/>
      <c r="Q162" s="633"/>
      <c r="R162" s="633"/>
      <c r="S162" s="633"/>
      <c r="T162" s="633"/>
    </row>
    <row r="163">
      <c r="A163" s="633"/>
      <c r="B163" s="633"/>
      <c r="C163" s="633"/>
      <c r="D163" s="633"/>
      <c r="E163" s="633"/>
      <c r="F163" s="633"/>
      <c r="G163" s="633"/>
      <c r="H163" s="633"/>
      <c r="I163" s="633"/>
      <c r="J163" s="633"/>
      <c r="K163" s="633"/>
      <c r="L163" s="633"/>
      <c r="M163" s="633"/>
      <c r="N163" s="633"/>
      <c r="O163" s="633"/>
      <c r="P163" s="633"/>
      <c r="Q163" s="633"/>
      <c r="R163" s="633"/>
      <c r="S163" s="633"/>
      <c r="T163" s="633"/>
    </row>
    <row r="164">
      <c r="A164" s="633"/>
      <c r="B164" s="633"/>
      <c r="C164" s="633"/>
      <c r="D164" s="633"/>
      <c r="E164" s="633"/>
      <c r="F164" s="633"/>
      <c r="G164" s="633"/>
      <c r="H164" s="633"/>
      <c r="I164" s="633"/>
      <c r="J164" s="633"/>
      <c r="K164" s="633"/>
      <c r="L164" s="633"/>
      <c r="M164" s="633"/>
      <c r="N164" s="633"/>
      <c r="O164" s="633"/>
      <c r="P164" s="633"/>
      <c r="Q164" s="633"/>
      <c r="R164" s="633"/>
      <c r="S164" s="633"/>
      <c r="T164" s="633"/>
    </row>
    <row r="165">
      <c r="A165" s="633"/>
      <c r="B165" s="633"/>
      <c r="C165" s="633"/>
      <c r="D165" s="633"/>
      <c r="E165" s="633"/>
      <c r="F165" s="633"/>
      <c r="G165" s="633"/>
      <c r="H165" s="633"/>
      <c r="I165" s="633"/>
      <c r="J165" s="633"/>
      <c r="K165" s="633"/>
      <c r="L165" s="633"/>
      <c r="M165" s="633"/>
      <c r="N165" s="633"/>
      <c r="O165" s="633"/>
      <c r="P165" s="633"/>
      <c r="Q165" s="633"/>
      <c r="R165" s="633"/>
      <c r="S165" s="633"/>
      <c r="T165" s="633"/>
    </row>
    <row r="166">
      <c r="A166" s="633"/>
      <c r="B166" s="633"/>
      <c r="C166" s="633"/>
      <c r="D166" s="633"/>
      <c r="E166" s="633"/>
      <c r="F166" s="633"/>
      <c r="G166" s="633"/>
      <c r="H166" s="633"/>
      <c r="I166" s="633"/>
      <c r="J166" s="633"/>
      <c r="K166" s="633"/>
      <c r="L166" s="633"/>
      <c r="M166" s="633"/>
      <c r="N166" s="633"/>
      <c r="O166" s="633"/>
      <c r="P166" s="633"/>
      <c r="Q166" s="633"/>
      <c r="R166" s="633"/>
      <c r="S166" s="633"/>
      <c r="T166" s="633"/>
    </row>
    <row r="167">
      <c r="A167" s="633"/>
      <c r="B167" s="633"/>
      <c r="C167" s="633"/>
      <c r="D167" s="633"/>
      <c r="E167" s="633"/>
      <c r="F167" s="633"/>
      <c r="G167" s="633"/>
      <c r="H167" s="633"/>
      <c r="I167" s="633"/>
      <c r="J167" s="633"/>
      <c r="K167" s="633"/>
      <c r="L167" s="633"/>
      <c r="M167" s="633"/>
      <c r="N167" s="633"/>
      <c r="O167" s="633"/>
      <c r="P167" s="633"/>
      <c r="Q167" s="633"/>
      <c r="R167" s="633"/>
      <c r="S167" s="633"/>
      <c r="T167" s="633"/>
    </row>
    <row r="168">
      <c r="A168" s="633"/>
      <c r="B168" s="633"/>
      <c r="C168" s="633"/>
      <c r="D168" s="633"/>
      <c r="E168" s="633"/>
      <c r="F168" s="633"/>
      <c r="G168" s="633"/>
      <c r="H168" s="633"/>
      <c r="I168" s="633"/>
      <c r="J168" s="633"/>
      <c r="K168" s="633"/>
      <c r="L168" s="633"/>
      <c r="M168" s="633"/>
      <c r="N168" s="633"/>
      <c r="O168" s="633"/>
      <c r="P168" s="633"/>
      <c r="Q168" s="633"/>
      <c r="R168" s="633"/>
      <c r="S168" s="633"/>
      <c r="T168" s="633"/>
    </row>
    <row r="169">
      <c r="A169" s="633"/>
      <c r="B169" s="633"/>
      <c r="C169" s="633"/>
      <c r="D169" s="633"/>
      <c r="E169" s="633"/>
      <c r="F169" s="633"/>
      <c r="G169" s="633"/>
      <c r="H169" s="633"/>
      <c r="I169" s="633"/>
      <c r="J169" s="633"/>
      <c r="K169" s="633"/>
      <c r="L169" s="633"/>
      <c r="M169" s="633"/>
      <c r="N169" s="633"/>
      <c r="O169" s="633"/>
      <c r="P169" s="633"/>
      <c r="Q169" s="633"/>
      <c r="R169" s="633"/>
      <c r="S169" s="633"/>
      <c r="T169" s="633"/>
    </row>
    <row r="170">
      <c r="A170" s="633"/>
      <c r="B170" s="633"/>
      <c r="C170" s="633"/>
      <c r="D170" s="633"/>
      <c r="E170" s="633"/>
      <c r="F170" s="633"/>
      <c r="G170" s="633"/>
      <c r="H170" s="633"/>
      <c r="I170" s="633"/>
      <c r="J170" s="633"/>
      <c r="K170" s="633"/>
      <c r="L170" s="633"/>
      <c r="M170" s="633"/>
      <c r="N170" s="633"/>
      <c r="O170" s="633"/>
      <c r="P170" s="633"/>
      <c r="Q170" s="633"/>
      <c r="R170" s="633"/>
      <c r="S170" s="633"/>
      <c r="T170" s="633"/>
    </row>
    <row r="171">
      <c r="A171" s="633"/>
      <c r="B171" s="633"/>
      <c r="C171" s="633"/>
      <c r="D171" s="633"/>
      <c r="E171" s="633"/>
      <c r="F171" s="633"/>
      <c r="G171" s="633"/>
      <c r="H171" s="633"/>
      <c r="I171" s="633"/>
      <c r="J171" s="633"/>
      <c r="K171" s="633"/>
      <c r="L171" s="633"/>
      <c r="M171" s="633"/>
      <c r="N171" s="633"/>
      <c r="O171" s="633"/>
      <c r="P171" s="633"/>
      <c r="Q171" s="633"/>
      <c r="R171" s="633"/>
      <c r="S171" s="633"/>
      <c r="T171" s="633"/>
    </row>
    <row r="172">
      <c r="A172" s="633"/>
      <c r="B172" s="633"/>
      <c r="C172" s="633"/>
      <c r="D172" s="633"/>
      <c r="E172" s="633"/>
      <c r="F172" s="633"/>
      <c r="G172" s="633"/>
      <c r="H172" s="633"/>
      <c r="I172" s="633"/>
      <c r="J172" s="633"/>
      <c r="K172" s="633"/>
      <c r="L172" s="633"/>
      <c r="M172" s="633"/>
      <c r="N172" s="633"/>
      <c r="O172" s="633"/>
      <c r="P172" s="633"/>
      <c r="Q172" s="633"/>
      <c r="R172" s="633"/>
      <c r="S172" s="633"/>
      <c r="T172" s="633"/>
    </row>
    <row r="173">
      <c r="A173" s="633"/>
      <c r="B173" s="633"/>
      <c r="C173" s="633"/>
      <c r="D173" s="633"/>
      <c r="E173" s="633"/>
      <c r="F173" s="633"/>
      <c r="G173" s="633"/>
      <c r="H173" s="633"/>
      <c r="I173" s="633"/>
      <c r="J173" s="633"/>
      <c r="K173" s="633"/>
      <c r="L173" s="633"/>
      <c r="M173" s="633"/>
      <c r="N173" s="633"/>
      <c r="O173" s="633"/>
      <c r="P173" s="633"/>
      <c r="Q173" s="633"/>
      <c r="R173" s="633"/>
      <c r="S173" s="633"/>
      <c r="T173" s="633"/>
    </row>
    <row r="174">
      <c r="A174" s="633"/>
      <c r="B174" s="633"/>
      <c r="C174" s="633"/>
      <c r="D174" s="633"/>
      <c r="E174" s="633"/>
      <c r="F174" s="633"/>
      <c r="G174" s="633"/>
      <c r="H174" s="633"/>
      <c r="I174" s="633"/>
      <c r="J174" s="633"/>
      <c r="K174" s="633"/>
      <c r="L174" s="633"/>
      <c r="M174" s="633"/>
      <c r="N174" s="633"/>
      <c r="O174" s="633"/>
      <c r="P174" s="633"/>
      <c r="Q174" s="633"/>
      <c r="R174" s="633"/>
      <c r="S174" s="633"/>
      <c r="T174" s="633"/>
    </row>
    <row r="175">
      <c r="A175" s="633"/>
      <c r="B175" s="633"/>
      <c r="C175" s="633"/>
      <c r="D175" s="633"/>
      <c r="E175" s="633"/>
      <c r="F175" s="633"/>
      <c r="G175" s="633"/>
      <c r="H175" s="633"/>
      <c r="I175" s="633"/>
      <c r="J175" s="633"/>
      <c r="K175" s="633"/>
      <c r="L175" s="633"/>
      <c r="M175" s="633"/>
      <c r="N175" s="633"/>
      <c r="O175" s="633"/>
      <c r="P175" s="633"/>
      <c r="Q175" s="633"/>
      <c r="R175" s="633"/>
      <c r="S175" s="633"/>
      <c r="T175" s="633"/>
    </row>
    <row r="176">
      <c r="A176" s="633"/>
      <c r="B176" s="633"/>
      <c r="C176" s="633"/>
      <c r="D176" s="633"/>
      <c r="E176" s="633"/>
      <c r="F176" s="633"/>
      <c r="G176" s="633"/>
      <c r="H176" s="633"/>
      <c r="I176" s="633"/>
      <c r="J176" s="633"/>
      <c r="K176" s="633"/>
      <c r="L176" s="633"/>
      <c r="M176" s="633"/>
      <c r="N176" s="633"/>
      <c r="O176" s="633"/>
      <c r="P176" s="633"/>
      <c r="Q176" s="633"/>
      <c r="R176" s="633"/>
      <c r="S176" s="633"/>
      <c r="T176" s="633"/>
    </row>
    <row r="177">
      <c r="A177" s="633"/>
      <c r="B177" s="633"/>
      <c r="C177" s="633"/>
      <c r="D177" s="633"/>
      <c r="E177" s="633"/>
      <c r="F177" s="633"/>
      <c r="G177" s="633"/>
      <c r="H177" s="633"/>
      <c r="I177" s="633"/>
      <c r="J177" s="633"/>
      <c r="K177" s="633"/>
      <c r="L177" s="633"/>
      <c r="M177" s="633"/>
      <c r="N177" s="633"/>
      <c r="O177" s="633"/>
      <c r="P177" s="633"/>
      <c r="Q177" s="633"/>
      <c r="R177" s="633"/>
      <c r="S177" s="633"/>
      <c r="T177" s="633"/>
    </row>
    <row r="178">
      <c r="A178" s="633"/>
      <c r="B178" s="633"/>
      <c r="C178" s="633"/>
      <c r="D178" s="633"/>
      <c r="E178" s="633"/>
      <c r="F178" s="633"/>
      <c r="G178" s="633"/>
      <c r="H178" s="633"/>
      <c r="I178" s="633"/>
      <c r="J178" s="633"/>
      <c r="K178" s="633"/>
      <c r="L178" s="633"/>
      <c r="M178" s="633"/>
      <c r="N178" s="633"/>
      <c r="O178" s="633"/>
      <c r="P178" s="633"/>
      <c r="Q178" s="633"/>
      <c r="R178" s="633"/>
      <c r="S178" s="633"/>
      <c r="T178" s="633"/>
    </row>
    <row r="179">
      <c r="A179" s="633"/>
      <c r="B179" s="633"/>
      <c r="C179" s="633"/>
      <c r="D179" s="633"/>
      <c r="E179" s="633"/>
      <c r="F179" s="633"/>
      <c r="G179" s="633"/>
      <c r="H179" s="633"/>
      <c r="I179" s="633"/>
      <c r="J179" s="633"/>
      <c r="K179" s="633"/>
      <c r="L179" s="633"/>
      <c r="M179" s="633"/>
      <c r="N179" s="633"/>
      <c r="O179" s="633"/>
      <c r="P179" s="633"/>
      <c r="Q179" s="633"/>
      <c r="R179" s="633"/>
      <c r="S179" s="633"/>
      <c r="T179" s="633"/>
    </row>
    <row r="180">
      <c r="A180" s="633"/>
      <c r="B180" s="633"/>
      <c r="C180" s="633"/>
      <c r="D180" s="633"/>
      <c r="E180" s="633"/>
      <c r="F180" s="633"/>
      <c r="G180" s="633"/>
      <c r="H180" s="633"/>
      <c r="I180" s="633"/>
      <c r="J180" s="633"/>
      <c r="K180" s="633"/>
      <c r="L180" s="633"/>
      <c r="M180" s="633"/>
      <c r="N180" s="633"/>
      <c r="O180" s="633"/>
      <c r="P180" s="633"/>
      <c r="Q180" s="633"/>
      <c r="R180" s="633"/>
      <c r="S180" s="633"/>
      <c r="T180" s="633"/>
    </row>
    <row r="181">
      <c r="A181" s="633"/>
      <c r="B181" s="633"/>
      <c r="C181" s="633"/>
      <c r="D181" s="633"/>
      <c r="E181" s="633"/>
      <c r="F181" s="633"/>
      <c r="G181" s="633"/>
      <c r="H181" s="633"/>
      <c r="I181" s="633"/>
      <c r="J181" s="633"/>
      <c r="K181" s="633"/>
      <c r="L181" s="633"/>
      <c r="M181" s="633"/>
      <c r="N181" s="633"/>
      <c r="O181" s="633"/>
      <c r="P181" s="633"/>
      <c r="Q181" s="633"/>
      <c r="R181" s="633"/>
      <c r="S181" s="633"/>
      <c r="T181" s="633"/>
    </row>
    <row r="182">
      <c r="A182" s="633"/>
      <c r="B182" s="633"/>
      <c r="C182" s="633"/>
      <c r="D182" s="633"/>
      <c r="E182" s="633"/>
      <c r="F182" s="633"/>
      <c r="G182" s="633"/>
      <c r="H182" s="633"/>
      <c r="I182" s="633"/>
      <c r="J182" s="633"/>
      <c r="K182" s="633"/>
      <c r="L182" s="633"/>
      <c r="M182" s="633"/>
      <c r="N182" s="633"/>
      <c r="O182" s="633"/>
      <c r="P182" s="633"/>
      <c r="Q182" s="633"/>
      <c r="R182" s="633"/>
      <c r="S182" s="633"/>
      <c r="T182" s="633"/>
    </row>
    <row r="183">
      <c r="A183" s="633"/>
      <c r="B183" s="633"/>
      <c r="C183" s="633"/>
      <c r="D183" s="633"/>
      <c r="E183" s="633"/>
      <c r="F183" s="633"/>
      <c r="G183" s="633"/>
      <c r="H183" s="633"/>
      <c r="I183" s="633"/>
      <c r="J183" s="633"/>
      <c r="K183" s="633"/>
      <c r="L183" s="633"/>
      <c r="M183" s="633"/>
      <c r="N183" s="633"/>
      <c r="O183" s="633"/>
      <c r="P183" s="633"/>
      <c r="Q183" s="633"/>
      <c r="R183" s="633"/>
      <c r="S183" s="633"/>
      <c r="T183" s="633"/>
    </row>
    <row r="184">
      <c r="A184" s="633"/>
      <c r="B184" s="633"/>
      <c r="C184" s="633"/>
      <c r="D184" s="633"/>
      <c r="E184" s="633"/>
      <c r="F184" s="633"/>
      <c r="G184" s="633"/>
      <c r="H184" s="633"/>
      <c r="I184" s="633"/>
      <c r="J184" s="633"/>
      <c r="K184" s="633"/>
      <c r="L184" s="633"/>
      <c r="M184" s="633"/>
      <c r="N184" s="633"/>
      <c r="O184" s="633"/>
      <c r="P184" s="633"/>
      <c r="Q184" s="633"/>
      <c r="R184" s="633"/>
      <c r="S184" s="633"/>
      <c r="T184" s="633"/>
    </row>
    <row r="185">
      <c r="A185" s="633"/>
      <c r="B185" s="633"/>
      <c r="C185" s="633"/>
      <c r="D185" s="633"/>
      <c r="E185" s="633"/>
      <c r="F185" s="633"/>
      <c r="G185" s="633"/>
      <c r="H185" s="633"/>
      <c r="I185" s="633"/>
      <c r="J185" s="633"/>
      <c r="K185" s="633"/>
      <c r="L185" s="633"/>
      <c r="M185" s="633"/>
      <c r="N185" s="633"/>
      <c r="O185" s="633"/>
      <c r="P185" s="633"/>
      <c r="Q185" s="633"/>
      <c r="R185" s="633"/>
      <c r="S185" s="633"/>
      <c r="T185" s="633"/>
    </row>
    <row r="186">
      <c r="A186" s="633"/>
      <c r="B186" s="633"/>
      <c r="C186" s="633"/>
      <c r="D186" s="633"/>
      <c r="E186" s="633"/>
      <c r="F186" s="633"/>
      <c r="G186" s="633"/>
      <c r="H186" s="633"/>
      <c r="I186" s="633"/>
      <c r="J186" s="633"/>
      <c r="K186" s="633"/>
      <c r="L186" s="633"/>
      <c r="M186" s="633"/>
      <c r="N186" s="633"/>
      <c r="O186" s="633"/>
      <c r="P186" s="633"/>
      <c r="Q186" s="633"/>
      <c r="R186" s="633"/>
      <c r="S186" s="633"/>
      <c r="T186" s="633"/>
    </row>
    <row r="187">
      <c r="A187" s="633"/>
      <c r="B187" s="633"/>
      <c r="C187" s="633"/>
      <c r="D187" s="633"/>
      <c r="E187" s="633"/>
      <c r="F187" s="633"/>
      <c r="G187" s="633"/>
      <c r="H187" s="633"/>
      <c r="I187" s="633"/>
      <c r="J187" s="633"/>
      <c r="K187" s="633"/>
      <c r="L187" s="633"/>
      <c r="M187" s="633"/>
      <c r="N187" s="633"/>
      <c r="O187" s="633"/>
      <c r="P187" s="633"/>
      <c r="Q187" s="633"/>
      <c r="R187" s="633"/>
      <c r="S187" s="633"/>
      <c r="T187" s="633"/>
    </row>
    <row r="188">
      <c r="A188" s="633"/>
      <c r="B188" s="633"/>
      <c r="C188" s="633"/>
      <c r="D188" s="633"/>
      <c r="E188" s="633"/>
      <c r="F188" s="633"/>
      <c r="G188" s="633"/>
      <c r="H188" s="633"/>
      <c r="I188" s="633"/>
      <c r="J188" s="633"/>
      <c r="K188" s="633"/>
      <c r="L188" s="633"/>
      <c r="M188" s="633"/>
      <c r="N188" s="633"/>
      <c r="O188" s="633"/>
      <c r="P188" s="633"/>
      <c r="Q188" s="633"/>
      <c r="R188" s="633"/>
      <c r="S188" s="633"/>
      <c r="T188" s="633"/>
    </row>
    <row r="189">
      <c r="A189" s="633"/>
      <c r="B189" s="633"/>
      <c r="C189" s="633"/>
      <c r="D189" s="633"/>
      <c r="E189" s="633"/>
      <c r="F189" s="633"/>
      <c r="G189" s="633"/>
      <c r="H189" s="633"/>
      <c r="I189" s="633"/>
      <c r="J189" s="633"/>
      <c r="K189" s="633"/>
      <c r="L189" s="633"/>
      <c r="M189" s="633"/>
      <c r="N189" s="633"/>
      <c r="O189" s="633"/>
      <c r="P189" s="633"/>
      <c r="Q189" s="633"/>
      <c r="R189" s="633"/>
      <c r="S189" s="633"/>
      <c r="T189" s="633"/>
    </row>
    <row r="190">
      <c r="A190" s="633"/>
      <c r="B190" s="633"/>
      <c r="C190" s="633"/>
      <c r="D190" s="633"/>
      <c r="E190" s="633"/>
      <c r="F190" s="633"/>
      <c r="G190" s="633"/>
      <c r="H190" s="633"/>
      <c r="I190" s="633"/>
      <c r="J190" s="633"/>
      <c r="K190" s="633"/>
      <c r="L190" s="633"/>
      <c r="M190" s="633"/>
      <c r="N190" s="633"/>
      <c r="O190" s="633"/>
      <c r="P190" s="633"/>
      <c r="Q190" s="633"/>
      <c r="R190" s="633"/>
      <c r="S190" s="633"/>
      <c r="T190" s="633"/>
    </row>
    <row r="191">
      <c r="A191" s="633"/>
      <c r="B191" s="633"/>
      <c r="C191" s="633"/>
      <c r="D191" s="633"/>
      <c r="E191" s="633"/>
      <c r="F191" s="633"/>
      <c r="G191" s="633"/>
      <c r="H191" s="633"/>
      <c r="I191" s="633"/>
      <c r="J191" s="633"/>
      <c r="K191" s="633"/>
      <c r="L191" s="633"/>
      <c r="M191" s="633"/>
      <c r="N191" s="633"/>
      <c r="O191" s="633"/>
      <c r="P191" s="633"/>
      <c r="Q191" s="633"/>
      <c r="R191" s="633"/>
      <c r="S191" s="633"/>
      <c r="T191" s="633"/>
    </row>
    <row r="192">
      <c r="A192" s="633"/>
      <c r="B192" s="633"/>
      <c r="C192" s="633"/>
      <c r="D192" s="633"/>
      <c r="E192" s="633"/>
      <c r="F192" s="633"/>
      <c r="G192" s="633"/>
      <c r="H192" s="633"/>
      <c r="I192" s="633"/>
      <c r="J192" s="633"/>
      <c r="K192" s="633"/>
      <c r="L192" s="633"/>
      <c r="M192" s="633"/>
      <c r="N192" s="633"/>
      <c r="O192" s="633"/>
      <c r="P192" s="633"/>
      <c r="Q192" s="633"/>
      <c r="R192" s="633"/>
      <c r="S192" s="633"/>
      <c r="T192" s="633"/>
    </row>
    <row r="193">
      <c r="A193" s="633"/>
      <c r="B193" s="633"/>
      <c r="C193" s="633"/>
      <c r="D193" s="633"/>
      <c r="E193" s="633"/>
      <c r="F193" s="633"/>
      <c r="G193" s="633"/>
      <c r="H193" s="633"/>
      <c r="I193" s="633"/>
      <c r="J193" s="633"/>
      <c r="K193" s="633"/>
      <c r="L193" s="633"/>
      <c r="M193" s="633"/>
      <c r="N193" s="633"/>
      <c r="O193" s="633"/>
      <c r="P193" s="633"/>
      <c r="Q193" s="633"/>
      <c r="R193" s="633"/>
      <c r="S193" s="633"/>
      <c r="T193" s="633"/>
    </row>
    <row r="194">
      <c r="A194" s="633"/>
      <c r="B194" s="633"/>
      <c r="C194" s="633"/>
      <c r="D194" s="633"/>
      <c r="E194" s="633"/>
      <c r="F194" s="633"/>
      <c r="G194" s="633"/>
      <c r="H194" s="633"/>
      <c r="I194" s="633"/>
      <c r="J194" s="633"/>
      <c r="K194" s="633"/>
      <c r="L194" s="633"/>
      <c r="M194" s="633"/>
      <c r="N194" s="633"/>
      <c r="O194" s="633"/>
      <c r="P194" s="633"/>
      <c r="Q194" s="633"/>
      <c r="R194" s="633"/>
      <c r="S194" s="633"/>
      <c r="T194" s="633"/>
    </row>
    <row r="195">
      <c r="A195" s="633"/>
      <c r="B195" s="633"/>
      <c r="C195" s="633"/>
      <c r="D195" s="633"/>
      <c r="E195" s="633"/>
      <c r="F195" s="633"/>
      <c r="G195" s="633"/>
      <c r="H195" s="633"/>
      <c r="I195" s="633"/>
      <c r="J195" s="633"/>
      <c r="K195" s="633"/>
      <c r="L195" s="633"/>
      <c r="M195" s="633"/>
      <c r="N195" s="633"/>
      <c r="O195" s="633"/>
      <c r="P195" s="633"/>
      <c r="Q195" s="633"/>
      <c r="R195" s="633"/>
      <c r="S195" s="633"/>
      <c r="T195" s="633"/>
    </row>
    <row r="196">
      <c r="A196" s="633"/>
      <c r="B196" s="633"/>
      <c r="C196" s="633"/>
      <c r="D196" s="633"/>
      <c r="E196" s="633"/>
      <c r="F196" s="633"/>
      <c r="G196" s="633"/>
      <c r="H196" s="633"/>
      <c r="I196" s="633"/>
      <c r="J196" s="633"/>
      <c r="K196" s="633"/>
      <c r="L196" s="633"/>
      <c r="M196" s="633"/>
      <c r="N196" s="633"/>
      <c r="O196" s="633"/>
      <c r="P196" s="633"/>
      <c r="Q196" s="633"/>
      <c r="R196" s="633"/>
      <c r="S196" s="633"/>
      <c r="T196" s="633"/>
    </row>
    <row r="197">
      <c r="A197" s="633"/>
      <c r="B197" s="633"/>
      <c r="C197" s="633"/>
      <c r="D197" s="633"/>
      <c r="E197" s="633"/>
      <c r="F197" s="633"/>
      <c r="G197" s="633"/>
      <c r="H197" s="633"/>
      <c r="I197" s="633"/>
      <c r="J197" s="633"/>
      <c r="K197" s="633"/>
      <c r="L197" s="633"/>
      <c r="M197" s="633"/>
      <c r="N197" s="633"/>
      <c r="O197" s="633"/>
      <c r="P197" s="633"/>
      <c r="Q197" s="633"/>
      <c r="R197" s="633"/>
      <c r="S197" s="633"/>
      <c r="T197" s="633"/>
    </row>
    <row r="198">
      <c r="A198" s="633"/>
      <c r="B198" s="633"/>
      <c r="C198" s="633"/>
      <c r="D198" s="633"/>
      <c r="E198" s="633"/>
      <c r="F198" s="633"/>
      <c r="G198" s="633"/>
      <c r="H198" s="633"/>
      <c r="I198" s="633"/>
      <c r="J198" s="633"/>
      <c r="K198" s="633"/>
      <c r="L198" s="633"/>
      <c r="M198" s="633"/>
      <c r="N198" s="633"/>
      <c r="O198" s="633"/>
      <c r="P198" s="633"/>
      <c r="Q198" s="633"/>
      <c r="R198" s="633"/>
      <c r="S198" s="633"/>
      <c r="T198" s="633"/>
    </row>
    <row r="199">
      <c r="A199" s="633"/>
      <c r="B199" s="633"/>
      <c r="C199" s="633"/>
      <c r="D199" s="633"/>
      <c r="E199" s="633"/>
      <c r="F199" s="633"/>
      <c r="G199" s="633"/>
      <c r="H199" s="633"/>
      <c r="I199" s="633"/>
      <c r="J199" s="633"/>
      <c r="K199" s="633"/>
      <c r="L199" s="633"/>
      <c r="M199" s="633"/>
      <c r="N199" s="633"/>
      <c r="O199" s="633"/>
      <c r="P199" s="633"/>
      <c r="Q199" s="633"/>
      <c r="R199" s="633"/>
      <c r="S199" s="633"/>
      <c r="T199" s="633"/>
    </row>
    <row r="200">
      <c r="A200" s="633"/>
      <c r="B200" s="633"/>
      <c r="C200" s="633"/>
      <c r="D200" s="633"/>
      <c r="E200" s="633"/>
      <c r="F200" s="633"/>
      <c r="G200" s="633"/>
      <c r="H200" s="633"/>
      <c r="I200" s="633"/>
      <c r="J200" s="633"/>
      <c r="K200" s="633"/>
      <c r="L200" s="633"/>
      <c r="M200" s="633"/>
      <c r="N200" s="633"/>
      <c r="O200" s="633"/>
      <c r="P200" s="633"/>
      <c r="Q200" s="633"/>
      <c r="R200" s="633"/>
      <c r="S200" s="633"/>
      <c r="T200" s="633"/>
    </row>
    <row r="201">
      <c r="A201" s="633"/>
      <c r="B201" s="633"/>
      <c r="C201" s="633"/>
      <c r="D201" s="633"/>
      <c r="E201" s="633"/>
      <c r="F201" s="633"/>
      <c r="G201" s="633"/>
      <c r="H201" s="633"/>
      <c r="I201" s="633"/>
      <c r="J201" s="633"/>
      <c r="K201" s="633"/>
      <c r="L201" s="633"/>
      <c r="M201" s="633"/>
      <c r="N201" s="633"/>
      <c r="O201" s="633"/>
      <c r="P201" s="633"/>
      <c r="Q201" s="633"/>
      <c r="R201" s="633"/>
      <c r="S201" s="633"/>
      <c r="T201" s="633"/>
    </row>
    <row r="202">
      <c r="A202" s="633"/>
      <c r="B202" s="633"/>
      <c r="C202" s="633"/>
      <c r="D202" s="633"/>
      <c r="E202" s="633"/>
      <c r="F202" s="633"/>
      <c r="G202" s="633"/>
      <c r="H202" s="633"/>
      <c r="I202" s="633"/>
      <c r="J202" s="633"/>
      <c r="K202" s="633"/>
      <c r="L202" s="633"/>
      <c r="M202" s="633"/>
      <c r="N202" s="633"/>
      <c r="O202" s="633"/>
      <c r="P202" s="633"/>
      <c r="Q202" s="633"/>
      <c r="R202" s="633"/>
      <c r="S202" s="633"/>
      <c r="T202" s="633"/>
    </row>
    <row r="203">
      <c r="A203" s="633"/>
      <c r="B203" s="633"/>
      <c r="C203" s="633"/>
      <c r="D203" s="633"/>
      <c r="E203" s="633"/>
      <c r="F203" s="633"/>
      <c r="G203" s="633"/>
      <c r="H203" s="633"/>
      <c r="I203" s="633"/>
      <c r="J203" s="633"/>
      <c r="K203" s="633"/>
      <c r="L203" s="633"/>
      <c r="M203" s="633"/>
      <c r="N203" s="633"/>
      <c r="O203" s="633"/>
      <c r="P203" s="633"/>
      <c r="Q203" s="633"/>
      <c r="R203" s="633"/>
      <c r="S203" s="633"/>
      <c r="T203" s="633"/>
    </row>
    <row r="204">
      <c r="A204" s="633"/>
      <c r="B204" s="633"/>
      <c r="C204" s="633"/>
      <c r="D204" s="633"/>
      <c r="E204" s="633"/>
      <c r="F204" s="633"/>
      <c r="G204" s="633"/>
      <c r="H204" s="633"/>
      <c r="I204" s="633"/>
      <c r="J204" s="633"/>
      <c r="K204" s="633"/>
      <c r="L204" s="633"/>
      <c r="M204" s="633"/>
      <c r="N204" s="633"/>
      <c r="O204" s="633"/>
      <c r="P204" s="633"/>
      <c r="Q204" s="633"/>
      <c r="R204" s="633"/>
      <c r="S204" s="633"/>
      <c r="T204" s="633"/>
    </row>
    <row r="205">
      <c r="A205" s="633"/>
      <c r="B205" s="633"/>
      <c r="C205" s="633"/>
      <c r="D205" s="633"/>
      <c r="E205" s="633"/>
      <c r="F205" s="633"/>
      <c r="G205" s="633"/>
      <c r="H205" s="633"/>
      <c r="I205" s="633"/>
      <c r="J205" s="633"/>
      <c r="K205" s="633"/>
      <c r="L205" s="633"/>
      <c r="M205" s="633"/>
      <c r="N205" s="633"/>
      <c r="O205" s="633"/>
      <c r="P205" s="633"/>
      <c r="Q205" s="633"/>
      <c r="R205" s="633"/>
      <c r="S205" s="633"/>
      <c r="T205" s="633"/>
    </row>
    <row r="206">
      <c r="A206" s="633"/>
      <c r="B206" s="633"/>
      <c r="C206" s="633"/>
      <c r="D206" s="633"/>
      <c r="E206" s="633"/>
      <c r="F206" s="633"/>
      <c r="G206" s="633"/>
      <c r="H206" s="633"/>
      <c r="I206" s="633"/>
      <c r="J206" s="633"/>
      <c r="K206" s="633"/>
      <c r="L206" s="633"/>
      <c r="M206" s="633"/>
      <c r="N206" s="633"/>
      <c r="O206" s="633"/>
      <c r="P206" s="633"/>
      <c r="Q206" s="633"/>
      <c r="R206" s="633"/>
      <c r="S206" s="633"/>
      <c r="T206" s="633"/>
    </row>
    <row r="207">
      <c r="A207" s="633"/>
      <c r="B207" s="633"/>
      <c r="C207" s="633"/>
      <c r="D207" s="633"/>
      <c r="E207" s="633"/>
      <c r="F207" s="633"/>
      <c r="G207" s="633"/>
      <c r="H207" s="633"/>
      <c r="I207" s="633"/>
      <c r="J207" s="633"/>
      <c r="K207" s="633"/>
      <c r="L207" s="633"/>
      <c r="M207" s="633"/>
      <c r="N207" s="633"/>
      <c r="O207" s="633"/>
      <c r="P207" s="633"/>
      <c r="Q207" s="633"/>
      <c r="R207" s="633"/>
      <c r="S207" s="633"/>
      <c r="T207" s="633"/>
    </row>
    <row r="208">
      <c r="A208" s="633"/>
      <c r="B208" s="633"/>
      <c r="C208" s="633"/>
      <c r="D208" s="633"/>
      <c r="E208" s="633"/>
      <c r="F208" s="633"/>
      <c r="G208" s="633"/>
      <c r="H208" s="633"/>
      <c r="I208" s="633"/>
      <c r="J208" s="633"/>
      <c r="K208" s="633"/>
      <c r="L208" s="633"/>
      <c r="M208" s="633"/>
      <c r="N208" s="633"/>
      <c r="O208" s="633"/>
      <c r="P208" s="633"/>
      <c r="Q208" s="633"/>
      <c r="R208" s="633"/>
      <c r="S208" s="633"/>
      <c r="T208" s="633"/>
    </row>
    <row r="209">
      <c r="A209" s="633"/>
      <c r="B209" s="633"/>
      <c r="C209" s="633"/>
      <c r="D209" s="633"/>
      <c r="E209" s="633"/>
      <c r="F209" s="633"/>
      <c r="G209" s="633"/>
      <c r="H209" s="633"/>
      <c r="I209" s="633"/>
      <c r="J209" s="633"/>
      <c r="K209" s="633"/>
      <c r="L209" s="633"/>
      <c r="M209" s="633"/>
      <c r="N209" s="633"/>
      <c r="O209" s="633"/>
      <c r="P209" s="633"/>
      <c r="Q209" s="633"/>
      <c r="R209" s="633"/>
      <c r="S209" s="633"/>
      <c r="T209" s="633"/>
    </row>
    <row r="210">
      <c r="A210" s="633"/>
      <c r="B210" s="633"/>
      <c r="C210" s="633"/>
      <c r="D210" s="633"/>
      <c r="E210" s="633"/>
      <c r="F210" s="633"/>
      <c r="G210" s="633"/>
      <c r="H210" s="633"/>
      <c r="I210" s="633"/>
      <c r="J210" s="633"/>
      <c r="K210" s="633"/>
      <c r="L210" s="633"/>
      <c r="M210" s="633"/>
      <c r="N210" s="633"/>
      <c r="O210" s="633"/>
      <c r="P210" s="633"/>
      <c r="Q210" s="633"/>
      <c r="R210" s="633"/>
      <c r="S210" s="633"/>
      <c r="T210" s="633"/>
    </row>
    <row r="211">
      <c r="A211" s="633"/>
      <c r="B211" s="633"/>
      <c r="C211" s="633"/>
      <c r="D211" s="633"/>
      <c r="E211" s="633"/>
      <c r="F211" s="633"/>
      <c r="G211" s="633"/>
      <c r="H211" s="633"/>
      <c r="I211" s="633"/>
      <c r="J211" s="633"/>
      <c r="K211" s="633"/>
      <c r="L211" s="633"/>
      <c r="M211" s="633"/>
      <c r="N211" s="633"/>
      <c r="O211" s="633"/>
      <c r="P211" s="633"/>
      <c r="Q211" s="633"/>
      <c r="R211" s="633"/>
      <c r="S211" s="633"/>
      <c r="T211" s="633"/>
    </row>
    <row r="212">
      <c r="A212" s="633"/>
      <c r="B212" s="633"/>
      <c r="C212" s="633"/>
      <c r="D212" s="633"/>
      <c r="E212" s="633"/>
      <c r="F212" s="633"/>
      <c r="G212" s="633"/>
      <c r="H212" s="633"/>
      <c r="I212" s="633"/>
      <c r="J212" s="633"/>
      <c r="K212" s="633"/>
      <c r="L212" s="633"/>
      <c r="M212" s="633"/>
      <c r="N212" s="633"/>
      <c r="O212" s="633"/>
      <c r="P212" s="633"/>
      <c r="Q212" s="633"/>
      <c r="R212" s="633"/>
      <c r="S212" s="633"/>
      <c r="T212" s="633"/>
    </row>
    <row r="213">
      <c r="A213" s="633"/>
      <c r="B213" s="633"/>
      <c r="C213" s="633"/>
      <c r="D213" s="633"/>
      <c r="E213" s="633"/>
      <c r="F213" s="633"/>
      <c r="G213" s="633"/>
      <c r="H213" s="633"/>
      <c r="I213" s="633"/>
      <c r="J213" s="633"/>
      <c r="K213" s="633"/>
      <c r="L213" s="633"/>
      <c r="M213" s="633"/>
      <c r="N213" s="633"/>
      <c r="O213" s="633"/>
      <c r="P213" s="633"/>
      <c r="Q213" s="633"/>
      <c r="R213" s="633"/>
      <c r="S213" s="633"/>
      <c r="T213" s="633"/>
    </row>
    <row r="214">
      <c r="A214" s="633"/>
      <c r="B214" s="633"/>
      <c r="C214" s="633"/>
      <c r="D214" s="633"/>
      <c r="E214" s="633"/>
      <c r="F214" s="633"/>
      <c r="G214" s="633"/>
      <c r="H214" s="633"/>
      <c r="I214" s="633"/>
      <c r="J214" s="633"/>
      <c r="K214" s="633"/>
      <c r="L214" s="633"/>
      <c r="M214" s="633"/>
      <c r="N214" s="633"/>
      <c r="O214" s="633"/>
      <c r="P214" s="633"/>
      <c r="Q214" s="633"/>
      <c r="R214" s="633"/>
      <c r="S214" s="633"/>
      <c r="T214" s="633"/>
    </row>
    <row r="215">
      <c r="A215" s="633"/>
      <c r="B215" s="633"/>
      <c r="C215" s="633"/>
      <c r="D215" s="633"/>
      <c r="E215" s="633"/>
      <c r="F215" s="633"/>
      <c r="G215" s="633"/>
      <c r="H215" s="633"/>
      <c r="I215" s="633"/>
      <c r="J215" s="633"/>
      <c r="K215" s="633"/>
      <c r="L215" s="633"/>
      <c r="M215" s="633"/>
      <c r="N215" s="633"/>
      <c r="O215" s="633"/>
      <c r="P215" s="633"/>
      <c r="Q215" s="633"/>
      <c r="R215" s="633"/>
      <c r="S215" s="633"/>
      <c r="T215" s="633"/>
    </row>
    <row r="216">
      <c r="A216" s="633"/>
      <c r="B216" s="633"/>
      <c r="C216" s="633"/>
      <c r="D216" s="633"/>
      <c r="E216" s="633"/>
      <c r="F216" s="633"/>
      <c r="G216" s="633"/>
      <c r="H216" s="633"/>
      <c r="I216" s="633"/>
      <c r="J216" s="633"/>
      <c r="K216" s="633"/>
      <c r="L216" s="633"/>
      <c r="M216" s="633"/>
      <c r="N216" s="633"/>
      <c r="O216" s="633"/>
      <c r="P216" s="633"/>
      <c r="Q216" s="633"/>
      <c r="R216" s="633"/>
      <c r="S216" s="633"/>
      <c r="T216" s="633"/>
    </row>
    <row r="217">
      <c r="A217" s="633"/>
      <c r="B217" s="633"/>
      <c r="C217" s="633"/>
      <c r="D217" s="633"/>
      <c r="E217" s="633"/>
      <c r="F217" s="633"/>
      <c r="G217" s="633"/>
      <c r="H217" s="633"/>
      <c r="I217" s="633"/>
      <c r="J217" s="633"/>
      <c r="K217" s="633"/>
      <c r="L217" s="633"/>
      <c r="M217" s="633"/>
      <c r="N217" s="633"/>
      <c r="O217" s="633"/>
      <c r="P217" s="633"/>
      <c r="Q217" s="633"/>
      <c r="R217" s="633"/>
      <c r="S217" s="633"/>
      <c r="T217" s="633"/>
    </row>
    <row r="218">
      <c r="A218" s="633"/>
      <c r="B218" s="633"/>
      <c r="C218" s="633"/>
      <c r="D218" s="633"/>
      <c r="E218" s="633"/>
      <c r="F218" s="633"/>
      <c r="G218" s="633"/>
      <c r="H218" s="633"/>
      <c r="I218" s="633"/>
      <c r="J218" s="633"/>
      <c r="K218" s="633"/>
      <c r="L218" s="633"/>
      <c r="M218" s="633"/>
      <c r="N218" s="633"/>
      <c r="O218" s="633"/>
      <c r="P218" s="633"/>
      <c r="Q218" s="633"/>
      <c r="R218" s="633"/>
      <c r="S218" s="633"/>
      <c r="T218" s="633"/>
    </row>
    <row r="219">
      <c r="A219" s="633"/>
      <c r="B219" s="633"/>
      <c r="C219" s="633"/>
      <c r="D219" s="633"/>
      <c r="E219" s="633"/>
      <c r="F219" s="633"/>
      <c r="G219" s="633"/>
      <c r="H219" s="633"/>
      <c r="I219" s="633"/>
      <c r="J219" s="633"/>
      <c r="K219" s="633"/>
      <c r="L219" s="633"/>
      <c r="M219" s="633"/>
      <c r="N219" s="633"/>
      <c r="O219" s="633"/>
      <c r="P219" s="633"/>
      <c r="Q219" s="633"/>
      <c r="R219" s="633"/>
      <c r="S219" s="633"/>
      <c r="T219" s="633"/>
    </row>
    <row r="220">
      <c r="A220" s="633"/>
      <c r="B220" s="633"/>
      <c r="C220" s="633"/>
      <c r="D220" s="633"/>
      <c r="E220" s="633"/>
      <c r="F220" s="633"/>
      <c r="G220" s="633"/>
      <c r="H220" s="633"/>
      <c r="I220" s="633"/>
      <c r="J220" s="633"/>
      <c r="K220" s="633"/>
      <c r="L220" s="633"/>
      <c r="M220" s="633"/>
      <c r="N220" s="633"/>
      <c r="O220" s="633"/>
      <c r="P220" s="633"/>
      <c r="Q220" s="633"/>
      <c r="R220" s="633"/>
      <c r="S220" s="633"/>
      <c r="T220" s="633"/>
    </row>
    <row r="221">
      <c r="A221" s="633"/>
      <c r="B221" s="633"/>
      <c r="C221" s="633"/>
      <c r="D221" s="633"/>
      <c r="E221" s="633"/>
      <c r="F221" s="633"/>
      <c r="G221" s="633"/>
      <c r="H221" s="633"/>
      <c r="I221" s="633"/>
      <c r="J221" s="633"/>
      <c r="K221" s="633"/>
      <c r="L221" s="633"/>
      <c r="M221" s="633"/>
      <c r="N221" s="633"/>
      <c r="O221" s="633"/>
      <c r="P221" s="633"/>
      <c r="Q221" s="633"/>
      <c r="R221" s="633"/>
      <c r="S221" s="633"/>
      <c r="T221" s="633"/>
    </row>
    <row r="222">
      <c r="A222" s="633"/>
      <c r="B222" s="633"/>
      <c r="C222" s="633"/>
      <c r="D222" s="633"/>
      <c r="E222" s="633"/>
      <c r="F222" s="633"/>
      <c r="G222" s="633"/>
      <c r="H222" s="633"/>
      <c r="I222" s="633"/>
      <c r="J222" s="633"/>
      <c r="K222" s="633"/>
      <c r="L222" s="633"/>
      <c r="M222" s="633"/>
      <c r="N222" s="633"/>
      <c r="O222" s="633"/>
      <c r="P222" s="633"/>
      <c r="Q222" s="633"/>
      <c r="R222" s="633"/>
      <c r="S222" s="633"/>
      <c r="T222" s="633"/>
    </row>
    <row r="223">
      <c r="A223" s="633"/>
      <c r="B223" s="633"/>
      <c r="C223" s="633"/>
      <c r="D223" s="633"/>
      <c r="E223" s="633"/>
      <c r="F223" s="633"/>
      <c r="G223" s="633"/>
      <c r="H223" s="633"/>
      <c r="I223" s="633"/>
      <c r="J223" s="633"/>
      <c r="K223" s="633"/>
      <c r="L223" s="633"/>
      <c r="M223" s="633"/>
      <c r="N223" s="633"/>
      <c r="O223" s="633"/>
      <c r="P223" s="633"/>
      <c r="Q223" s="633"/>
      <c r="R223" s="633"/>
      <c r="S223" s="633"/>
      <c r="T223" s="633"/>
    </row>
    <row r="224">
      <c r="A224" s="633"/>
      <c r="B224" s="633"/>
      <c r="C224" s="633"/>
      <c r="D224" s="633"/>
      <c r="E224" s="633"/>
      <c r="F224" s="633"/>
      <c r="G224" s="633"/>
      <c r="H224" s="633"/>
      <c r="I224" s="633"/>
      <c r="J224" s="633"/>
      <c r="K224" s="633"/>
      <c r="L224" s="633"/>
      <c r="M224" s="633"/>
      <c r="N224" s="633"/>
      <c r="O224" s="633"/>
      <c r="P224" s="633"/>
      <c r="Q224" s="633"/>
      <c r="R224" s="633"/>
      <c r="S224" s="633"/>
      <c r="T224" s="633"/>
    </row>
    <row r="225">
      <c r="A225" s="633"/>
      <c r="B225" s="633"/>
      <c r="C225" s="633"/>
      <c r="D225" s="633"/>
      <c r="E225" s="633"/>
      <c r="F225" s="633"/>
      <c r="G225" s="633"/>
      <c r="H225" s="633"/>
      <c r="I225" s="633"/>
      <c r="J225" s="633"/>
      <c r="K225" s="633"/>
      <c r="L225" s="633"/>
      <c r="M225" s="633"/>
      <c r="N225" s="633"/>
      <c r="O225" s="633"/>
      <c r="P225" s="633"/>
      <c r="Q225" s="633"/>
      <c r="R225" s="633"/>
      <c r="S225" s="633"/>
      <c r="T225" s="633"/>
    </row>
    <row r="226">
      <c r="A226" s="633"/>
      <c r="B226" s="633"/>
      <c r="C226" s="633"/>
      <c r="D226" s="633"/>
      <c r="E226" s="633"/>
      <c r="F226" s="633"/>
      <c r="G226" s="633"/>
      <c r="H226" s="633"/>
      <c r="I226" s="633"/>
      <c r="J226" s="633"/>
      <c r="K226" s="633"/>
      <c r="L226" s="633"/>
      <c r="M226" s="633"/>
      <c r="N226" s="633"/>
      <c r="O226" s="633"/>
      <c r="P226" s="633"/>
      <c r="Q226" s="633"/>
      <c r="R226" s="633"/>
      <c r="S226" s="633"/>
      <c r="T226" s="633"/>
    </row>
    <row r="227">
      <c r="A227" s="633"/>
      <c r="B227" s="633"/>
      <c r="C227" s="633"/>
      <c r="D227" s="633"/>
      <c r="E227" s="633"/>
      <c r="F227" s="633"/>
      <c r="G227" s="633"/>
      <c r="H227" s="633"/>
      <c r="I227" s="633"/>
      <c r="J227" s="633"/>
      <c r="K227" s="633"/>
      <c r="L227" s="633"/>
      <c r="M227" s="633"/>
      <c r="N227" s="633"/>
      <c r="O227" s="633"/>
      <c r="P227" s="633"/>
      <c r="Q227" s="633"/>
      <c r="R227" s="633"/>
      <c r="S227" s="633"/>
      <c r="T227" s="633"/>
    </row>
    <row r="228">
      <c r="A228" s="633"/>
      <c r="B228" s="633"/>
      <c r="C228" s="633"/>
      <c r="D228" s="633"/>
      <c r="E228" s="633"/>
      <c r="F228" s="633"/>
      <c r="G228" s="633"/>
      <c r="H228" s="633"/>
      <c r="I228" s="633"/>
      <c r="J228" s="633"/>
      <c r="K228" s="633"/>
      <c r="L228" s="633"/>
      <c r="M228" s="633"/>
      <c r="N228" s="633"/>
      <c r="O228" s="633"/>
      <c r="P228" s="633"/>
      <c r="Q228" s="633"/>
      <c r="R228" s="633"/>
      <c r="S228" s="633"/>
      <c r="T228" s="633"/>
    </row>
    <row r="229">
      <c r="A229" s="633"/>
      <c r="B229" s="633"/>
      <c r="C229" s="633"/>
      <c r="D229" s="633"/>
      <c r="E229" s="633"/>
      <c r="F229" s="633"/>
      <c r="G229" s="633"/>
      <c r="H229" s="633"/>
      <c r="I229" s="633"/>
      <c r="J229" s="633"/>
      <c r="K229" s="633"/>
      <c r="L229" s="633"/>
      <c r="M229" s="633"/>
      <c r="N229" s="633"/>
      <c r="O229" s="633"/>
      <c r="P229" s="633"/>
      <c r="Q229" s="633"/>
      <c r="R229" s="633"/>
      <c r="S229" s="633"/>
      <c r="T229" s="633"/>
    </row>
    <row r="230">
      <c r="A230" s="633"/>
      <c r="B230" s="633"/>
      <c r="C230" s="633"/>
      <c r="D230" s="633"/>
      <c r="E230" s="633"/>
      <c r="F230" s="633"/>
      <c r="G230" s="633"/>
      <c r="H230" s="633"/>
      <c r="I230" s="633"/>
      <c r="J230" s="633"/>
      <c r="K230" s="633"/>
      <c r="L230" s="633"/>
      <c r="M230" s="633"/>
      <c r="N230" s="633"/>
      <c r="O230" s="633"/>
      <c r="P230" s="633"/>
      <c r="Q230" s="633"/>
      <c r="R230" s="633"/>
      <c r="S230" s="633"/>
      <c r="T230" s="633"/>
    </row>
    <row r="231">
      <c r="A231" s="633"/>
      <c r="B231" s="633"/>
      <c r="C231" s="633"/>
      <c r="D231" s="633"/>
      <c r="E231" s="633"/>
      <c r="F231" s="633"/>
      <c r="G231" s="633"/>
      <c r="H231" s="633"/>
      <c r="I231" s="633"/>
      <c r="J231" s="633"/>
      <c r="K231" s="633"/>
      <c r="L231" s="633"/>
      <c r="M231" s="633"/>
      <c r="N231" s="633"/>
      <c r="O231" s="633"/>
      <c r="P231" s="633"/>
      <c r="Q231" s="633"/>
      <c r="R231" s="633"/>
      <c r="S231" s="633"/>
      <c r="T231" s="633"/>
    </row>
    <row r="232">
      <c r="A232" s="633"/>
      <c r="B232" s="633"/>
      <c r="C232" s="633"/>
      <c r="D232" s="633"/>
      <c r="E232" s="633"/>
      <c r="F232" s="633"/>
      <c r="G232" s="633"/>
      <c r="H232" s="633"/>
      <c r="I232" s="633"/>
      <c r="J232" s="633"/>
      <c r="K232" s="633"/>
      <c r="L232" s="633"/>
      <c r="M232" s="633"/>
      <c r="N232" s="633"/>
      <c r="O232" s="633"/>
      <c r="P232" s="633"/>
      <c r="Q232" s="633"/>
      <c r="R232" s="633"/>
      <c r="S232" s="633"/>
      <c r="T232" s="633"/>
    </row>
    <row r="233">
      <c r="A233" s="633"/>
      <c r="B233" s="633"/>
      <c r="C233" s="633"/>
      <c r="D233" s="633"/>
      <c r="E233" s="633"/>
      <c r="F233" s="633"/>
      <c r="G233" s="633"/>
      <c r="H233" s="633"/>
      <c r="I233" s="633"/>
      <c r="J233" s="633"/>
      <c r="K233" s="633"/>
      <c r="L233" s="633"/>
      <c r="M233" s="633"/>
      <c r="N233" s="633"/>
      <c r="O233" s="633"/>
      <c r="P233" s="633"/>
      <c r="Q233" s="633"/>
      <c r="R233" s="633"/>
      <c r="S233" s="633"/>
      <c r="T233" s="633"/>
    </row>
    <row r="234">
      <c r="A234" s="633"/>
      <c r="B234" s="633"/>
      <c r="C234" s="633"/>
      <c r="D234" s="633"/>
      <c r="E234" s="633"/>
      <c r="F234" s="633"/>
      <c r="G234" s="633"/>
      <c r="H234" s="633"/>
      <c r="I234" s="633"/>
      <c r="J234" s="633"/>
      <c r="K234" s="633"/>
      <c r="L234" s="633"/>
      <c r="M234" s="633"/>
      <c r="N234" s="633"/>
      <c r="O234" s="633"/>
      <c r="P234" s="633"/>
      <c r="Q234" s="633"/>
      <c r="R234" s="633"/>
      <c r="S234" s="633"/>
      <c r="T234" s="633"/>
    </row>
    <row r="235">
      <c r="A235" s="633"/>
      <c r="B235" s="633"/>
      <c r="C235" s="633"/>
      <c r="D235" s="633"/>
      <c r="E235" s="633"/>
      <c r="F235" s="633"/>
      <c r="G235" s="633"/>
      <c r="H235" s="633"/>
      <c r="I235" s="633"/>
      <c r="J235" s="633"/>
      <c r="K235" s="633"/>
      <c r="L235" s="633"/>
      <c r="M235" s="633"/>
      <c r="N235" s="633"/>
      <c r="O235" s="633"/>
      <c r="P235" s="633"/>
      <c r="Q235" s="633"/>
      <c r="R235" s="633"/>
      <c r="S235" s="633"/>
      <c r="T235" s="633"/>
    </row>
    <row r="236">
      <c r="A236" s="633"/>
      <c r="B236" s="633"/>
      <c r="C236" s="633"/>
      <c r="D236" s="633"/>
      <c r="E236" s="633"/>
      <c r="F236" s="633"/>
      <c r="G236" s="633"/>
      <c r="H236" s="633"/>
      <c r="I236" s="633"/>
      <c r="J236" s="633"/>
      <c r="K236" s="633"/>
      <c r="L236" s="633"/>
      <c r="M236" s="633"/>
      <c r="N236" s="633"/>
      <c r="O236" s="633"/>
      <c r="P236" s="633"/>
      <c r="Q236" s="633"/>
      <c r="R236" s="633"/>
      <c r="S236" s="633"/>
      <c r="T236" s="633"/>
    </row>
    <row r="237">
      <c r="A237" s="633"/>
      <c r="B237" s="633"/>
      <c r="C237" s="633"/>
      <c r="D237" s="633"/>
      <c r="E237" s="633"/>
      <c r="F237" s="633"/>
      <c r="G237" s="633"/>
      <c r="H237" s="633"/>
      <c r="I237" s="633"/>
      <c r="J237" s="633"/>
      <c r="K237" s="633"/>
      <c r="L237" s="633"/>
      <c r="M237" s="633"/>
      <c r="N237" s="633"/>
      <c r="O237" s="633"/>
      <c r="P237" s="633"/>
      <c r="Q237" s="633"/>
      <c r="R237" s="633"/>
      <c r="S237" s="633"/>
      <c r="T237" s="633"/>
    </row>
    <row r="238">
      <c r="A238" s="633"/>
      <c r="B238" s="633"/>
      <c r="C238" s="633"/>
      <c r="D238" s="633"/>
      <c r="E238" s="633"/>
      <c r="F238" s="633"/>
      <c r="G238" s="633"/>
      <c r="H238" s="633"/>
      <c r="I238" s="633"/>
      <c r="J238" s="633"/>
      <c r="K238" s="633"/>
      <c r="L238" s="633"/>
      <c r="M238" s="633"/>
      <c r="N238" s="633"/>
      <c r="O238" s="633"/>
      <c r="P238" s="633"/>
      <c r="Q238" s="633"/>
      <c r="R238" s="633"/>
      <c r="S238" s="633"/>
      <c r="T238" s="633"/>
    </row>
    <row r="239">
      <c r="A239" s="633"/>
      <c r="B239" s="633"/>
      <c r="C239" s="633"/>
      <c r="D239" s="633"/>
      <c r="E239" s="633"/>
      <c r="F239" s="633"/>
      <c r="G239" s="633"/>
      <c r="H239" s="633"/>
      <c r="I239" s="633"/>
      <c r="J239" s="633"/>
      <c r="K239" s="633"/>
      <c r="L239" s="633"/>
      <c r="M239" s="633"/>
      <c r="N239" s="633"/>
      <c r="O239" s="633"/>
      <c r="P239" s="633"/>
      <c r="Q239" s="633"/>
      <c r="R239" s="633"/>
      <c r="S239" s="633"/>
      <c r="T239" s="633"/>
    </row>
    <row r="240">
      <c r="A240" s="633"/>
      <c r="B240" s="633"/>
      <c r="C240" s="633"/>
      <c r="D240" s="633"/>
      <c r="E240" s="633"/>
      <c r="F240" s="633"/>
      <c r="G240" s="633"/>
      <c r="H240" s="633"/>
      <c r="I240" s="633"/>
      <c r="J240" s="633"/>
      <c r="K240" s="633"/>
      <c r="L240" s="633"/>
      <c r="M240" s="633"/>
      <c r="N240" s="633"/>
      <c r="O240" s="633"/>
      <c r="P240" s="633"/>
      <c r="Q240" s="633"/>
      <c r="R240" s="633"/>
      <c r="S240" s="633"/>
      <c r="T240" s="633"/>
    </row>
    <row r="241">
      <c r="A241" s="633"/>
      <c r="B241" s="633"/>
      <c r="C241" s="633"/>
      <c r="D241" s="633"/>
      <c r="E241" s="633"/>
      <c r="F241" s="633"/>
      <c r="G241" s="633"/>
      <c r="H241" s="633"/>
      <c r="I241" s="633"/>
      <c r="J241" s="633"/>
      <c r="K241" s="633"/>
      <c r="L241" s="633"/>
      <c r="M241" s="633"/>
      <c r="N241" s="633"/>
      <c r="O241" s="633"/>
      <c r="P241" s="633"/>
      <c r="Q241" s="633"/>
      <c r="R241" s="633"/>
      <c r="S241" s="633"/>
      <c r="T241" s="633"/>
    </row>
    <row r="242">
      <c r="A242" s="633"/>
      <c r="B242" s="633"/>
      <c r="C242" s="633"/>
      <c r="D242" s="633"/>
      <c r="E242" s="633"/>
      <c r="F242" s="633"/>
      <c r="G242" s="633"/>
      <c r="H242" s="633"/>
      <c r="I242" s="633"/>
      <c r="J242" s="633"/>
      <c r="K242" s="633"/>
      <c r="L242" s="633"/>
      <c r="M242" s="633"/>
      <c r="N242" s="633"/>
      <c r="O242" s="633"/>
      <c r="P242" s="633"/>
      <c r="Q242" s="633"/>
      <c r="R242" s="633"/>
      <c r="S242" s="633"/>
      <c r="T242" s="633"/>
    </row>
    <row r="243">
      <c r="A243" s="633"/>
      <c r="B243" s="633"/>
      <c r="C243" s="633"/>
      <c r="D243" s="633"/>
      <c r="E243" s="633"/>
      <c r="F243" s="633"/>
      <c r="G243" s="633"/>
      <c r="H243" s="633"/>
      <c r="I243" s="633"/>
      <c r="J243" s="633"/>
      <c r="K243" s="633"/>
      <c r="L243" s="633"/>
      <c r="M243" s="633"/>
      <c r="N243" s="633"/>
      <c r="O243" s="633"/>
      <c r="P243" s="633"/>
      <c r="Q243" s="633"/>
      <c r="R243" s="633"/>
      <c r="S243" s="633"/>
      <c r="T243" s="633"/>
    </row>
    <row r="244">
      <c r="A244" s="633"/>
      <c r="B244" s="633"/>
      <c r="C244" s="633"/>
      <c r="D244" s="633"/>
      <c r="E244" s="633"/>
      <c r="F244" s="633"/>
      <c r="G244" s="633"/>
      <c r="H244" s="633"/>
      <c r="I244" s="633"/>
      <c r="J244" s="633"/>
      <c r="K244" s="633"/>
      <c r="L244" s="633"/>
      <c r="M244" s="633"/>
      <c r="N244" s="633"/>
      <c r="O244" s="633"/>
      <c r="P244" s="633"/>
      <c r="Q244" s="633"/>
      <c r="R244" s="633"/>
      <c r="S244" s="633"/>
      <c r="T244" s="633"/>
    </row>
    <row r="245">
      <c r="A245" s="633"/>
      <c r="B245" s="633"/>
      <c r="C245" s="633"/>
      <c r="D245" s="633"/>
      <c r="E245" s="633"/>
      <c r="F245" s="633"/>
      <c r="G245" s="633"/>
      <c r="H245" s="633"/>
      <c r="I245" s="633"/>
      <c r="J245" s="633"/>
      <c r="K245" s="633"/>
      <c r="L245" s="633"/>
      <c r="M245" s="633"/>
      <c r="N245" s="633"/>
      <c r="O245" s="633"/>
      <c r="P245" s="633"/>
      <c r="Q245" s="633"/>
      <c r="R245" s="633"/>
      <c r="S245" s="633"/>
      <c r="T245" s="633"/>
    </row>
    <row r="246">
      <c r="A246" s="633"/>
      <c r="B246" s="633"/>
      <c r="C246" s="633"/>
      <c r="D246" s="633"/>
      <c r="E246" s="633"/>
      <c r="F246" s="633"/>
      <c r="G246" s="633"/>
      <c r="H246" s="633"/>
      <c r="I246" s="633"/>
      <c r="J246" s="633"/>
      <c r="K246" s="633"/>
      <c r="L246" s="633"/>
      <c r="M246" s="633"/>
      <c r="N246" s="633"/>
      <c r="O246" s="633"/>
      <c r="P246" s="633"/>
      <c r="Q246" s="633"/>
      <c r="R246" s="633"/>
      <c r="S246" s="633"/>
      <c r="T246" s="633"/>
    </row>
    <row r="247">
      <c r="A247" s="633"/>
      <c r="B247" s="633"/>
      <c r="C247" s="633"/>
      <c r="D247" s="633"/>
      <c r="E247" s="633"/>
      <c r="F247" s="633"/>
      <c r="G247" s="633"/>
      <c r="H247" s="633"/>
      <c r="I247" s="633"/>
      <c r="J247" s="633"/>
      <c r="K247" s="633"/>
      <c r="L247" s="633"/>
      <c r="M247" s="633"/>
      <c r="N247" s="633"/>
      <c r="O247" s="633"/>
      <c r="P247" s="633"/>
      <c r="Q247" s="633"/>
      <c r="R247" s="633"/>
      <c r="S247" s="633"/>
      <c r="T247" s="633"/>
    </row>
    <row r="248">
      <c r="A248" s="633"/>
      <c r="B248" s="633"/>
      <c r="C248" s="633"/>
      <c r="D248" s="633"/>
      <c r="E248" s="633"/>
      <c r="F248" s="633"/>
      <c r="G248" s="633"/>
      <c r="H248" s="633"/>
      <c r="I248" s="633"/>
      <c r="J248" s="633"/>
      <c r="K248" s="633"/>
      <c r="L248" s="633"/>
      <c r="M248" s="633"/>
      <c r="N248" s="633"/>
      <c r="O248" s="633"/>
      <c r="P248" s="633"/>
      <c r="Q248" s="633"/>
      <c r="R248" s="633"/>
      <c r="S248" s="633"/>
      <c r="T248" s="633"/>
    </row>
    <row r="249">
      <c r="A249" s="633"/>
      <c r="B249" s="633"/>
      <c r="C249" s="633"/>
      <c r="D249" s="633"/>
      <c r="E249" s="633"/>
      <c r="F249" s="633"/>
      <c r="G249" s="633"/>
      <c r="H249" s="633"/>
      <c r="I249" s="633"/>
      <c r="J249" s="633"/>
      <c r="K249" s="633"/>
      <c r="L249" s="633"/>
      <c r="M249" s="633"/>
      <c r="N249" s="633"/>
      <c r="O249" s="633"/>
      <c r="P249" s="633"/>
      <c r="Q249" s="633"/>
      <c r="R249" s="633"/>
      <c r="S249" s="633"/>
      <c r="T249" s="633"/>
    </row>
    <row r="250">
      <c r="A250" s="633"/>
      <c r="B250" s="633"/>
      <c r="C250" s="633"/>
      <c r="D250" s="633"/>
      <c r="E250" s="633"/>
      <c r="F250" s="633"/>
      <c r="G250" s="633"/>
      <c r="H250" s="633"/>
      <c r="I250" s="633"/>
      <c r="J250" s="633"/>
      <c r="K250" s="633"/>
      <c r="L250" s="633"/>
      <c r="M250" s="633"/>
      <c r="N250" s="633"/>
      <c r="O250" s="633"/>
      <c r="P250" s="633"/>
      <c r="Q250" s="633"/>
      <c r="R250" s="633"/>
      <c r="S250" s="633"/>
      <c r="T250" s="633"/>
    </row>
    <row r="251">
      <c r="A251" s="633"/>
      <c r="B251" s="633"/>
      <c r="C251" s="633"/>
      <c r="D251" s="633"/>
      <c r="E251" s="633"/>
      <c r="F251" s="633"/>
      <c r="G251" s="633"/>
      <c r="H251" s="633"/>
      <c r="I251" s="633"/>
      <c r="J251" s="633"/>
      <c r="K251" s="633"/>
      <c r="L251" s="633"/>
      <c r="M251" s="633"/>
      <c r="N251" s="633"/>
      <c r="O251" s="633"/>
      <c r="P251" s="633"/>
      <c r="Q251" s="633"/>
      <c r="R251" s="633"/>
      <c r="S251" s="633"/>
      <c r="T251" s="633"/>
    </row>
    <row r="252">
      <c r="A252" s="633"/>
      <c r="B252" s="633"/>
      <c r="C252" s="633"/>
      <c r="D252" s="633"/>
      <c r="E252" s="633"/>
      <c r="F252" s="633"/>
      <c r="G252" s="633"/>
      <c r="H252" s="633"/>
      <c r="I252" s="633"/>
      <c r="J252" s="633"/>
      <c r="K252" s="633"/>
      <c r="L252" s="633"/>
      <c r="M252" s="633"/>
      <c r="N252" s="633"/>
      <c r="O252" s="633"/>
      <c r="P252" s="633"/>
      <c r="Q252" s="633"/>
      <c r="R252" s="633"/>
      <c r="S252" s="633"/>
      <c r="T252" s="633"/>
    </row>
    <row r="253">
      <c r="A253" s="633"/>
      <c r="B253" s="633"/>
      <c r="C253" s="633"/>
      <c r="D253" s="633"/>
      <c r="E253" s="633"/>
      <c r="F253" s="633"/>
      <c r="G253" s="633"/>
      <c r="H253" s="633"/>
      <c r="I253" s="633"/>
      <c r="J253" s="633"/>
      <c r="K253" s="633"/>
      <c r="L253" s="633"/>
      <c r="M253" s="633"/>
      <c r="N253" s="633"/>
      <c r="O253" s="633"/>
      <c r="P253" s="633"/>
      <c r="Q253" s="633"/>
      <c r="R253" s="633"/>
      <c r="S253" s="633"/>
      <c r="T253" s="633"/>
    </row>
    <row r="254">
      <c r="A254" s="633"/>
      <c r="B254" s="633"/>
      <c r="C254" s="633"/>
      <c r="D254" s="633"/>
      <c r="E254" s="633"/>
      <c r="F254" s="633"/>
      <c r="G254" s="633"/>
      <c r="H254" s="633"/>
      <c r="I254" s="633"/>
      <c r="J254" s="633"/>
      <c r="K254" s="633"/>
      <c r="L254" s="633"/>
      <c r="M254" s="633"/>
      <c r="N254" s="633"/>
      <c r="O254" s="633"/>
      <c r="P254" s="633"/>
      <c r="Q254" s="633"/>
      <c r="R254" s="633"/>
      <c r="S254" s="633"/>
      <c r="T254" s="633"/>
    </row>
    <row r="255">
      <c r="A255" s="633"/>
      <c r="B255" s="633"/>
      <c r="C255" s="633"/>
      <c r="D255" s="633"/>
      <c r="E255" s="633"/>
      <c r="F255" s="633"/>
      <c r="G255" s="633"/>
      <c r="H255" s="633"/>
      <c r="I255" s="633"/>
      <c r="J255" s="633"/>
      <c r="K255" s="633"/>
      <c r="L255" s="633"/>
      <c r="M255" s="633"/>
      <c r="N255" s="633"/>
      <c r="O255" s="633"/>
      <c r="P255" s="633"/>
      <c r="Q255" s="633"/>
      <c r="R255" s="633"/>
      <c r="S255" s="633"/>
      <c r="T255" s="633"/>
    </row>
    <row r="256">
      <c r="A256" s="633"/>
      <c r="B256" s="633"/>
      <c r="C256" s="633"/>
      <c r="D256" s="633"/>
      <c r="E256" s="633"/>
      <c r="F256" s="633"/>
      <c r="G256" s="633"/>
      <c r="H256" s="633"/>
      <c r="I256" s="633"/>
      <c r="J256" s="633"/>
      <c r="K256" s="633"/>
      <c r="L256" s="633"/>
      <c r="M256" s="633"/>
      <c r="N256" s="633"/>
      <c r="O256" s="633"/>
      <c r="P256" s="633"/>
      <c r="Q256" s="633"/>
      <c r="R256" s="633"/>
      <c r="S256" s="633"/>
      <c r="T256" s="633"/>
    </row>
    <row r="257">
      <c r="A257" s="633"/>
      <c r="B257" s="633"/>
      <c r="C257" s="633"/>
      <c r="D257" s="633"/>
      <c r="E257" s="633"/>
      <c r="F257" s="633"/>
      <c r="G257" s="633"/>
      <c r="H257" s="633"/>
      <c r="I257" s="633"/>
      <c r="J257" s="633"/>
      <c r="K257" s="633"/>
      <c r="L257" s="633"/>
      <c r="M257" s="633"/>
      <c r="N257" s="633"/>
      <c r="O257" s="633"/>
      <c r="P257" s="633"/>
      <c r="Q257" s="633"/>
      <c r="R257" s="633"/>
      <c r="S257" s="633"/>
      <c r="T257" s="633"/>
    </row>
    <row r="258">
      <c r="A258" s="633"/>
      <c r="B258" s="633"/>
      <c r="C258" s="633"/>
      <c r="D258" s="633"/>
      <c r="E258" s="633"/>
      <c r="F258" s="633"/>
      <c r="G258" s="633"/>
      <c r="H258" s="633"/>
      <c r="I258" s="633"/>
      <c r="J258" s="633"/>
      <c r="K258" s="633"/>
      <c r="L258" s="633"/>
      <c r="M258" s="633"/>
      <c r="N258" s="633"/>
      <c r="O258" s="633"/>
      <c r="P258" s="633"/>
      <c r="Q258" s="633"/>
      <c r="R258" s="633"/>
      <c r="S258" s="633"/>
      <c r="T258" s="633"/>
    </row>
    <row r="259">
      <c r="A259" s="633"/>
      <c r="B259" s="633"/>
      <c r="C259" s="633"/>
      <c r="D259" s="633"/>
      <c r="E259" s="633"/>
      <c r="F259" s="633"/>
      <c r="G259" s="633"/>
      <c r="H259" s="633"/>
      <c r="I259" s="633"/>
      <c r="J259" s="633"/>
      <c r="K259" s="633"/>
      <c r="L259" s="633"/>
      <c r="M259" s="633"/>
      <c r="N259" s="633"/>
      <c r="O259" s="633"/>
      <c r="P259" s="633"/>
      <c r="Q259" s="633"/>
      <c r="R259" s="633"/>
      <c r="S259" s="633"/>
      <c r="T259" s="633"/>
    </row>
    <row r="260">
      <c r="A260" s="633"/>
      <c r="B260" s="633"/>
      <c r="C260" s="633"/>
      <c r="D260" s="633"/>
      <c r="E260" s="633"/>
      <c r="F260" s="633"/>
      <c r="G260" s="633"/>
      <c r="H260" s="633"/>
      <c r="I260" s="633"/>
      <c r="J260" s="633"/>
      <c r="K260" s="633"/>
      <c r="L260" s="633"/>
      <c r="M260" s="633"/>
      <c r="N260" s="633"/>
      <c r="O260" s="633"/>
      <c r="P260" s="633"/>
      <c r="Q260" s="633"/>
      <c r="R260" s="633"/>
      <c r="S260" s="633"/>
      <c r="T260" s="633"/>
    </row>
    <row r="261">
      <c r="A261" s="633"/>
      <c r="B261" s="633"/>
      <c r="C261" s="633"/>
      <c r="D261" s="633"/>
      <c r="E261" s="633"/>
      <c r="F261" s="633"/>
      <c r="G261" s="633"/>
      <c r="H261" s="633"/>
      <c r="I261" s="633"/>
      <c r="J261" s="633"/>
      <c r="K261" s="633"/>
      <c r="L261" s="633"/>
      <c r="M261" s="633"/>
      <c r="N261" s="633"/>
      <c r="O261" s="633"/>
      <c r="P261" s="633"/>
      <c r="Q261" s="633"/>
      <c r="R261" s="633"/>
      <c r="S261" s="633"/>
      <c r="T261" s="633"/>
    </row>
    <row r="262">
      <c r="A262" s="633"/>
      <c r="B262" s="633"/>
      <c r="C262" s="633"/>
      <c r="D262" s="633"/>
      <c r="E262" s="633"/>
      <c r="F262" s="633"/>
      <c r="G262" s="633"/>
      <c r="H262" s="633"/>
      <c r="I262" s="633"/>
      <c r="J262" s="633"/>
      <c r="K262" s="633"/>
      <c r="L262" s="633"/>
      <c r="M262" s="633"/>
      <c r="N262" s="633"/>
      <c r="O262" s="633"/>
      <c r="P262" s="633"/>
      <c r="Q262" s="633"/>
      <c r="R262" s="633"/>
      <c r="S262" s="633"/>
      <c r="T262" s="633"/>
    </row>
    <row r="263">
      <c r="A263" s="633"/>
      <c r="B263" s="633"/>
      <c r="C263" s="633"/>
      <c r="D263" s="633"/>
      <c r="E263" s="633"/>
      <c r="F263" s="633"/>
      <c r="G263" s="633"/>
      <c r="H263" s="633"/>
      <c r="I263" s="633"/>
      <c r="J263" s="633"/>
      <c r="K263" s="633"/>
      <c r="L263" s="633"/>
      <c r="M263" s="633"/>
      <c r="N263" s="633"/>
      <c r="O263" s="633"/>
      <c r="P263" s="633"/>
      <c r="Q263" s="633"/>
      <c r="R263" s="633"/>
      <c r="S263" s="633"/>
      <c r="T263" s="633"/>
    </row>
    <row r="264">
      <c r="A264" s="633"/>
      <c r="B264" s="633"/>
      <c r="C264" s="633"/>
      <c r="D264" s="633"/>
      <c r="E264" s="633"/>
      <c r="F264" s="633"/>
      <c r="G264" s="633"/>
      <c r="H264" s="633"/>
      <c r="I264" s="633"/>
      <c r="J264" s="633"/>
      <c r="K264" s="633"/>
      <c r="L264" s="633"/>
      <c r="M264" s="633"/>
      <c r="N264" s="633"/>
      <c r="O264" s="633"/>
      <c r="P264" s="633"/>
      <c r="Q264" s="633"/>
      <c r="R264" s="633"/>
      <c r="S264" s="633"/>
      <c r="T264" s="633"/>
    </row>
    <row r="265">
      <c r="A265" s="633"/>
      <c r="B265" s="633"/>
      <c r="C265" s="633"/>
      <c r="D265" s="633"/>
      <c r="E265" s="633"/>
      <c r="F265" s="633"/>
      <c r="G265" s="633"/>
      <c r="H265" s="633"/>
      <c r="I265" s="633"/>
      <c r="J265" s="633"/>
      <c r="K265" s="633"/>
      <c r="L265" s="633"/>
      <c r="M265" s="633"/>
      <c r="N265" s="633"/>
      <c r="O265" s="633"/>
      <c r="P265" s="633"/>
      <c r="Q265" s="633"/>
      <c r="R265" s="633"/>
      <c r="S265" s="633"/>
      <c r="T265" s="633"/>
    </row>
    <row r="266">
      <c r="A266" s="633"/>
      <c r="B266" s="633"/>
      <c r="C266" s="633"/>
      <c r="D266" s="633"/>
      <c r="E266" s="633"/>
      <c r="F266" s="633"/>
      <c r="G266" s="633"/>
      <c r="H266" s="633"/>
      <c r="I266" s="633"/>
      <c r="J266" s="633"/>
      <c r="K266" s="633"/>
      <c r="L266" s="633"/>
      <c r="M266" s="633"/>
      <c r="N266" s="633"/>
      <c r="O266" s="633"/>
      <c r="P266" s="633"/>
      <c r="Q266" s="633"/>
      <c r="R266" s="633"/>
      <c r="S266" s="633"/>
      <c r="T266" s="633"/>
    </row>
    <row r="267">
      <c r="A267" s="633"/>
      <c r="B267" s="633"/>
      <c r="C267" s="633"/>
      <c r="D267" s="633"/>
      <c r="E267" s="633"/>
      <c r="F267" s="633"/>
      <c r="G267" s="633"/>
      <c r="H267" s="633"/>
      <c r="I267" s="633"/>
      <c r="J267" s="633"/>
      <c r="K267" s="633"/>
      <c r="L267" s="633"/>
      <c r="M267" s="633"/>
      <c r="N267" s="633"/>
      <c r="O267" s="633"/>
      <c r="P267" s="633"/>
      <c r="Q267" s="633"/>
      <c r="R267" s="633"/>
      <c r="S267" s="633"/>
      <c r="T267" s="633"/>
    </row>
    <row r="268">
      <c r="A268" s="633"/>
      <c r="B268" s="633"/>
      <c r="C268" s="633"/>
      <c r="D268" s="633"/>
      <c r="E268" s="633"/>
      <c r="F268" s="633"/>
      <c r="G268" s="633"/>
      <c r="H268" s="633"/>
      <c r="I268" s="633"/>
      <c r="J268" s="633"/>
      <c r="K268" s="633"/>
      <c r="L268" s="633"/>
      <c r="M268" s="633"/>
      <c r="N268" s="633"/>
      <c r="O268" s="633"/>
      <c r="P268" s="633"/>
      <c r="Q268" s="633"/>
      <c r="R268" s="633"/>
      <c r="S268" s="633"/>
      <c r="T268" s="633"/>
    </row>
    <row r="269">
      <c r="A269" s="633"/>
      <c r="B269" s="633"/>
      <c r="C269" s="633"/>
      <c r="D269" s="633"/>
      <c r="E269" s="633"/>
      <c r="F269" s="633"/>
      <c r="G269" s="633"/>
      <c r="H269" s="633"/>
      <c r="I269" s="633"/>
      <c r="J269" s="633"/>
      <c r="K269" s="633"/>
      <c r="L269" s="633"/>
      <c r="M269" s="633"/>
      <c r="N269" s="633"/>
      <c r="O269" s="633"/>
      <c r="P269" s="633"/>
      <c r="Q269" s="633"/>
      <c r="R269" s="633"/>
      <c r="S269" s="633"/>
      <c r="T269" s="633"/>
    </row>
    <row r="270">
      <c r="A270" s="633"/>
      <c r="B270" s="633"/>
      <c r="C270" s="633"/>
      <c r="D270" s="633"/>
      <c r="E270" s="633"/>
      <c r="F270" s="633"/>
      <c r="G270" s="633"/>
      <c r="H270" s="633"/>
      <c r="I270" s="633"/>
      <c r="J270" s="633"/>
      <c r="K270" s="633"/>
      <c r="L270" s="633"/>
      <c r="M270" s="633"/>
      <c r="N270" s="633"/>
      <c r="O270" s="633"/>
      <c r="P270" s="633"/>
      <c r="Q270" s="633"/>
      <c r="R270" s="633"/>
      <c r="S270" s="633"/>
      <c r="T270" s="633"/>
    </row>
    <row r="271">
      <c r="A271" s="633"/>
      <c r="B271" s="633"/>
      <c r="C271" s="633"/>
      <c r="D271" s="633"/>
      <c r="E271" s="633"/>
      <c r="F271" s="633"/>
      <c r="G271" s="633"/>
      <c r="H271" s="633"/>
      <c r="I271" s="633"/>
      <c r="J271" s="633"/>
      <c r="K271" s="633"/>
      <c r="L271" s="633"/>
      <c r="M271" s="633"/>
      <c r="N271" s="633"/>
      <c r="O271" s="633"/>
      <c r="P271" s="633"/>
      <c r="Q271" s="633"/>
      <c r="R271" s="633"/>
      <c r="S271" s="633"/>
      <c r="T271" s="633"/>
    </row>
    <row r="272">
      <c r="A272" s="633"/>
      <c r="B272" s="633"/>
      <c r="C272" s="633"/>
      <c r="D272" s="633"/>
      <c r="E272" s="633"/>
      <c r="F272" s="633"/>
      <c r="G272" s="633"/>
      <c r="H272" s="633"/>
      <c r="I272" s="633"/>
      <c r="J272" s="633"/>
      <c r="K272" s="633"/>
      <c r="L272" s="633"/>
      <c r="M272" s="633"/>
      <c r="N272" s="633"/>
      <c r="O272" s="633"/>
      <c r="P272" s="633"/>
      <c r="Q272" s="633"/>
      <c r="R272" s="633"/>
      <c r="S272" s="633"/>
      <c r="T272" s="633"/>
    </row>
    <row r="273">
      <c r="A273" s="633"/>
      <c r="B273" s="633"/>
      <c r="C273" s="633"/>
      <c r="D273" s="633"/>
      <c r="E273" s="633"/>
      <c r="F273" s="633"/>
      <c r="G273" s="633"/>
      <c r="H273" s="633"/>
      <c r="I273" s="633"/>
      <c r="J273" s="633"/>
      <c r="K273" s="633"/>
      <c r="L273" s="633"/>
      <c r="M273" s="633"/>
      <c r="N273" s="633"/>
      <c r="O273" s="633"/>
      <c r="P273" s="633"/>
      <c r="Q273" s="633"/>
      <c r="R273" s="633"/>
      <c r="S273" s="633"/>
      <c r="T273" s="633"/>
    </row>
    <row r="274">
      <c r="A274" s="633"/>
      <c r="B274" s="633"/>
      <c r="C274" s="633"/>
      <c r="D274" s="633"/>
      <c r="E274" s="633"/>
      <c r="F274" s="633"/>
      <c r="G274" s="633"/>
      <c r="H274" s="633"/>
      <c r="I274" s="633"/>
      <c r="J274" s="633"/>
      <c r="K274" s="633"/>
      <c r="L274" s="633"/>
      <c r="M274" s="633"/>
      <c r="N274" s="633"/>
      <c r="O274" s="633"/>
      <c r="P274" s="633"/>
      <c r="Q274" s="633"/>
      <c r="R274" s="633"/>
      <c r="S274" s="633"/>
      <c r="T274" s="633"/>
    </row>
    <row r="275">
      <c r="A275" s="633"/>
      <c r="B275" s="633"/>
      <c r="C275" s="633"/>
      <c r="D275" s="633"/>
      <c r="E275" s="633"/>
      <c r="F275" s="633"/>
      <c r="G275" s="633"/>
      <c r="H275" s="633"/>
      <c r="I275" s="633"/>
      <c r="J275" s="633"/>
      <c r="K275" s="633"/>
      <c r="L275" s="633"/>
      <c r="M275" s="633"/>
      <c r="N275" s="633"/>
      <c r="O275" s="633"/>
      <c r="P275" s="633"/>
      <c r="Q275" s="633"/>
      <c r="R275" s="633"/>
      <c r="S275" s="633"/>
      <c r="T275" s="633"/>
    </row>
    <row r="276">
      <c r="A276" s="633"/>
      <c r="B276" s="633"/>
      <c r="C276" s="633"/>
      <c r="D276" s="633"/>
      <c r="E276" s="633"/>
      <c r="F276" s="633"/>
      <c r="G276" s="633"/>
      <c r="H276" s="633"/>
      <c r="I276" s="633"/>
      <c r="J276" s="633"/>
      <c r="K276" s="633"/>
      <c r="L276" s="633"/>
      <c r="M276" s="633"/>
      <c r="N276" s="633"/>
      <c r="O276" s="633"/>
      <c r="P276" s="633"/>
      <c r="Q276" s="633"/>
      <c r="R276" s="633"/>
      <c r="S276" s="633"/>
      <c r="T276" s="633"/>
    </row>
    <row r="277">
      <c r="A277" s="633"/>
      <c r="B277" s="633"/>
      <c r="C277" s="633"/>
      <c r="D277" s="633"/>
      <c r="E277" s="633"/>
      <c r="F277" s="633"/>
      <c r="G277" s="633"/>
      <c r="H277" s="633"/>
      <c r="I277" s="633"/>
      <c r="J277" s="633"/>
      <c r="K277" s="633"/>
      <c r="L277" s="633"/>
      <c r="M277" s="633"/>
      <c r="N277" s="633"/>
      <c r="O277" s="633"/>
      <c r="P277" s="633"/>
      <c r="Q277" s="633"/>
      <c r="R277" s="633"/>
      <c r="S277" s="633"/>
      <c r="T277" s="633"/>
    </row>
    <row r="278">
      <c r="A278" s="633"/>
      <c r="B278" s="633"/>
      <c r="C278" s="633"/>
      <c r="D278" s="633"/>
      <c r="E278" s="633"/>
      <c r="F278" s="633"/>
      <c r="G278" s="633"/>
      <c r="H278" s="633"/>
      <c r="I278" s="633"/>
      <c r="J278" s="633"/>
      <c r="K278" s="633"/>
      <c r="L278" s="633"/>
      <c r="M278" s="633"/>
      <c r="N278" s="633"/>
      <c r="O278" s="633"/>
      <c r="P278" s="633"/>
      <c r="Q278" s="633"/>
      <c r="R278" s="633"/>
      <c r="S278" s="633"/>
      <c r="T278" s="633"/>
    </row>
    <row r="279">
      <c r="A279" s="633"/>
      <c r="B279" s="633"/>
      <c r="C279" s="633"/>
      <c r="D279" s="633"/>
      <c r="E279" s="633"/>
      <c r="F279" s="633"/>
      <c r="G279" s="633"/>
      <c r="H279" s="633"/>
      <c r="I279" s="633"/>
      <c r="J279" s="633"/>
      <c r="K279" s="633"/>
      <c r="L279" s="633"/>
      <c r="M279" s="633"/>
      <c r="N279" s="633"/>
      <c r="O279" s="633"/>
      <c r="P279" s="633"/>
      <c r="Q279" s="633"/>
      <c r="R279" s="633"/>
      <c r="S279" s="633"/>
      <c r="T279" s="633"/>
    </row>
    <row r="280">
      <c r="A280" s="633"/>
      <c r="B280" s="633"/>
      <c r="C280" s="633"/>
      <c r="D280" s="633"/>
      <c r="E280" s="633"/>
      <c r="F280" s="633"/>
      <c r="G280" s="633"/>
      <c r="H280" s="633"/>
      <c r="I280" s="633"/>
      <c r="J280" s="633"/>
      <c r="K280" s="633"/>
      <c r="L280" s="633"/>
      <c r="M280" s="633"/>
      <c r="N280" s="633"/>
      <c r="O280" s="633"/>
      <c r="P280" s="633"/>
      <c r="Q280" s="633"/>
      <c r="R280" s="633"/>
      <c r="S280" s="633"/>
      <c r="T280" s="633"/>
    </row>
    <row r="281">
      <c r="A281" s="633"/>
      <c r="B281" s="633"/>
      <c r="C281" s="633"/>
      <c r="D281" s="633"/>
      <c r="E281" s="633"/>
      <c r="F281" s="633"/>
      <c r="G281" s="633"/>
      <c r="H281" s="633"/>
      <c r="I281" s="633"/>
      <c r="J281" s="633"/>
      <c r="K281" s="633"/>
      <c r="L281" s="633"/>
      <c r="M281" s="633"/>
      <c r="N281" s="633"/>
      <c r="O281" s="633"/>
      <c r="P281" s="633"/>
      <c r="Q281" s="633"/>
      <c r="R281" s="633"/>
      <c r="S281" s="633"/>
      <c r="T281" s="633"/>
    </row>
    <row r="282">
      <c r="A282" s="633"/>
      <c r="B282" s="633"/>
      <c r="C282" s="633"/>
      <c r="D282" s="633"/>
      <c r="E282" s="633"/>
      <c r="F282" s="633"/>
      <c r="G282" s="633"/>
      <c r="H282" s="633"/>
      <c r="I282" s="633"/>
      <c r="J282" s="633"/>
      <c r="K282" s="633"/>
      <c r="L282" s="633"/>
      <c r="M282" s="633"/>
      <c r="N282" s="633"/>
      <c r="O282" s="633"/>
      <c r="P282" s="633"/>
      <c r="Q282" s="633"/>
      <c r="R282" s="633"/>
      <c r="S282" s="633"/>
      <c r="T282" s="633"/>
    </row>
    <row r="283">
      <c r="A283" s="633"/>
      <c r="B283" s="633"/>
      <c r="C283" s="633"/>
      <c r="D283" s="633"/>
      <c r="E283" s="633"/>
      <c r="F283" s="633"/>
      <c r="G283" s="633"/>
      <c r="H283" s="633"/>
      <c r="I283" s="633"/>
      <c r="J283" s="633"/>
      <c r="K283" s="633"/>
      <c r="L283" s="633"/>
      <c r="M283" s="633"/>
      <c r="N283" s="633"/>
      <c r="O283" s="633"/>
      <c r="P283" s="633"/>
      <c r="Q283" s="633"/>
      <c r="R283" s="633"/>
      <c r="S283" s="633"/>
      <c r="T283" s="633"/>
    </row>
    <row r="284">
      <c r="A284" s="633"/>
      <c r="B284" s="633"/>
      <c r="C284" s="633"/>
      <c r="D284" s="633"/>
      <c r="E284" s="633"/>
      <c r="F284" s="633"/>
      <c r="G284" s="633"/>
      <c r="H284" s="633"/>
      <c r="I284" s="633"/>
      <c r="J284" s="633"/>
      <c r="K284" s="633"/>
      <c r="L284" s="633"/>
      <c r="M284" s="633"/>
      <c r="N284" s="633"/>
      <c r="O284" s="633"/>
      <c r="P284" s="633"/>
      <c r="Q284" s="633"/>
      <c r="R284" s="633"/>
      <c r="S284" s="633"/>
      <c r="T284" s="633"/>
    </row>
    <row r="285">
      <c r="A285" s="633"/>
      <c r="B285" s="633"/>
      <c r="C285" s="633"/>
      <c r="D285" s="633"/>
      <c r="E285" s="633"/>
      <c r="F285" s="633"/>
      <c r="G285" s="633"/>
      <c r="H285" s="633"/>
      <c r="I285" s="633"/>
      <c r="J285" s="633"/>
      <c r="K285" s="633"/>
      <c r="L285" s="633"/>
      <c r="M285" s="633"/>
      <c r="N285" s="633"/>
      <c r="O285" s="633"/>
      <c r="P285" s="633"/>
      <c r="Q285" s="633"/>
      <c r="R285" s="633"/>
      <c r="S285" s="633"/>
      <c r="T285" s="633"/>
    </row>
    <row r="286">
      <c r="A286" s="633"/>
      <c r="B286" s="633"/>
      <c r="C286" s="633"/>
      <c r="D286" s="633"/>
      <c r="E286" s="633"/>
      <c r="F286" s="633"/>
      <c r="G286" s="633"/>
      <c r="H286" s="633"/>
      <c r="I286" s="633"/>
      <c r="J286" s="633"/>
      <c r="K286" s="633"/>
      <c r="L286" s="633"/>
      <c r="M286" s="633"/>
      <c r="N286" s="633"/>
      <c r="O286" s="633"/>
      <c r="P286" s="633"/>
      <c r="Q286" s="633"/>
      <c r="R286" s="633"/>
      <c r="S286" s="633"/>
      <c r="T286" s="633"/>
    </row>
    <row r="287">
      <c r="A287" s="633"/>
      <c r="B287" s="633"/>
      <c r="C287" s="633"/>
      <c r="D287" s="633"/>
      <c r="E287" s="633"/>
      <c r="F287" s="633"/>
      <c r="G287" s="633"/>
      <c r="H287" s="633"/>
      <c r="I287" s="633"/>
      <c r="J287" s="633"/>
      <c r="K287" s="633"/>
      <c r="L287" s="633"/>
      <c r="M287" s="633"/>
      <c r="N287" s="633"/>
      <c r="O287" s="633"/>
      <c r="P287" s="633"/>
      <c r="Q287" s="633"/>
      <c r="R287" s="633"/>
      <c r="S287" s="633"/>
      <c r="T287" s="633"/>
    </row>
    <row r="288">
      <c r="A288" s="633"/>
      <c r="B288" s="633"/>
      <c r="C288" s="633"/>
      <c r="D288" s="633"/>
      <c r="E288" s="633"/>
      <c r="F288" s="633"/>
      <c r="G288" s="633"/>
      <c r="H288" s="633"/>
      <c r="I288" s="633"/>
      <c r="J288" s="633"/>
      <c r="K288" s="633"/>
      <c r="L288" s="633"/>
      <c r="M288" s="633"/>
      <c r="N288" s="633"/>
      <c r="O288" s="633"/>
      <c r="P288" s="633"/>
      <c r="Q288" s="633"/>
      <c r="R288" s="633"/>
      <c r="S288" s="633"/>
      <c r="T288" s="633"/>
    </row>
    <row r="289">
      <c r="A289" s="633"/>
      <c r="B289" s="633"/>
      <c r="C289" s="633"/>
      <c r="D289" s="633"/>
      <c r="E289" s="633"/>
      <c r="F289" s="633"/>
      <c r="G289" s="633"/>
      <c r="H289" s="633"/>
      <c r="I289" s="633"/>
      <c r="J289" s="633"/>
      <c r="K289" s="633"/>
      <c r="L289" s="633"/>
      <c r="M289" s="633"/>
      <c r="N289" s="633"/>
      <c r="O289" s="633"/>
      <c r="P289" s="633"/>
      <c r="Q289" s="633"/>
      <c r="R289" s="633"/>
      <c r="S289" s="633"/>
      <c r="T289" s="633"/>
    </row>
    <row r="290">
      <c r="A290" s="633"/>
      <c r="B290" s="633"/>
      <c r="C290" s="633"/>
      <c r="D290" s="633"/>
      <c r="E290" s="633"/>
      <c r="F290" s="633"/>
      <c r="G290" s="633"/>
      <c r="H290" s="633"/>
      <c r="I290" s="633"/>
      <c r="J290" s="633"/>
      <c r="K290" s="633"/>
      <c r="L290" s="633"/>
      <c r="M290" s="633"/>
      <c r="N290" s="633"/>
      <c r="O290" s="633"/>
      <c r="P290" s="633"/>
      <c r="Q290" s="633"/>
      <c r="R290" s="633"/>
      <c r="S290" s="633"/>
      <c r="T290" s="633"/>
    </row>
    <row r="291">
      <c r="A291" s="633"/>
      <c r="B291" s="633"/>
      <c r="C291" s="633"/>
      <c r="D291" s="633"/>
      <c r="E291" s="633"/>
      <c r="F291" s="633"/>
      <c r="G291" s="633"/>
      <c r="H291" s="633"/>
      <c r="I291" s="633"/>
      <c r="J291" s="633"/>
      <c r="K291" s="633"/>
      <c r="L291" s="633"/>
      <c r="M291" s="633"/>
      <c r="N291" s="633"/>
      <c r="O291" s="633"/>
      <c r="P291" s="633"/>
      <c r="Q291" s="633"/>
      <c r="R291" s="633"/>
      <c r="S291" s="633"/>
      <c r="T291" s="633"/>
    </row>
    <row r="292">
      <c r="A292" s="633"/>
      <c r="B292" s="633"/>
      <c r="C292" s="633"/>
      <c r="D292" s="633"/>
      <c r="E292" s="633"/>
      <c r="F292" s="633"/>
      <c r="G292" s="633"/>
      <c r="H292" s="633"/>
      <c r="I292" s="633"/>
      <c r="J292" s="633"/>
      <c r="K292" s="633"/>
      <c r="L292" s="633"/>
      <c r="M292" s="633"/>
      <c r="N292" s="633"/>
      <c r="O292" s="633"/>
      <c r="P292" s="633"/>
      <c r="Q292" s="633"/>
      <c r="R292" s="633"/>
      <c r="S292" s="633"/>
      <c r="T292" s="633"/>
    </row>
    <row r="293">
      <c r="A293" s="633"/>
      <c r="B293" s="633"/>
      <c r="C293" s="633"/>
      <c r="D293" s="633"/>
      <c r="E293" s="633"/>
      <c r="F293" s="633"/>
      <c r="G293" s="633"/>
      <c r="H293" s="633"/>
      <c r="I293" s="633"/>
      <c r="J293" s="633"/>
      <c r="K293" s="633"/>
      <c r="L293" s="633"/>
      <c r="M293" s="633"/>
      <c r="N293" s="633"/>
      <c r="O293" s="633"/>
      <c r="P293" s="633"/>
      <c r="Q293" s="633"/>
      <c r="R293" s="633"/>
      <c r="S293" s="633"/>
      <c r="T293" s="633"/>
    </row>
    <row r="294">
      <c r="A294" s="633"/>
      <c r="B294" s="633"/>
      <c r="C294" s="633"/>
      <c r="D294" s="633"/>
      <c r="E294" s="633"/>
      <c r="F294" s="633"/>
      <c r="G294" s="633"/>
      <c r="H294" s="633"/>
      <c r="I294" s="633"/>
      <c r="J294" s="633"/>
      <c r="K294" s="633"/>
      <c r="L294" s="633"/>
      <c r="M294" s="633"/>
      <c r="N294" s="633"/>
      <c r="O294" s="633"/>
      <c r="P294" s="633"/>
      <c r="Q294" s="633"/>
      <c r="R294" s="633"/>
      <c r="S294" s="633"/>
      <c r="T294" s="633"/>
    </row>
    <row r="295">
      <c r="A295" s="633"/>
      <c r="B295" s="633"/>
      <c r="C295" s="633"/>
      <c r="D295" s="633"/>
      <c r="E295" s="633"/>
      <c r="F295" s="633"/>
      <c r="G295" s="633"/>
      <c r="H295" s="633"/>
      <c r="I295" s="633"/>
      <c r="J295" s="633"/>
      <c r="K295" s="633"/>
      <c r="L295" s="633"/>
      <c r="M295" s="633"/>
      <c r="N295" s="633"/>
      <c r="O295" s="633"/>
      <c r="P295" s="633"/>
      <c r="Q295" s="633"/>
      <c r="R295" s="633"/>
      <c r="S295" s="633"/>
      <c r="T295" s="633"/>
    </row>
    <row r="296">
      <c r="A296" s="633"/>
      <c r="B296" s="633"/>
      <c r="C296" s="633"/>
      <c r="D296" s="633"/>
      <c r="E296" s="633"/>
      <c r="F296" s="633"/>
      <c r="G296" s="633"/>
      <c r="H296" s="633"/>
      <c r="I296" s="633"/>
      <c r="J296" s="633"/>
      <c r="K296" s="633"/>
      <c r="L296" s="633"/>
      <c r="M296" s="633"/>
      <c r="N296" s="633"/>
      <c r="O296" s="633"/>
      <c r="P296" s="633"/>
      <c r="Q296" s="633"/>
      <c r="R296" s="633"/>
      <c r="S296" s="633"/>
      <c r="T296" s="633"/>
    </row>
    <row r="297">
      <c r="A297" s="633"/>
      <c r="B297" s="633"/>
      <c r="C297" s="633"/>
      <c r="D297" s="633"/>
      <c r="E297" s="633"/>
      <c r="F297" s="633"/>
      <c r="G297" s="633"/>
      <c r="H297" s="633"/>
      <c r="I297" s="633"/>
      <c r="J297" s="633"/>
      <c r="K297" s="633"/>
      <c r="L297" s="633"/>
      <c r="M297" s="633"/>
      <c r="N297" s="633"/>
      <c r="O297" s="633"/>
      <c r="P297" s="633"/>
      <c r="Q297" s="633"/>
      <c r="R297" s="633"/>
      <c r="S297" s="633"/>
      <c r="T297" s="633"/>
    </row>
    <row r="298">
      <c r="A298" s="633"/>
      <c r="B298" s="633"/>
      <c r="C298" s="633"/>
      <c r="D298" s="633"/>
      <c r="E298" s="633"/>
      <c r="F298" s="633"/>
      <c r="G298" s="633"/>
      <c r="H298" s="633"/>
      <c r="I298" s="633"/>
      <c r="J298" s="633"/>
      <c r="K298" s="633"/>
      <c r="L298" s="633"/>
      <c r="M298" s="633"/>
      <c r="N298" s="633"/>
      <c r="O298" s="633"/>
      <c r="P298" s="633"/>
      <c r="Q298" s="633"/>
      <c r="R298" s="633"/>
      <c r="S298" s="633"/>
      <c r="T298" s="633"/>
    </row>
    <row r="299">
      <c r="A299" s="633"/>
      <c r="B299" s="633"/>
      <c r="C299" s="633"/>
      <c r="D299" s="633"/>
      <c r="E299" s="633"/>
      <c r="F299" s="633"/>
      <c r="G299" s="633"/>
      <c r="H299" s="633"/>
      <c r="I299" s="633"/>
      <c r="J299" s="633"/>
      <c r="K299" s="633"/>
      <c r="L299" s="633"/>
      <c r="M299" s="633"/>
      <c r="N299" s="633"/>
      <c r="O299" s="633"/>
      <c r="P299" s="633"/>
      <c r="Q299" s="633"/>
      <c r="R299" s="633"/>
      <c r="S299" s="633"/>
      <c r="T299" s="633"/>
    </row>
    <row r="300">
      <c r="A300" s="633"/>
      <c r="B300" s="633"/>
      <c r="C300" s="633"/>
      <c r="D300" s="633"/>
      <c r="E300" s="633"/>
      <c r="F300" s="633"/>
      <c r="G300" s="633"/>
      <c r="H300" s="633"/>
      <c r="I300" s="633"/>
      <c r="J300" s="633"/>
      <c r="K300" s="633"/>
      <c r="L300" s="633"/>
      <c r="M300" s="633"/>
      <c r="N300" s="633"/>
      <c r="O300" s="633"/>
      <c r="P300" s="633"/>
      <c r="Q300" s="633"/>
      <c r="R300" s="633"/>
      <c r="S300" s="633"/>
      <c r="T300" s="633"/>
    </row>
    <row r="301">
      <c r="A301" s="633"/>
      <c r="B301" s="633"/>
      <c r="C301" s="633"/>
      <c r="D301" s="633"/>
      <c r="E301" s="633"/>
      <c r="F301" s="633"/>
      <c r="G301" s="633"/>
      <c r="H301" s="633"/>
      <c r="I301" s="633"/>
      <c r="J301" s="633"/>
      <c r="K301" s="633"/>
      <c r="L301" s="633"/>
      <c r="M301" s="633"/>
      <c r="N301" s="633"/>
      <c r="O301" s="633"/>
      <c r="P301" s="633"/>
      <c r="Q301" s="633"/>
      <c r="R301" s="633"/>
      <c r="S301" s="633"/>
      <c r="T301" s="633"/>
    </row>
    <row r="302">
      <c r="A302" s="633"/>
      <c r="B302" s="633"/>
      <c r="C302" s="633"/>
      <c r="D302" s="633"/>
      <c r="E302" s="633"/>
      <c r="F302" s="633"/>
      <c r="G302" s="633"/>
      <c r="H302" s="633"/>
      <c r="I302" s="633"/>
      <c r="J302" s="633"/>
      <c r="K302" s="633"/>
      <c r="L302" s="633"/>
      <c r="M302" s="633"/>
      <c r="N302" s="633"/>
      <c r="O302" s="633"/>
      <c r="P302" s="633"/>
      <c r="Q302" s="633"/>
      <c r="R302" s="633"/>
      <c r="S302" s="633"/>
      <c r="T302" s="633"/>
    </row>
    <row r="303">
      <c r="A303" s="633"/>
      <c r="B303" s="633"/>
      <c r="C303" s="633"/>
      <c r="D303" s="633"/>
      <c r="E303" s="633"/>
      <c r="F303" s="633"/>
      <c r="G303" s="633"/>
      <c r="H303" s="633"/>
      <c r="I303" s="633"/>
      <c r="J303" s="633"/>
      <c r="K303" s="633"/>
      <c r="L303" s="633"/>
      <c r="M303" s="633"/>
      <c r="N303" s="633"/>
      <c r="O303" s="633"/>
      <c r="P303" s="633"/>
      <c r="Q303" s="633"/>
      <c r="R303" s="633"/>
      <c r="S303" s="633"/>
      <c r="T303" s="633"/>
    </row>
    <row r="304">
      <c r="A304" s="633"/>
      <c r="B304" s="633"/>
      <c r="C304" s="633"/>
      <c r="D304" s="633"/>
      <c r="E304" s="633"/>
      <c r="F304" s="633"/>
      <c r="G304" s="633"/>
      <c r="H304" s="633"/>
      <c r="I304" s="633"/>
      <c r="J304" s="633"/>
      <c r="K304" s="633"/>
      <c r="L304" s="633"/>
      <c r="M304" s="633"/>
      <c r="N304" s="633"/>
      <c r="O304" s="633"/>
      <c r="P304" s="633"/>
      <c r="Q304" s="633"/>
      <c r="R304" s="633"/>
      <c r="S304" s="633"/>
      <c r="T304" s="633"/>
    </row>
    <row r="305">
      <c r="A305" s="633"/>
      <c r="B305" s="633"/>
      <c r="C305" s="633"/>
      <c r="D305" s="633"/>
      <c r="E305" s="633"/>
      <c r="F305" s="633"/>
      <c r="G305" s="633"/>
      <c r="H305" s="633"/>
      <c r="I305" s="633"/>
      <c r="J305" s="633"/>
      <c r="K305" s="633"/>
      <c r="L305" s="633"/>
      <c r="M305" s="633"/>
      <c r="N305" s="633"/>
      <c r="O305" s="633"/>
      <c r="P305" s="633"/>
      <c r="Q305" s="633"/>
      <c r="R305" s="633"/>
      <c r="S305" s="633"/>
      <c r="T305" s="633"/>
    </row>
    <row r="306">
      <c r="A306" s="633"/>
      <c r="B306" s="633"/>
      <c r="C306" s="633"/>
      <c r="D306" s="633"/>
      <c r="E306" s="633"/>
      <c r="F306" s="633"/>
      <c r="G306" s="633"/>
      <c r="H306" s="633"/>
      <c r="I306" s="633"/>
      <c r="J306" s="633"/>
      <c r="K306" s="633"/>
      <c r="L306" s="633"/>
      <c r="M306" s="633"/>
      <c r="N306" s="633"/>
      <c r="O306" s="633"/>
      <c r="P306" s="633"/>
      <c r="Q306" s="633"/>
      <c r="R306" s="633"/>
      <c r="S306" s="633"/>
      <c r="T306" s="633"/>
    </row>
    <row r="307">
      <c r="A307" s="633"/>
      <c r="B307" s="633"/>
      <c r="C307" s="633"/>
      <c r="D307" s="633"/>
      <c r="E307" s="633"/>
      <c r="F307" s="633"/>
      <c r="G307" s="633"/>
      <c r="H307" s="633"/>
      <c r="I307" s="633"/>
      <c r="J307" s="633"/>
      <c r="K307" s="633"/>
      <c r="L307" s="633"/>
      <c r="M307" s="633"/>
      <c r="N307" s="633"/>
      <c r="O307" s="633"/>
      <c r="P307" s="633"/>
      <c r="Q307" s="633"/>
      <c r="R307" s="633"/>
      <c r="S307" s="633"/>
      <c r="T307" s="633"/>
    </row>
    <row r="308">
      <c r="A308" s="633"/>
      <c r="B308" s="633"/>
      <c r="C308" s="633"/>
      <c r="D308" s="633"/>
      <c r="E308" s="633"/>
      <c r="F308" s="633"/>
      <c r="G308" s="633"/>
      <c r="H308" s="633"/>
      <c r="I308" s="633"/>
      <c r="J308" s="633"/>
      <c r="K308" s="633"/>
      <c r="L308" s="633"/>
      <c r="M308" s="633"/>
      <c r="N308" s="633"/>
      <c r="O308" s="633"/>
      <c r="P308" s="633"/>
      <c r="Q308" s="633"/>
      <c r="R308" s="633"/>
      <c r="S308" s="633"/>
      <c r="T308" s="633"/>
    </row>
    <row r="309">
      <c r="A309" s="633"/>
      <c r="B309" s="633"/>
      <c r="C309" s="633"/>
      <c r="D309" s="633"/>
      <c r="E309" s="633"/>
      <c r="F309" s="633"/>
      <c r="G309" s="633"/>
      <c r="H309" s="633"/>
      <c r="I309" s="633"/>
      <c r="J309" s="633"/>
      <c r="K309" s="633"/>
      <c r="L309" s="633"/>
      <c r="M309" s="633"/>
      <c r="N309" s="633"/>
      <c r="O309" s="633"/>
      <c r="P309" s="633"/>
      <c r="Q309" s="633"/>
      <c r="R309" s="633"/>
      <c r="S309" s="633"/>
      <c r="T309" s="633"/>
    </row>
    <row r="310">
      <c r="A310" s="633"/>
      <c r="B310" s="633"/>
      <c r="C310" s="633"/>
      <c r="D310" s="633"/>
      <c r="E310" s="633"/>
      <c r="F310" s="633"/>
      <c r="G310" s="633"/>
      <c r="H310" s="633"/>
      <c r="I310" s="633"/>
      <c r="J310" s="633"/>
      <c r="K310" s="633"/>
      <c r="L310" s="633"/>
      <c r="M310" s="633"/>
      <c r="N310" s="633"/>
      <c r="O310" s="633"/>
      <c r="P310" s="633"/>
      <c r="Q310" s="633"/>
      <c r="R310" s="633"/>
      <c r="S310" s="633"/>
      <c r="T310" s="633"/>
    </row>
    <row r="311">
      <c r="A311" s="633"/>
      <c r="B311" s="633"/>
      <c r="C311" s="633"/>
      <c r="D311" s="633"/>
      <c r="E311" s="633"/>
      <c r="F311" s="633"/>
      <c r="G311" s="633"/>
      <c r="H311" s="633"/>
      <c r="I311" s="633"/>
      <c r="J311" s="633"/>
      <c r="K311" s="633"/>
      <c r="L311" s="633"/>
      <c r="M311" s="633"/>
      <c r="N311" s="633"/>
      <c r="O311" s="633"/>
      <c r="P311" s="633"/>
      <c r="Q311" s="633"/>
      <c r="R311" s="633"/>
      <c r="S311" s="633"/>
      <c r="T311" s="633"/>
    </row>
    <row r="312">
      <c r="A312" s="633"/>
      <c r="B312" s="633"/>
      <c r="C312" s="633"/>
      <c r="D312" s="633"/>
      <c r="E312" s="633"/>
      <c r="F312" s="633"/>
      <c r="G312" s="633"/>
      <c r="H312" s="633"/>
      <c r="I312" s="633"/>
      <c r="J312" s="633"/>
      <c r="K312" s="633"/>
      <c r="L312" s="633"/>
      <c r="M312" s="633"/>
      <c r="N312" s="633"/>
      <c r="O312" s="633"/>
      <c r="P312" s="633"/>
      <c r="Q312" s="633"/>
      <c r="R312" s="633"/>
      <c r="S312" s="633"/>
      <c r="T312" s="633"/>
    </row>
    <row r="313">
      <c r="A313" s="633"/>
      <c r="B313" s="633"/>
      <c r="C313" s="633"/>
      <c r="D313" s="633"/>
      <c r="E313" s="633"/>
      <c r="F313" s="633"/>
      <c r="G313" s="633"/>
      <c r="H313" s="633"/>
      <c r="I313" s="633"/>
      <c r="J313" s="633"/>
      <c r="K313" s="633"/>
      <c r="L313" s="633"/>
      <c r="M313" s="633"/>
      <c r="N313" s="633"/>
      <c r="O313" s="633"/>
      <c r="P313" s="633"/>
      <c r="Q313" s="633"/>
      <c r="R313" s="633"/>
      <c r="S313" s="633"/>
      <c r="T313" s="633"/>
    </row>
    <row r="314">
      <c r="A314" s="633"/>
      <c r="B314" s="633"/>
      <c r="C314" s="633"/>
      <c r="D314" s="633"/>
      <c r="E314" s="633"/>
      <c r="F314" s="633"/>
      <c r="G314" s="633"/>
      <c r="H314" s="633"/>
      <c r="I314" s="633"/>
      <c r="J314" s="633"/>
      <c r="K314" s="633"/>
      <c r="L314" s="633"/>
      <c r="M314" s="633"/>
      <c r="N314" s="633"/>
      <c r="O314" s="633"/>
      <c r="P314" s="633"/>
      <c r="Q314" s="633"/>
      <c r="R314" s="633"/>
      <c r="S314" s="633"/>
      <c r="T314" s="633"/>
    </row>
    <row r="315">
      <c r="A315" s="633"/>
      <c r="B315" s="633"/>
      <c r="C315" s="633"/>
      <c r="D315" s="633"/>
      <c r="E315" s="633"/>
      <c r="F315" s="633"/>
      <c r="G315" s="633"/>
      <c r="H315" s="633"/>
      <c r="I315" s="633"/>
      <c r="J315" s="633"/>
      <c r="K315" s="633"/>
      <c r="L315" s="633"/>
      <c r="M315" s="633"/>
      <c r="N315" s="633"/>
      <c r="O315" s="633"/>
      <c r="P315" s="633"/>
      <c r="Q315" s="633"/>
      <c r="R315" s="633"/>
      <c r="S315" s="633"/>
      <c r="T315" s="633"/>
    </row>
    <row r="316">
      <c r="A316" s="633"/>
      <c r="B316" s="633"/>
      <c r="C316" s="633"/>
      <c r="D316" s="633"/>
      <c r="E316" s="633"/>
      <c r="F316" s="633"/>
      <c r="G316" s="633"/>
      <c r="H316" s="633"/>
      <c r="I316" s="633"/>
      <c r="J316" s="633"/>
      <c r="K316" s="633"/>
      <c r="L316" s="633"/>
      <c r="M316" s="633"/>
      <c r="N316" s="633"/>
      <c r="O316" s="633"/>
      <c r="P316" s="633"/>
      <c r="Q316" s="633"/>
      <c r="R316" s="633"/>
      <c r="S316" s="633"/>
      <c r="T316" s="633"/>
    </row>
    <row r="317">
      <c r="A317" s="633"/>
      <c r="B317" s="633"/>
      <c r="C317" s="633"/>
      <c r="D317" s="633"/>
      <c r="E317" s="633"/>
      <c r="F317" s="633"/>
      <c r="G317" s="633"/>
      <c r="H317" s="633"/>
      <c r="I317" s="633"/>
      <c r="J317" s="633"/>
      <c r="K317" s="633"/>
      <c r="L317" s="633"/>
      <c r="M317" s="633"/>
      <c r="N317" s="633"/>
      <c r="O317" s="633"/>
      <c r="P317" s="633"/>
      <c r="Q317" s="633"/>
      <c r="R317" s="633"/>
      <c r="S317" s="633"/>
      <c r="T317" s="633"/>
    </row>
    <row r="318">
      <c r="A318" s="633"/>
      <c r="B318" s="633"/>
      <c r="C318" s="633"/>
      <c r="D318" s="633"/>
      <c r="E318" s="633"/>
      <c r="F318" s="633"/>
      <c r="G318" s="633"/>
      <c r="H318" s="633"/>
      <c r="I318" s="633"/>
      <c r="J318" s="633"/>
      <c r="K318" s="633"/>
      <c r="L318" s="633"/>
      <c r="M318" s="633"/>
      <c r="N318" s="633"/>
      <c r="O318" s="633"/>
      <c r="P318" s="633"/>
      <c r="Q318" s="633"/>
      <c r="R318" s="633"/>
      <c r="S318" s="633"/>
      <c r="T318" s="633"/>
    </row>
    <row r="319">
      <c r="A319" s="633"/>
      <c r="B319" s="633"/>
      <c r="C319" s="633"/>
      <c r="D319" s="633"/>
      <c r="E319" s="633"/>
      <c r="F319" s="633"/>
      <c r="G319" s="633"/>
      <c r="H319" s="633"/>
      <c r="I319" s="633"/>
      <c r="J319" s="633"/>
      <c r="K319" s="633"/>
      <c r="L319" s="633"/>
      <c r="M319" s="633"/>
      <c r="N319" s="633"/>
      <c r="O319" s="633"/>
      <c r="P319" s="633"/>
      <c r="Q319" s="633"/>
      <c r="R319" s="633"/>
      <c r="S319" s="633"/>
      <c r="T319" s="633"/>
    </row>
    <row r="320">
      <c r="A320" s="633"/>
      <c r="B320" s="633"/>
      <c r="C320" s="633"/>
      <c r="D320" s="633"/>
      <c r="E320" s="633"/>
      <c r="F320" s="633"/>
      <c r="G320" s="633"/>
      <c r="H320" s="633"/>
      <c r="I320" s="633"/>
      <c r="J320" s="633"/>
      <c r="K320" s="633"/>
      <c r="L320" s="633"/>
      <c r="M320" s="633"/>
      <c r="N320" s="633"/>
      <c r="O320" s="633"/>
      <c r="P320" s="633"/>
      <c r="Q320" s="633"/>
      <c r="R320" s="633"/>
      <c r="S320" s="633"/>
      <c r="T320" s="633"/>
    </row>
    <row r="321">
      <c r="A321" s="633"/>
      <c r="B321" s="633"/>
      <c r="C321" s="633"/>
      <c r="D321" s="633"/>
      <c r="E321" s="633"/>
      <c r="F321" s="633"/>
      <c r="G321" s="633"/>
      <c r="H321" s="633"/>
      <c r="I321" s="633"/>
      <c r="J321" s="633"/>
      <c r="K321" s="633"/>
      <c r="L321" s="633"/>
      <c r="M321" s="633"/>
      <c r="N321" s="633"/>
      <c r="O321" s="633"/>
      <c r="P321" s="633"/>
      <c r="Q321" s="633"/>
      <c r="R321" s="633"/>
      <c r="S321" s="633"/>
      <c r="T321" s="633"/>
    </row>
    <row r="322">
      <c r="A322" s="633"/>
      <c r="B322" s="633"/>
      <c r="C322" s="633"/>
      <c r="D322" s="633"/>
      <c r="E322" s="633"/>
      <c r="F322" s="633"/>
      <c r="G322" s="633"/>
      <c r="H322" s="633"/>
      <c r="I322" s="633"/>
      <c r="J322" s="633"/>
      <c r="K322" s="633"/>
      <c r="L322" s="633"/>
      <c r="M322" s="633"/>
      <c r="N322" s="633"/>
      <c r="O322" s="633"/>
      <c r="P322" s="633"/>
      <c r="Q322" s="633"/>
      <c r="R322" s="633"/>
      <c r="S322" s="633"/>
      <c r="T322" s="633"/>
    </row>
    <row r="323">
      <c r="A323" s="633"/>
      <c r="B323" s="633"/>
      <c r="C323" s="633"/>
      <c r="D323" s="633"/>
      <c r="E323" s="633"/>
      <c r="F323" s="633"/>
      <c r="G323" s="633"/>
      <c r="H323" s="633"/>
      <c r="I323" s="633"/>
      <c r="J323" s="633"/>
      <c r="K323" s="633"/>
      <c r="L323" s="633"/>
      <c r="M323" s="633"/>
      <c r="N323" s="633"/>
      <c r="O323" s="633"/>
      <c r="P323" s="633"/>
      <c r="Q323" s="633"/>
      <c r="R323" s="633"/>
      <c r="S323" s="633"/>
      <c r="T323" s="633"/>
    </row>
    <row r="324">
      <c r="A324" s="633"/>
      <c r="B324" s="633"/>
      <c r="C324" s="633"/>
      <c r="D324" s="633"/>
      <c r="E324" s="633"/>
      <c r="F324" s="633"/>
      <c r="G324" s="633"/>
      <c r="H324" s="633"/>
      <c r="I324" s="633"/>
      <c r="J324" s="633"/>
      <c r="K324" s="633"/>
      <c r="L324" s="633"/>
      <c r="M324" s="633"/>
      <c r="N324" s="633"/>
      <c r="O324" s="633"/>
      <c r="P324" s="633"/>
      <c r="Q324" s="633"/>
      <c r="R324" s="633"/>
      <c r="S324" s="633"/>
      <c r="T324" s="633"/>
    </row>
    <row r="325">
      <c r="A325" s="633"/>
      <c r="B325" s="633"/>
      <c r="C325" s="633"/>
      <c r="D325" s="633"/>
      <c r="E325" s="633"/>
      <c r="F325" s="633"/>
      <c r="G325" s="633"/>
      <c r="H325" s="633"/>
      <c r="I325" s="633"/>
      <c r="J325" s="633"/>
      <c r="K325" s="633"/>
      <c r="L325" s="633"/>
      <c r="M325" s="633"/>
      <c r="N325" s="633"/>
      <c r="O325" s="633"/>
      <c r="P325" s="633"/>
      <c r="Q325" s="633"/>
      <c r="R325" s="633"/>
      <c r="S325" s="633"/>
      <c r="T325" s="633"/>
    </row>
    <row r="326">
      <c r="A326" s="633"/>
      <c r="B326" s="633"/>
      <c r="C326" s="633"/>
      <c r="D326" s="633"/>
      <c r="E326" s="633"/>
      <c r="F326" s="633"/>
      <c r="G326" s="633"/>
      <c r="H326" s="633"/>
      <c r="I326" s="633"/>
      <c r="J326" s="633"/>
      <c r="K326" s="633"/>
      <c r="L326" s="633"/>
      <c r="M326" s="633"/>
      <c r="N326" s="633"/>
      <c r="O326" s="633"/>
      <c r="P326" s="633"/>
      <c r="Q326" s="633"/>
      <c r="R326" s="633"/>
      <c r="S326" s="633"/>
      <c r="T326" s="633"/>
    </row>
    <row r="327">
      <c r="A327" s="633"/>
      <c r="B327" s="633"/>
      <c r="C327" s="633"/>
      <c r="D327" s="633"/>
      <c r="E327" s="633"/>
      <c r="F327" s="633"/>
      <c r="G327" s="633"/>
      <c r="H327" s="633"/>
      <c r="I327" s="633"/>
      <c r="J327" s="633"/>
      <c r="K327" s="633"/>
      <c r="L327" s="633"/>
      <c r="M327" s="633"/>
      <c r="N327" s="633"/>
      <c r="O327" s="633"/>
      <c r="P327" s="633"/>
      <c r="Q327" s="633"/>
      <c r="R327" s="633"/>
      <c r="S327" s="633"/>
      <c r="T327" s="633"/>
    </row>
    <row r="328">
      <c r="A328" s="633"/>
      <c r="B328" s="633"/>
      <c r="C328" s="633"/>
      <c r="D328" s="633"/>
      <c r="E328" s="633"/>
      <c r="F328" s="633"/>
      <c r="G328" s="633"/>
      <c r="H328" s="633"/>
      <c r="I328" s="633"/>
      <c r="J328" s="633"/>
      <c r="K328" s="633"/>
      <c r="L328" s="633"/>
      <c r="M328" s="633"/>
      <c r="N328" s="633"/>
      <c r="O328" s="633"/>
      <c r="P328" s="633"/>
      <c r="Q328" s="633"/>
      <c r="R328" s="633"/>
      <c r="S328" s="633"/>
      <c r="T328" s="633"/>
    </row>
    <row r="329">
      <c r="A329" s="633"/>
      <c r="B329" s="633"/>
      <c r="C329" s="633"/>
      <c r="D329" s="633"/>
      <c r="E329" s="633"/>
      <c r="F329" s="633"/>
      <c r="G329" s="633"/>
      <c r="H329" s="633"/>
      <c r="I329" s="633"/>
      <c r="J329" s="633"/>
      <c r="K329" s="633"/>
      <c r="L329" s="633"/>
      <c r="M329" s="633"/>
      <c r="N329" s="633"/>
      <c r="O329" s="633"/>
      <c r="P329" s="633"/>
      <c r="Q329" s="633"/>
      <c r="R329" s="633"/>
      <c r="S329" s="633"/>
      <c r="T329" s="633"/>
    </row>
    <row r="330">
      <c r="A330" s="633"/>
      <c r="B330" s="633"/>
      <c r="C330" s="633"/>
      <c r="D330" s="633"/>
      <c r="E330" s="633"/>
      <c r="F330" s="633"/>
      <c r="G330" s="633"/>
      <c r="H330" s="633"/>
      <c r="I330" s="633"/>
      <c r="J330" s="633"/>
      <c r="K330" s="633"/>
      <c r="L330" s="633"/>
      <c r="M330" s="633"/>
      <c r="N330" s="633"/>
      <c r="O330" s="633"/>
      <c r="P330" s="633"/>
      <c r="Q330" s="633"/>
      <c r="R330" s="633"/>
      <c r="S330" s="633"/>
      <c r="T330" s="633"/>
    </row>
    <row r="331">
      <c r="A331" s="633"/>
      <c r="B331" s="633"/>
      <c r="C331" s="633"/>
      <c r="D331" s="633"/>
      <c r="E331" s="633"/>
      <c r="F331" s="633"/>
      <c r="G331" s="633"/>
      <c r="H331" s="633"/>
      <c r="I331" s="633"/>
      <c r="J331" s="633"/>
      <c r="K331" s="633"/>
      <c r="L331" s="633"/>
      <c r="M331" s="633"/>
      <c r="N331" s="633"/>
      <c r="O331" s="633"/>
      <c r="P331" s="633"/>
      <c r="Q331" s="633"/>
      <c r="R331" s="633"/>
      <c r="S331" s="633"/>
      <c r="T331" s="633"/>
    </row>
    <row r="332">
      <c r="A332" s="633"/>
      <c r="B332" s="633"/>
      <c r="C332" s="633"/>
      <c r="D332" s="633"/>
      <c r="E332" s="633"/>
      <c r="F332" s="633"/>
      <c r="G332" s="633"/>
      <c r="H332" s="633"/>
      <c r="I332" s="633"/>
      <c r="J332" s="633"/>
      <c r="K332" s="633"/>
      <c r="L332" s="633"/>
      <c r="M332" s="633"/>
      <c r="N332" s="633"/>
      <c r="O332" s="633"/>
      <c r="P332" s="633"/>
      <c r="Q332" s="633"/>
      <c r="R332" s="633"/>
      <c r="S332" s="633"/>
      <c r="T332" s="633"/>
    </row>
    <row r="333">
      <c r="A333" s="633"/>
      <c r="B333" s="633"/>
      <c r="C333" s="633"/>
      <c r="D333" s="633"/>
      <c r="E333" s="633"/>
      <c r="F333" s="633"/>
      <c r="G333" s="633"/>
      <c r="H333" s="633"/>
      <c r="I333" s="633"/>
      <c r="J333" s="633"/>
      <c r="K333" s="633"/>
      <c r="L333" s="633"/>
      <c r="M333" s="633"/>
      <c r="N333" s="633"/>
      <c r="O333" s="633"/>
      <c r="P333" s="633"/>
      <c r="Q333" s="633"/>
      <c r="R333" s="633"/>
      <c r="S333" s="633"/>
      <c r="T333" s="633"/>
    </row>
    <row r="334">
      <c r="A334" s="633"/>
      <c r="B334" s="633"/>
      <c r="C334" s="633"/>
      <c r="D334" s="633"/>
      <c r="E334" s="633"/>
      <c r="F334" s="633"/>
      <c r="G334" s="633"/>
      <c r="H334" s="633"/>
      <c r="I334" s="633"/>
      <c r="J334" s="633"/>
      <c r="K334" s="633"/>
      <c r="L334" s="633"/>
      <c r="M334" s="633"/>
      <c r="N334" s="633"/>
      <c r="O334" s="633"/>
      <c r="P334" s="633"/>
      <c r="Q334" s="633"/>
      <c r="R334" s="633"/>
      <c r="S334" s="633"/>
      <c r="T334" s="633"/>
    </row>
    <row r="335">
      <c r="A335" s="633"/>
      <c r="B335" s="633"/>
      <c r="C335" s="633"/>
      <c r="D335" s="633"/>
      <c r="E335" s="633"/>
      <c r="F335" s="633"/>
      <c r="G335" s="633"/>
      <c r="H335" s="633"/>
      <c r="I335" s="633"/>
      <c r="J335" s="633"/>
      <c r="K335" s="633"/>
      <c r="L335" s="633"/>
      <c r="M335" s="633"/>
      <c r="N335" s="633"/>
      <c r="O335" s="633"/>
      <c r="P335" s="633"/>
      <c r="Q335" s="633"/>
      <c r="R335" s="633"/>
      <c r="S335" s="633"/>
      <c r="T335" s="633"/>
    </row>
    <row r="336">
      <c r="A336" s="633"/>
      <c r="B336" s="633"/>
      <c r="C336" s="633"/>
      <c r="D336" s="633"/>
      <c r="E336" s="633"/>
      <c r="F336" s="633"/>
      <c r="G336" s="633"/>
      <c r="H336" s="633"/>
      <c r="I336" s="633"/>
      <c r="J336" s="633"/>
      <c r="K336" s="633"/>
      <c r="L336" s="633"/>
      <c r="M336" s="633"/>
      <c r="N336" s="633"/>
      <c r="O336" s="633"/>
      <c r="P336" s="633"/>
      <c r="Q336" s="633"/>
      <c r="R336" s="633"/>
      <c r="S336" s="633"/>
      <c r="T336" s="633"/>
    </row>
    <row r="337">
      <c r="A337" s="633"/>
      <c r="B337" s="633"/>
      <c r="C337" s="633"/>
      <c r="D337" s="633"/>
      <c r="E337" s="633"/>
      <c r="F337" s="633"/>
      <c r="G337" s="633"/>
      <c r="H337" s="633"/>
      <c r="I337" s="633"/>
      <c r="J337" s="633"/>
      <c r="K337" s="633"/>
      <c r="L337" s="633"/>
      <c r="M337" s="633"/>
      <c r="N337" s="633"/>
      <c r="O337" s="633"/>
      <c r="P337" s="633"/>
      <c r="Q337" s="633"/>
      <c r="R337" s="633"/>
      <c r="S337" s="633"/>
      <c r="T337" s="633"/>
    </row>
    <row r="338">
      <c r="A338" s="633"/>
      <c r="B338" s="633"/>
      <c r="C338" s="633"/>
      <c r="D338" s="633"/>
      <c r="E338" s="633"/>
      <c r="F338" s="633"/>
      <c r="G338" s="633"/>
      <c r="H338" s="633"/>
      <c r="I338" s="633"/>
      <c r="J338" s="633"/>
      <c r="K338" s="633"/>
      <c r="L338" s="633"/>
      <c r="M338" s="633"/>
      <c r="N338" s="633"/>
      <c r="O338" s="633"/>
      <c r="P338" s="633"/>
      <c r="Q338" s="633"/>
      <c r="R338" s="633"/>
      <c r="S338" s="633"/>
      <c r="T338" s="633"/>
    </row>
    <row r="339">
      <c r="A339" s="633"/>
      <c r="B339" s="633"/>
      <c r="C339" s="633"/>
      <c r="D339" s="633"/>
      <c r="E339" s="633"/>
      <c r="F339" s="633"/>
      <c r="G339" s="633"/>
      <c r="H339" s="633"/>
      <c r="I339" s="633"/>
      <c r="J339" s="633"/>
      <c r="K339" s="633"/>
      <c r="L339" s="633"/>
      <c r="M339" s="633"/>
      <c r="N339" s="633"/>
      <c r="O339" s="633"/>
      <c r="P339" s="633"/>
      <c r="Q339" s="633"/>
      <c r="R339" s="633"/>
      <c r="S339" s="633"/>
      <c r="T339" s="633"/>
    </row>
    <row r="340">
      <c r="A340" s="633"/>
      <c r="B340" s="633"/>
      <c r="C340" s="633"/>
      <c r="D340" s="633"/>
      <c r="E340" s="633"/>
      <c r="F340" s="633"/>
      <c r="G340" s="633"/>
      <c r="H340" s="633"/>
      <c r="I340" s="633"/>
      <c r="J340" s="633"/>
      <c r="K340" s="633"/>
      <c r="L340" s="633"/>
      <c r="M340" s="633"/>
      <c r="N340" s="633"/>
      <c r="O340" s="633"/>
      <c r="P340" s="633"/>
      <c r="Q340" s="633"/>
      <c r="R340" s="633"/>
      <c r="S340" s="633"/>
      <c r="T340" s="633"/>
    </row>
    <row r="341">
      <c r="A341" s="633"/>
      <c r="B341" s="633"/>
      <c r="C341" s="633"/>
      <c r="D341" s="633"/>
      <c r="E341" s="633"/>
      <c r="F341" s="633"/>
      <c r="G341" s="633"/>
      <c r="H341" s="633"/>
      <c r="I341" s="633"/>
      <c r="J341" s="633"/>
      <c r="K341" s="633"/>
      <c r="L341" s="633"/>
      <c r="M341" s="633"/>
      <c r="N341" s="633"/>
      <c r="O341" s="633"/>
      <c r="P341" s="633"/>
      <c r="Q341" s="633"/>
      <c r="R341" s="633"/>
      <c r="S341" s="633"/>
      <c r="T341" s="633"/>
    </row>
    <row r="342">
      <c r="A342" s="633"/>
      <c r="B342" s="633"/>
      <c r="C342" s="633"/>
      <c r="D342" s="633"/>
      <c r="E342" s="633"/>
      <c r="F342" s="633"/>
      <c r="G342" s="633"/>
      <c r="H342" s="633"/>
      <c r="I342" s="633"/>
      <c r="J342" s="633"/>
      <c r="K342" s="633"/>
      <c r="L342" s="633"/>
      <c r="M342" s="633"/>
      <c r="N342" s="633"/>
      <c r="O342" s="633"/>
      <c r="P342" s="633"/>
      <c r="Q342" s="633"/>
      <c r="R342" s="633"/>
      <c r="S342" s="633"/>
      <c r="T342" s="633"/>
    </row>
    <row r="343">
      <c r="A343" s="633"/>
      <c r="B343" s="633"/>
      <c r="C343" s="633"/>
      <c r="D343" s="633"/>
      <c r="E343" s="633"/>
      <c r="F343" s="633"/>
      <c r="G343" s="633"/>
      <c r="H343" s="633"/>
      <c r="I343" s="633"/>
      <c r="J343" s="633"/>
      <c r="K343" s="633"/>
      <c r="L343" s="633"/>
      <c r="M343" s="633"/>
      <c r="N343" s="633"/>
      <c r="O343" s="633"/>
      <c r="P343" s="633"/>
      <c r="Q343" s="633"/>
      <c r="R343" s="633"/>
      <c r="S343" s="633"/>
      <c r="T343" s="633"/>
    </row>
    <row r="344">
      <c r="A344" s="633"/>
      <c r="B344" s="633"/>
      <c r="C344" s="633"/>
      <c r="D344" s="633"/>
      <c r="E344" s="633"/>
      <c r="F344" s="633"/>
      <c r="G344" s="633"/>
      <c r="H344" s="633"/>
      <c r="I344" s="633"/>
      <c r="J344" s="633"/>
      <c r="K344" s="633"/>
      <c r="L344" s="633"/>
      <c r="M344" s="633"/>
      <c r="N344" s="633"/>
      <c r="O344" s="633"/>
      <c r="P344" s="633"/>
      <c r="Q344" s="633"/>
      <c r="R344" s="633"/>
      <c r="S344" s="633"/>
      <c r="T344" s="633"/>
    </row>
    <row r="345">
      <c r="A345" s="633"/>
      <c r="B345" s="633"/>
      <c r="C345" s="633"/>
      <c r="D345" s="633"/>
      <c r="E345" s="633"/>
      <c r="F345" s="633"/>
      <c r="G345" s="633"/>
      <c r="H345" s="633"/>
      <c r="I345" s="633"/>
      <c r="J345" s="633"/>
      <c r="K345" s="633"/>
      <c r="L345" s="633"/>
      <c r="M345" s="633"/>
      <c r="N345" s="633"/>
      <c r="O345" s="633"/>
      <c r="P345" s="633"/>
      <c r="Q345" s="633"/>
      <c r="R345" s="633"/>
      <c r="S345" s="633"/>
      <c r="T345" s="633"/>
    </row>
    <row r="346">
      <c r="A346" s="633"/>
      <c r="B346" s="633"/>
      <c r="C346" s="633"/>
      <c r="D346" s="633"/>
      <c r="E346" s="633"/>
      <c r="F346" s="633"/>
      <c r="G346" s="633"/>
      <c r="H346" s="633"/>
      <c r="I346" s="633"/>
      <c r="J346" s="633"/>
      <c r="K346" s="633"/>
      <c r="L346" s="633"/>
      <c r="M346" s="633"/>
      <c r="N346" s="633"/>
      <c r="O346" s="633"/>
      <c r="P346" s="633"/>
      <c r="Q346" s="633"/>
      <c r="R346" s="633"/>
      <c r="S346" s="633"/>
      <c r="T346" s="633"/>
    </row>
    <row r="347">
      <c r="A347" s="633"/>
      <c r="B347" s="633"/>
      <c r="C347" s="633"/>
      <c r="D347" s="633"/>
      <c r="E347" s="633"/>
      <c r="F347" s="633"/>
      <c r="G347" s="633"/>
      <c r="H347" s="633"/>
      <c r="I347" s="633"/>
      <c r="J347" s="633"/>
      <c r="K347" s="633"/>
      <c r="L347" s="633"/>
      <c r="M347" s="633"/>
      <c r="N347" s="633"/>
      <c r="O347" s="633"/>
      <c r="P347" s="633"/>
      <c r="Q347" s="633"/>
      <c r="R347" s="633"/>
      <c r="S347" s="633"/>
      <c r="T347" s="633"/>
    </row>
    <row r="348">
      <c r="A348" s="633"/>
      <c r="B348" s="633"/>
      <c r="C348" s="633"/>
      <c r="D348" s="633"/>
      <c r="E348" s="633"/>
      <c r="F348" s="633"/>
      <c r="G348" s="633"/>
      <c r="H348" s="633"/>
      <c r="I348" s="633"/>
      <c r="J348" s="633"/>
      <c r="K348" s="633"/>
      <c r="L348" s="633"/>
      <c r="M348" s="633"/>
      <c r="N348" s="633"/>
      <c r="O348" s="633"/>
      <c r="P348" s="633"/>
      <c r="Q348" s="633"/>
      <c r="R348" s="633"/>
      <c r="S348" s="633"/>
      <c r="T348" s="633"/>
    </row>
    <row r="349">
      <c r="A349" s="633"/>
      <c r="B349" s="633"/>
      <c r="C349" s="633"/>
      <c r="D349" s="633"/>
      <c r="E349" s="633"/>
      <c r="F349" s="633"/>
      <c r="G349" s="633"/>
      <c r="H349" s="633"/>
      <c r="I349" s="633"/>
      <c r="J349" s="633"/>
      <c r="K349" s="633"/>
      <c r="L349" s="633"/>
      <c r="M349" s="633"/>
      <c r="N349" s="633"/>
      <c r="O349" s="633"/>
      <c r="P349" s="633"/>
      <c r="Q349" s="633"/>
      <c r="R349" s="633"/>
      <c r="S349" s="633"/>
      <c r="T349" s="633"/>
    </row>
    <row r="350">
      <c r="A350" s="633"/>
      <c r="B350" s="633"/>
      <c r="C350" s="633"/>
      <c r="D350" s="633"/>
      <c r="E350" s="633"/>
      <c r="F350" s="633"/>
      <c r="G350" s="633"/>
      <c r="H350" s="633"/>
      <c r="I350" s="633"/>
      <c r="J350" s="633"/>
      <c r="K350" s="633"/>
      <c r="L350" s="633"/>
      <c r="M350" s="633"/>
      <c r="N350" s="633"/>
      <c r="O350" s="633"/>
      <c r="P350" s="633"/>
      <c r="Q350" s="633"/>
      <c r="R350" s="633"/>
      <c r="S350" s="633"/>
      <c r="T350" s="633"/>
    </row>
    <row r="351">
      <c r="A351" s="633"/>
      <c r="B351" s="633"/>
      <c r="C351" s="633"/>
      <c r="D351" s="633"/>
      <c r="E351" s="633"/>
      <c r="F351" s="633"/>
      <c r="G351" s="633"/>
      <c r="H351" s="633"/>
      <c r="I351" s="633"/>
      <c r="J351" s="633"/>
      <c r="K351" s="633"/>
      <c r="L351" s="633"/>
      <c r="M351" s="633"/>
      <c r="N351" s="633"/>
      <c r="O351" s="633"/>
      <c r="P351" s="633"/>
      <c r="Q351" s="633"/>
      <c r="R351" s="633"/>
      <c r="S351" s="633"/>
      <c r="T351" s="633"/>
    </row>
    <row r="352">
      <c r="A352" s="633"/>
      <c r="B352" s="633"/>
      <c r="C352" s="633"/>
      <c r="D352" s="633"/>
      <c r="E352" s="633"/>
      <c r="F352" s="633"/>
      <c r="G352" s="633"/>
      <c r="H352" s="633"/>
      <c r="I352" s="633"/>
      <c r="J352" s="633"/>
      <c r="K352" s="633"/>
      <c r="L352" s="633"/>
      <c r="M352" s="633"/>
      <c r="N352" s="633"/>
      <c r="O352" s="633"/>
      <c r="P352" s="633"/>
      <c r="Q352" s="633"/>
      <c r="R352" s="633"/>
      <c r="S352" s="633"/>
      <c r="T352" s="633"/>
    </row>
    <row r="353">
      <c r="A353" s="633"/>
      <c r="B353" s="633"/>
      <c r="C353" s="633"/>
      <c r="D353" s="633"/>
      <c r="E353" s="633"/>
      <c r="F353" s="633"/>
      <c r="G353" s="633"/>
      <c r="H353" s="633"/>
      <c r="I353" s="633"/>
      <c r="J353" s="633"/>
      <c r="K353" s="633"/>
      <c r="L353" s="633"/>
      <c r="M353" s="633"/>
      <c r="N353" s="633"/>
      <c r="O353" s="633"/>
      <c r="P353" s="633"/>
      <c r="Q353" s="633"/>
      <c r="R353" s="633"/>
      <c r="S353" s="633"/>
      <c r="T353" s="633"/>
    </row>
    <row r="354">
      <c r="A354" s="633"/>
      <c r="B354" s="633"/>
      <c r="C354" s="633"/>
      <c r="D354" s="633"/>
      <c r="E354" s="633"/>
      <c r="F354" s="633"/>
      <c r="G354" s="633"/>
      <c r="H354" s="633"/>
      <c r="I354" s="633"/>
      <c r="J354" s="633"/>
      <c r="K354" s="633"/>
      <c r="L354" s="633"/>
      <c r="M354" s="633"/>
      <c r="N354" s="633"/>
      <c r="O354" s="633"/>
      <c r="P354" s="633"/>
      <c r="Q354" s="633"/>
      <c r="R354" s="633"/>
      <c r="S354" s="633"/>
      <c r="T354" s="633"/>
    </row>
    <row r="355">
      <c r="A355" s="633"/>
      <c r="B355" s="633"/>
      <c r="C355" s="633"/>
      <c r="D355" s="633"/>
      <c r="E355" s="633"/>
      <c r="F355" s="633"/>
      <c r="G355" s="633"/>
      <c r="H355" s="633"/>
      <c r="I355" s="633"/>
      <c r="J355" s="633"/>
      <c r="K355" s="633"/>
      <c r="L355" s="633"/>
      <c r="M355" s="633"/>
      <c r="N355" s="633"/>
      <c r="O355" s="633"/>
      <c r="P355" s="633"/>
      <c r="Q355" s="633"/>
      <c r="R355" s="633"/>
      <c r="S355" s="633"/>
      <c r="T355" s="633"/>
    </row>
    <row r="356">
      <c r="A356" s="633"/>
      <c r="B356" s="633"/>
      <c r="C356" s="633"/>
      <c r="D356" s="633"/>
      <c r="E356" s="633"/>
      <c r="F356" s="633"/>
      <c r="G356" s="633"/>
      <c r="H356" s="633"/>
      <c r="I356" s="633"/>
      <c r="J356" s="633"/>
      <c r="K356" s="633"/>
      <c r="L356" s="633"/>
      <c r="M356" s="633"/>
      <c r="N356" s="633"/>
      <c r="O356" s="633"/>
      <c r="P356" s="633"/>
      <c r="Q356" s="633"/>
      <c r="R356" s="633"/>
      <c r="S356" s="633"/>
      <c r="T356" s="633"/>
    </row>
    <row r="357">
      <c r="A357" s="633"/>
      <c r="B357" s="633"/>
      <c r="C357" s="633"/>
      <c r="D357" s="633"/>
      <c r="E357" s="633"/>
      <c r="F357" s="633"/>
      <c r="G357" s="633"/>
      <c r="H357" s="633"/>
      <c r="I357" s="633"/>
      <c r="J357" s="633"/>
      <c r="K357" s="633"/>
      <c r="L357" s="633"/>
      <c r="M357" s="633"/>
      <c r="N357" s="633"/>
      <c r="O357" s="633"/>
      <c r="P357" s="633"/>
      <c r="Q357" s="633"/>
      <c r="R357" s="633"/>
      <c r="S357" s="633"/>
      <c r="T357" s="633"/>
    </row>
    <row r="358">
      <c r="A358" s="633"/>
      <c r="B358" s="633"/>
      <c r="C358" s="633"/>
      <c r="D358" s="633"/>
      <c r="E358" s="633"/>
      <c r="F358" s="633"/>
      <c r="G358" s="633"/>
      <c r="H358" s="633"/>
      <c r="I358" s="633"/>
      <c r="J358" s="633"/>
      <c r="K358" s="633"/>
      <c r="L358" s="633"/>
      <c r="M358" s="633"/>
      <c r="N358" s="633"/>
      <c r="O358" s="633"/>
      <c r="P358" s="633"/>
      <c r="Q358" s="633"/>
      <c r="R358" s="633"/>
      <c r="S358" s="633"/>
      <c r="T358" s="633"/>
    </row>
    <row r="359">
      <c r="A359" s="633"/>
      <c r="B359" s="633"/>
      <c r="C359" s="633"/>
      <c r="D359" s="633"/>
      <c r="E359" s="633"/>
      <c r="F359" s="633"/>
      <c r="G359" s="633"/>
      <c r="H359" s="633"/>
      <c r="I359" s="633"/>
      <c r="J359" s="633"/>
      <c r="K359" s="633"/>
      <c r="L359" s="633"/>
      <c r="M359" s="633"/>
      <c r="N359" s="633"/>
      <c r="O359" s="633"/>
      <c r="P359" s="633"/>
      <c r="Q359" s="633"/>
      <c r="R359" s="633"/>
      <c r="S359" s="633"/>
      <c r="T359" s="633"/>
    </row>
    <row r="360">
      <c r="A360" s="633"/>
      <c r="B360" s="633"/>
      <c r="C360" s="633"/>
      <c r="D360" s="633"/>
      <c r="E360" s="633"/>
      <c r="F360" s="633"/>
      <c r="G360" s="633"/>
      <c r="H360" s="633"/>
      <c r="I360" s="633"/>
      <c r="J360" s="633"/>
      <c r="K360" s="633"/>
      <c r="L360" s="633"/>
      <c r="M360" s="633"/>
      <c r="N360" s="633"/>
      <c r="O360" s="633"/>
      <c r="P360" s="633"/>
      <c r="Q360" s="633"/>
      <c r="R360" s="633"/>
      <c r="S360" s="633"/>
      <c r="T360" s="633"/>
    </row>
    <row r="361">
      <c r="A361" s="633"/>
      <c r="B361" s="633"/>
      <c r="C361" s="633"/>
      <c r="D361" s="633"/>
      <c r="E361" s="633"/>
      <c r="F361" s="633"/>
      <c r="G361" s="633"/>
      <c r="H361" s="633"/>
      <c r="I361" s="633"/>
      <c r="J361" s="633"/>
      <c r="K361" s="633"/>
      <c r="L361" s="633"/>
      <c r="M361" s="633"/>
      <c r="N361" s="633"/>
      <c r="O361" s="633"/>
      <c r="P361" s="633"/>
      <c r="Q361" s="633"/>
      <c r="R361" s="633"/>
      <c r="S361" s="633"/>
      <c r="T361" s="633"/>
    </row>
    <row r="362">
      <c r="A362" s="633"/>
      <c r="B362" s="633"/>
      <c r="C362" s="633"/>
      <c r="D362" s="633"/>
      <c r="E362" s="633"/>
      <c r="F362" s="633"/>
      <c r="G362" s="633"/>
      <c r="H362" s="633"/>
      <c r="I362" s="633"/>
      <c r="J362" s="633"/>
      <c r="K362" s="633"/>
      <c r="L362" s="633"/>
      <c r="M362" s="633"/>
      <c r="N362" s="633"/>
      <c r="O362" s="633"/>
      <c r="P362" s="633"/>
      <c r="Q362" s="633"/>
      <c r="R362" s="633"/>
      <c r="S362" s="633"/>
      <c r="T362" s="633"/>
    </row>
    <row r="363">
      <c r="A363" s="633"/>
      <c r="B363" s="633"/>
      <c r="C363" s="633"/>
      <c r="D363" s="633"/>
      <c r="E363" s="633"/>
      <c r="F363" s="633"/>
      <c r="G363" s="633"/>
      <c r="H363" s="633"/>
      <c r="I363" s="633"/>
      <c r="J363" s="633"/>
      <c r="K363" s="633"/>
      <c r="L363" s="633"/>
      <c r="M363" s="633"/>
      <c r="N363" s="633"/>
      <c r="O363" s="633"/>
      <c r="P363" s="633"/>
      <c r="Q363" s="633"/>
      <c r="R363" s="633"/>
      <c r="S363" s="633"/>
      <c r="T363" s="633"/>
    </row>
    <row r="364">
      <c r="A364" s="633"/>
      <c r="B364" s="633"/>
      <c r="C364" s="633"/>
      <c r="D364" s="633"/>
      <c r="E364" s="633"/>
      <c r="F364" s="633"/>
      <c r="G364" s="633"/>
      <c r="H364" s="633"/>
      <c r="I364" s="633"/>
      <c r="J364" s="633"/>
      <c r="K364" s="633"/>
      <c r="L364" s="633"/>
      <c r="M364" s="633"/>
      <c r="N364" s="633"/>
      <c r="O364" s="633"/>
      <c r="P364" s="633"/>
      <c r="Q364" s="633"/>
      <c r="R364" s="633"/>
      <c r="S364" s="633"/>
      <c r="T364" s="633"/>
    </row>
    <row r="365">
      <c r="A365" s="633"/>
      <c r="B365" s="633"/>
      <c r="C365" s="633"/>
      <c r="D365" s="633"/>
      <c r="E365" s="633"/>
      <c r="F365" s="633"/>
      <c r="G365" s="633"/>
      <c r="H365" s="633"/>
      <c r="I365" s="633"/>
      <c r="J365" s="633"/>
      <c r="K365" s="633"/>
      <c r="L365" s="633"/>
      <c r="M365" s="633"/>
      <c r="N365" s="633"/>
      <c r="O365" s="633"/>
      <c r="P365" s="633"/>
      <c r="Q365" s="633"/>
      <c r="R365" s="633"/>
      <c r="S365" s="633"/>
      <c r="T365" s="633"/>
    </row>
    <row r="366">
      <c r="A366" s="633"/>
      <c r="B366" s="633"/>
      <c r="C366" s="633"/>
      <c r="D366" s="633"/>
      <c r="E366" s="633"/>
      <c r="F366" s="633"/>
      <c r="G366" s="633"/>
      <c r="H366" s="633"/>
      <c r="I366" s="633"/>
      <c r="J366" s="633"/>
      <c r="K366" s="633"/>
      <c r="L366" s="633"/>
      <c r="M366" s="633"/>
      <c r="N366" s="633"/>
      <c r="O366" s="633"/>
      <c r="P366" s="633"/>
      <c r="Q366" s="633"/>
      <c r="R366" s="633"/>
      <c r="S366" s="633"/>
      <c r="T366" s="633"/>
    </row>
    <row r="367">
      <c r="A367" s="633"/>
      <c r="B367" s="633"/>
      <c r="C367" s="633"/>
      <c r="D367" s="633"/>
      <c r="E367" s="633"/>
      <c r="F367" s="633"/>
      <c r="G367" s="633"/>
      <c r="H367" s="633"/>
      <c r="I367" s="633"/>
      <c r="J367" s="633"/>
      <c r="K367" s="633"/>
      <c r="L367" s="633"/>
      <c r="M367" s="633"/>
      <c r="N367" s="633"/>
      <c r="O367" s="633"/>
      <c r="P367" s="633"/>
      <c r="Q367" s="633"/>
      <c r="R367" s="633"/>
      <c r="S367" s="633"/>
      <c r="T367" s="633"/>
    </row>
    <row r="368">
      <c r="A368" s="633"/>
      <c r="B368" s="633"/>
      <c r="C368" s="633"/>
      <c r="D368" s="633"/>
      <c r="E368" s="633"/>
      <c r="F368" s="633"/>
      <c r="G368" s="633"/>
      <c r="H368" s="633"/>
      <c r="I368" s="633"/>
      <c r="J368" s="633"/>
      <c r="K368" s="633"/>
      <c r="L368" s="633"/>
      <c r="M368" s="633"/>
      <c r="N368" s="633"/>
      <c r="O368" s="633"/>
      <c r="P368" s="633"/>
      <c r="Q368" s="633"/>
      <c r="R368" s="633"/>
      <c r="S368" s="633"/>
      <c r="T368" s="633"/>
    </row>
    <row r="369">
      <c r="A369" s="633"/>
      <c r="B369" s="633"/>
      <c r="C369" s="633"/>
      <c r="D369" s="633"/>
      <c r="E369" s="633"/>
      <c r="F369" s="633"/>
      <c r="G369" s="633"/>
      <c r="H369" s="633"/>
      <c r="I369" s="633"/>
      <c r="J369" s="633"/>
      <c r="K369" s="633"/>
      <c r="L369" s="633"/>
      <c r="M369" s="633"/>
      <c r="N369" s="633"/>
      <c r="O369" s="633"/>
      <c r="P369" s="633"/>
      <c r="Q369" s="633"/>
      <c r="R369" s="633"/>
      <c r="S369" s="633"/>
      <c r="T369" s="633"/>
    </row>
    <row r="370">
      <c r="A370" s="633"/>
      <c r="B370" s="633"/>
      <c r="C370" s="633"/>
      <c r="D370" s="633"/>
      <c r="E370" s="633"/>
      <c r="F370" s="633"/>
      <c r="G370" s="633"/>
      <c r="H370" s="633"/>
      <c r="I370" s="633"/>
      <c r="J370" s="633"/>
      <c r="K370" s="633"/>
      <c r="L370" s="633"/>
      <c r="M370" s="633"/>
      <c r="N370" s="633"/>
      <c r="O370" s="633"/>
      <c r="P370" s="633"/>
      <c r="Q370" s="633"/>
      <c r="R370" s="633"/>
      <c r="S370" s="633"/>
      <c r="T370" s="633"/>
    </row>
    <row r="371">
      <c r="A371" s="633"/>
      <c r="B371" s="633"/>
      <c r="C371" s="633"/>
      <c r="D371" s="633"/>
      <c r="E371" s="633"/>
      <c r="F371" s="633"/>
      <c r="G371" s="633"/>
      <c r="H371" s="633"/>
      <c r="I371" s="633"/>
      <c r="J371" s="633"/>
      <c r="K371" s="633"/>
      <c r="L371" s="633"/>
      <c r="M371" s="633"/>
      <c r="N371" s="633"/>
      <c r="O371" s="633"/>
      <c r="P371" s="633"/>
      <c r="Q371" s="633"/>
      <c r="R371" s="633"/>
      <c r="S371" s="633"/>
      <c r="T371" s="633"/>
    </row>
    <row r="372">
      <c r="A372" s="633"/>
      <c r="B372" s="633"/>
      <c r="C372" s="633"/>
      <c r="D372" s="633"/>
      <c r="E372" s="633"/>
      <c r="F372" s="633"/>
      <c r="G372" s="633"/>
      <c r="H372" s="633"/>
      <c r="I372" s="633"/>
      <c r="J372" s="633"/>
      <c r="K372" s="633"/>
      <c r="L372" s="633"/>
      <c r="M372" s="633"/>
      <c r="N372" s="633"/>
      <c r="O372" s="633"/>
      <c r="P372" s="633"/>
      <c r="Q372" s="633"/>
      <c r="R372" s="633"/>
      <c r="S372" s="633"/>
      <c r="T372" s="633"/>
    </row>
    <row r="373">
      <c r="A373" s="633"/>
      <c r="B373" s="633"/>
      <c r="C373" s="633"/>
      <c r="D373" s="633"/>
      <c r="E373" s="633"/>
      <c r="F373" s="633"/>
      <c r="G373" s="633"/>
      <c r="H373" s="633"/>
      <c r="I373" s="633"/>
      <c r="J373" s="633"/>
      <c r="K373" s="633"/>
      <c r="L373" s="633"/>
      <c r="M373" s="633"/>
      <c r="N373" s="633"/>
      <c r="O373" s="633"/>
      <c r="P373" s="633"/>
      <c r="Q373" s="633"/>
      <c r="R373" s="633"/>
      <c r="S373" s="633"/>
      <c r="T373" s="633"/>
    </row>
    <row r="374">
      <c r="A374" s="633"/>
      <c r="B374" s="633"/>
      <c r="C374" s="633"/>
      <c r="D374" s="633"/>
      <c r="E374" s="633"/>
      <c r="F374" s="633"/>
      <c r="G374" s="633"/>
      <c r="H374" s="633"/>
      <c r="I374" s="633"/>
      <c r="J374" s="633"/>
      <c r="K374" s="633"/>
      <c r="L374" s="633"/>
      <c r="M374" s="633"/>
      <c r="N374" s="633"/>
      <c r="O374" s="633"/>
      <c r="P374" s="633"/>
      <c r="Q374" s="633"/>
      <c r="R374" s="633"/>
      <c r="S374" s="633"/>
      <c r="T374" s="633"/>
    </row>
    <row r="375">
      <c r="A375" s="633"/>
      <c r="B375" s="633"/>
      <c r="C375" s="633"/>
      <c r="D375" s="633"/>
      <c r="E375" s="633"/>
      <c r="F375" s="633"/>
      <c r="G375" s="633"/>
      <c r="H375" s="633"/>
      <c r="I375" s="633"/>
      <c r="J375" s="633"/>
      <c r="K375" s="633"/>
      <c r="L375" s="633"/>
      <c r="M375" s="633"/>
      <c r="N375" s="633"/>
      <c r="O375" s="633"/>
      <c r="P375" s="633"/>
      <c r="Q375" s="633"/>
      <c r="R375" s="633"/>
      <c r="S375" s="633"/>
      <c r="T375" s="633"/>
    </row>
    <row r="376">
      <c r="A376" s="633"/>
      <c r="B376" s="633"/>
      <c r="C376" s="633"/>
      <c r="D376" s="633"/>
      <c r="E376" s="633"/>
      <c r="F376" s="633"/>
      <c r="G376" s="633"/>
      <c r="H376" s="633"/>
      <c r="I376" s="633"/>
      <c r="J376" s="633"/>
      <c r="K376" s="633"/>
      <c r="L376" s="633"/>
      <c r="M376" s="633"/>
      <c r="N376" s="633"/>
      <c r="O376" s="633"/>
      <c r="P376" s="633"/>
      <c r="Q376" s="633"/>
      <c r="R376" s="633"/>
      <c r="S376" s="633"/>
      <c r="T376" s="633"/>
    </row>
    <row r="377">
      <c r="A377" s="633"/>
      <c r="B377" s="633"/>
      <c r="C377" s="633"/>
      <c r="D377" s="633"/>
      <c r="E377" s="633"/>
      <c r="F377" s="633"/>
      <c r="G377" s="633"/>
      <c r="H377" s="633"/>
      <c r="I377" s="633"/>
      <c r="J377" s="633"/>
      <c r="K377" s="633"/>
      <c r="L377" s="633"/>
      <c r="M377" s="633"/>
      <c r="N377" s="633"/>
      <c r="O377" s="633"/>
      <c r="P377" s="633"/>
      <c r="Q377" s="633"/>
      <c r="R377" s="633"/>
      <c r="S377" s="633"/>
      <c r="T377" s="633"/>
    </row>
    <row r="378">
      <c r="A378" s="633"/>
      <c r="B378" s="633"/>
      <c r="C378" s="633"/>
      <c r="D378" s="633"/>
      <c r="E378" s="633"/>
      <c r="F378" s="633"/>
      <c r="G378" s="633"/>
      <c r="H378" s="633"/>
      <c r="I378" s="633"/>
      <c r="J378" s="633"/>
      <c r="K378" s="633"/>
      <c r="L378" s="633"/>
      <c r="M378" s="633"/>
      <c r="N378" s="633"/>
      <c r="O378" s="633"/>
      <c r="P378" s="633"/>
      <c r="Q378" s="633"/>
      <c r="R378" s="633"/>
      <c r="S378" s="633"/>
      <c r="T378" s="633"/>
    </row>
    <row r="379">
      <c r="A379" s="633"/>
      <c r="B379" s="633"/>
      <c r="C379" s="633"/>
      <c r="D379" s="633"/>
      <c r="E379" s="633"/>
      <c r="F379" s="633"/>
      <c r="G379" s="633"/>
      <c r="H379" s="633"/>
      <c r="I379" s="633"/>
      <c r="J379" s="633"/>
      <c r="K379" s="633"/>
      <c r="L379" s="633"/>
      <c r="M379" s="633"/>
      <c r="N379" s="633"/>
      <c r="O379" s="633"/>
      <c r="P379" s="633"/>
      <c r="Q379" s="633"/>
      <c r="R379" s="633"/>
      <c r="S379" s="633"/>
      <c r="T379" s="633"/>
    </row>
    <row r="380">
      <c r="A380" s="633"/>
      <c r="B380" s="633"/>
      <c r="C380" s="633"/>
      <c r="D380" s="633"/>
      <c r="E380" s="633"/>
      <c r="F380" s="633"/>
      <c r="G380" s="633"/>
      <c r="H380" s="633"/>
      <c r="I380" s="633"/>
      <c r="J380" s="633"/>
      <c r="K380" s="633"/>
      <c r="L380" s="633"/>
      <c r="M380" s="633"/>
      <c r="N380" s="633"/>
      <c r="O380" s="633"/>
      <c r="P380" s="633"/>
      <c r="Q380" s="633"/>
      <c r="R380" s="633"/>
      <c r="S380" s="633"/>
      <c r="T380" s="633"/>
    </row>
    <row r="381">
      <c r="A381" s="633"/>
      <c r="B381" s="633"/>
      <c r="C381" s="633"/>
      <c r="D381" s="633"/>
      <c r="E381" s="633"/>
      <c r="F381" s="633"/>
      <c r="G381" s="633"/>
      <c r="H381" s="633"/>
      <c r="I381" s="633"/>
      <c r="J381" s="633"/>
      <c r="K381" s="633"/>
      <c r="L381" s="633"/>
      <c r="M381" s="633"/>
      <c r="N381" s="633"/>
      <c r="O381" s="633"/>
      <c r="P381" s="633"/>
      <c r="Q381" s="633"/>
      <c r="R381" s="633"/>
      <c r="S381" s="633"/>
      <c r="T381" s="633"/>
    </row>
    <row r="382">
      <c r="A382" s="633"/>
      <c r="B382" s="633"/>
      <c r="C382" s="633"/>
      <c r="D382" s="633"/>
      <c r="E382" s="633"/>
      <c r="F382" s="633"/>
      <c r="G382" s="633"/>
      <c r="H382" s="633"/>
      <c r="I382" s="633"/>
      <c r="J382" s="633"/>
      <c r="K382" s="633"/>
      <c r="L382" s="633"/>
      <c r="M382" s="633"/>
      <c r="N382" s="633"/>
      <c r="O382" s="633"/>
      <c r="P382" s="633"/>
      <c r="Q382" s="633"/>
      <c r="R382" s="633"/>
      <c r="S382" s="633"/>
      <c r="T382" s="633"/>
    </row>
    <row r="383">
      <c r="A383" s="633"/>
      <c r="B383" s="633"/>
      <c r="C383" s="633"/>
      <c r="D383" s="633"/>
      <c r="E383" s="633"/>
      <c r="F383" s="633"/>
      <c r="G383" s="633"/>
      <c r="H383" s="633"/>
      <c r="I383" s="633"/>
      <c r="J383" s="633"/>
      <c r="K383" s="633"/>
      <c r="L383" s="633"/>
      <c r="M383" s="633"/>
      <c r="N383" s="633"/>
      <c r="O383" s="633"/>
      <c r="P383" s="633"/>
      <c r="Q383" s="633"/>
      <c r="R383" s="633"/>
      <c r="S383" s="633"/>
      <c r="T383" s="633"/>
    </row>
    <row r="384">
      <c r="A384" s="633"/>
      <c r="B384" s="633"/>
      <c r="C384" s="633"/>
      <c r="D384" s="633"/>
      <c r="E384" s="633"/>
      <c r="F384" s="633"/>
      <c r="G384" s="633"/>
      <c r="H384" s="633"/>
      <c r="I384" s="633"/>
      <c r="J384" s="633"/>
      <c r="K384" s="633"/>
      <c r="L384" s="633"/>
      <c r="M384" s="633"/>
      <c r="N384" s="633"/>
      <c r="O384" s="633"/>
      <c r="P384" s="633"/>
      <c r="Q384" s="633"/>
      <c r="R384" s="633"/>
      <c r="S384" s="633"/>
      <c r="T384" s="633"/>
    </row>
    <row r="385">
      <c r="A385" s="633"/>
      <c r="B385" s="633"/>
      <c r="C385" s="633"/>
      <c r="D385" s="633"/>
      <c r="E385" s="633"/>
      <c r="F385" s="633"/>
      <c r="G385" s="633"/>
      <c r="H385" s="633"/>
      <c r="I385" s="633"/>
      <c r="J385" s="633"/>
      <c r="K385" s="633"/>
      <c r="L385" s="633"/>
      <c r="M385" s="633"/>
      <c r="N385" s="633"/>
      <c r="O385" s="633"/>
      <c r="P385" s="633"/>
      <c r="Q385" s="633"/>
      <c r="R385" s="633"/>
      <c r="S385" s="633"/>
      <c r="T385" s="633"/>
    </row>
    <row r="386">
      <c r="A386" s="633"/>
      <c r="B386" s="633"/>
      <c r="C386" s="633"/>
      <c r="D386" s="633"/>
      <c r="E386" s="633"/>
      <c r="F386" s="633"/>
      <c r="G386" s="633"/>
      <c r="H386" s="633"/>
      <c r="I386" s="633"/>
      <c r="J386" s="633"/>
      <c r="K386" s="633"/>
      <c r="L386" s="633"/>
      <c r="M386" s="633"/>
      <c r="N386" s="633"/>
      <c r="O386" s="633"/>
      <c r="P386" s="633"/>
      <c r="Q386" s="633"/>
      <c r="R386" s="633"/>
      <c r="S386" s="633"/>
      <c r="T386" s="633"/>
    </row>
    <row r="387">
      <c r="A387" s="633"/>
      <c r="B387" s="633"/>
      <c r="C387" s="633"/>
      <c r="D387" s="633"/>
      <c r="E387" s="633"/>
      <c r="F387" s="633"/>
      <c r="G387" s="633"/>
      <c r="H387" s="633"/>
      <c r="I387" s="633"/>
      <c r="J387" s="633"/>
      <c r="K387" s="633"/>
      <c r="L387" s="633"/>
      <c r="M387" s="633"/>
      <c r="N387" s="633"/>
      <c r="O387" s="633"/>
      <c r="P387" s="633"/>
      <c r="Q387" s="633"/>
      <c r="R387" s="633"/>
      <c r="S387" s="633"/>
      <c r="T387" s="633"/>
    </row>
    <row r="388">
      <c r="A388" s="633"/>
      <c r="B388" s="633"/>
      <c r="C388" s="633"/>
      <c r="D388" s="633"/>
      <c r="E388" s="633"/>
      <c r="F388" s="633"/>
      <c r="G388" s="633"/>
      <c r="H388" s="633"/>
      <c r="I388" s="633"/>
      <c r="J388" s="633"/>
      <c r="K388" s="633"/>
      <c r="L388" s="633"/>
      <c r="M388" s="633"/>
      <c r="N388" s="633"/>
      <c r="O388" s="633"/>
      <c r="P388" s="633"/>
      <c r="Q388" s="633"/>
      <c r="R388" s="633"/>
      <c r="S388" s="633"/>
      <c r="T388" s="633"/>
    </row>
    <row r="389">
      <c r="A389" s="633"/>
      <c r="B389" s="633"/>
      <c r="C389" s="633"/>
      <c r="D389" s="633"/>
      <c r="E389" s="633"/>
      <c r="F389" s="633"/>
      <c r="G389" s="633"/>
      <c r="H389" s="633"/>
      <c r="I389" s="633"/>
      <c r="J389" s="633"/>
      <c r="K389" s="633"/>
      <c r="L389" s="633"/>
      <c r="M389" s="633"/>
      <c r="N389" s="633"/>
      <c r="O389" s="633"/>
      <c r="P389" s="633"/>
      <c r="Q389" s="633"/>
      <c r="R389" s="633"/>
      <c r="S389" s="633"/>
      <c r="T389" s="633"/>
    </row>
    <row r="390">
      <c r="A390" s="633"/>
      <c r="B390" s="633"/>
      <c r="C390" s="633"/>
      <c r="D390" s="633"/>
      <c r="E390" s="633"/>
      <c r="F390" s="633"/>
      <c r="G390" s="633"/>
      <c r="H390" s="633"/>
      <c r="I390" s="633"/>
      <c r="J390" s="633"/>
      <c r="K390" s="633"/>
      <c r="L390" s="633"/>
      <c r="M390" s="633"/>
      <c r="N390" s="633"/>
      <c r="O390" s="633"/>
      <c r="P390" s="633"/>
      <c r="Q390" s="633"/>
      <c r="R390" s="633"/>
      <c r="S390" s="633"/>
      <c r="T390" s="633"/>
    </row>
    <row r="391">
      <c r="A391" s="633"/>
      <c r="B391" s="633"/>
      <c r="C391" s="633"/>
      <c r="D391" s="633"/>
      <c r="E391" s="633"/>
      <c r="F391" s="633"/>
      <c r="G391" s="633"/>
      <c r="H391" s="633"/>
      <c r="I391" s="633"/>
      <c r="J391" s="633"/>
      <c r="K391" s="633"/>
      <c r="L391" s="633"/>
      <c r="M391" s="633"/>
      <c r="N391" s="633"/>
      <c r="O391" s="633"/>
      <c r="P391" s="633"/>
      <c r="Q391" s="633"/>
      <c r="R391" s="633"/>
      <c r="S391" s="633"/>
      <c r="T391" s="633"/>
    </row>
    <row r="392">
      <c r="A392" s="633"/>
      <c r="B392" s="633"/>
      <c r="C392" s="633"/>
      <c r="D392" s="633"/>
      <c r="E392" s="633"/>
      <c r="F392" s="633"/>
      <c r="G392" s="633"/>
      <c r="H392" s="633"/>
      <c r="I392" s="633"/>
      <c r="J392" s="633"/>
      <c r="K392" s="633"/>
      <c r="L392" s="633"/>
      <c r="M392" s="633"/>
      <c r="N392" s="633"/>
      <c r="O392" s="633"/>
      <c r="P392" s="633"/>
      <c r="Q392" s="633"/>
      <c r="R392" s="633"/>
      <c r="S392" s="633"/>
      <c r="T392" s="633"/>
    </row>
    <row r="393">
      <c r="A393" s="633"/>
      <c r="B393" s="633"/>
      <c r="C393" s="633"/>
      <c r="D393" s="633"/>
      <c r="E393" s="633"/>
      <c r="F393" s="633"/>
      <c r="G393" s="633"/>
      <c r="H393" s="633"/>
      <c r="I393" s="633"/>
      <c r="J393" s="633"/>
      <c r="K393" s="633"/>
      <c r="L393" s="633"/>
      <c r="M393" s="633"/>
      <c r="N393" s="633"/>
      <c r="O393" s="633"/>
      <c r="P393" s="633"/>
      <c r="Q393" s="633"/>
      <c r="R393" s="633"/>
      <c r="S393" s="633"/>
      <c r="T393" s="633"/>
    </row>
    <row r="394">
      <c r="A394" s="633"/>
      <c r="B394" s="633"/>
      <c r="C394" s="633"/>
      <c r="D394" s="633"/>
      <c r="E394" s="633"/>
      <c r="F394" s="633"/>
      <c r="G394" s="633"/>
      <c r="H394" s="633"/>
      <c r="I394" s="633"/>
      <c r="J394" s="633"/>
      <c r="K394" s="633"/>
      <c r="L394" s="633"/>
      <c r="M394" s="633"/>
      <c r="N394" s="633"/>
      <c r="O394" s="633"/>
      <c r="P394" s="633"/>
      <c r="Q394" s="633"/>
      <c r="R394" s="633"/>
      <c r="S394" s="633"/>
      <c r="T394" s="633"/>
    </row>
    <row r="395">
      <c r="A395" s="633"/>
      <c r="B395" s="633"/>
      <c r="C395" s="633"/>
      <c r="D395" s="633"/>
      <c r="E395" s="633"/>
      <c r="F395" s="633"/>
      <c r="G395" s="633"/>
      <c r="H395" s="633"/>
      <c r="I395" s="633"/>
      <c r="J395" s="633"/>
      <c r="K395" s="633"/>
      <c r="L395" s="633"/>
      <c r="M395" s="633"/>
      <c r="N395" s="633"/>
      <c r="O395" s="633"/>
      <c r="P395" s="633"/>
      <c r="Q395" s="633"/>
      <c r="R395" s="633"/>
      <c r="S395" s="633"/>
      <c r="T395" s="633"/>
    </row>
    <row r="396">
      <c r="A396" s="633"/>
      <c r="B396" s="633"/>
      <c r="C396" s="633"/>
      <c r="D396" s="633"/>
      <c r="E396" s="633"/>
      <c r="F396" s="633"/>
      <c r="G396" s="633"/>
      <c r="H396" s="633"/>
      <c r="I396" s="633"/>
      <c r="J396" s="633"/>
      <c r="K396" s="633"/>
      <c r="L396" s="633"/>
      <c r="M396" s="633"/>
      <c r="N396" s="633"/>
      <c r="O396" s="633"/>
      <c r="P396" s="633"/>
      <c r="Q396" s="633"/>
      <c r="R396" s="633"/>
      <c r="S396" s="633"/>
      <c r="T396" s="633"/>
    </row>
    <row r="397">
      <c r="A397" s="633"/>
      <c r="B397" s="633"/>
      <c r="C397" s="633"/>
      <c r="D397" s="633"/>
      <c r="E397" s="633"/>
      <c r="F397" s="633"/>
      <c r="G397" s="633"/>
      <c r="H397" s="633"/>
      <c r="I397" s="633"/>
      <c r="J397" s="633"/>
      <c r="K397" s="633"/>
      <c r="L397" s="633"/>
      <c r="M397" s="633"/>
      <c r="N397" s="633"/>
      <c r="O397" s="633"/>
      <c r="P397" s="633"/>
      <c r="Q397" s="633"/>
      <c r="R397" s="633"/>
      <c r="S397" s="633"/>
      <c r="T397" s="633"/>
    </row>
    <row r="398">
      <c r="A398" s="633"/>
      <c r="B398" s="633"/>
      <c r="C398" s="633"/>
      <c r="D398" s="633"/>
      <c r="E398" s="633"/>
      <c r="F398" s="633"/>
      <c r="G398" s="633"/>
      <c r="H398" s="633"/>
      <c r="I398" s="633"/>
      <c r="J398" s="633"/>
      <c r="K398" s="633"/>
      <c r="L398" s="633"/>
      <c r="M398" s="633"/>
      <c r="N398" s="633"/>
      <c r="O398" s="633"/>
      <c r="P398" s="633"/>
      <c r="Q398" s="633"/>
      <c r="R398" s="633"/>
      <c r="S398" s="633"/>
      <c r="T398" s="633"/>
    </row>
    <row r="399">
      <c r="A399" s="633"/>
      <c r="B399" s="633"/>
      <c r="C399" s="633"/>
      <c r="D399" s="633"/>
      <c r="E399" s="633"/>
      <c r="F399" s="633"/>
      <c r="G399" s="633"/>
      <c r="H399" s="633"/>
      <c r="I399" s="633"/>
      <c r="J399" s="633"/>
      <c r="K399" s="633"/>
      <c r="L399" s="633"/>
      <c r="M399" s="633"/>
      <c r="N399" s="633"/>
      <c r="O399" s="633"/>
      <c r="P399" s="633"/>
      <c r="Q399" s="633"/>
      <c r="R399" s="633"/>
      <c r="S399" s="633"/>
      <c r="T399" s="633"/>
    </row>
    <row r="400">
      <c r="A400" s="633"/>
      <c r="B400" s="633"/>
      <c r="C400" s="633"/>
      <c r="D400" s="633"/>
      <c r="E400" s="633"/>
      <c r="F400" s="633"/>
      <c r="G400" s="633"/>
      <c r="H400" s="633"/>
      <c r="I400" s="633"/>
      <c r="J400" s="633"/>
      <c r="K400" s="633"/>
      <c r="L400" s="633"/>
      <c r="M400" s="633"/>
      <c r="N400" s="633"/>
      <c r="O400" s="633"/>
      <c r="P400" s="633"/>
      <c r="Q400" s="633"/>
      <c r="R400" s="633"/>
      <c r="S400" s="633"/>
      <c r="T400" s="633"/>
    </row>
    <row r="401">
      <c r="A401" s="633"/>
      <c r="B401" s="633"/>
      <c r="C401" s="633"/>
      <c r="D401" s="633"/>
      <c r="E401" s="633"/>
      <c r="F401" s="633"/>
      <c r="G401" s="633"/>
      <c r="H401" s="633"/>
      <c r="I401" s="633"/>
      <c r="J401" s="633"/>
      <c r="K401" s="633"/>
      <c r="L401" s="633"/>
      <c r="M401" s="633"/>
      <c r="N401" s="633"/>
      <c r="O401" s="633"/>
      <c r="P401" s="633"/>
      <c r="Q401" s="633"/>
      <c r="R401" s="633"/>
      <c r="S401" s="633"/>
      <c r="T401" s="633"/>
    </row>
    <row r="402">
      <c r="A402" s="633"/>
      <c r="B402" s="633"/>
      <c r="C402" s="633"/>
      <c r="D402" s="633"/>
      <c r="E402" s="633"/>
      <c r="F402" s="633"/>
      <c r="G402" s="633"/>
      <c r="H402" s="633"/>
      <c r="I402" s="633"/>
      <c r="J402" s="633"/>
      <c r="K402" s="633"/>
      <c r="L402" s="633"/>
      <c r="M402" s="633"/>
      <c r="N402" s="633"/>
      <c r="O402" s="633"/>
      <c r="P402" s="633"/>
      <c r="Q402" s="633"/>
      <c r="R402" s="633"/>
      <c r="S402" s="633"/>
      <c r="T402" s="633"/>
    </row>
    <row r="403">
      <c r="A403" s="633"/>
      <c r="B403" s="633"/>
      <c r="C403" s="633"/>
      <c r="D403" s="633"/>
      <c r="E403" s="633"/>
      <c r="F403" s="633"/>
      <c r="G403" s="633"/>
      <c r="H403" s="633"/>
      <c r="I403" s="633"/>
      <c r="J403" s="633"/>
      <c r="K403" s="633"/>
      <c r="L403" s="633"/>
      <c r="M403" s="633"/>
      <c r="N403" s="633"/>
      <c r="O403" s="633"/>
      <c r="P403" s="633"/>
      <c r="Q403" s="633"/>
      <c r="R403" s="633"/>
      <c r="S403" s="633"/>
      <c r="T403" s="633"/>
    </row>
    <row r="404">
      <c r="A404" s="633"/>
      <c r="B404" s="633"/>
      <c r="C404" s="633"/>
      <c r="D404" s="633"/>
      <c r="E404" s="633"/>
      <c r="F404" s="633"/>
      <c r="G404" s="633"/>
      <c r="H404" s="633"/>
      <c r="I404" s="633"/>
      <c r="J404" s="633"/>
      <c r="K404" s="633"/>
      <c r="L404" s="633"/>
      <c r="M404" s="633"/>
      <c r="N404" s="633"/>
      <c r="O404" s="633"/>
      <c r="P404" s="633"/>
      <c r="Q404" s="633"/>
      <c r="R404" s="633"/>
      <c r="S404" s="633"/>
      <c r="T404" s="633"/>
    </row>
    <row r="405">
      <c r="A405" s="633"/>
      <c r="B405" s="633"/>
      <c r="C405" s="633"/>
      <c r="D405" s="633"/>
      <c r="E405" s="633"/>
      <c r="F405" s="633"/>
      <c r="G405" s="633"/>
      <c r="H405" s="633"/>
      <c r="I405" s="633"/>
      <c r="J405" s="633"/>
      <c r="K405" s="633"/>
      <c r="L405" s="633"/>
      <c r="M405" s="633"/>
      <c r="N405" s="633"/>
      <c r="O405" s="633"/>
      <c r="P405" s="633"/>
      <c r="Q405" s="633"/>
      <c r="R405" s="633"/>
      <c r="S405" s="633"/>
      <c r="T405" s="633"/>
    </row>
    <row r="406">
      <c r="A406" s="633"/>
      <c r="B406" s="633"/>
      <c r="C406" s="633"/>
      <c r="D406" s="633"/>
      <c r="E406" s="633"/>
      <c r="F406" s="633"/>
      <c r="G406" s="633"/>
      <c r="H406" s="633"/>
      <c r="I406" s="633"/>
      <c r="J406" s="633"/>
      <c r="K406" s="633"/>
      <c r="L406" s="633"/>
      <c r="M406" s="633"/>
      <c r="N406" s="633"/>
      <c r="O406" s="633"/>
      <c r="P406" s="633"/>
      <c r="Q406" s="633"/>
      <c r="R406" s="633"/>
      <c r="S406" s="633"/>
      <c r="T406" s="633"/>
    </row>
    <row r="407">
      <c r="A407" s="633"/>
      <c r="B407" s="633"/>
      <c r="C407" s="633"/>
      <c r="D407" s="633"/>
      <c r="E407" s="633"/>
      <c r="F407" s="633"/>
      <c r="G407" s="633"/>
      <c r="H407" s="633"/>
      <c r="I407" s="633"/>
      <c r="J407" s="633"/>
      <c r="K407" s="633"/>
      <c r="L407" s="633"/>
      <c r="M407" s="633"/>
      <c r="N407" s="633"/>
      <c r="O407" s="633"/>
      <c r="P407" s="633"/>
      <c r="Q407" s="633"/>
      <c r="R407" s="633"/>
      <c r="S407" s="633"/>
      <c r="T407" s="633"/>
    </row>
    <row r="408">
      <c r="A408" s="633"/>
      <c r="B408" s="633"/>
      <c r="C408" s="633"/>
      <c r="D408" s="633"/>
      <c r="E408" s="633"/>
      <c r="F408" s="633"/>
      <c r="G408" s="633"/>
      <c r="H408" s="633"/>
      <c r="I408" s="633"/>
      <c r="J408" s="633"/>
      <c r="K408" s="633"/>
      <c r="L408" s="633"/>
      <c r="M408" s="633"/>
      <c r="N408" s="633"/>
      <c r="O408" s="633"/>
      <c r="P408" s="633"/>
      <c r="Q408" s="633"/>
      <c r="R408" s="633"/>
      <c r="S408" s="633"/>
      <c r="T408" s="633"/>
    </row>
    <row r="409">
      <c r="A409" s="633"/>
      <c r="B409" s="633"/>
      <c r="C409" s="633"/>
      <c r="D409" s="633"/>
      <c r="E409" s="633"/>
      <c r="F409" s="633"/>
      <c r="G409" s="633"/>
      <c r="H409" s="633"/>
      <c r="I409" s="633"/>
      <c r="J409" s="633"/>
      <c r="K409" s="633"/>
      <c r="L409" s="633"/>
      <c r="M409" s="633"/>
      <c r="N409" s="633"/>
      <c r="O409" s="633"/>
      <c r="P409" s="633"/>
      <c r="Q409" s="633"/>
      <c r="R409" s="633"/>
      <c r="S409" s="633"/>
      <c r="T409" s="633"/>
    </row>
    <row r="410">
      <c r="A410" s="633"/>
      <c r="B410" s="633"/>
      <c r="C410" s="633"/>
      <c r="D410" s="633"/>
      <c r="E410" s="633"/>
      <c r="F410" s="633"/>
      <c r="G410" s="633"/>
      <c r="H410" s="633"/>
      <c r="I410" s="633"/>
      <c r="J410" s="633"/>
      <c r="K410" s="633"/>
      <c r="L410" s="633"/>
      <c r="M410" s="633"/>
      <c r="N410" s="633"/>
      <c r="O410" s="633"/>
      <c r="P410" s="633"/>
      <c r="Q410" s="633"/>
      <c r="R410" s="633"/>
      <c r="S410" s="633"/>
      <c r="T410" s="633"/>
    </row>
    <row r="411">
      <c r="A411" s="633"/>
      <c r="B411" s="633"/>
      <c r="C411" s="633"/>
      <c r="D411" s="633"/>
      <c r="E411" s="633"/>
      <c r="F411" s="633"/>
      <c r="G411" s="633"/>
      <c r="H411" s="633"/>
      <c r="I411" s="633"/>
      <c r="J411" s="633"/>
      <c r="K411" s="633"/>
      <c r="L411" s="633"/>
      <c r="M411" s="633"/>
      <c r="N411" s="633"/>
      <c r="O411" s="633"/>
      <c r="P411" s="633"/>
      <c r="Q411" s="633"/>
      <c r="R411" s="633"/>
      <c r="S411" s="633"/>
      <c r="T411" s="633"/>
    </row>
    <row r="412">
      <c r="A412" s="633"/>
      <c r="B412" s="633"/>
      <c r="C412" s="633"/>
      <c r="D412" s="633"/>
      <c r="E412" s="633"/>
      <c r="F412" s="633"/>
      <c r="G412" s="633"/>
      <c r="H412" s="633"/>
      <c r="I412" s="633"/>
      <c r="J412" s="633"/>
      <c r="K412" s="633"/>
      <c r="L412" s="633"/>
      <c r="M412" s="633"/>
      <c r="N412" s="633"/>
      <c r="O412" s="633"/>
      <c r="P412" s="633"/>
      <c r="Q412" s="633"/>
      <c r="R412" s="633"/>
      <c r="S412" s="633"/>
      <c r="T412" s="633"/>
    </row>
    <row r="413">
      <c r="A413" s="633"/>
      <c r="B413" s="633"/>
      <c r="C413" s="633"/>
      <c r="D413" s="633"/>
      <c r="E413" s="633"/>
      <c r="F413" s="633"/>
      <c r="G413" s="633"/>
      <c r="H413" s="633"/>
      <c r="I413" s="633"/>
      <c r="J413" s="633"/>
      <c r="K413" s="633"/>
      <c r="L413" s="633"/>
      <c r="M413" s="633"/>
      <c r="N413" s="633"/>
      <c r="O413" s="633"/>
      <c r="P413" s="633"/>
      <c r="Q413" s="633"/>
      <c r="R413" s="633"/>
      <c r="S413" s="633"/>
      <c r="T413" s="633"/>
    </row>
    <row r="414">
      <c r="A414" s="633"/>
      <c r="B414" s="633"/>
      <c r="C414" s="633"/>
      <c r="D414" s="633"/>
      <c r="E414" s="633"/>
      <c r="F414" s="633"/>
      <c r="G414" s="633"/>
      <c r="H414" s="633"/>
      <c r="I414" s="633"/>
      <c r="J414" s="633"/>
      <c r="K414" s="633"/>
      <c r="L414" s="633"/>
      <c r="M414" s="633"/>
      <c r="N414" s="633"/>
      <c r="O414" s="633"/>
      <c r="P414" s="633"/>
      <c r="Q414" s="633"/>
      <c r="R414" s="633"/>
      <c r="S414" s="633"/>
      <c r="T414" s="633"/>
    </row>
    <row r="415">
      <c r="A415" s="633"/>
      <c r="B415" s="633"/>
      <c r="C415" s="633"/>
      <c r="D415" s="633"/>
      <c r="E415" s="633"/>
      <c r="F415" s="633"/>
      <c r="G415" s="633"/>
      <c r="H415" s="633"/>
      <c r="I415" s="633"/>
      <c r="J415" s="633"/>
      <c r="K415" s="633"/>
      <c r="L415" s="633"/>
      <c r="M415" s="633"/>
      <c r="N415" s="633"/>
      <c r="O415" s="633"/>
      <c r="P415" s="633"/>
      <c r="Q415" s="633"/>
      <c r="R415" s="633"/>
      <c r="S415" s="633"/>
      <c r="T415" s="633"/>
    </row>
    <row r="416">
      <c r="A416" s="633"/>
      <c r="B416" s="633"/>
      <c r="C416" s="633"/>
      <c r="D416" s="633"/>
      <c r="E416" s="633"/>
      <c r="F416" s="633"/>
      <c r="G416" s="633"/>
      <c r="H416" s="633"/>
      <c r="I416" s="633"/>
      <c r="J416" s="633"/>
      <c r="K416" s="633"/>
      <c r="L416" s="633"/>
      <c r="M416" s="633"/>
      <c r="N416" s="633"/>
      <c r="O416" s="633"/>
      <c r="P416" s="633"/>
      <c r="Q416" s="633"/>
      <c r="R416" s="633"/>
      <c r="S416" s="633"/>
      <c r="T416" s="633"/>
    </row>
    <row r="417">
      <c r="A417" s="633"/>
      <c r="B417" s="633"/>
      <c r="C417" s="633"/>
      <c r="D417" s="633"/>
      <c r="E417" s="633"/>
      <c r="F417" s="633"/>
      <c r="G417" s="633"/>
      <c r="H417" s="633"/>
      <c r="I417" s="633"/>
      <c r="J417" s="633"/>
      <c r="K417" s="633"/>
      <c r="L417" s="633"/>
      <c r="M417" s="633"/>
      <c r="N417" s="633"/>
      <c r="O417" s="633"/>
      <c r="P417" s="633"/>
      <c r="Q417" s="633"/>
      <c r="R417" s="633"/>
      <c r="S417" s="633"/>
      <c r="T417" s="633"/>
    </row>
    <row r="418">
      <c r="A418" s="633"/>
      <c r="B418" s="633"/>
      <c r="C418" s="633"/>
      <c r="D418" s="633"/>
      <c r="E418" s="633"/>
      <c r="F418" s="633"/>
      <c r="G418" s="633"/>
      <c r="H418" s="633"/>
      <c r="I418" s="633"/>
      <c r="J418" s="633"/>
      <c r="K418" s="633"/>
      <c r="L418" s="633"/>
      <c r="M418" s="633"/>
      <c r="N418" s="633"/>
      <c r="O418" s="633"/>
      <c r="P418" s="633"/>
      <c r="Q418" s="633"/>
      <c r="R418" s="633"/>
      <c r="S418" s="633"/>
      <c r="T418" s="633"/>
    </row>
    <row r="419">
      <c r="A419" s="633"/>
      <c r="B419" s="633"/>
      <c r="C419" s="633"/>
      <c r="D419" s="633"/>
      <c r="E419" s="633"/>
      <c r="F419" s="633"/>
      <c r="G419" s="633"/>
      <c r="H419" s="633"/>
      <c r="I419" s="633"/>
      <c r="J419" s="633"/>
      <c r="K419" s="633"/>
      <c r="L419" s="633"/>
      <c r="M419" s="633"/>
      <c r="N419" s="633"/>
      <c r="O419" s="633"/>
      <c r="P419" s="633"/>
      <c r="Q419" s="633"/>
      <c r="R419" s="633"/>
      <c r="S419" s="633"/>
      <c r="T419" s="633"/>
    </row>
    <row r="420">
      <c r="A420" s="633"/>
      <c r="B420" s="633"/>
      <c r="C420" s="633"/>
      <c r="D420" s="633"/>
      <c r="E420" s="633"/>
      <c r="F420" s="633"/>
      <c r="G420" s="633"/>
      <c r="H420" s="633"/>
      <c r="I420" s="633"/>
      <c r="J420" s="633"/>
      <c r="K420" s="633"/>
      <c r="L420" s="633"/>
      <c r="M420" s="633"/>
      <c r="N420" s="633"/>
      <c r="O420" s="633"/>
      <c r="P420" s="633"/>
      <c r="Q420" s="633"/>
      <c r="R420" s="633"/>
      <c r="S420" s="633"/>
      <c r="T420" s="633"/>
    </row>
    <row r="421">
      <c r="A421" s="633"/>
      <c r="B421" s="633"/>
      <c r="C421" s="633"/>
      <c r="D421" s="633"/>
      <c r="E421" s="633"/>
      <c r="F421" s="633"/>
      <c r="G421" s="633"/>
      <c r="H421" s="633"/>
      <c r="I421" s="633"/>
      <c r="J421" s="633"/>
      <c r="K421" s="633"/>
      <c r="L421" s="633"/>
      <c r="M421" s="633"/>
      <c r="N421" s="633"/>
      <c r="O421" s="633"/>
      <c r="P421" s="633"/>
      <c r="Q421" s="633"/>
      <c r="R421" s="633"/>
      <c r="S421" s="633"/>
      <c r="T421" s="633"/>
    </row>
    <row r="422">
      <c r="A422" s="633"/>
      <c r="B422" s="633"/>
      <c r="C422" s="633"/>
      <c r="D422" s="633"/>
      <c r="E422" s="633"/>
      <c r="F422" s="633"/>
      <c r="G422" s="633"/>
      <c r="H422" s="633"/>
      <c r="I422" s="633"/>
      <c r="J422" s="633"/>
      <c r="K422" s="633"/>
      <c r="L422" s="633"/>
      <c r="M422" s="633"/>
      <c r="N422" s="633"/>
      <c r="O422" s="633"/>
      <c r="P422" s="633"/>
      <c r="Q422" s="633"/>
      <c r="R422" s="633"/>
      <c r="S422" s="633"/>
      <c r="T422" s="633"/>
    </row>
    <row r="423">
      <c r="A423" s="633"/>
      <c r="B423" s="633"/>
      <c r="C423" s="633"/>
      <c r="D423" s="633"/>
      <c r="E423" s="633"/>
      <c r="F423" s="633"/>
      <c r="G423" s="633"/>
      <c r="H423" s="633"/>
      <c r="I423" s="633"/>
      <c r="J423" s="633"/>
      <c r="K423" s="633"/>
      <c r="L423" s="633"/>
      <c r="M423" s="633"/>
      <c r="N423" s="633"/>
      <c r="O423" s="633"/>
      <c r="P423" s="633"/>
      <c r="Q423" s="633"/>
      <c r="R423" s="633"/>
      <c r="S423" s="633"/>
      <c r="T423" s="633"/>
    </row>
    <row r="424">
      <c r="A424" s="633"/>
      <c r="B424" s="633"/>
      <c r="C424" s="633"/>
      <c r="D424" s="633"/>
      <c r="E424" s="633"/>
      <c r="F424" s="633"/>
      <c r="G424" s="633"/>
      <c r="H424" s="633"/>
      <c r="I424" s="633"/>
      <c r="J424" s="633"/>
      <c r="K424" s="633"/>
      <c r="L424" s="633"/>
      <c r="M424" s="633"/>
      <c r="N424" s="633"/>
      <c r="O424" s="633"/>
      <c r="P424" s="633"/>
      <c r="Q424" s="633"/>
      <c r="R424" s="633"/>
      <c r="S424" s="633"/>
      <c r="T424" s="633"/>
    </row>
    <row r="425">
      <c r="A425" s="633"/>
      <c r="B425" s="633"/>
      <c r="C425" s="633"/>
      <c r="D425" s="633"/>
      <c r="E425" s="633"/>
      <c r="F425" s="633"/>
      <c r="G425" s="633"/>
      <c r="H425" s="633"/>
      <c r="I425" s="633"/>
      <c r="J425" s="633"/>
      <c r="K425" s="633"/>
      <c r="L425" s="633"/>
      <c r="M425" s="633"/>
      <c r="N425" s="633"/>
      <c r="O425" s="633"/>
      <c r="P425" s="633"/>
      <c r="Q425" s="633"/>
      <c r="R425" s="633"/>
      <c r="S425" s="633"/>
      <c r="T425" s="633"/>
    </row>
    <row r="426">
      <c r="A426" s="633"/>
      <c r="B426" s="633"/>
      <c r="C426" s="633"/>
      <c r="D426" s="633"/>
      <c r="E426" s="633"/>
      <c r="F426" s="633"/>
      <c r="G426" s="633"/>
      <c r="H426" s="633"/>
      <c r="I426" s="633"/>
      <c r="J426" s="633"/>
      <c r="K426" s="633"/>
      <c r="L426" s="633"/>
      <c r="M426" s="633"/>
      <c r="N426" s="633"/>
      <c r="O426" s="633"/>
      <c r="P426" s="633"/>
      <c r="Q426" s="633"/>
      <c r="R426" s="633"/>
      <c r="S426" s="633"/>
      <c r="T426" s="633"/>
    </row>
    <row r="427">
      <c r="A427" s="633"/>
      <c r="B427" s="633"/>
      <c r="C427" s="633"/>
      <c r="D427" s="633"/>
      <c r="E427" s="633"/>
      <c r="F427" s="633"/>
      <c r="G427" s="633"/>
      <c r="H427" s="633"/>
      <c r="I427" s="633"/>
      <c r="J427" s="633"/>
      <c r="K427" s="633"/>
      <c r="L427" s="633"/>
      <c r="M427" s="633"/>
      <c r="N427" s="633"/>
      <c r="O427" s="633"/>
      <c r="P427" s="633"/>
      <c r="Q427" s="633"/>
      <c r="R427" s="633"/>
      <c r="S427" s="633"/>
      <c r="T427" s="633"/>
    </row>
    <row r="428">
      <c r="A428" s="633"/>
      <c r="B428" s="633"/>
      <c r="C428" s="633"/>
      <c r="D428" s="633"/>
      <c r="E428" s="633"/>
      <c r="F428" s="633"/>
      <c r="G428" s="633"/>
      <c r="H428" s="633"/>
      <c r="I428" s="633"/>
      <c r="J428" s="633"/>
      <c r="K428" s="633"/>
      <c r="L428" s="633"/>
      <c r="M428" s="633"/>
      <c r="N428" s="633"/>
      <c r="O428" s="633"/>
      <c r="P428" s="633"/>
      <c r="Q428" s="633"/>
      <c r="R428" s="633"/>
      <c r="S428" s="633"/>
      <c r="T428" s="633"/>
    </row>
    <row r="429">
      <c r="A429" s="633"/>
      <c r="B429" s="633"/>
      <c r="C429" s="633"/>
      <c r="D429" s="633"/>
      <c r="E429" s="633"/>
      <c r="F429" s="633"/>
      <c r="G429" s="633"/>
      <c r="H429" s="633"/>
      <c r="I429" s="633"/>
      <c r="J429" s="633"/>
      <c r="K429" s="633"/>
      <c r="L429" s="633"/>
      <c r="M429" s="633"/>
      <c r="N429" s="633"/>
      <c r="O429" s="633"/>
      <c r="P429" s="633"/>
      <c r="Q429" s="633"/>
      <c r="R429" s="633"/>
      <c r="S429" s="633"/>
      <c r="T429" s="633"/>
    </row>
    <row r="430">
      <c r="A430" s="633"/>
      <c r="B430" s="633"/>
      <c r="C430" s="633"/>
      <c r="D430" s="633"/>
      <c r="E430" s="633"/>
      <c r="F430" s="633"/>
      <c r="G430" s="633"/>
      <c r="H430" s="633"/>
      <c r="I430" s="633"/>
      <c r="J430" s="633"/>
      <c r="K430" s="633"/>
      <c r="L430" s="633"/>
      <c r="M430" s="633"/>
      <c r="N430" s="633"/>
      <c r="O430" s="633"/>
      <c r="P430" s="633"/>
      <c r="Q430" s="633"/>
      <c r="R430" s="633"/>
      <c r="S430" s="633"/>
      <c r="T430" s="633"/>
    </row>
    <row r="431">
      <c r="A431" s="633"/>
      <c r="B431" s="633"/>
      <c r="C431" s="633"/>
      <c r="D431" s="633"/>
      <c r="E431" s="633"/>
      <c r="F431" s="633"/>
      <c r="G431" s="633"/>
      <c r="H431" s="633"/>
      <c r="I431" s="633"/>
      <c r="J431" s="633"/>
      <c r="K431" s="633"/>
      <c r="L431" s="633"/>
      <c r="M431" s="633"/>
      <c r="N431" s="633"/>
      <c r="O431" s="633"/>
      <c r="P431" s="633"/>
      <c r="Q431" s="633"/>
      <c r="R431" s="633"/>
      <c r="S431" s="633"/>
      <c r="T431" s="633"/>
    </row>
    <row r="432">
      <c r="A432" s="633"/>
      <c r="B432" s="633"/>
      <c r="C432" s="633"/>
      <c r="D432" s="633"/>
      <c r="E432" s="633"/>
      <c r="F432" s="633"/>
      <c r="G432" s="633"/>
      <c r="H432" s="633"/>
      <c r="I432" s="633"/>
      <c r="J432" s="633"/>
      <c r="K432" s="633"/>
      <c r="L432" s="633"/>
      <c r="M432" s="633"/>
      <c r="N432" s="633"/>
      <c r="O432" s="633"/>
      <c r="P432" s="633"/>
      <c r="Q432" s="633"/>
      <c r="R432" s="633"/>
      <c r="S432" s="633"/>
      <c r="T432" s="633"/>
    </row>
    <row r="433">
      <c r="A433" s="633"/>
      <c r="B433" s="633"/>
      <c r="C433" s="633"/>
      <c r="D433" s="633"/>
      <c r="E433" s="633"/>
      <c r="F433" s="633"/>
      <c r="G433" s="633"/>
      <c r="H433" s="633"/>
      <c r="I433" s="633"/>
      <c r="J433" s="633"/>
      <c r="K433" s="633"/>
      <c r="L433" s="633"/>
      <c r="M433" s="633"/>
      <c r="N433" s="633"/>
      <c r="O433" s="633"/>
      <c r="P433" s="633"/>
      <c r="Q433" s="633"/>
      <c r="R433" s="633"/>
      <c r="S433" s="633"/>
      <c r="T433" s="633"/>
    </row>
    <row r="434">
      <c r="A434" s="633"/>
      <c r="B434" s="633"/>
      <c r="C434" s="633"/>
      <c r="D434" s="633"/>
      <c r="E434" s="633"/>
      <c r="F434" s="633"/>
      <c r="G434" s="633"/>
      <c r="H434" s="633"/>
      <c r="I434" s="633"/>
      <c r="J434" s="633"/>
      <c r="K434" s="633"/>
      <c r="L434" s="633"/>
      <c r="M434" s="633"/>
      <c r="N434" s="633"/>
      <c r="O434" s="633"/>
      <c r="P434" s="633"/>
      <c r="Q434" s="633"/>
      <c r="R434" s="633"/>
      <c r="S434" s="633"/>
      <c r="T434" s="633"/>
    </row>
    <row r="435">
      <c r="A435" s="633"/>
      <c r="B435" s="633"/>
      <c r="C435" s="633"/>
      <c r="D435" s="633"/>
      <c r="E435" s="633"/>
      <c r="F435" s="633"/>
      <c r="G435" s="633"/>
      <c r="H435" s="633"/>
      <c r="I435" s="633"/>
      <c r="J435" s="633"/>
      <c r="K435" s="633"/>
      <c r="L435" s="633"/>
      <c r="M435" s="633"/>
      <c r="N435" s="633"/>
      <c r="O435" s="633"/>
      <c r="P435" s="633"/>
      <c r="Q435" s="633"/>
      <c r="R435" s="633"/>
      <c r="S435" s="633"/>
      <c r="T435" s="633"/>
    </row>
    <row r="436">
      <c r="A436" s="633"/>
      <c r="B436" s="633"/>
      <c r="C436" s="633"/>
      <c r="D436" s="633"/>
      <c r="E436" s="633"/>
      <c r="F436" s="633"/>
      <c r="G436" s="633"/>
      <c r="H436" s="633"/>
      <c r="I436" s="633"/>
      <c r="J436" s="633"/>
      <c r="K436" s="633"/>
      <c r="L436" s="633"/>
      <c r="M436" s="633"/>
      <c r="N436" s="633"/>
      <c r="O436" s="633"/>
      <c r="P436" s="633"/>
      <c r="Q436" s="633"/>
      <c r="R436" s="633"/>
      <c r="S436" s="633"/>
      <c r="T436" s="633"/>
    </row>
    <row r="437">
      <c r="A437" s="633"/>
      <c r="B437" s="633"/>
      <c r="C437" s="633"/>
      <c r="D437" s="633"/>
      <c r="E437" s="633"/>
      <c r="F437" s="633"/>
      <c r="G437" s="633"/>
      <c r="H437" s="633"/>
      <c r="I437" s="633"/>
      <c r="J437" s="633"/>
      <c r="K437" s="633"/>
      <c r="L437" s="633"/>
      <c r="M437" s="633"/>
      <c r="N437" s="633"/>
      <c r="O437" s="633"/>
      <c r="P437" s="633"/>
      <c r="Q437" s="633"/>
      <c r="R437" s="633"/>
      <c r="S437" s="633"/>
      <c r="T437" s="633"/>
    </row>
    <row r="438">
      <c r="A438" s="633"/>
      <c r="B438" s="633"/>
      <c r="C438" s="633"/>
      <c r="D438" s="633"/>
      <c r="E438" s="633"/>
      <c r="F438" s="633"/>
      <c r="G438" s="633"/>
      <c r="H438" s="633"/>
      <c r="I438" s="633"/>
      <c r="J438" s="633"/>
      <c r="K438" s="633"/>
      <c r="L438" s="633"/>
      <c r="M438" s="633"/>
      <c r="N438" s="633"/>
      <c r="O438" s="633"/>
      <c r="P438" s="633"/>
      <c r="Q438" s="633"/>
      <c r="R438" s="633"/>
      <c r="S438" s="633"/>
      <c r="T438" s="633"/>
    </row>
    <row r="439">
      <c r="A439" s="633"/>
      <c r="B439" s="633"/>
      <c r="C439" s="633"/>
      <c r="D439" s="633"/>
      <c r="E439" s="633"/>
      <c r="F439" s="633"/>
      <c r="G439" s="633"/>
      <c r="H439" s="633"/>
      <c r="I439" s="633"/>
      <c r="J439" s="633"/>
      <c r="K439" s="633"/>
      <c r="L439" s="633"/>
      <c r="M439" s="633"/>
      <c r="N439" s="633"/>
      <c r="O439" s="633"/>
      <c r="P439" s="633"/>
      <c r="Q439" s="633"/>
      <c r="R439" s="633"/>
      <c r="S439" s="633"/>
      <c r="T439" s="633"/>
    </row>
    <row r="440">
      <c r="A440" s="633"/>
      <c r="B440" s="633"/>
      <c r="C440" s="633"/>
      <c r="D440" s="633"/>
      <c r="E440" s="633"/>
      <c r="F440" s="633"/>
      <c r="G440" s="633"/>
      <c r="H440" s="633"/>
      <c r="I440" s="633"/>
      <c r="J440" s="633"/>
      <c r="K440" s="633"/>
      <c r="L440" s="633"/>
      <c r="M440" s="633"/>
      <c r="N440" s="633"/>
      <c r="O440" s="633"/>
      <c r="P440" s="633"/>
      <c r="Q440" s="633"/>
      <c r="R440" s="633"/>
      <c r="S440" s="633"/>
      <c r="T440" s="633"/>
    </row>
    <row r="441">
      <c r="A441" s="633"/>
      <c r="B441" s="633"/>
      <c r="C441" s="633"/>
      <c r="D441" s="633"/>
      <c r="E441" s="633"/>
      <c r="F441" s="633"/>
      <c r="G441" s="633"/>
      <c r="H441" s="633"/>
      <c r="I441" s="633"/>
      <c r="J441" s="633"/>
      <c r="K441" s="633"/>
      <c r="L441" s="633"/>
      <c r="M441" s="633"/>
      <c r="N441" s="633"/>
      <c r="O441" s="633"/>
      <c r="P441" s="633"/>
      <c r="Q441" s="633"/>
      <c r="R441" s="633"/>
      <c r="S441" s="633"/>
      <c r="T441" s="633"/>
    </row>
    <row r="442">
      <c r="A442" s="633"/>
      <c r="B442" s="633"/>
      <c r="C442" s="633"/>
      <c r="D442" s="633"/>
      <c r="E442" s="633"/>
      <c r="F442" s="633"/>
      <c r="G442" s="633"/>
      <c r="H442" s="633"/>
      <c r="I442" s="633"/>
      <c r="J442" s="633"/>
      <c r="K442" s="633"/>
      <c r="L442" s="633"/>
      <c r="M442" s="633"/>
      <c r="N442" s="633"/>
      <c r="O442" s="633"/>
      <c r="P442" s="633"/>
      <c r="Q442" s="633"/>
      <c r="R442" s="633"/>
      <c r="S442" s="633"/>
      <c r="T442" s="633"/>
    </row>
    <row r="443">
      <c r="A443" s="633"/>
      <c r="B443" s="633"/>
      <c r="C443" s="633"/>
      <c r="D443" s="633"/>
      <c r="E443" s="633"/>
      <c r="F443" s="633"/>
      <c r="G443" s="633"/>
      <c r="H443" s="633"/>
      <c r="I443" s="633"/>
      <c r="J443" s="633"/>
      <c r="K443" s="633"/>
      <c r="L443" s="633"/>
      <c r="M443" s="633"/>
      <c r="N443" s="633"/>
      <c r="O443" s="633"/>
      <c r="P443" s="633"/>
      <c r="Q443" s="633"/>
      <c r="R443" s="633"/>
      <c r="S443" s="633"/>
      <c r="T443" s="633"/>
    </row>
    <row r="444">
      <c r="A444" s="633"/>
      <c r="B444" s="633"/>
      <c r="C444" s="633"/>
      <c r="D444" s="633"/>
      <c r="E444" s="633"/>
      <c r="F444" s="633"/>
      <c r="G444" s="633"/>
      <c r="H444" s="633"/>
      <c r="I444" s="633"/>
      <c r="J444" s="633"/>
      <c r="K444" s="633"/>
      <c r="L444" s="633"/>
      <c r="M444" s="633"/>
      <c r="N444" s="633"/>
      <c r="O444" s="633"/>
      <c r="P444" s="633"/>
      <c r="Q444" s="633"/>
      <c r="R444" s="633"/>
      <c r="S444" s="633"/>
      <c r="T444" s="633"/>
    </row>
    <row r="445">
      <c r="A445" s="633"/>
      <c r="B445" s="633"/>
      <c r="C445" s="633"/>
      <c r="D445" s="633"/>
      <c r="E445" s="633"/>
      <c r="F445" s="633"/>
      <c r="G445" s="633"/>
      <c r="H445" s="633"/>
      <c r="I445" s="633"/>
      <c r="J445" s="633"/>
      <c r="K445" s="633"/>
      <c r="L445" s="633"/>
      <c r="M445" s="633"/>
      <c r="N445" s="633"/>
      <c r="O445" s="633"/>
      <c r="P445" s="633"/>
      <c r="Q445" s="633"/>
      <c r="R445" s="633"/>
      <c r="S445" s="633"/>
      <c r="T445" s="633"/>
    </row>
    <row r="446">
      <c r="A446" s="633"/>
      <c r="B446" s="633"/>
      <c r="C446" s="633"/>
      <c r="D446" s="633"/>
      <c r="E446" s="633"/>
      <c r="F446" s="633"/>
      <c r="G446" s="633"/>
      <c r="H446" s="633"/>
      <c r="I446" s="633"/>
      <c r="J446" s="633"/>
      <c r="K446" s="633"/>
      <c r="L446" s="633"/>
      <c r="M446" s="633"/>
      <c r="N446" s="633"/>
      <c r="O446" s="633"/>
      <c r="P446" s="633"/>
      <c r="Q446" s="633"/>
      <c r="R446" s="633"/>
      <c r="S446" s="633"/>
      <c r="T446" s="633"/>
    </row>
    <row r="447">
      <c r="A447" s="633"/>
      <c r="B447" s="633"/>
      <c r="C447" s="633"/>
      <c r="D447" s="633"/>
      <c r="E447" s="633"/>
      <c r="F447" s="633"/>
      <c r="G447" s="633"/>
      <c r="H447" s="633"/>
      <c r="I447" s="633"/>
      <c r="J447" s="633"/>
      <c r="K447" s="633"/>
      <c r="L447" s="633"/>
      <c r="M447" s="633"/>
      <c r="N447" s="633"/>
      <c r="O447" s="633"/>
      <c r="P447" s="633"/>
      <c r="Q447" s="633"/>
      <c r="R447" s="633"/>
      <c r="S447" s="633"/>
      <c r="T447" s="633"/>
    </row>
    <row r="448">
      <c r="A448" s="633"/>
      <c r="B448" s="633"/>
      <c r="C448" s="633"/>
      <c r="D448" s="633"/>
      <c r="E448" s="633"/>
      <c r="F448" s="633"/>
      <c r="G448" s="633"/>
      <c r="H448" s="633"/>
      <c r="I448" s="633"/>
      <c r="J448" s="633"/>
      <c r="K448" s="633"/>
      <c r="L448" s="633"/>
      <c r="M448" s="633"/>
      <c r="N448" s="633"/>
      <c r="O448" s="633"/>
      <c r="P448" s="633"/>
      <c r="Q448" s="633"/>
      <c r="R448" s="633"/>
      <c r="S448" s="633"/>
      <c r="T448" s="633"/>
    </row>
    <row r="449">
      <c r="A449" s="633"/>
      <c r="B449" s="633"/>
      <c r="C449" s="633"/>
      <c r="D449" s="633"/>
      <c r="E449" s="633"/>
      <c r="F449" s="633"/>
      <c r="G449" s="633"/>
      <c r="H449" s="633"/>
      <c r="I449" s="633"/>
      <c r="J449" s="633"/>
      <c r="K449" s="633"/>
      <c r="L449" s="633"/>
      <c r="M449" s="633"/>
      <c r="N449" s="633"/>
      <c r="O449" s="633"/>
      <c r="P449" s="633"/>
      <c r="Q449" s="633"/>
      <c r="R449" s="633"/>
      <c r="S449" s="633"/>
      <c r="T449" s="633"/>
    </row>
    <row r="450">
      <c r="A450" s="633"/>
      <c r="B450" s="633"/>
      <c r="C450" s="633"/>
      <c r="D450" s="633"/>
      <c r="E450" s="633"/>
      <c r="F450" s="633"/>
      <c r="G450" s="633"/>
      <c r="H450" s="633"/>
      <c r="I450" s="633"/>
      <c r="J450" s="633"/>
      <c r="K450" s="633"/>
      <c r="L450" s="633"/>
      <c r="M450" s="633"/>
      <c r="N450" s="633"/>
      <c r="O450" s="633"/>
      <c r="P450" s="633"/>
      <c r="Q450" s="633"/>
      <c r="R450" s="633"/>
      <c r="S450" s="633"/>
      <c r="T450" s="633"/>
    </row>
    <row r="451">
      <c r="A451" s="633"/>
      <c r="B451" s="633"/>
      <c r="C451" s="633"/>
      <c r="D451" s="633"/>
      <c r="E451" s="633"/>
      <c r="F451" s="633"/>
      <c r="G451" s="633"/>
      <c r="H451" s="633"/>
      <c r="I451" s="633"/>
      <c r="J451" s="633"/>
      <c r="K451" s="633"/>
      <c r="L451" s="633"/>
      <c r="M451" s="633"/>
      <c r="N451" s="633"/>
      <c r="O451" s="633"/>
      <c r="P451" s="633"/>
      <c r="Q451" s="633"/>
      <c r="R451" s="633"/>
      <c r="S451" s="633"/>
      <c r="T451" s="633"/>
    </row>
    <row r="452">
      <c r="A452" s="633"/>
      <c r="B452" s="633"/>
      <c r="C452" s="633"/>
      <c r="D452" s="633"/>
      <c r="E452" s="633"/>
      <c r="F452" s="633"/>
      <c r="G452" s="633"/>
      <c r="H452" s="633"/>
      <c r="I452" s="633"/>
      <c r="J452" s="633"/>
      <c r="K452" s="633"/>
      <c r="L452" s="633"/>
      <c r="M452" s="633"/>
      <c r="N452" s="633"/>
      <c r="O452" s="633"/>
      <c r="P452" s="633"/>
      <c r="Q452" s="633"/>
      <c r="R452" s="633"/>
      <c r="S452" s="633"/>
      <c r="T452" s="633"/>
    </row>
    <row r="453">
      <c r="A453" s="633"/>
      <c r="B453" s="633"/>
      <c r="C453" s="633"/>
      <c r="D453" s="633"/>
      <c r="E453" s="633"/>
      <c r="F453" s="633"/>
      <c r="G453" s="633"/>
      <c r="H453" s="633"/>
      <c r="I453" s="633"/>
      <c r="J453" s="633"/>
      <c r="K453" s="633"/>
      <c r="L453" s="633"/>
      <c r="M453" s="633"/>
      <c r="N453" s="633"/>
      <c r="O453" s="633"/>
      <c r="P453" s="633"/>
      <c r="Q453" s="633"/>
      <c r="R453" s="633"/>
      <c r="S453" s="633"/>
      <c r="T453" s="633"/>
    </row>
    <row r="454">
      <c r="A454" s="633"/>
      <c r="B454" s="633"/>
      <c r="C454" s="633"/>
      <c r="D454" s="633"/>
      <c r="E454" s="633"/>
      <c r="F454" s="633"/>
      <c r="G454" s="633"/>
      <c r="H454" s="633"/>
      <c r="I454" s="633"/>
      <c r="J454" s="633"/>
      <c r="K454" s="633"/>
      <c r="L454" s="633"/>
      <c r="M454" s="633"/>
      <c r="N454" s="633"/>
      <c r="O454" s="633"/>
      <c r="P454" s="633"/>
      <c r="Q454" s="633"/>
      <c r="R454" s="633"/>
      <c r="S454" s="633"/>
      <c r="T454" s="633"/>
    </row>
    <row r="455">
      <c r="A455" s="633"/>
      <c r="B455" s="633"/>
      <c r="C455" s="633"/>
      <c r="D455" s="633"/>
      <c r="E455" s="633"/>
      <c r="F455" s="633"/>
      <c r="G455" s="633"/>
      <c r="H455" s="633"/>
      <c r="I455" s="633"/>
      <c r="J455" s="633"/>
      <c r="K455" s="633"/>
      <c r="L455" s="633"/>
      <c r="M455" s="633"/>
      <c r="N455" s="633"/>
      <c r="O455" s="633"/>
      <c r="P455" s="633"/>
      <c r="Q455" s="633"/>
      <c r="R455" s="633"/>
      <c r="S455" s="633"/>
      <c r="T455" s="633"/>
    </row>
    <row r="456">
      <c r="A456" s="633"/>
      <c r="B456" s="633"/>
      <c r="C456" s="633"/>
      <c r="D456" s="633"/>
      <c r="E456" s="633"/>
      <c r="F456" s="633"/>
      <c r="G456" s="633"/>
      <c r="H456" s="633"/>
      <c r="I456" s="633"/>
      <c r="J456" s="633"/>
      <c r="K456" s="633"/>
      <c r="L456" s="633"/>
      <c r="M456" s="633"/>
      <c r="N456" s="633"/>
      <c r="O456" s="633"/>
      <c r="P456" s="633"/>
      <c r="Q456" s="633"/>
      <c r="R456" s="633"/>
      <c r="S456" s="633"/>
      <c r="T456" s="633"/>
    </row>
    <row r="457">
      <c r="A457" s="633"/>
      <c r="B457" s="633"/>
      <c r="C457" s="633"/>
      <c r="D457" s="633"/>
      <c r="E457" s="633"/>
      <c r="F457" s="633"/>
      <c r="G457" s="633"/>
      <c r="H457" s="633"/>
      <c r="I457" s="633"/>
      <c r="J457" s="633"/>
      <c r="K457" s="633"/>
      <c r="L457" s="633"/>
      <c r="M457" s="633"/>
      <c r="N457" s="633"/>
      <c r="O457" s="633"/>
      <c r="P457" s="633"/>
      <c r="Q457" s="633"/>
      <c r="R457" s="633"/>
      <c r="S457" s="633"/>
      <c r="T457" s="633"/>
    </row>
    <row r="458">
      <c r="A458" s="633"/>
      <c r="B458" s="633"/>
      <c r="C458" s="633"/>
      <c r="D458" s="633"/>
      <c r="E458" s="633"/>
      <c r="F458" s="633"/>
      <c r="G458" s="633"/>
      <c r="H458" s="633"/>
      <c r="I458" s="633"/>
      <c r="J458" s="633"/>
      <c r="K458" s="633"/>
      <c r="L458" s="633"/>
      <c r="M458" s="633"/>
      <c r="N458" s="633"/>
      <c r="O458" s="633"/>
      <c r="P458" s="633"/>
      <c r="Q458" s="633"/>
      <c r="R458" s="633"/>
      <c r="S458" s="633"/>
      <c r="T458" s="633"/>
    </row>
    <row r="459">
      <c r="A459" s="633"/>
      <c r="B459" s="633"/>
      <c r="C459" s="633"/>
      <c r="D459" s="633"/>
      <c r="E459" s="633"/>
      <c r="F459" s="633"/>
      <c r="G459" s="633"/>
      <c r="H459" s="633"/>
      <c r="I459" s="633"/>
      <c r="J459" s="633"/>
      <c r="K459" s="633"/>
      <c r="L459" s="633"/>
      <c r="M459" s="633"/>
      <c r="N459" s="633"/>
      <c r="O459" s="633"/>
      <c r="P459" s="633"/>
      <c r="Q459" s="633"/>
      <c r="R459" s="633"/>
      <c r="S459" s="633"/>
      <c r="T459" s="633"/>
    </row>
    <row r="460">
      <c r="A460" s="633"/>
      <c r="B460" s="633"/>
      <c r="C460" s="633"/>
      <c r="D460" s="633"/>
      <c r="E460" s="633"/>
      <c r="F460" s="633"/>
      <c r="G460" s="633"/>
      <c r="H460" s="633"/>
      <c r="I460" s="633"/>
      <c r="J460" s="633"/>
      <c r="K460" s="633"/>
      <c r="L460" s="633"/>
      <c r="M460" s="633"/>
      <c r="N460" s="633"/>
      <c r="O460" s="633"/>
      <c r="P460" s="633"/>
      <c r="Q460" s="633"/>
      <c r="R460" s="633"/>
      <c r="S460" s="633"/>
      <c r="T460" s="633"/>
    </row>
    <row r="461">
      <c r="A461" s="633"/>
      <c r="B461" s="633"/>
      <c r="C461" s="633"/>
      <c r="D461" s="633"/>
      <c r="E461" s="633"/>
      <c r="F461" s="633"/>
      <c r="G461" s="633"/>
      <c r="H461" s="633"/>
      <c r="I461" s="633"/>
      <c r="J461" s="633"/>
      <c r="K461" s="633"/>
      <c r="L461" s="633"/>
      <c r="M461" s="633"/>
      <c r="N461" s="633"/>
      <c r="O461" s="633"/>
      <c r="P461" s="633"/>
      <c r="Q461" s="633"/>
      <c r="R461" s="633"/>
      <c r="S461" s="633"/>
      <c r="T461" s="633"/>
    </row>
    <row r="462">
      <c r="A462" s="633"/>
      <c r="B462" s="633"/>
      <c r="C462" s="633"/>
      <c r="D462" s="633"/>
      <c r="E462" s="633"/>
      <c r="F462" s="633"/>
      <c r="G462" s="633"/>
      <c r="H462" s="633"/>
      <c r="I462" s="633"/>
      <c r="J462" s="633"/>
      <c r="K462" s="633"/>
      <c r="L462" s="633"/>
      <c r="M462" s="633"/>
      <c r="N462" s="633"/>
      <c r="O462" s="633"/>
      <c r="P462" s="633"/>
      <c r="Q462" s="633"/>
      <c r="R462" s="633"/>
      <c r="S462" s="633"/>
      <c r="T462" s="633"/>
    </row>
    <row r="463">
      <c r="A463" s="633"/>
      <c r="B463" s="633"/>
      <c r="C463" s="633"/>
      <c r="D463" s="633"/>
      <c r="E463" s="633"/>
      <c r="F463" s="633"/>
      <c r="G463" s="633"/>
      <c r="H463" s="633"/>
      <c r="I463" s="633"/>
      <c r="J463" s="633"/>
      <c r="K463" s="633"/>
      <c r="L463" s="633"/>
      <c r="M463" s="633"/>
      <c r="N463" s="633"/>
      <c r="O463" s="633"/>
      <c r="P463" s="633"/>
      <c r="Q463" s="633"/>
      <c r="R463" s="633"/>
      <c r="S463" s="633"/>
      <c r="T463" s="633"/>
    </row>
    <row r="464">
      <c r="A464" s="633"/>
      <c r="B464" s="633"/>
      <c r="C464" s="633"/>
      <c r="D464" s="633"/>
      <c r="E464" s="633"/>
      <c r="F464" s="633"/>
      <c r="G464" s="633"/>
      <c r="H464" s="633"/>
      <c r="I464" s="633"/>
      <c r="J464" s="633"/>
      <c r="K464" s="633"/>
      <c r="L464" s="633"/>
      <c r="M464" s="633"/>
      <c r="N464" s="633"/>
      <c r="O464" s="633"/>
      <c r="P464" s="633"/>
      <c r="Q464" s="633"/>
      <c r="R464" s="633"/>
      <c r="S464" s="633"/>
      <c r="T464" s="633"/>
    </row>
    <row r="465">
      <c r="A465" s="633"/>
      <c r="B465" s="633"/>
      <c r="C465" s="633"/>
      <c r="D465" s="633"/>
      <c r="E465" s="633"/>
      <c r="F465" s="633"/>
      <c r="G465" s="633"/>
      <c r="H465" s="633"/>
      <c r="I465" s="633"/>
      <c r="J465" s="633"/>
      <c r="K465" s="633"/>
      <c r="L465" s="633"/>
      <c r="M465" s="633"/>
      <c r="N465" s="633"/>
      <c r="O465" s="633"/>
      <c r="P465" s="633"/>
      <c r="Q465" s="633"/>
      <c r="R465" s="633"/>
      <c r="S465" s="633"/>
      <c r="T465" s="633"/>
    </row>
    <row r="466">
      <c r="A466" s="633"/>
      <c r="B466" s="633"/>
      <c r="C466" s="633"/>
      <c r="D466" s="633"/>
      <c r="E466" s="633"/>
      <c r="F466" s="633"/>
      <c r="G466" s="633"/>
      <c r="H466" s="633"/>
      <c r="I466" s="633"/>
      <c r="J466" s="633"/>
      <c r="K466" s="633"/>
      <c r="L466" s="633"/>
      <c r="M466" s="633"/>
      <c r="N466" s="633"/>
      <c r="O466" s="633"/>
      <c r="P466" s="633"/>
      <c r="Q466" s="633"/>
      <c r="R466" s="633"/>
      <c r="S466" s="633"/>
      <c r="T466" s="633"/>
    </row>
    <row r="467">
      <c r="A467" s="633"/>
      <c r="B467" s="633"/>
      <c r="C467" s="633"/>
      <c r="D467" s="633"/>
      <c r="E467" s="633"/>
      <c r="F467" s="633"/>
      <c r="G467" s="633"/>
      <c r="H467" s="633"/>
      <c r="I467" s="633"/>
      <c r="J467" s="633"/>
      <c r="K467" s="633"/>
      <c r="L467" s="633"/>
      <c r="M467" s="633"/>
      <c r="N467" s="633"/>
      <c r="O467" s="633"/>
      <c r="P467" s="633"/>
      <c r="Q467" s="633"/>
      <c r="R467" s="633"/>
      <c r="S467" s="633"/>
      <c r="T467" s="633"/>
    </row>
    <row r="468">
      <c r="A468" s="633"/>
      <c r="B468" s="633"/>
      <c r="C468" s="633"/>
      <c r="D468" s="633"/>
      <c r="E468" s="633"/>
      <c r="F468" s="633"/>
      <c r="G468" s="633"/>
      <c r="H468" s="633"/>
      <c r="I468" s="633"/>
      <c r="J468" s="633"/>
      <c r="K468" s="633"/>
      <c r="L468" s="633"/>
      <c r="M468" s="633"/>
      <c r="N468" s="633"/>
      <c r="O468" s="633"/>
      <c r="P468" s="633"/>
      <c r="Q468" s="633"/>
      <c r="R468" s="633"/>
      <c r="S468" s="633"/>
      <c r="T468" s="633"/>
    </row>
    <row r="469">
      <c r="A469" s="633"/>
      <c r="B469" s="633"/>
      <c r="C469" s="633"/>
      <c r="D469" s="633"/>
      <c r="E469" s="633"/>
      <c r="F469" s="633"/>
      <c r="G469" s="633"/>
      <c r="H469" s="633"/>
      <c r="I469" s="633"/>
      <c r="J469" s="633"/>
      <c r="K469" s="633"/>
      <c r="L469" s="633"/>
      <c r="M469" s="633"/>
      <c r="N469" s="633"/>
      <c r="O469" s="633"/>
      <c r="P469" s="633"/>
      <c r="Q469" s="633"/>
      <c r="R469" s="633"/>
      <c r="S469" s="633"/>
      <c r="T469" s="633"/>
    </row>
    <row r="470">
      <c r="A470" s="633"/>
      <c r="B470" s="633"/>
      <c r="C470" s="633"/>
      <c r="D470" s="633"/>
      <c r="E470" s="633"/>
      <c r="F470" s="633"/>
      <c r="G470" s="633"/>
      <c r="H470" s="633"/>
      <c r="I470" s="633"/>
      <c r="J470" s="633"/>
      <c r="K470" s="633"/>
      <c r="L470" s="633"/>
      <c r="M470" s="633"/>
      <c r="N470" s="633"/>
      <c r="O470" s="633"/>
      <c r="P470" s="633"/>
      <c r="Q470" s="633"/>
      <c r="R470" s="633"/>
      <c r="S470" s="633"/>
      <c r="T470" s="633"/>
    </row>
    <row r="471">
      <c r="A471" s="633"/>
      <c r="B471" s="633"/>
      <c r="C471" s="633"/>
      <c r="D471" s="633"/>
      <c r="E471" s="633"/>
      <c r="F471" s="633"/>
      <c r="G471" s="633"/>
      <c r="H471" s="633"/>
      <c r="I471" s="633"/>
      <c r="J471" s="633"/>
      <c r="K471" s="633"/>
      <c r="L471" s="633"/>
      <c r="M471" s="633"/>
      <c r="N471" s="633"/>
      <c r="O471" s="633"/>
      <c r="P471" s="633"/>
      <c r="Q471" s="633"/>
      <c r="R471" s="633"/>
      <c r="S471" s="633"/>
      <c r="T471" s="633"/>
    </row>
    <row r="472">
      <c r="A472" s="633"/>
      <c r="B472" s="633"/>
      <c r="C472" s="633"/>
      <c r="D472" s="633"/>
      <c r="E472" s="633"/>
      <c r="F472" s="633"/>
      <c r="G472" s="633"/>
      <c r="H472" s="633"/>
      <c r="I472" s="633"/>
      <c r="J472" s="633"/>
      <c r="K472" s="633"/>
      <c r="L472" s="633"/>
      <c r="M472" s="633"/>
      <c r="N472" s="633"/>
      <c r="O472" s="633"/>
      <c r="P472" s="633"/>
      <c r="Q472" s="633"/>
      <c r="R472" s="633"/>
      <c r="S472" s="633"/>
      <c r="T472" s="633"/>
    </row>
    <row r="473">
      <c r="A473" s="633"/>
      <c r="B473" s="633"/>
      <c r="C473" s="633"/>
      <c r="D473" s="633"/>
      <c r="E473" s="633"/>
      <c r="F473" s="633"/>
      <c r="G473" s="633"/>
      <c r="H473" s="633"/>
      <c r="I473" s="633"/>
      <c r="J473" s="633"/>
      <c r="K473" s="633"/>
      <c r="L473" s="633"/>
      <c r="M473" s="633"/>
      <c r="N473" s="633"/>
      <c r="O473" s="633"/>
      <c r="P473" s="633"/>
      <c r="Q473" s="633"/>
      <c r="R473" s="633"/>
      <c r="S473" s="633"/>
      <c r="T473" s="633"/>
    </row>
    <row r="474">
      <c r="A474" s="633"/>
      <c r="B474" s="633"/>
      <c r="C474" s="633"/>
      <c r="D474" s="633"/>
      <c r="E474" s="633"/>
      <c r="F474" s="633"/>
      <c r="G474" s="633"/>
      <c r="H474" s="633"/>
      <c r="I474" s="633"/>
      <c r="J474" s="633"/>
      <c r="K474" s="633"/>
      <c r="L474" s="633"/>
      <c r="M474" s="633"/>
      <c r="N474" s="633"/>
      <c r="O474" s="633"/>
      <c r="P474" s="633"/>
      <c r="Q474" s="633"/>
      <c r="R474" s="633"/>
      <c r="S474" s="633"/>
      <c r="T474" s="633"/>
    </row>
    <row r="475">
      <c r="A475" s="633"/>
      <c r="B475" s="633"/>
      <c r="C475" s="633"/>
      <c r="D475" s="633"/>
      <c r="E475" s="633"/>
      <c r="F475" s="633"/>
      <c r="G475" s="633"/>
      <c r="H475" s="633"/>
      <c r="I475" s="633"/>
      <c r="J475" s="633"/>
      <c r="K475" s="633"/>
      <c r="L475" s="633"/>
      <c r="M475" s="633"/>
      <c r="N475" s="633"/>
      <c r="O475" s="633"/>
      <c r="P475" s="633"/>
      <c r="Q475" s="633"/>
      <c r="R475" s="633"/>
      <c r="S475" s="633"/>
      <c r="T475" s="633"/>
    </row>
    <row r="476">
      <c r="A476" s="633"/>
      <c r="B476" s="633"/>
      <c r="C476" s="633"/>
      <c r="D476" s="633"/>
      <c r="E476" s="633"/>
      <c r="F476" s="633"/>
      <c r="G476" s="633"/>
      <c r="H476" s="633"/>
      <c r="I476" s="633"/>
      <c r="J476" s="633"/>
      <c r="K476" s="633"/>
      <c r="L476" s="633"/>
      <c r="M476" s="633"/>
      <c r="N476" s="633"/>
      <c r="O476" s="633"/>
      <c r="P476" s="633"/>
      <c r="Q476" s="633"/>
      <c r="R476" s="633"/>
      <c r="S476" s="633"/>
      <c r="T476" s="633"/>
    </row>
    <row r="477">
      <c r="A477" s="633"/>
      <c r="B477" s="633"/>
      <c r="C477" s="633"/>
      <c r="D477" s="633"/>
      <c r="E477" s="633"/>
      <c r="F477" s="633"/>
      <c r="G477" s="633"/>
      <c r="H477" s="633"/>
      <c r="I477" s="633"/>
      <c r="J477" s="633"/>
      <c r="K477" s="633"/>
      <c r="L477" s="633"/>
      <c r="M477" s="633"/>
      <c r="N477" s="633"/>
      <c r="O477" s="633"/>
      <c r="P477" s="633"/>
      <c r="Q477" s="633"/>
      <c r="R477" s="633"/>
      <c r="S477" s="633"/>
      <c r="T477" s="633"/>
    </row>
    <row r="478">
      <c r="A478" s="633"/>
      <c r="B478" s="633"/>
      <c r="C478" s="633"/>
      <c r="D478" s="633"/>
      <c r="E478" s="633"/>
      <c r="F478" s="633"/>
      <c r="G478" s="633"/>
      <c r="H478" s="633"/>
      <c r="I478" s="633"/>
      <c r="J478" s="633"/>
      <c r="K478" s="633"/>
      <c r="L478" s="633"/>
      <c r="M478" s="633"/>
      <c r="N478" s="633"/>
      <c r="O478" s="633"/>
      <c r="P478" s="633"/>
      <c r="Q478" s="633"/>
      <c r="R478" s="633"/>
      <c r="S478" s="633"/>
      <c r="T478" s="633"/>
    </row>
    <row r="479">
      <c r="A479" s="633"/>
      <c r="B479" s="633"/>
      <c r="C479" s="633"/>
      <c r="D479" s="633"/>
      <c r="E479" s="633"/>
      <c r="F479" s="633"/>
      <c r="G479" s="633"/>
      <c r="H479" s="633"/>
      <c r="I479" s="633"/>
      <c r="J479" s="633"/>
      <c r="K479" s="633"/>
      <c r="L479" s="633"/>
      <c r="M479" s="633"/>
      <c r="N479" s="633"/>
      <c r="O479" s="633"/>
      <c r="P479" s="633"/>
      <c r="Q479" s="633"/>
      <c r="R479" s="633"/>
      <c r="S479" s="633"/>
      <c r="T479" s="633"/>
    </row>
    <row r="480">
      <c r="A480" s="633"/>
      <c r="B480" s="633"/>
      <c r="C480" s="633"/>
      <c r="D480" s="633"/>
      <c r="E480" s="633"/>
      <c r="F480" s="633"/>
      <c r="G480" s="633"/>
      <c r="H480" s="633"/>
      <c r="I480" s="633"/>
      <c r="J480" s="633"/>
      <c r="K480" s="633"/>
      <c r="L480" s="633"/>
      <c r="M480" s="633"/>
      <c r="N480" s="633"/>
      <c r="O480" s="633"/>
      <c r="P480" s="633"/>
      <c r="Q480" s="633"/>
      <c r="R480" s="633"/>
      <c r="S480" s="633"/>
      <c r="T480" s="633"/>
    </row>
    <row r="481">
      <c r="A481" s="633"/>
      <c r="B481" s="633"/>
      <c r="C481" s="633"/>
      <c r="D481" s="633"/>
      <c r="E481" s="633"/>
      <c r="F481" s="633"/>
      <c r="G481" s="633"/>
      <c r="H481" s="633"/>
      <c r="I481" s="633"/>
      <c r="J481" s="633"/>
      <c r="K481" s="633"/>
      <c r="L481" s="633"/>
      <c r="M481" s="633"/>
      <c r="N481" s="633"/>
      <c r="O481" s="633"/>
      <c r="P481" s="633"/>
      <c r="Q481" s="633"/>
      <c r="R481" s="633"/>
      <c r="S481" s="633"/>
      <c r="T481" s="633"/>
    </row>
    <row r="482">
      <c r="A482" s="633"/>
      <c r="B482" s="633"/>
      <c r="C482" s="633"/>
      <c r="D482" s="633"/>
      <c r="E482" s="633"/>
      <c r="F482" s="633"/>
      <c r="G482" s="633"/>
      <c r="H482" s="633"/>
      <c r="I482" s="633"/>
      <c r="J482" s="633"/>
      <c r="K482" s="633"/>
      <c r="L482" s="633"/>
      <c r="M482" s="633"/>
      <c r="N482" s="633"/>
      <c r="O482" s="633"/>
      <c r="P482" s="633"/>
      <c r="Q482" s="633"/>
      <c r="R482" s="633"/>
      <c r="S482" s="633"/>
      <c r="T482" s="633"/>
    </row>
    <row r="483">
      <c r="A483" s="633"/>
      <c r="B483" s="633"/>
      <c r="C483" s="633"/>
      <c r="D483" s="633"/>
      <c r="E483" s="633"/>
      <c r="F483" s="633"/>
      <c r="G483" s="633"/>
      <c r="H483" s="633"/>
      <c r="I483" s="633"/>
      <c r="J483" s="633"/>
      <c r="K483" s="633"/>
      <c r="L483" s="633"/>
      <c r="M483" s="633"/>
      <c r="N483" s="633"/>
      <c r="O483" s="633"/>
      <c r="P483" s="633"/>
      <c r="Q483" s="633"/>
      <c r="R483" s="633"/>
      <c r="S483" s="633"/>
      <c r="T483" s="633"/>
    </row>
    <row r="484">
      <c r="A484" s="633"/>
      <c r="B484" s="633"/>
      <c r="C484" s="633"/>
      <c r="D484" s="633"/>
      <c r="E484" s="633"/>
      <c r="F484" s="633"/>
      <c r="G484" s="633"/>
      <c r="H484" s="633"/>
      <c r="I484" s="633"/>
      <c r="J484" s="633"/>
      <c r="K484" s="633"/>
      <c r="L484" s="633"/>
      <c r="M484" s="633"/>
      <c r="N484" s="633"/>
      <c r="O484" s="633"/>
      <c r="P484" s="633"/>
      <c r="Q484" s="633"/>
      <c r="R484" s="633"/>
      <c r="S484" s="633"/>
      <c r="T484" s="633"/>
    </row>
    <row r="485">
      <c r="A485" s="633"/>
      <c r="B485" s="633"/>
      <c r="C485" s="633"/>
      <c r="D485" s="633"/>
      <c r="E485" s="633"/>
      <c r="F485" s="633"/>
      <c r="G485" s="633"/>
      <c r="H485" s="633"/>
      <c r="I485" s="633"/>
      <c r="J485" s="633"/>
      <c r="K485" s="633"/>
      <c r="L485" s="633"/>
      <c r="M485" s="633"/>
      <c r="N485" s="633"/>
      <c r="O485" s="633"/>
      <c r="P485" s="633"/>
      <c r="Q485" s="633"/>
      <c r="R485" s="633"/>
      <c r="S485" s="633"/>
      <c r="T485" s="633"/>
    </row>
    <row r="486">
      <c r="A486" s="633"/>
      <c r="B486" s="633"/>
      <c r="C486" s="633"/>
      <c r="D486" s="633"/>
      <c r="E486" s="633"/>
      <c r="F486" s="633"/>
      <c r="G486" s="633"/>
      <c r="H486" s="633"/>
      <c r="I486" s="633"/>
      <c r="J486" s="633"/>
      <c r="K486" s="633"/>
      <c r="L486" s="633"/>
      <c r="M486" s="633"/>
      <c r="N486" s="633"/>
      <c r="O486" s="633"/>
      <c r="P486" s="633"/>
      <c r="Q486" s="633"/>
      <c r="R486" s="633"/>
      <c r="S486" s="633"/>
      <c r="T486" s="633"/>
    </row>
    <row r="487">
      <c r="A487" s="633"/>
      <c r="B487" s="633"/>
      <c r="C487" s="633"/>
      <c r="D487" s="633"/>
      <c r="E487" s="633"/>
      <c r="F487" s="633"/>
      <c r="G487" s="633"/>
      <c r="H487" s="633"/>
      <c r="I487" s="633"/>
      <c r="J487" s="633"/>
      <c r="K487" s="633"/>
      <c r="L487" s="633"/>
      <c r="M487" s="633"/>
      <c r="N487" s="633"/>
      <c r="O487" s="633"/>
      <c r="P487" s="633"/>
      <c r="Q487" s="633"/>
      <c r="R487" s="633"/>
      <c r="S487" s="633"/>
      <c r="T487" s="633"/>
    </row>
    <row r="488">
      <c r="A488" s="633"/>
      <c r="B488" s="633"/>
      <c r="C488" s="633"/>
      <c r="D488" s="633"/>
      <c r="E488" s="633"/>
      <c r="F488" s="633"/>
      <c r="G488" s="633"/>
      <c r="H488" s="633"/>
      <c r="I488" s="633"/>
      <c r="J488" s="633"/>
      <c r="K488" s="633"/>
      <c r="L488" s="633"/>
      <c r="M488" s="633"/>
      <c r="N488" s="633"/>
      <c r="O488" s="633"/>
      <c r="P488" s="633"/>
      <c r="Q488" s="633"/>
      <c r="R488" s="633"/>
      <c r="S488" s="633"/>
      <c r="T488" s="633"/>
    </row>
    <row r="489">
      <c r="A489" s="633"/>
      <c r="B489" s="633"/>
      <c r="C489" s="633"/>
      <c r="D489" s="633"/>
      <c r="E489" s="633"/>
      <c r="F489" s="633"/>
      <c r="G489" s="633"/>
      <c r="H489" s="633"/>
      <c r="I489" s="633"/>
      <c r="J489" s="633"/>
      <c r="K489" s="633"/>
      <c r="L489" s="633"/>
      <c r="M489" s="633"/>
      <c r="N489" s="633"/>
      <c r="O489" s="633"/>
      <c r="P489" s="633"/>
      <c r="Q489" s="633"/>
      <c r="R489" s="633"/>
      <c r="S489" s="633"/>
      <c r="T489" s="633"/>
    </row>
    <row r="490">
      <c r="A490" s="633"/>
      <c r="B490" s="633"/>
      <c r="C490" s="633"/>
      <c r="D490" s="633"/>
      <c r="E490" s="633"/>
      <c r="F490" s="633"/>
      <c r="G490" s="633"/>
      <c r="H490" s="633"/>
      <c r="I490" s="633"/>
      <c r="J490" s="633"/>
      <c r="K490" s="633"/>
      <c r="L490" s="633"/>
      <c r="M490" s="633"/>
      <c r="N490" s="633"/>
      <c r="O490" s="633"/>
      <c r="P490" s="633"/>
      <c r="Q490" s="633"/>
      <c r="R490" s="633"/>
      <c r="S490" s="633"/>
      <c r="T490" s="633"/>
    </row>
    <row r="491">
      <c r="A491" s="633"/>
      <c r="B491" s="633"/>
      <c r="C491" s="633"/>
      <c r="D491" s="633"/>
      <c r="E491" s="633"/>
      <c r="F491" s="633"/>
      <c r="G491" s="633"/>
      <c r="H491" s="633"/>
      <c r="I491" s="633"/>
      <c r="J491" s="633"/>
      <c r="K491" s="633"/>
      <c r="L491" s="633"/>
      <c r="M491" s="633"/>
      <c r="N491" s="633"/>
      <c r="O491" s="633"/>
      <c r="P491" s="633"/>
      <c r="Q491" s="633"/>
      <c r="R491" s="633"/>
      <c r="S491" s="633"/>
      <c r="T491" s="633"/>
    </row>
    <row r="492">
      <c r="A492" s="633"/>
      <c r="B492" s="633"/>
      <c r="C492" s="633"/>
      <c r="D492" s="633"/>
      <c r="E492" s="633"/>
      <c r="F492" s="633"/>
      <c r="G492" s="633"/>
      <c r="H492" s="633"/>
      <c r="I492" s="633"/>
      <c r="J492" s="633"/>
      <c r="K492" s="633"/>
      <c r="L492" s="633"/>
      <c r="M492" s="633"/>
      <c r="N492" s="633"/>
      <c r="O492" s="633"/>
      <c r="P492" s="633"/>
      <c r="Q492" s="633"/>
      <c r="R492" s="633"/>
      <c r="S492" s="633"/>
      <c r="T492" s="633"/>
    </row>
    <row r="493">
      <c r="A493" s="633"/>
      <c r="B493" s="633"/>
      <c r="C493" s="633"/>
      <c r="D493" s="633"/>
      <c r="E493" s="633"/>
      <c r="F493" s="633"/>
      <c r="G493" s="633"/>
      <c r="H493" s="633"/>
      <c r="I493" s="633"/>
      <c r="J493" s="633"/>
      <c r="K493" s="633"/>
      <c r="L493" s="633"/>
      <c r="M493" s="633"/>
      <c r="N493" s="633"/>
      <c r="O493" s="633"/>
      <c r="P493" s="633"/>
      <c r="Q493" s="633"/>
      <c r="R493" s="633"/>
      <c r="S493" s="633"/>
      <c r="T493" s="633"/>
    </row>
    <row r="494">
      <c r="A494" s="633"/>
      <c r="B494" s="633"/>
      <c r="C494" s="633"/>
      <c r="D494" s="633"/>
      <c r="E494" s="633"/>
      <c r="F494" s="633"/>
      <c r="G494" s="633"/>
      <c r="H494" s="633"/>
      <c r="I494" s="633"/>
      <c r="J494" s="633"/>
      <c r="K494" s="633"/>
      <c r="L494" s="633"/>
      <c r="M494" s="633"/>
      <c r="N494" s="633"/>
      <c r="O494" s="633"/>
      <c r="P494" s="633"/>
      <c r="Q494" s="633"/>
      <c r="R494" s="633"/>
      <c r="S494" s="633"/>
      <c r="T494" s="633"/>
    </row>
    <row r="495">
      <c r="A495" s="633"/>
      <c r="B495" s="633"/>
      <c r="C495" s="633"/>
      <c r="D495" s="633"/>
      <c r="E495" s="633"/>
      <c r="F495" s="633"/>
      <c r="G495" s="633"/>
      <c r="H495" s="633"/>
      <c r="I495" s="633"/>
      <c r="J495" s="633"/>
      <c r="K495" s="633"/>
      <c r="L495" s="633"/>
      <c r="M495" s="633"/>
      <c r="N495" s="633"/>
      <c r="O495" s="633"/>
      <c r="P495" s="633"/>
      <c r="Q495" s="633"/>
      <c r="R495" s="633"/>
      <c r="S495" s="633"/>
      <c r="T495" s="633"/>
    </row>
    <row r="496">
      <c r="A496" s="633"/>
      <c r="B496" s="633"/>
      <c r="C496" s="633"/>
      <c r="D496" s="633"/>
      <c r="E496" s="633"/>
      <c r="F496" s="633"/>
      <c r="G496" s="633"/>
      <c r="H496" s="633"/>
      <c r="I496" s="633"/>
      <c r="J496" s="633"/>
      <c r="K496" s="633"/>
      <c r="L496" s="633"/>
      <c r="M496" s="633"/>
      <c r="N496" s="633"/>
      <c r="O496" s="633"/>
      <c r="P496" s="633"/>
      <c r="Q496" s="633"/>
      <c r="R496" s="633"/>
      <c r="S496" s="633"/>
      <c r="T496" s="633"/>
    </row>
    <row r="497">
      <c r="A497" s="633"/>
      <c r="B497" s="633"/>
      <c r="C497" s="633"/>
      <c r="D497" s="633"/>
      <c r="E497" s="633"/>
      <c r="F497" s="633"/>
      <c r="G497" s="633"/>
      <c r="H497" s="633"/>
      <c r="I497" s="633"/>
      <c r="J497" s="633"/>
      <c r="K497" s="633"/>
      <c r="L497" s="633"/>
      <c r="M497" s="633"/>
      <c r="N497" s="633"/>
      <c r="O497" s="633"/>
      <c r="P497" s="633"/>
      <c r="Q497" s="633"/>
      <c r="R497" s="633"/>
      <c r="S497" s="633"/>
      <c r="T497" s="633"/>
    </row>
    <row r="498">
      <c r="A498" s="633"/>
      <c r="B498" s="633"/>
      <c r="C498" s="633"/>
      <c r="D498" s="633"/>
      <c r="E498" s="633"/>
      <c r="F498" s="633"/>
      <c r="G498" s="633"/>
      <c r="H498" s="633"/>
      <c r="I498" s="633"/>
      <c r="J498" s="633"/>
      <c r="K498" s="633"/>
      <c r="L498" s="633"/>
      <c r="M498" s="633"/>
      <c r="N498" s="633"/>
      <c r="O498" s="633"/>
      <c r="P498" s="633"/>
      <c r="Q498" s="633"/>
      <c r="R498" s="633"/>
      <c r="S498" s="633"/>
      <c r="T498" s="633"/>
    </row>
    <row r="499">
      <c r="A499" s="633"/>
      <c r="B499" s="633"/>
      <c r="C499" s="633"/>
      <c r="D499" s="633"/>
      <c r="E499" s="633"/>
      <c r="F499" s="633"/>
      <c r="G499" s="633"/>
      <c r="H499" s="633"/>
      <c r="I499" s="633"/>
      <c r="J499" s="633"/>
      <c r="K499" s="633"/>
      <c r="L499" s="633"/>
      <c r="M499" s="633"/>
      <c r="N499" s="633"/>
      <c r="O499" s="633"/>
      <c r="P499" s="633"/>
      <c r="Q499" s="633"/>
      <c r="R499" s="633"/>
      <c r="S499" s="633"/>
      <c r="T499" s="633"/>
    </row>
    <row r="500">
      <c r="A500" s="633"/>
      <c r="B500" s="633"/>
      <c r="C500" s="633"/>
      <c r="D500" s="633"/>
      <c r="E500" s="633"/>
      <c r="F500" s="633"/>
      <c r="G500" s="633"/>
      <c r="H500" s="633"/>
      <c r="I500" s="633"/>
      <c r="J500" s="633"/>
      <c r="K500" s="633"/>
      <c r="L500" s="633"/>
      <c r="M500" s="633"/>
      <c r="N500" s="633"/>
      <c r="O500" s="633"/>
      <c r="P500" s="633"/>
      <c r="Q500" s="633"/>
      <c r="R500" s="633"/>
      <c r="S500" s="633"/>
      <c r="T500" s="633"/>
    </row>
    <row r="501">
      <c r="A501" s="633"/>
      <c r="B501" s="633"/>
      <c r="C501" s="633"/>
      <c r="D501" s="633"/>
      <c r="E501" s="633"/>
      <c r="F501" s="633"/>
      <c r="G501" s="633"/>
      <c r="H501" s="633"/>
      <c r="I501" s="633"/>
      <c r="J501" s="633"/>
      <c r="K501" s="633"/>
      <c r="L501" s="633"/>
      <c r="M501" s="633"/>
      <c r="N501" s="633"/>
      <c r="O501" s="633"/>
      <c r="P501" s="633"/>
      <c r="Q501" s="633"/>
      <c r="R501" s="633"/>
      <c r="S501" s="633"/>
      <c r="T501" s="633"/>
    </row>
    <row r="502">
      <c r="A502" s="633"/>
      <c r="B502" s="633"/>
      <c r="C502" s="633"/>
      <c r="D502" s="633"/>
      <c r="E502" s="633"/>
      <c r="F502" s="633"/>
      <c r="G502" s="633"/>
      <c r="H502" s="633"/>
      <c r="I502" s="633"/>
      <c r="J502" s="633"/>
      <c r="K502" s="633"/>
      <c r="L502" s="633"/>
      <c r="M502" s="633"/>
      <c r="N502" s="633"/>
      <c r="O502" s="633"/>
      <c r="P502" s="633"/>
      <c r="Q502" s="633"/>
      <c r="R502" s="633"/>
      <c r="S502" s="633"/>
      <c r="T502" s="633"/>
    </row>
    <row r="503">
      <c r="A503" s="633"/>
      <c r="B503" s="633"/>
      <c r="C503" s="633"/>
      <c r="D503" s="633"/>
      <c r="E503" s="633"/>
      <c r="F503" s="633"/>
      <c r="G503" s="633"/>
      <c r="H503" s="633"/>
      <c r="I503" s="633"/>
      <c r="J503" s="633"/>
      <c r="K503" s="633"/>
      <c r="L503" s="633"/>
      <c r="M503" s="633"/>
      <c r="N503" s="633"/>
      <c r="O503" s="633"/>
      <c r="P503" s="633"/>
      <c r="Q503" s="633"/>
      <c r="R503" s="633"/>
      <c r="S503" s="633"/>
      <c r="T503" s="633"/>
    </row>
    <row r="504">
      <c r="A504" s="633"/>
      <c r="B504" s="633"/>
      <c r="C504" s="633"/>
      <c r="D504" s="633"/>
      <c r="E504" s="633"/>
      <c r="F504" s="633"/>
      <c r="G504" s="633"/>
      <c r="H504" s="633"/>
      <c r="I504" s="633"/>
      <c r="J504" s="633"/>
      <c r="K504" s="633"/>
      <c r="L504" s="633"/>
      <c r="M504" s="633"/>
      <c r="N504" s="633"/>
      <c r="O504" s="633"/>
      <c r="P504" s="633"/>
      <c r="Q504" s="633"/>
      <c r="R504" s="633"/>
      <c r="S504" s="633"/>
      <c r="T504" s="633"/>
    </row>
    <row r="505">
      <c r="A505" s="633"/>
      <c r="B505" s="633"/>
      <c r="C505" s="633"/>
      <c r="D505" s="633"/>
      <c r="E505" s="633"/>
      <c r="F505" s="633"/>
      <c r="G505" s="633"/>
      <c r="H505" s="633"/>
      <c r="I505" s="633"/>
      <c r="J505" s="633"/>
      <c r="K505" s="633"/>
      <c r="L505" s="633"/>
      <c r="M505" s="633"/>
      <c r="N505" s="633"/>
      <c r="O505" s="633"/>
      <c r="P505" s="633"/>
      <c r="Q505" s="633"/>
      <c r="R505" s="633"/>
      <c r="S505" s="633"/>
      <c r="T505" s="633"/>
    </row>
    <row r="506">
      <c r="A506" s="633"/>
      <c r="B506" s="633"/>
      <c r="C506" s="633"/>
      <c r="D506" s="633"/>
      <c r="E506" s="633"/>
      <c r="F506" s="633"/>
      <c r="G506" s="633"/>
      <c r="H506" s="633"/>
      <c r="I506" s="633"/>
      <c r="J506" s="633"/>
      <c r="K506" s="633"/>
      <c r="L506" s="633"/>
      <c r="M506" s="633"/>
      <c r="N506" s="633"/>
      <c r="O506" s="633"/>
      <c r="P506" s="633"/>
      <c r="Q506" s="633"/>
      <c r="R506" s="633"/>
      <c r="S506" s="633"/>
      <c r="T506" s="633"/>
    </row>
    <row r="507">
      <c r="A507" s="633"/>
      <c r="B507" s="633"/>
      <c r="C507" s="633"/>
      <c r="D507" s="633"/>
      <c r="E507" s="633"/>
      <c r="F507" s="633"/>
      <c r="G507" s="633"/>
      <c r="H507" s="633"/>
      <c r="I507" s="633"/>
      <c r="J507" s="633"/>
      <c r="K507" s="633"/>
      <c r="L507" s="633"/>
      <c r="M507" s="633"/>
      <c r="N507" s="633"/>
      <c r="O507" s="633"/>
      <c r="P507" s="633"/>
      <c r="Q507" s="633"/>
      <c r="R507" s="633"/>
      <c r="S507" s="633"/>
      <c r="T507" s="633"/>
    </row>
    <row r="508">
      <c r="A508" s="633"/>
      <c r="B508" s="633"/>
      <c r="C508" s="633"/>
      <c r="D508" s="633"/>
      <c r="E508" s="633"/>
      <c r="F508" s="633"/>
      <c r="G508" s="633"/>
      <c r="H508" s="633"/>
      <c r="I508" s="633"/>
      <c r="J508" s="633"/>
      <c r="K508" s="633"/>
      <c r="L508" s="633"/>
      <c r="M508" s="633"/>
      <c r="N508" s="633"/>
      <c r="O508" s="633"/>
      <c r="P508" s="633"/>
      <c r="Q508" s="633"/>
      <c r="R508" s="633"/>
      <c r="S508" s="633"/>
      <c r="T508" s="633"/>
    </row>
    <row r="509">
      <c r="A509" s="633"/>
      <c r="B509" s="633"/>
      <c r="C509" s="633"/>
      <c r="D509" s="633"/>
      <c r="E509" s="633"/>
      <c r="F509" s="633"/>
      <c r="G509" s="633"/>
      <c r="H509" s="633"/>
      <c r="I509" s="633"/>
      <c r="J509" s="633"/>
      <c r="K509" s="633"/>
      <c r="L509" s="633"/>
      <c r="M509" s="633"/>
      <c r="N509" s="633"/>
      <c r="O509" s="633"/>
      <c r="P509" s="633"/>
      <c r="Q509" s="633"/>
      <c r="R509" s="633"/>
      <c r="S509" s="633"/>
      <c r="T509" s="633"/>
    </row>
    <row r="510">
      <c r="A510" s="633"/>
      <c r="B510" s="633"/>
      <c r="C510" s="633"/>
      <c r="D510" s="633"/>
      <c r="E510" s="633"/>
      <c r="F510" s="633"/>
      <c r="G510" s="633"/>
      <c r="H510" s="633"/>
      <c r="I510" s="633"/>
      <c r="J510" s="633"/>
      <c r="K510" s="633"/>
      <c r="L510" s="633"/>
      <c r="M510" s="633"/>
      <c r="N510" s="633"/>
      <c r="O510" s="633"/>
      <c r="P510" s="633"/>
      <c r="Q510" s="633"/>
      <c r="R510" s="633"/>
      <c r="S510" s="633"/>
      <c r="T510" s="633"/>
    </row>
    <row r="511">
      <c r="A511" s="633"/>
      <c r="B511" s="633"/>
      <c r="C511" s="633"/>
      <c r="D511" s="633"/>
      <c r="E511" s="633"/>
      <c r="F511" s="633"/>
      <c r="G511" s="633"/>
      <c r="H511" s="633"/>
      <c r="I511" s="633"/>
      <c r="J511" s="633"/>
      <c r="K511" s="633"/>
      <c r="L511" s="633"/>
      <c r="M511" s="633"/>
      <c r="N511" s="633"/>
      <c r="O511" s="633"/>
      <c r="P511" s="633"/>
      <c r="Q511" s="633"/>
      <c r="R511" s="633"/>
      <c r="S511" s="633"/>
      <c r="T511" s="633"/>
    </row>
    <row r="512">
      <c r="A512" s="633"/>
      <c r="B512" s="633"/>
      <c r="C512" s="633"/>
      <c r="D512" s="633"/>
      <c r="E512" s="633"/>
      <c r="F512" s="633"/>
      <c r="G512" s="633"/>
      <c r="H512" s="633"/>
      <c r="I512" s="633"/>
      <c r="J512" s="633"/>
      <c r="K512" s="633"/>
      <c r="L512" s="633"/>
      <c r="M512" s="633"/>
      <c r="N512" s="633"/>
      <c r="O512" s="633"/>
      <c r="P512" s="633"/>
      <c r="Q512" s="633"/>
      <c r="R512" s="633"/>
      <c r="S512" s="633"/>
      <c r="T512" s="633"/>
    </row>
    <row r="513">
      <c r="A513" s="633"/>
      <c r="B513" s="633"/>
      <c r="C513" s="633"/>
      <c r="D513" s="633"/>
      <c r="E513" s="633"/>
      <c r="F513" s="633"/>
      <c r="G513" s="633"/>
      <c r="H513" s="633"/>
      <c r="I513" s="633"/>
      <c r="J513" s="633"/>
      <c r="K513" s="633"/>
      <c r="L513" s="633"/>
      <c r="M513" s="633"/>
      <c r="N513" s="633"/>
      <c r="O513" s="633"/>
      <c r="P513" s="633"/>
      <c r="Q513" s="633"/>
      <c r="R513" s="633"/>
      <c r="S513" s="633"/>
      <c r="T513" s="633"/>
    </row>
    <row r="514">
      <c r="A514" s="633"/>
      <c r="B514" s="633"/>
      <c r="C514" s="633"/>
      <c r="D514" s="633"/>
      <c r="E514" s="633"/>
      <c r="F514" s="633"/>
      <c r="G514" s="633"/>
      <c r="H514" s="633"/>
      <c r="I514" s="633"/>
      <c r="J514" s="633"/>
      <c r="K514" s="633"/>
      <c r="L514" s="633"/>
      <c r="M514" s="633"/>
      <c r="N514" s="633"/>
      <c r="O514" s="633"/>
      <c r="P514" s="633"/>
      <c r="Q514" s="633"/>
      <c r="R514" s="633"/>
      <c r="S514" s="633"/>
      <c r="T514" s="633"/>
    </row>
    <row r="515">
      <c r="A515" s="633"/>
      <c r="B515" s="633"/>
      <c r="C515" s="633"/>
      <c r="D515" s="633"/>
      <c r="E515" s="633"/>
      <c r="F515" s="633"/>
      <c r="G515" s="633"/>
      <c r="H515" s="633"/>
      <c r="I515" s="633"/>
      <c r="J515" s="633"/>
      <c r="K515" s="633"/>
      <c r="L515" s="633"/>
      <c r="M515" s="633"/>
      <c r="N515" s="633"/>
      <c r="O515" s="633"/>
      <c r="P515" s="633"/>
      <c r="Q515" s="633"/>
      <c r="R515" s="633"/>
      <c r="S515" s="633"/>
      <c r="T515" s="633"/>
    </row>
    <row r="516">
      <c r="A516" s="633"/>
      <c r="B516" s="633"/>
      <c r="C516" s="633"/>
      <c r="D516" s="633"/>
      <c r="E516" s="633"/>
      <c r="F516" s="633"/>
      <c r="G516" s="633"/>
      <c r="H516" s="633"/>
      <c r="I516" s="633"/>
      <c r="J516" s="633"/>
      <c r="K516" s="633"/>
      <c r="L516" s="633"/>
      <c r="M516" s="633"/>
      <c r="N516" s="633"/>
      <c r="O516" s="633"/>
      <c r="P516" s="633"/>
      <c r="Q516" s="633"/>
      <c r="R516" s="633"/>
      <c r="S516" s="633"/>
      <c r="T516" s="633"/>
    </row>
    <row r="517">
      <c r="A517" s="633"/>
      <c r="B517" s="633"/>
      <c r="C517" s="633"/>
      <c r="D517" s="633"/>
      <c r="E517" s="633"/>
      <c r="F517" s="633"/>
      <c r="G517" s="633"/>
      <c r="H517" s="633"/>
      <c r="I517" s="633"/>
      <c r="J517" s="633"/>
      <c r="K517" s="633"/>
      <c r="L517" s="633"/>
      <c r="M517" s="633"/>
      <c r="N517" s="633"/>
      <c r="O517" s="633"/>
      <c r="P517" s="633"/>
      <c r="Q517" s="633"/>
      <c r="R517" s="633"/>
      <c r="S517" s="633"/>
      <c r="T517" s="633"/>
    </row>
    <row r="518">
      <c r="A518" s="633"/>
      <c r="B518" s="633"/>
      <c r="C518" s="633"/>
      <c r="D518" s="633"/>
      <c r="E518" s="633"/>
      <c r="F518" s="633"/>
      <c r="G518" s="633"/>
      <c r="H518" s="633"/>
      <c r="I518" s="633"/>
      <c r="J518" s="633"/>
      <c r="K518" s="633"/>
      <c r="L518" s="633"/>
      <c r="M518" s="633"/>
      <c r="N518" s="633"/>
      <c r="O518" s="633"/>
      <c r="P518" s="633"/>
      <c r="Q518" s="633"/>
      <c r="R518" s="633"/>
      <c r="S518" s="633"/>
      <c r="T518" s="633"/>
    </row>
    <row r="519">
      <c r="A519" s="633"/>
      <c r="B519" s="633"/>
      <c r="C519" s="633"/>
      <c r="D519" s="633"/>
      <c r="E519" s="633"/>
      <c r="F519" s="633"/>
      <c r="G519" s="633"/>
      <c r="H519" s="633"/>
      <c r="I519" s="633"/>
      <c r="J519" s="633"/>
      <c r="K519" s="633"/>
      <c r="L519" s="633"/>
      <c r="M519" s="633"/>
      <c r="N519" s="633"/>
      <c r="O519" s="633"/>
      <c r="P519" s="633"/>
      <c r="Q519" s="633"/>
      <c r="R519" s="633"/>
      <c r="S519" s="633"/>
      <c r="T519" s="633"/>
    </row>
    <row r="520">
      <c r="A520" s="633"/>
      <c r="B520" s="633"/>
      <c r="C520" s="633"/>
      <c r="D520" s="633"/>
      <c r="E520" s="633"/>
      <c r="F520" s="633"/>
      <c r="G520" s="633"/>
      <c r="H520" s="633"/>
      <c r="I520" s="633"/>
      <c r="J520" s="633"/>
      <c r="K520" s="633"/>
      <c r="L520" s="633"/>
      <c r="M520" s="633"/>
      <c r="N520" s="633"/>
      <c r="O520" s="633"/>
      <c r="P520" s="633"/>
      <c r="Q520" s="633"/>
      <c r="R520" s="633"/>
      <c r="S520" s="633"/>
      <c r="T520" s="633"/>
    </row>
    <row r="521">
      <c r="A521" s="633"/>
      <c r="B521" s="633"/>
      <c r="C521" s="633"/>
      <c r="D521" s="633"/>
      <c r="E521" s="633"/>
      <c r="F521" s="633"/>
      <c r="G521" s="633"/>
      <c r="H521" s="633"/>
      <c r="I521" s="633"/>
      <c r="J521" s="633"/>
      <c r="K521" s="633"/>
      <c r="L521" s="633"/>
      <c r="M521" s="633"/>
      <c r="N521" s="633"/>
      <c r="O521" s="633"/>
      <c r="P521" s="633"/>
      <c r="Q521" s="633"/>
      <c r="R521" s="633"/>
      <c r="S521" s="633"/>
      <c r="T521" s="633"/>
    </row>
    <row r="522">
      <c r="A522" s="633"/>
      <c r="B522" s="633"/>
      <c r="C522" s="633"/>
      <c r="D522" s="633"/>
      <c r="E522" s="633"/>
      <c r="F522" s="633"/>
      <c r="G522" s="633"/>
      <c r="H522" s="633"/>
      <c r="I522" s="633"/>
      <c r="J522" s="633"/>
      <c r="K522" s="633"/>
      <c r="L522" s="633"/>
      <c r="M522" s="633"/>
      <c r="N522" s="633"/>
      <c r="O522" s="633"/>
      <c r="P522" s="633"/>
      <c r="Q522" s="633"/>
      <c r="R522" s="633"/>
      <c r="S522" s="633"/>
      <c r="T522" s="633"/>
    </row>
    <row r="523">
      <c r="A523" s="633"/>
      <c r="B523" s="633"/>
      <c r="C523" s="633"/>
      <c r="D523" s="633"/>
      <c r="E523" s="633"/>
      <c r="F523" s="633"/>
      <c r="G523" s="633"/>
      <c r="H523" s="633"/>
      <c r="I523" s="633"/>
      <c r="J523" s="633"/>
      <c r="K523" s="633"/>
      <c r="L523" s="633"/>
      <c r="M523" s="633"/>
      <c r="N523" s="633"/>
      <c r="O523" s="633"/>
      <c r="P523" s="633"/>
      <c r="Q523" s="633"/>
      <c r="R523" s="633"/>
      <c r="S523" s="633"/>
      <c r="T523" s="633"/>
    </row>
    <row r="524">
      <c r="A524" s="633"/>
      <c r="B524" s="633"/>
      <c r="C524" s="633"/>
      <c r="D524" s="633"/>
      <c r="E524" s="633"/>
      <c r="F524" s="633"/>
      <c r="G524" s="633"/>
      <c r="H524" s="633"/>
      <c r="I524" s="633"/>
      <c r="J524" s="633"/>
      <c r="K524" s="633"/>
      <c r="L524" s="633"/>
      <c r="M524" s="633"/>
      <c r="N524" s="633"/>
      <c r="O524" s="633"/>
      <c r="P524" s="633"/>
      <c r="Q524" s="633"/>
      <c r="R524" s="633"/>
      <c r="S524" s="633"/>
      <c r="T524" s="633"/>
    </row>
    <row r="525">
      <c r="A525" s="633"/>
      <c r="B525" s="633"/>
      <c r="C525" s="633"/>
      <c r="D525" s="633"/>
      <c r="E525" s="633"/>
      <c r="F525" s="633"/>
      <c r="G525" s="633"/>
      <c r="H525" s="633"/>
      <c r="I525" s="633"/>
      <c r="J525" s="633"/>
      <c r="K525" s="633"/>
      <c r="L525" s="633"/>
      <c r="M525" s="633"/>
      <c r="N525" s="633"/>
      <c r="O525" s="633"/>
      <c r="P525" s="633"/>
      <c r="Q525" s="633"/>
      <c r="R525" s="633"/>
      <c r="S525" s="633"/>
      <c r="T525" s="633"/>
    </row>
    <row r="526">
      <c r="A526" s="633"/>
      <c r="B526" s="633"/>
      <c r="C526" s="633"/>
      <c r="D526" s="633"/>
      <c r="E526" s="633"/>
      <c r="F526" s="633"/>
      <c r="G526" s="633"/>
      <c r="H526" s="633"/>
      <c r="I526" s="633"/>
      <c r="J526" s="633"/>
      <c r="K526" s="633"/>
      <c r="L526" s="633"/>
      <c r="M526" s="633"/>
      <c r="N526" s="633"/>
      <c r="O526" s="633"/>
      <c r="P526" s="633"/>
      <c r="Q526" s="633"/>
      <c r="R526" s="633"/>
      <c r="S526" s="633"/>
      <c r="T526" s="633"/>
    </row>
    <row r="527">
      <c r="A527" s="633"/>
      <c r="B527" s="633"/>
      <c r="C527" s="633"/>
      <c r="D527" s="633"/>
      <c r="E527" s="633"/>
      <c r="F527" s="633"/>
      <c r="G527" s="633"/>
      <c r="H527" s="633"/>
      <c r="I527" s="633"/>
      <c r="J527" s="633"/>
      <c r="K527" s="633"/>
      <c r="L527" s="633"/>
      <c r="M527" s="633"/>
      <c r="N527" s="633"/>
      <c r="O527" s="633"/>
      <c r="P527" s="633"/>
      <c r="Q527" s="633"/>
      <c r="R527" s="633"/>
      <c r="S527" s="633"/>
      <c r="T527" s="633"/>
    </row>
    <row r="528">
      <c r="A528" s="633"/>
      <c r="B528" s="633"/>
      <c r="C528" s="633"/>
      <c r="D528" s="633"/>
      <c r="E528" s="633"/>
      <c r="F528" s="633"/>
      <c r="G528" s="633"/>
      <c r="H528" s="633"/>
      <c r="I528" s="633"/>
      <c r="J528" s="633"/>
      <c r="K528" s="633"/>
      <c r="L528" s="633"/>
      <c r="M528" s="633"/>
      <c r="N528" s="633"/>
      <c r="O528" s="633"/>
      <c r="P528" s="633"/>
      <c r="Q528" s="633"/>
      <c r="R528" s="633"/>
      <c r="S528" s="633"/>
      <c r="T528" s="633"/>
    </row>
    <row r="529">
      <c r="A529" s="633"/>
      <c r="B529" s="633"/>
      <c r="C529" s="633"/>
      <c r="D529" s="633"/>
      <c r="E529" s="633"/>
      <c r="F529" s="633"/>
      <c r="G529" s="633"/>
      <c r="H529" s="633"/>
      <c r="I529" s="633"/>
      <c r="J529" s="633"/>
      <c r="K529" s="633"/>
      <c r="L529" s="633"/>
      <c r="M529" s="633"/>
      <c r="N529" s="633"/>
      <c r="O529" s="633"/>
      <c r="P529" s="633"/>
      <c r="Q529" s="633"/>
      <c r="R529" s="633"/>
      <c r="S529" s="633"/>
      <c r="T529" s="633"/>
    </row>
    <row r="530">
      <c r="A530" s="633"/>
      <c r="B530" s="633"/>
      <c r="C530" s="633"/>
      <c r="D530" s="633"/>
      <c r="E530" s="633"/>
      <c r="F530" s="633"/>
      <c r="G530" s="633"/>
      <c r="H530" s="633"/>
      <c r="I530" s="633"/>
      <c r="J530" s="633"/>
      <c r="K530" s="633"/>
      <c r="L530" s="633"/>
      <c r="M530" s="633"/>
      <c r="N530" s="633"/>
      <c r="O530" s="633"/>
      <c r="P530" s="633"/>
      <c r="Q530" s="633"/>
      <c r="R530" s="633"/>
      <c r="S530" s="633"/>
      <c r="T530" s="633"/>
    </row>
    <row r="531">
      <c r="A531" s="633"/>
      <c r="B531" s="633"/>
      <c r="C531" s="633"/>
      <c r="D531" s="633"/>
      <c r="E531" s="633"/>
      <c r="F531" s="633"/>
      <c r="G531" s="633"/>
      <c r="H531" s="633"/>
      <c r="I531" s="633"/>
      <c r="J531" s="633"/>
      <c r="K531" s="633"/>
      <c r="L531" s="633"/>
      <c r="M531" s="633"/>
      <c r="N531" s="633"/>
      <c r="O531" s="633"/>
      <c r="P531" s="633"/>
      <c r="Q531" s="633"/>
      <c r="R531" s="633"/>
      <c r="S531" s="633"/>
      <c r="T531" s="633"/>
    </row>
    <row r="532">
      <c r="A532" s="633"/>
      <c r="B532" s="633"/>
      <c r="C532" s="633"/>
      <c r="D532" s="633"/>
      <c r="E532" s="633"/>
      <c r="F532" s="633"/>
      <c r="G532" s="633"/>
      <c r="H532" s="633"/>
      <c r="I532" s="633"/>
      <c r="J532" s="633"/>
      <c r="K532" s="633"/>
      <c r="L532" s="633"/>
      <c r="M532" s="633"/>
      <c r="N532" s="633"/>
      <c r="O532" s="633"/>
      <c r="P532" s="633"/>
      <c r="Q532" s="633"/>
      <c r="R532" s="633"/>
      <c r="S532" s="633"/>
      <c r="T532" s="633"/>
    </row>
    <row r="533">
      <c r="A533" s="633"/>
      <c r="B533" s="633"/>
      <c r="C533" s="633"/>
      <c r="D533" s="633"/>
      <c r="E533" s="633"/>
      <c r="F533" s="633"/>
      <c r="G533" s="633"/>
      <c r="H533" s="633"/>
      <c r="I533" s="633"/>
      <c r="J533" s="633"/>
      <c r="K533" s="633"/>
      <c r="L533" s="633"/>
      <c r="M533" s="633"/>
      <c r="N533" s="633"/>
      <c r="O533" s="633"/>
      <c r="P533" s="633"/>
      <c r="Q533" s="633"/>
      <c r="R533" s="633"/>
      <c r="S533" s="633"/>
      <c r="T533" s="633"/>
    </row>
    <row r="534">
      <c r="A534" s="633"/>
      <c r="B534" s="633"/>
      <c r="C534" s="633"/>
      <c r="D534" s="633"/>
      <c r="E534" s="633"/>
      <c r="F534" s="633"/>
      <c r="G534" s="633"/>
      <c r="H534" s="633"/>
      <c r="I534" s="633"/>
      <c r="J534" s="633"/>
      <c r="K534" s="633"/>
      <c r="L534" s="633"/>
      <c r="M534" s="633"/>
      <c r="N534" s="633"/>
      <c r="O534" s="633"/>
      <c r="P534" s="633"/>
      <c r="Q534" s="633"/>
      <c r="R534" s="633"/>
      <c r="S534" s="633"/>
      <c r="T534" s="633"/>
    </row>
    <row r="535">
      <c r="A535" s="633"/>
      <c r="B535" s="633"/>
      <c r="C535" s="633"/>
      <c r="D535" s="633"/>
      <c r="E535" s="633"/>
      <c r="F535" s="633"/>
      <c r="G535" s="633"/>
      <c r="H535" s="633"/>
      <c r="I535" s="633"/>
      <c r="J535" s="633"/>
      <c r="K535" s="633"/>
      <c r="L535" s="633"/>
      <c r="M535" s="633"/>
      <c r="N535" s="633"/>
      <c r="O535" s="633"/>
      <c r="P535" s="633"/>
      <c r="Q535" s="633"/>
      <c r="R535" s="633"/>
      <c r="S535" s="633"/>
      <c r="T535" s="633"/>
    </row>
    <row r="536">
      <c r="A536" s="633"/>
      <c r="B536" s="633"/>
      <c r="C536" s="633"/>
      <c r="D536" s="633"/>
      <c r="E536" s="633"/>
      <c r="F536" s="633"/>
      <c r="G536" s="633"/>
      <c r="H536" s="633"/>
      <c r="I536" s="633"/>
      <c r="J536" s="633"/>
      <c r="K536" s="633"/>
      <c r="L536" s="633"/>
      <c r="M536" s="633"/>
      <c r="N536" s="633"/>
      <c r="O536" s="633"/>
      <c r="P536" s="633"/>
      <c r="Q536" s="633"/>
      <c r="R536" s="633"/>
      <c r="S536" s="633"/>
      <c r="T536" s="633"/>
    </row>
    <row r="537">
      <c r="A537" s="633"/>
      <c r="B537" s="633"/>
      <c r="C537" s="633"/>
      <c r="D537" s="633"/>
      <c r="E537" s="633"/>
      <c r="F537" s="633"/>
      <c r="G537" s="633"/>
      <c r="H537" s="633"/>
      <c r="I537" s="633"/>
      <c r="J537" s="633"/>
      <c r="K537" s="633"/>
      <c r="L537" s="633"/>
      <c r="M537" s="633"/>
      <c r="N537" s="633"/>
      <c r="O537" s="633"/>
      <c r="P537" s="633"/>
      <c r="Q537" s="633"/>
      <c r="R537" s="633"/>
      <c r="S537" s="633"/>
      <c r="T537" s="633"/>
    </row>
    <row r="538">
      <c r="A538" s="633"/>
      <c r="B538" s="633"/>
      <c r="C538" s="633"/>
      <c r="D538" s="633"/>
      <c r="E538" s="633"/>
      <c r="F538" s="633"/>
      <c r="G538" s="633"/>
      <c r="H538" s="633"/>
      <c r="I538" s="633"/>
      <c r="J538" s="633"/>
      <c r="K538" s="633"/>
      <c r="L538" s="633"/>
      <c r="M538" s="633"/>
      <c r="N538" s="633"/>
      <c r="O538" s="633"/>
      <c r="P538" s="633"/>
      <c r="Q538" s="633"/>
      <c r="R538" s="633"/>
      <c r="S538" s="633"/>
      <c r="T538" s="633"/>
    </row>
    <row r="539">
      <c r="A539" s="633"/>
      <c r="B539" s="633"/>
      <c r="C539" s="633"/>
      <c r="D539" s="633"/>
      <c r="E539" s="633"/>
      <c r="F539" s="633"/>
      <c r="G539" s="633"/>
      <c r="H539" s="633"/>
      <c r="I539" s="633"/>
      <c r="J539" s="633"/>
      <c r="K539" s="633"/>
      <c r="L539" s="633"/>
      <c r="M539" s="633"/>
      <c r="N539" s="633"/>
      <c r="O539" s="633"/>
      <c r="P539" s="633"/>
      <c r="Q539" s="633"/>
      <c r="R539" s="633"/>
      <c r="S539" s="633"/>
      <c r="T539" s="633"/>
    </row>
    <row r="540">
      <c r="A540" s="633"/>
      <c r="B540" s="633"/>
      <c r="C540" s="633"/>
      <c r="D540" s="633"/>
      <c r="E540" s="633"/>
      <c r="F540" s="633"/>
      <c r="G540" s="633"/>
      <c r="H540" s="633"/>
      <c r="I540" s="633"/>
      <c r="J540" s="633"/>
      <c r="K540" s="633"/>
      <c r="L540" s="633"/>
      <c r="M540" s="633"/>
      <c r="N540" s="633"/>
      <c r="O540" s="633"/>
      <c r="P540" s="633"/>
      <c r="Q540" s="633"/>
      <c r="R540" s="633"/>
      <c r="S540" s="633"/>
      <c r="T540" s="633"/>
    </row>
    <row r="541">
      <c r="A541" s="633"/>
      <c r="B541" s="633"/>
      <c r="C541" s="633"/>
      <c r="D541" s="633"/>
      <c r="E541" s="633"/>
      <c r="F541" s="633"/>
      <c r="G541" s="633"/>
      <c r="H541" s="633"/>
      <c r="I541" s="633"/>
      <c r="J541" s="633"/>
      <c r="K541" s="633"/>
      <c r="L541" s="633"/>
      <c r="M541" s="633"/>
      <c r="N541" s="633"/>
      <c r="O541" s="633"/>
      <c r="P541" s="633"/>
      <c r="Q541" s="633"/>
      <c r="R541" s="633"/>
      <c r="S541" s="633"/>
      <c r="T541" s="633"/>
    </row>
    <row r="542">
      <c r="A542" s="633"/>
      <c r="B542" s="633"/>
      <c r="C542" s="633"/>
      <c r="D542" s="633"/>
      <c r="E542" s="633"/>
      <c r="F542" s="633"/>
      <c r="G542" s="633"/>
      <c r="H542" s="633"/>
      <c r="I542" s="633"/>
      <c r="J542" s="633"/>
      <c r="K542" s="633"/>
      <c r="L542" s="633"/>
      <c r="M542" s="633"/>
      <c r="N542" s="633"/>
      <c r="O542" s="633"/>
      <c r="P542" s="633"/>
      <c r="Q542" s="633"/>
      <c r="R542" s="633"/>
      <c r="S542" s="633"/>
      <c r="T542" s="633"/>
    </row>
    <row r="543">
      <c r="A543" s="633"/>
      <c r="B543" s="633"/>
      <c r="C543" s="633"/>
      <c r="D543" s="633"/>
      <c r="E543" s="633"/>
      <c r="F543" s="633"/>
      <c r="G543" s="633"/>
      <c r="H543" s="633"/>
      <c r="I543" s="633"/>
      <c r="J543" s="633"/>
      <c r="K543" s="633"/>
      <c r="L543" s="633"/>
      <c r="M543" s="633"/>
      <c r="N543" s="633"/>
      <c r="O543" s="633"/>
      <c r="P543" s="633"/>
      <c r="Q543" s="633"/>
      <c r="R543" s="633"/>
      <c r="S543" s="633"/>
      <c r="T543" s="633"/>
    </row>
    <row r="544">
      <c r="A544" s="633"/>
      <c r="B544" s="633"/>
      <c r="C544" s="633"/>
      <c r="D544" s="633"/>
      <c r="E544" s="633"/>
      <c r="F544" s="633"/>
      <c r="G544" s="633"/>
      <c r="H544" s="633"/>
      <c r="I544" s="633"/>
      <c r="J544" s="633"/>
      <c r="K544" s="633"/>
      <c r="L544" s="633"/>
      <c r="M544" s="633"/>
      <c r="N544" s="633"/>
      <c r="O544" s="633"/>
      <c r="P544" s="633"/>
      <c r="Q544" s="633"/>
      <c r="R544" s="633"/>
      <c r="S544" s="633"/>
      <c r="T544" s="633"/>
    </row>
    <row r="545">
      <c r="A545" s="633"/>
      <c r="B545" s="633"/>
      <c r="C545" s="633"/>
      <c r="D545" s="633"/>
      <c r="E545" s="633"/>
      <c r="F545" s="633"/>
      <c r="G545" s="633"/>
      <c r="H545" s="633"/>
      <c r="I545" s="633"/>
      <c r="J545" s="633"/>
      <c r="K545" s="633"/>
      <c r="L545" s="633"/>
      <c r="M545" s="633"/>
      <c r="N545" s="633"/>
      <c r="O545" s="633"/>
      <c r="P545" s="633"/>
      <c r="Q545" s="633"/>
      <c r="R545" s="633"/>
      <c r="S545" s="633"/>
      <c r="T545" s="633"/>
    </row>
    <row r="546">
      <c r="A546" s="633"/>
      <c r="B546" s="633"/>
      <c r="C546" s="633"/>
      <c r="D546" s="633"/>
      <c r="E546" s="633"/>
      <c r="F546" s="633"/>
      <c r="G546" s="633"/>
      <c r="H546" s="633"/>
      <c r="I546" s="633"/>
      <c r="J546" s="633"/>
      <c r="K546" s="633"/>
      <c r="L546" s="633"/>
      <c r="M546" s="633"/>
      <c r="N546" s="633"/>
      <c r="O546" s="633"/>
      <c r="P546" s="633"/>
      <c r="Q546" s="633"/>
      <c r="R546" s="633"/>
      <c r="S546" s="633"/>
      <c r="T546" s="633"/>
    </row>
    <row r="547">
      <c r="A547" s="633"/>
      <c r="B547" s="633"/>
      <c r="C547" s="633"/>
      <c r="D547" s="633"/>
      <c r="E547" s="633"/>
      <c r="F547" s="633"/>
      <c r="G547" s="633"/>
      <c r="H547" s="633"/>
      <c r="I547" s="633"/>
      <c r="J547" s="633"/>
      <c r="K547" s="633"/>
      <c r="L547" s="633"/>
      <c r="M547" s="633"/>
      <c r="N547" s="633"/>
      <c r="O547" s="633"/>
      <c r="P547" s="633"/>
      <c r="Q547" s="633"/>
      <c r="R547" s="633"/>
      <c r="S547" s="633"/>
      <c r="T547" s="633"/>
    </row>
    <row r="548">
      <c r="A548" s="633"/>
      <c r="B548" s="633"/>
      <c r="C548" s="633"/>
      <c r="D548" s="633"/>
      <c r="E548" s="633"/>
      <c r="F548" s="633"/>
      <c r="G548" s="633"/>
      <c r="H548" s="633"/>
      <c r="I548" s="633"/>
      <c r="J548" s="633"/>
      <c r="K548" s="633"/>
      <c r="L548" s="633"/>
      <c r="M548" s="633"/>
      <c r="N548" s="633"/>
      <c r="O548" s="633"/>
      <c r="P548" s="633"/>
      <c r="Q548" s="633"/>
      <c r="R548" s="633"/>
      <c r="S548" s="633"/>
      <c r="T548" s="633"/>
    </row>
    <row r="549">
      <c r="A549" s="633"/>
      <c r="B549" s="633"/>
      <c r="C549" s="633"/>
      <c r="D549" s="633"/>
      <c r="E549" s="633"/>
      <c r="F549" s="633"/>
      <c r="G549" s="633"/>
      <c r="H549" s="633"/>
      <c r="I549" s="633"/>
      <c r="J549" s="633"/>
      <c r="K549" s="633"/>
      <c r="L549" s="633"/>
      <c r="M549" s="633"/>
      <c r="N549" s="633"/>
      <c r="O549" s="633"/>
      <c r="P549" s="633"/>
      <c r="Q549" s="633"/>
      <c r="R549" s="633"/>
      <c r="S549" s="633"/>
      <c r="T549" s="633"/>
    </row>
    <row r="550">
      <c r="A550" s="633"/>
      <c r="B550" s="633"/>
      <c r="C550" s="633"/>
      <c r="D550" s="633"/>
      <c r="E550" s="633"/>
      <c r="F550" s="633"/>
      <c r="G550" s="633"/>
      <c r="H550" s="633"/>
      <c r="I550" s="633"/>
      <c r="J550" s="633"/>
      <c r="K550" s="633"/>
      <c r="L550" s="633"/>
      <c r="M550" s="633"/>
      <c r="N550" s="633"/>
      <c r="O550" s="633"/>
      <c r="P550" s="633"/>
      <c r="Q550" s="633"/>
      <c r="R550" s="633"/>
      <c r="S550" s="633"/>
      <c r="T550" s="633"/>
    </row>
    <row r="551">
      <c r="A551" s="633"/>
      <c r="B551" s="633"/>
      <c r="C551" s="633"/>
      <c r="D551" s="633"/>
      <c r="E551" s="633"/>
      <c r="F551" s="633"/>
      <c r="G551" s="633"/>
      <c r="H551" s="633"/>
      <c r="I551" s="633"/>
      <c r="J551" s="633"/>
      <c r="K551" s="633"/>
      <c r="L551" s="633"/>
      <c r="M551" s="633"/>
      <c r="N551" s="633"/>
      <c r="O551" s="633"/>
      <c r="P551" s="633"/>
      <c r="Q551" s="633"/>
      <c r="R551" s="633"/>
      <c r="S551" s="633"/>
      <c r="T551" s="633"/>
    </row>
    <row r="552">
      <c r="A552" s="633"/>
      <c r="B552" s="633"/>
      <c r="C552" s="633"/>
      <c r="D552" s="633"/>
      <c r="E552" s="633"/>
      <c r="F552" s="633"/>
      <c r="G552" s="633"/>
      <c r="H552" s="633"/>
      <c r="I552" s="633"/>
      <c r="J552" s="633"/>
      <c r="K552" s="633"/>
      <c r="L552" s="633"/>
      <c r="M552" s="633"/>
      <c r="N552" s="633"/>
      <c r="O552" s="633"/>
      <c r="P552" s="633"/>
      <c r="Q552" s="633"/>
      <c r="R552" s="633"/>
      <c r="S552" s="633"/>
      <c r="T552" s="633"/>
    </row>
    <row r="553">
      <c r="A553" s="633"/>
      <c r="B553" s="633"/>
      <c r="C553" s="633"/>
      <c r="D553" s="633"/>
      <c r="E553" s="633"/>
      <c r="F553" s="633"/>
      <c r="G553" s="633"/>
      <c r="H553" s="633"/>
      <c r="I553" s="633"/>
      <c r="J553" s="633"/>
      <c r="K553" s="633"/>
      <c r="L553" s="633"/>
      <c r="M553" s="633"/>
      <c r="N553" s="633"/>
      <c r="O553" s="633"/>
      <c r="P553" s="633"/>
      <c r="Q553" s="633"/>
      <c r="R553" s="633"/>
      <c r="S553" s="633"/>
      <c r="T553" s="633"/>
    </row>
    <row r="554">
      <c r="A554" s="633"/>
      <c r="B554" s="633"/>
      <c r="C554" s="633"/>
      <c r="D554" s="633"/>
      <c r="E554" s="633"/>
      <c r="F554" s="633"/>
      <c r="G554" s="633"/>
      <c r="H554" s="633"/>
      <c r="I554" s="633"/>
      <c r="J554" s="633"/>
      <c r="K554" s="633"/>
      <c r="L554" s="633"/>
      <c r="M554" s="633"/>
      <c r="N554" s="633"/>
      <c r="O554" s="633"/>
      <c r="P554" s="633"/>
      <c r="Q554" s="633"/>
      <c r="R554" s="633"/>
      <c r="S554" s="633"/>
      <c r="T554" s="633"/>
    </row>
    <row r="555">
      <c r="A555" s="633"/>
      <c r="B555" s="633"/>
      <c r="C555" s="633"/>
      <c r="D555" s="633"/>
      <c r="E555" s="633"/>
      <c r="F555" s="633"/>
      <c r="G555" s="633"/>
      <c r="H555" s="633"/>
      <c r="I555" s="633"/>
      <c r="J555" s="633"/>
      <c r="K555" s="633"/>
      <c r="L555" s="633"/>
      <c r="M555" s="633"/>
      <c r="N555" s="633"/>
      <c r="O555" s="633"/>
      <c r="P555" s="633"/>
      <c r="Q555" s="633"/>
      <c r="R555" s="633"/>
      <c r="S555" s="633"/>
      <c r="T555" s="633"/>
    </row>
    <row r="556">
      <c r="A556" s="633"/>
      <c r="B556" s="633"/>
      <c r="C556" s="633"/>
      <c r="D556" s="633"/>
      <c r="E556" s="633"/>
      <c r="F556" s="633"/>
      <c r="G556" s="633"/>
      <c r="H556" s="633"/>
      <c r="I556" s="633"/>
      <c r="J556" s="633"/>
      <c r="K556" s="633"/>
      <c r="L556" s="633"/>
      <c r="M556" s="633"/>
      <c r="N556" s="633"/>
      <c r="O556" s="633"/>
      <c r="P556" s="633"/>
      <c r="Q556" s="633"/>
      <c r="R556" s="633"/>
      <c r="S556" s="633"/>
      <c r="T556" s="633"/>
    </row>
    <row r="557">
      <c r="A557" s="633"/>
      <c r="B557" s="633"/>
      <c r="C557" s="633"/>
      <c r="D557" s="633"/>
      <c r="E557" s="633"/>
      <c r="F557" s="633"/>
      <c r="G557" s="633"/>
      <c r="H557" s="633"/>
      <c r="I557" s="633"/>
      <c r="J557" s="633"/>
      <c r="K557" s="633"/>
      <c r="L557" s="633"/>
      <c r="M557" s="633"/>
      <c r="N557" s="633"/>
      <c r="O557" s="633"/>
      <c r="P557" s="633"/>
      <c r="Q557" s="633"/>
      <c r="R557" s="633"/>
      <c r="S557" s="633"/>
      <c r="T557" s="633"/>
    </row>
    <row r="558">
      <c r="A558" s="633"/>
      <c r="B558" s="633"/>
      <c r="C558" s="633"/>
      <c r="D558" s="633"/>
      <c r="E558" s="633"/>
      <c r="F558" s="633"/>
      <c r="G558" s="633"/>
      <c r="H558" s="633"/>
      <c r="I558" s="633"/>
      <c r="J558" s="633"/>
      <c r="K558" s="633"/>
      <c r="L558" s="633"/>
      <c r="M558" s="633"/>
      <c r="N558" s="633"/>
      <c r="O558" s="633"/>
      <c r="P558" s="633"/>
      <c r="Q558" s="633"/>
      <c r="R558" s="633"/>
      <c r="S558" s="633"/>
      <c r="T558" s="633"/>
    </row>
    <row r="559">
      <c r="A559" s="633"/>
      <c r="B559" s="633"/>
      <c r="C559" s="633"/>
      <c r="D559" s="633"/>
      <c r="E559" s="633"/>
      <c r="F559" s="633"/>
      <c r="G559" s="633"/>
      <c r="H559" s="633"/>
      <c r="I559" s="633"/>
      <c r="J559" s="633"/>
      <c r="K559" s="633"/>
      <c r="L559" s="633"/>
      <c r="M559" s="633"/>
      <c r="N559" s="633"/>
      <c r="O559" s="633"/>
      <c r="P559" s="633"/>
      <c r="Q559" s="633"/>
      <c r="R559" s="633"/>
      <c r="S559" s="633"/>
      <c r="T559" s="633"/>
    </row>
    <row r="560">
      <c r="A560" s="633"/>
      <c r="B560" s="633"/>
      <c r="C560" s="633"/>
      <c r="D560" s="633"/>
      <c r="E560" s="633"/>
      <c r="F560" s="633"/>
      <c r="G560" s="633"/>
      <c r="H560" s="633"/>
      <c r="I560" s="633"/>
      <c r="J560" s="633"/>
      <c r="K560" s="633"/>
      <c r="L560" s="633"/>
      <c r="M560" s="633"/>
      <c r="N560" s="633"/>
      <c r="O560" s="633"/>
      <c r="P560" s="633"/>
      <c r="Q560" s="633"/>
      <c r="R560" s="633"/>
      <c r="S560" s="633"/>
      <c r="T560" s="633"/>
    </row>
    <row r="561">
      <c r="A561" s="633"/>
      <c r="B561" s="633"/>
      <c r="C561" s="633"/>
      <c r="D561" s="633"/>
      <c r="E561" s="633"/>
      <c r="F561" s="633"/>
      <c r="G561" s="633"/>
      <c r="H561" s="633"/>
      <c r="I561" s="633"/>
      <c r="J561" s="633"/>
      <c r="K561" s="633"/>
      <c r="L561" s="633"/>
      <c r="M561" s="633"/>
      <c r="N561" s="633"/>
      <c r="O561" s="633"/>
      <c r="P561" s="633"/>
      <c r="Q561" s="633"/>
      <c r="R561" s="633"/>
      <c r="S561" s="633"/>
      <c r="T561" s="633"/>
    </row>
    <row r="562">
      <c r="A562" s="633"/>
      <c r="B562" s="633"/>
      <c r="C562" s="633"/>
      <c r="D562" s="633"/>
      <c r="E562" s="633"/>
      <c r="F562" s="633"/>
      <c r="G562" s="633"/>
      <c r="H562" s="633"/>
      <c r="I562" s="633"/>
      <c r="J562" s="633"/>
      <c r="K562" s="633"/>
      <c r="L562" s="633"/>
      <c r="M562" s="633"/>
      <c r="N562" s="633"/>
      <c r="O562" s="633"/>
      <c r="P562" s="633"/>
      <c r="Q562" s="633"/>
      <c r="R562" s="633"/>
      <c r="S562" s="633"/>
      <c r="T562" s="633"/>
    </row>
    <row r="563">
      <c r="A563" s="633"/>
      <c r="B563" s="633"/>
      <c r="C563" s="633"/>
      <c r="D563" s="633"/>
      <c r="E563" s="633"/>
      <c r="F563" s="633"/>
      <c r="G563" s="633"/>
      <c r="H563" s="633"/>
      <c r="I563" s="633"/>
      <c r="J563" s="633"/>
      <c r="K563" s="633"/>
      <c r="L563" s="633"/>
      <c r="M563" s="633"/>
      <c r="N563" s="633"/>
      <c r="O563" s="633"/>
      <c r="P563" s="633"/>
      <c r="Q563" s="633"/>
      <c r="R563" s="633"/>
      <c r="S563" s="633"/>
      <c r="T563" s="633"/>
    </row>
    <row r="564">
      <c r="A564" s="633"/>
      <c r="B564" s="633"/>
      <c r="C564" s="633"/>
      <c r="D564" s="633"/>
      <c r="E564" s="633"/>
      <c r="F564" s="633"/>
      <c r="G564" s="633"/>
      <c r="H564" s="633"/>
      <c r="I564" s="633"/>
      <c r="J564" s="633"/>
      <c r="K564" s="633"/>
      <c r="L564" s="633"/>
      <c r="M564" s="633"/>
      <c r="N564" s="633"/>
      <c r="O564" s="633"/>
      <c r="P564" s="633"/>
      <c r="Q564" s="633"/>
      <c r="R564" s="633"/>
      <c r="S564" s="633"/>
      <c r="T564" s="633"/>
    </row>
    <row r="565">
      <c r="A565" s="633"/>
      <c r="B565" s="633"/>
      <c r="C565" s="633"/>
      <c r="D565" s="633"/>
      <c r="E565" s="633"/>
      <c r="F565" s="633"/>
      <c r="G565" s="633"/>
      <c r="H565" s="633"/>
      <c r="I565" s="633"/>
      <c r="J565" s="633"/>
      <c r="K565" s="633"/>
      <c r="L565" s="633"/>
      <c r="M565" s="633"/>
      <c r="N565" s="633"/>
      <c r="O565" s="633"/>
      <c r="P565" s="633"/>
      <c r="Q565" s="633"/>
      <c r="R565" s="633"/>
      <c r="S565" s="633"/>
      <c r="T565" s="633"/>
    </row>
    <row r="566">
      <c r="A566" s="633"/>
      <c r="B566" s="633"/>
      <c r="C566" s="633"/>
      <c r="D566" s="633"/>
      <c r="E566" s="633"/>
      <c r="F566" s="633"/>
      <c r="G566" s="633"/>
      <c r="H566" s="633"/>
      <c r="I566" s="633"/>
      <c r="J566" s="633"/>
      <c r="K566" s="633"/>
      <c r="L566" s="633"/>
      <c r="M566" s="633"/>
      <c r="N566" s="633"/>
      <c r="O566" s="633"/>
      <c r="P566" s="633"/>
      <c r="Q566" s="633"/>
      <c r="R566" s="633"/>
      <c r="S566" s="633"/>
      <c r="T566" s="633"/>
    </row>
    <row r="567">
      <c r="A567" s="633"/>
      <c r="B567" s="633"/>
      <c r="C567" s="633"/>
      <c r="D567" s="633"/>
      <c r="E567" s="633"/>
      <c r="F567" s="633"/>
      <c r="G567" s="633"/>
      <c r="H567" s="633"/>
      <c r="I567" s="633"/>
      <c r="J567" s="633"/>
      <c r="K567" s="633"/>
      <c r="L567" s="633"/>
      <c r="M567" s="633"/>
      <c r="N567" s="633"/>
      <c r="O567" s="633"/>
      <c r="P567" s="633"/>
      <c r="Q567" s="633"/>
      <c r="R567" s="633"/>
      <c r="S567" s="633"/>
      <c r="T567" s="633"/>
    </row>
    <row r="568">
      <c r="A568" s="633"/>
      <c r="B568" s="633"/>
      <c r="C568" s="633"/>
      <c r="D568" s="633"/>
      <c r="E568" s="633"/>
      <c r="F568" s="633"/>
      <c r="G568" s="633"/>
      <c r="H568" s="633"/>
      <c r="I568" s="633"/>
      <c r="J568" s="633"/>
      <c r="K568" s="633"/>
      <c r="L568" s="633"/>
      <c r="M568" s="633"/>
      <c r="N568" s="633"/>
      <c r="O568" s="633"/>
      <c r="P568" s="633"/>
      <c r="Q568" s="633"/>
      <c r="R568" s="633"/>
      <c r="S568" s="633"/>
      <c r="T568" s="633"/>
    </row>
    <row r="569">
      <c r="A569" s="633"/>
      <c r="B569" s="633"/>
      <c r="C569" s="633"/>
      <c r="D569" s="633"/>
      <c r="E569" s="633"/>
      <c r="F569" s="633"/>
      <c r="G569" s="633"/>
      <c r="H569" s="633"/>
      <c r="I569" s="633"/>
      <c r="J569" s="633"/>
      <c r="K569" s="633"/>
      <c r="L569" s="633"/>
      <c r="M569" s="633"/>
      <c r="N569" s="633"/>
      <c r="O569" s="633"/>
      <c r="P569" s="633"/>
      <c r="Q569" s="633"/>
      <c r="R569" s="633"/>
      <c r="S569" s="633"/>
      <c r="T569" s="633"/>
    </row>
    <row r="570">
      <c r="A570" s="633"/>
      <c r="B570" s="633"/>
      <c r="C570" s="633"/>
      <c r="D570" s="633"/>
      <c r="E570" s="633"/>
      <c r="F570" s="633"/>
      <c r="G570" s="633"/>
      <c r="H570" s="633"/>
      <c r="I570" s="633"/>
      <c r="J570" s="633"/>
      <c r="K570" s="633"/>
      <c r="L570" s="633"/>
      <c r="M570" s="633"/>
      <c r="N570" s="633"/>
      <c r="O570" s="633"/>
      <c r="P570" s="633"/>
      <c r="Q570" s="633"/>
      <c r="R570" s="633"/>
      <c r="S570" s="633"/>
      <c r="T570" s="633"/>
    </row>
    <row r="571">
      <c r="A571" s="633"/>
      <c r="B571" s="633"/>
      <c r="C571" s="633"/>
      <c r="D571" s="633"/>
      <c r="E571" s="633"/>
      <c r="F571" s="633"/>
      <c r="G571" s="633"/>
      <c r="H571" s="633"/>
      <c r="I571" s="633"/>
      <c r="J571" s="633"/>
      <c r="K571" s="633"/>
      <c r="L571" s="633"/>
      <c r="M571" s="633"/>
      <c r="N571" s="633"/>
      <c r="O571" s="633"/>
      <c r="P571" s="633"/>
      <c r="Q571" s="633"/>
      <c r="R571" s="633"/>
      <c r="S571" s="633"/>
      <c r="T571" s="633"/>
    </row>
    <row r="572">
      <c r="A572" s="633"/>
      <c r="B572" s="633"/>
      <c r="C572" s="633"/>
      <c r="D572" s="633"/>
      <c r="E572" s="633"/>
      <c r="F572" s="633"/>
      <c r="G572" s="633"/>
      <c r="H572" s="633"/>
      <c r="I572" s="633"/>
      <c r="J572" s="633"/>
      <c r="K572" s="633"/>
      <c r="L572" s="633"/>
      <c r="M572" s="633"/>
      <c r="N572" s="633"/>
      <c r="O572" s="633"/>
      <c r="P572" s="633"/>
      <c r="Q572" s="633"/>
      <c r="R572" s="633"/>
      <c r="S572" s="633"/>
      <c r="T572" s="633"/>
    </row>
    <row r="573">
      <c r="A573" s="633"/>
      <c r="B573" s="633"/>
      <c r="C573" s="633"/>
      <c r="D573" s="633"/>
      <c r="E573" s="633"/>
      <c r="F573" s="633"/>
      <c r="G573" s="633"/>
      <c r="H573" s="633"/>
      <c r="I573" s="633"/>
      <c r="J573" s="633"/>
      <c r="K573" s="633"/>
      <c r="L573" s="633"/>
      <c r="M573" s="633"/>
      <c r="N573" s="633"/>
      <c r="O573" s="633"/>
      <c r="P573" s="633"/>
      <c r="Q573" s="633"/>
      <c r="R573" s="633"/>
      <c r="S573" s="633"/>
      <c r="T573" s="633"/>
    </row>
    <row r="574">
      <c r="A574" s="633"/>
      <c r="B574" s="633"/>
      <c r="C574" s="633"/>
      <c r="D574" s="633"/>
      <c r="E574" s="633"/>
      <c r="F574" s="633"/>
      <c r="G574" s="633"/>
      <c r="H574" s="633"/>
      <c r="I574" s="633"/>
      <c r="J574" s="633"/>
      <c r="K574" s="633"/>
      <c r="L574" s="633"/>
      <c r="M574" s="633"/>
      <c r="N574" s="633"/>
      <c r="O574" s="633"/>
      <c r="P574" s="633"/>
      <c r="Q574" s="633"/>
      <c r="R574" s="633"/>
      <c r="S574" s="633"/>
      <c r="T574" s="633"/>
    </row>
    <row r="575">
      <c r="A575" s="633"/>
      <c r="B575" s="633"/>
      <c r="C575" s="633"/>
      <c r="D575" s="633"/>
      <c r="E575" s="633"/>
      <c r="F575" s="633"/>
      <c r="G575" s="633"/>
      <c r="H575" s="633"/>
      <c r="I575" s="633"/>
      <c r="J575" s="633"/>
      <c r="K575" s="633"/>
      <c r="L575" s="633"/>
      <c r="M575" s="633"/>
      <c r="N575" s="633"/>
      <c r="O575" s="633"/>
      <c r="P575" s="633"/>
      <c r="Q575" s="633"/>
      <c r="R575" s="633"/>
      <c r="S575" s="633"/>
      <c r="T575" s="633"/>
    </row>
    <row r="576">
      <c r="A576" s="633"/>
      <c r="B576" s="633"/>
      <c r="C576" s="633"/>
      <c r="D576" s="633"/>
      <c r="E576" s="633"/>
      <c r="F576" s="633"/>
      <c r="G576" s="633"/>
      <c r="H576" s="633"/>
      <c r="I576" s="633"/>
      <c r="J576" s="633"/>
      <c r="K576" s="633"/>
      <c r="L576" s="633"/>
      <c r="M576" s="633"/>
      <c r="N576" s="633"/>
      <c r="O576" s="633"/>
      <c r="P576" s="633"/>
      <c r="Q576" s="633"/>
      <c r="R576" s="633"/>
      <c r="S576" s="633"/>
      <c r="T576" s="633"/>
    </row>
    <row r="577">
      <c r="A577" s="633"/>
      <c r="B577" s="633"/>
      <c r="C577" s="633"/>
      <c r="D577" s="633"/>
      <c r="E577" s="633"/>
      <c r="F577" s="633"/>
      <c r="G577" s="633"/>
      <c r="H577" s="633"/>
      <c r="I577" s="633"/>
      <c r="J577" s="633"/>
      <c r="K577" s="633"/>
      <c r="L577" s="633"/>
      <c r="M577" s="633"/>
      <c r="N577" s="633"/>
      <c r="O577" s="633"/>
      <c r="P577" s="633"/>
      <c r="Q577" s="633"/>
      <c r="R577" s="633"/>
      <c r="S577" s="633"/>
      <c r="T577" s="633"/>
    </row>
    <row r="578">
      <c r="A578" s="633"/>
      <c r="B578" s="633"/>
      <c r="C578" s="633"/>
      <c r="D578" s="633"/>
      <c r="E578" s="633"/>
      <c r="F578" s="633"/>
      <c r="G578" s="633"/>
      <c r="H578" s="633"/>
      <c r="I578" s="633"/>
      <c r="J578" s="633"/>
      <c r="K578" s="633"/>
      <c r="L578" s="633"/>
      <c r="M578" s="633"/>
      <c r="N578" s="633"/>
      <c r="O578" s="633"/>
      <c r="P578" s="633"/>
      <c r="Q578" s="633"/>
      <c r="R578" s="633"/>
      <c r="S578" s="633"/>
      <c r="T578" s="633"/>
    </row>
    <row r="579">
      <c r="A579" s="633"/>
      <c r="B579" s="633"/>
      <c r="C579" s="633"/>
      <c r="D579" s="633"/>
      <c r="E579" s="633"/>
      <c r="F579" s="633"/>
      <c r="G579" s="633"/>
      <c r="H579" s="633"/>
      <c r="I579" s="633"/>
      <c r="J579" s="633"/>
      <c r="K579" s="633"/>
      <c r="L579" s="633"/>
      <c r="M579" s="633"/>
      <c r="N579" s="633"/>
      <c r="O579" s="633"/>
      <c r="P579" s="633"/>
      <c r="Q579" s="633"/>
      <c r="R579" s="633"/>
      <c r="S579" s="633"/>
      <c r="T579" s="633"/>
    </row>
    <row r="580">
      <c r="A580" s="633"/>
      <c r="B580" s="633"/>
      <c r="C580" s="633"/>
      <c r="D580" s="633"/>
      <c r="E580" s="633"/>
      <c r="F580" s="633"/>
      <c r="G580" s="633"/>
      <c r="H580" s="633"/>
      <c r="I580" s="633"/>
      <c r="J580" s="633"/>
      <c r="K580" s="633"/>
      <c r="L580" s="633"/>
      <c r="M580" s="633"/>
      <c r="N580" s="633"/>
      <c r="O580" s="633"/>
      <c r="P580" s="633"/>
      <c r="Q580" s="633"/>
      <c r="R580" s="633"/>
      <c r="S580" s="633"/>
      <c r="T580" s="633"/>
    </row>
    <row r="581">
      <c r="A581" s="633"/>
      <c r="B581" s="633"/>
      <c r="C581" s="633"/>
      <c r="D581" s="633"/>
      <c r="E581" s="633"/>
      <c r="F581" s="633"/>
      <c r="G581" s="633"/>
      <c r="H581" s="633"/>
      <c r="I581" s="633"/>
      <c r="J581" s="633"/>
      <c r="K581" s="633"/>
      <c r="L581" s="633"/>
      <c r="M581" s="633"/>
      <c r="N581" s="633"/>
      <c r="O581" s="633"/>
      <c r="P581" s="633"/>
      <c r="Q581" s="633"/>
      <c r="R581" s="633"/>
      <c r="S581" s="633"/>
      <c r="T581" s="633"/>
    </row>
    <row r="582">
      <c r="A582" s="633"/>
      <c r="B582" s="633"/>
      <c r="C582" s="633"/>
      <c r="D582" s="633"/>
      <c r="E582" s="633"/>
      <c r="F582" s="633"/>
      <c r="G582" s="633"/>
      <c r="H582" s="633"/>
      <c r="I582" s="633"/>
      <c r="J582" s="633"/>
      <c r="K582" s="633"/>
      <c r="L582" s="633"/>
      <c r="M582" s="633"/>
      <c r="N582" s="633"/>
      <c r="O582" s="633"/>
      <c r="P582" s="633"/>
      <c r="Q582" s="633"/>
      <c r="R582" s="633"/>
      <c r="S582" s="633"/>
      <c r="T582" s="633"/>
    </row>
    <row r="583">
      <c r="A583" s="633"/>
      <c r="B583" s="633"/>
      <c r="C583" s="633"/>
      <c r="D583" s="633"/>
      <c r="E583" s="633"/>
      <c r="F583" s="633"/>
      <c r="G583" s="633"/>
      <c r="H583" s="633"/>
      <c r="I583" s="633"/>
      <c r="J583" s="633"/>
      <c r="K583" s="633"/>
      <c r="L583" s="633"/>
      <c r="M583" s="633"/>
      <c r="N583" s="633"/>
      <c r="O583" s="633"/>
      <c r="P583" s="633"/>
      <c r="Q583" s="633"/>
      <c r="R583" s="633"/>
      <c r="S583" s="633"/>
      <c r="T583" s="633"/>
    </row>
    <row r="584">
      <c r="A584" s="633"/>
      <c r="B584" s="633"/>
      <c r="C584" s="633"/>
      <c r="D584" s="633"/>
      <c r="E584" s="633"/>
      <c r="F584" s="633"/>
      <c r="G584" s="633"/>
      <c r="H584" s="633"/>
      <c r="I584" s="633"/>
      <c r="J584" s="633"/>
      <c r="K584" s="633"/>
      <c r="L584" s="633"/>
      <c r="M584" s="633"/>
      <c r="N584" s="633"/>
      <c r="O584" s="633"/>
      <c r="P584" s="633"/>
      <c r="Q584" s="633"/>
      <c r="R584" s="633"/>
      <c r="S584" s="633"/>
      <c r="T584" s="633"/>
    </row>
    <row r="585">
      <c r="A585" s="633"/>
      <c r="B585" s="633"/>
      <c r="C585" s="633"/>
      <c r="D585" s="633"/>
      <c r="E585" s="633"/>
      <c r="F585" s="633"/>
      <c r="G585" s="633"/>
      <c r="H585" s="633"/>
      <c r="I585" s="633"/>
      <c r="J585" s="633"/>
      <c r="K585" s="633"/>
      <c r="L585" s="633"/>
      <c r="M585" s="633"/>
      <c r="N585" s="633"/>
      <c r="O585" s="633"/>
      <c r="P585" s="633"/>
      <c r="Q585" s="633"/>
      <c r="R585" s="633"/>
      <c r="S585" s="633"/>
      <c r="T585" s="633"/>
    </row>
    <row r="586">
      <c r="A586" s="633"/>
      <c r="B586" s="633"/>
      <c r="C586" s="633"/>
      <c r="D586" s="633"/>
      <c r="E586" s="633"/>
      <c r="F586" s="633"/>
      <c r="G586" s="633"/>
      <c r="H586" s="633"/>
      <c r="I586" s="633"/>
      <c r="J586" s="633"/>
      <c r="K586" s="633"/>
      <c r="L586" s="633"/>
      <c r="M586" s="633"/>
      <c r="N586" s="633"/>
      <c r="O586" s="633"/>
      <c r="P586" s="633"/>
      <c r="Q586" s="633"/>
      <c r="R586" s="633"/>
      <c r="S586" s="633"/>
      <c r="T586" s="633"/>
    </row>
    <row r="587">
      <c r="A587" s="633"/>
      <c r="B587" s="633"/>
      <c r="C587" s="633"/>
      <c r="D587" s="633"/>
      <c r="E587" s="633"/>
      <c r="F587" s="633"/>
      <c r="G587" s="633"/>
      <c r="H587" s="633"/>
      <c r="I587" s="633"/>
      <c r="J587" s="633"/>
      <c r="K587" s="633"/>
      <c r="L587" s="633"/>
      <c r="M587" s="633"/>
      <c r="N587" s="633"/>
      <c r="O587" s="633"/>
      <c r="P587" s="633"/>
      <c r="Q587" s="633"/>
      <c r="R587" s="633"/>
      <c r="S587" s="633"/>
      <c r="T587" s="633"/>
    </row>
    <row r="588">
      <c r="A588" s="633"/>
      <c r="B588" s="633"/>
      <c r="C588" s="633"/>
      <c r="D588" s="633"/>
      <c r="E588" s="633"/>
      <c r="F588" s="633"/>
      <c r="G588" s="633"/>
      <c r="H588" s="633"/>
      <c r="I588" s="633"/>
      <c r="J588" s="633"/>
      <c r="K588" s="633"/>
      <c r="L588" s="633"/>
      <c r="M588" s="633"/>
      <c r="N588" s="633"/>
      <c r="O588" s="633"/>
      <c r="P588" s="633"/>
      <c r="Q588" s="633"/>
      <c r="R588" s="633"/>
      <c r="S588" s="633"/>
      <c r="T588" s="633"/>
    </row>
    <row r="589">
      <c r="A589" s="633"/>
      <c r="B589" s="633"/>
      <c r="C589" s="633"/>
      <c r="D589" s="633"/>
      <c r="E589" s="633"/>
      <c r="F589" s="633"/>
      <c r="G589" s="633"/>
      <c r="H589" s="633"/>
      <c r="I589" s="633"/>
      <c r="J589" s="633"/>
      <c r="K589" s="633"/>
      <c r="L589" s="633"/>
      <c r="M589" s="633"/>
      <c r="N589" s="633"/>
      <c r="O589" s="633"/>
      <c r="P589" s="633"/>
      <c r="Q589" s="633"/>
      <c r="R589" s="633"/>
      <c r="S589" s="633"/>
      <c r="T589" s="633"/>
    </row>
    <row r="590">
      <c r="A590" s="633"/>
      <c r="B590" s="633"/>
      <c r="C590" s="633"/>
      <c r="D590" s="633"/>
      <c r="E590" s="633"/>
      <c r="F590" s="633"/>
      <c r="G590" s="633"/>
      <c r="H590" s="633"/>
      <c r="I590" s="633"/>
      <c r="J590" s="633"/>
      <c r="K590" s="633"/>
      <c r="L590" s="633"/>
      <c r="M590" s="633"/>
      <c r="N590" s="633"/>
      <c r="O590" s="633"/>
      <c r="P590" s="633"/>
      <c r="Q590" s="633"/>
      <c r="R590" s="633"/>
      <c r="S590" s="633"/>
      <c r="T590" s="633"/>
    </row>
    <row r="591">
      <c r="A591" s="633"/>
      <c r="B591" s="633"/>
      <c r="C591" s="633"/>
      <c r="D591" s="633"/>
      <c r="E591" s="633"/>
      <c r="F591" s="633"/>
      <c r="G591" s="633"/>
      <c r="H591" s="633"/>
      <c r="I591" s="633"/>
      <c r="J591" s="633"/>
      <c r="K591" s="633"/>
      <c r="L591" s="633"/>
      <c r="M591" s="633"/>
      <c r="N591" s="633"/>
      <c r="O591" s="633"/>
      <c r="P591" s="633"/>
      <c r="Q591" s="633"/>
      <c r="R591" s="633"/>
      <c r="S591" s="633"/>
      <c r="T591" s="633"/>
    </row>
    <row r="592">
      <c r="A592" s="633"/>
      <c r="B592" s="633"/>
      <c r="C592" s="633"/>
      <c r="D592" s="633"/>
      <c r="E592" s="633"/>
      <c r="F592" s="633"/>
      <c r="G592" s="633"/>
      <c r="H592" s="633"/>
      <c r="I592" s="633"/>
      <c r="J592" s="633"/>
      <c r="K592" s="633"/>
      <c r="L592" s="633"/>
      <c r="M592" s="633"/>
      <c r="N592" s="633"/>
      <c r="O592" s="633"/>
      <c r="P592" s="633"/>
      <c r="Q592" s="633"/>
      <c r="R592" s="633"/>
      <c r="S592" s="633"/>
      <c r="T592" s="633"/>
    </row>
    <row r="593">
      <c r="A593" s="633"/>
      <c r="B593" s="633"/>
      <c r="C593" s="633"/>
      <c r="D593" s="633"/>
      <c r="E593" s="633"/>
      <c r="F593" s="633"/>
      <c r="G593" s="633"/>
      <c r="H593" s="633"/>
      <c r="I593" s="633"/>
      <c r="J593" s="633"/>
      <c r="K593" s="633"/>
      <c r="L593" s="633"/>
      <c r="M593" s="633"/>
      <c r="N593" s="633"/>
      <c r="O593" s="633"/>
      <c r="P593" s="633"/>
      <c r="Q593" s="633"/>
      <c r="R593" s="633"/>
      <c r="S593" s="633"/>
      <c r="T593" s="633"/>
    </row>
    <row r="594">
      <c r="A594" s="633"/>
      <c r="B594" s="633"/>
      <c r="C594" s="633"/>
      <c r="D594" s="633"/>
      <c r="E594" s="633"/>
      <c r="F594" s="633"/>
      <c r="G594" s="633"/>
      <c r="H594" s="633"/>
      <c r="I594" s="633"/>
      <c r="J594" s="633"/>
      <c r="K594" s="633"/>
      <c r="L594" s="633"/>
      <c r="M594" s="633"/>
      <c r="N594" s="633"/>
      <c r="O594" s="633"/>
      <c r="P594" s="633"/>
      <c r="Q594" s="633"/>
      <c r="R594" s="633"/>
      <c r="S594" s="633"/>
      <c r="T594" s="633"/>
    </row>
    <row r="595">
      <c r="A595" s="633"/>
      <c r="B595" s="633"/>
      <c r="C595" s="633"/>
      <c r="D595" s="633"/>
      <c r="E595" s="633"/>
      <c r="F595" s="633"/>
      <c r="G595" s="633"/>
      <c r="H595" s="633"/>
      <c r="I595" s="633"/>
      <c r="J595" s="633"/>
      <c r="K595" s="633"/>
      <c r="L595" s="633"/>
      <c r="M595" s="633"/>
      <c r="N595" s="633"/>
      <c r="O595" s="633"/>
      <c r="P595" s="633"/>
      <c r="Q595" s="633"/>
      <c r="R595" s="633"/>
      <c r="S595" s="633"/>
      <c r="T595" s="633"/>
    </row>
    <row r="596">
      <c r="A596" s="633"/>
      <c r="B596" s="633"/>
      <c r="C596" s="633"/>
      <c r="D596" s="633"/>
      <c r="E596" s="633"/>
      <c r="F596" s="633"/>
      <c r="G596" s="633"/>
      <c r="H596" s="633"/>
      <c r="I596" s="633"/>
      <c r="J596" s="633"/>
      <c r="K596" s="633"/>
      <c r="L596" s="633"/>
      <c r="M596" s="633"/>
      <c r="N596" s="633"/>
      <c r="O596" s="633"/>
      <c r="P596" s="633"/>
      <c r="Q596" s="633"/>
      <c r="R596" s="633"/>
      <c r="S596" s="633"/>
      <c r="T596" s="633"/>
    </row>
    <row r="597">
      <c r="A597" s="633"/>
      <c r="B597" s="633"/>
      <c r="C597" s="633"/>
      <c r="D597" s="633"/>
      <c r="E597" s="633"/>
      <c r="F597" s="633"/>
      <c r="G597" s="633"/>
      <c r="H597" s="633"/>
      <c r="I597" s="633"/>
      <c r="J597" s="633"/>
      <c r="K597" s="633"/>
      <c r="L597" s="633"/>
      <c r="M597" s="633"/>
      <c r="N597" s="633"/>
      <c r="O597" s="633"/>
      <c r="P597" s="633"/>
      <c r="Q597" s="633"/>
      <c r="R597" s="633"/>
      <c r="S597" s="633"/>
      <c r="T597" s="633"/>
    </row>
    <row r="598">
      <c r="A598" s="633"/>
      <c r="B598" s="633"/>
      <c r="C598" s="633"/>
      <c r="D598" s="633"/>
      <c r="E598" s="633"/>
      <c r="F598" s="633"/>
      <c r="G598" s="633"/>
      <c r="H598" s="633"/>
      <c r="I598" s="633"/>
      <c r="J598" s="633"/>
      <c r="K598" s="633"/>
      <c r="L598" s="633"/>
      <c r="M598" s="633"/>
      <c r="N598" s="633"/>
      <c r="O598" s="633"/>
      <c r="P598" s="633"/>
      <c r="Q598" s="633"/>
      <c r="R598" s="633"/>
      <c r="S598" s="633"/>
      <c r="T598" s="633"/>
    </row>
    <row r="599">
      <c r="A599" s="633"/>
      <c r="B599" s="633"/>
      <c r="C599" s="633"/>
      <c r="D599" s="633"/>
      <c r="E599" s="633"/>
      <c r="F599" s="633"/>
      <c r="G599" s="633"/>
      <c r="H599" s="633"/>
      <c r="I599" s="633"/>
      <c r="J599" s="633"/>
      <c r="K599" s="633"/>
      <c r="L599" s="633"/>
      <c r="M599" s="633"/>
      <c r="N599" s="633"/>
      <c r="O599" s="633"/>
      <c r="P599" s="633"/>
      <c r="Q599" s="633"/>
      <c r="R599" s="633"/>
      <c r="S599" s="633"/>
      <c r="T599" s="633"/>
    </row>
    <row r="600">
      <c r="A600" s="633"/>
      <c r="B600" s="633"/>
      <c r="C600" s="633"/>
      <c r="D600" s="633"/>
      <c r="E600" s="633"/>
      <c r="F600" s="633"/>
      <c r="G600" s="633"/>
      <c r="H600" s="633"/>
      <c r="I600" s="633"/>
      <c r="J600" s="633"/>
      <c r="K600" s="633"/>
      <c r="L600" s="633"/>
      <c r="M600" s="633"/>
      <c r="N600" s="633"/>
      <c r="O600" s="633"/>
      <c r="P600" s="633"/>
      <c r="Q600" s="633"/>
      <c r="R600" s="633"/>
      <c r="S600" s="633"/>
      <c r="T600" s="633"/>
    </row>
    <row r="601">
      <c r="A601" s="633"/>
      <c r="B601" s="633"/>
      <c r="C601" s="633"/>
      <c r="D601" s="633"/>
      <c r="E601" s="633"/>
      <c r="F601" s="633"/>
      <c r="G601" s="633"/>
      <c r="H601" s="633"/>
      <c r="I601" s="633"/>
      <c r="J601" s="633"/>
      <c r="K601" s="633"/>
      <c r="L601" s="633"/>
      <c r="M601" s="633"/>
      <c r="N601" s="633"/>
      <c r="O601" s="633"/>
      <c r="P601" s="633"/>
      <c r="Q601" s="633"/>
      <c r="R601" s="633"/>
      <c r="S601" s="633"/>
      <c r="T601" s="633"/>
    </row>
    <row r="602">
      <c r="A602" s="633"/>
      <c r="B602" s="633"/>
      <c r="C602" s="633"/>
      <c r="D602" s="633"/>
      <c r="E602" s="633"/>
      <c r="F602" s="633"/>
      <c r="G602" s="633"/>
      <c r="H602" s="633"/>
      <c r="I602" s="633"/>
      <c r="J602" s="633"/>
      <c r="K602" s="633"/>
      <c r="L602" s="633"/>
      <c r="M602" s="633"/>
      <c r="N602" s="633"/>
      <c r="O602" s="633"/>
      <c r="P602" s="633"/>
      <c r="Q602" s="633"/>
      <c r="R602" s="633"/>
      <c r="S602" s="633"/>
      <c r="T602" s="633"/>
    </row>
    <row r="603">
      <c r="A603" s="633"/>
      <c r="B603" s="633"/>
      <c r="C603" s="633"/>
      <c r="D603" s="633"/>
      <c r="E603" s="633"/>
      <c r="F603" s="633"/>
      <c r="G603" s="633"/>
      <c r="H603" s="633"/>
      <c r="I603" s="633"/>
      <c r="J603" s="633"/>
      <c r="K603" s="633"/>
      <c r="L603" s="633"/>
      <c r="M603" s="633"/>
      <c r="N603" s="633"/>
      <c r="O603" s="633"/>
      <c r="P603" s="633"/>
      <c r="Q603" s="633"/>
      <c r="R603" s="633"/>
      <c r="S603" s="633"/>
      <c r="T603" s="633"/>
    </row>
    <row r="604">
      <c r="A604" s="633"/>
      <c r="B604" s="633"/>
      <c r="C604" s="633"/>
      <c r="D604" s="633"/>
      <c r="E604" s="633"/>
      <c r="F604" s="633"/>
      <c r="G604" s="633"/>
      <c r="H604" s="633"/>
      <c r="I604" s="633"/>
      <c r="J604" s="633"/>
      <c r="K604" s="633"/>
      <c r="L604" s="633"/>
      <c r="M604" s="633"/>
      <c r="N604" s="633"/>
      <c r="O604" s="633"/>
      <c r="P604" s="633"/>
      <c r="Q604" s="633"/>
      <c r="R604" s="633"/>
      <c r="S604" s="633"/>
      <c r="T604" s="633"/>
    </row>
    <row r="605">
      <c r="A605" s="633"/>
      <c r="B605" s="633"/>
      <c r="C605" s="633"/>
      <c r="D605" s="633"/>
      <c r="E605" s="633"/>
      <c r="F605" s="633"/>
      <c r="G605" s="633"/>
      <c r="H605" s="633"/>
      <c r="I605" s="633"/>
      <c r="J605" s="633"/>
      <c r="K605" s="633"/>
      <c r="L605" s="633"/>
      <c r="M605" s="633"/>
      <c r="N605" s="633"/>
      <c r="O605" s="633"/>
      <c r="P605" s="633"/>
      <c r="Q605" s="633"/>
      <c r="R605" s="633"/>
      <c r="S605" s="633"/>
      <c r="T605" s="633"/>
    </row>
    <row r="606">
      <c r="A606" s="633"/>
      <c r="B606" s="633"/>
      <c r="C606" s="633"/>
      <c r="D606" s="633"/>
      <c r="E606" s="633"/>
      <c r="F606" s="633"/>
      <c r="G606" s="633"/>
      <c r="H606" s="633"/>
      <c r="I606" s="633"/>
      <c r="J606" s="633"/>
      <c r="K606" s="633"/>
      <c r="L606" s="633"/>
      <c r="M606" s="633"/>
      <c r="N606" s="633"/>
      <c r="O606" s="633"/>
      <c r="P606" s="633"/>
      <c r="Q606" s="633"/>
      <c r="R606" s="633"/>
      <c r="S606" s="633"/>
      <c r="T606" s="633"/>
    </row>
    <row r="607">
      <c r="A607" s="633"/>
      <c r="B607" s="633"/>
      <c r="C607" s="633"/>
      <c r="D607" s="633"/>
      <c r="E607" s="633"/>
      <c r="F607" s="633"/>
      <c r="G607" s="633"/>
      <c r="H607" s="633"/>
      <c r="I607" s="633"/>
      <c r="J607" s="633"/>
      <c r="K607" s="633"/>
      <c r="L607" s="633"/>
      <c r="M607" s="633"/>
      <c r="N607" s="633"/>
      <c r="O607" s="633"/>
      <c r="P607" s="633"/>
      <c r="Q607" s="633"/>
      <c r="R607" s="633"/>
      <c r="S607" s="633"/>
      <c r="T607" s="633"/>
    </row>
    <row r="608">
      <c r="A608" s="633"/>
      <c r="B608" s="633"/>
      <c r="C608" s="633"/>
      <c r="D608" s="633"/>
      <c r="E608" s="633"/>
      <c r="F608" s="633"/>
      <c r="G608" s="633"/>
      <c r="H608" s="633"/>
      <c r="I608" s="633"/>
      <c r="J608" s="633"/>
      <c r="K608" s="633"/>
      <c r="L608" s="633"/>
      <c r="M608" s="633"/>
      <c r="N608" s="633"/>
      <c r="O608" s="633"/>
      <c r="P608" s="633"/>
      <c r="Q608" s="633"/>
      <c r="R608" s="633"/>
      <c r="S608" s="633"/>
      <c r="T608" s="633"/>
    </row>
    <row r="609">
      <c r="A609" s="633"/>
      <c r="B609" s="633"/>
      <c r="C609" s="633"/>
      <c r="D609" s="633"/>
      <c r="E609" s="633"/>
      <c r="F609" s="633"/>
      <c r="G609" s="633"/>
      <c r="H609" s="633"/>
      <c r="I609" s="633"/>
      <c r="J609" s="633"/>
      <c r="K609" s="633"/>
      <c r="L609" s="633"/>
      <c r="M609" s="633"/>
      <c r="N609" s="633"/>
      <c r="O609" s="633"/>
      <c r="P609" s="633"/>
      <c r="Q609" s="633"/>
      <c r="R609" s="633"/>
      <c r="S609" s="633"/>
      <c r="T609" s="633"/>
    </row>
    <row r="610">
      <c r="A610" s="633"/>
      <c r="B610" s="633"/>
      <c r="C610" s="633"/>
      <c r="D610" s="633"/>
      <c r="E610" s="633"/>
      <c r="F610" s="633"/>
      <c r="G610" s="633"/>
      <c r="H610" s="633"/>
      <c r="I610" s="633"/>
      <c r="J610" s="633"/>
      <c r="K610" s="633"/>
      <c r="L610" s="633"/>
      <c r="M610" s="633"/>
      <c r="N610" s="633"/>
      <c r="O610" s="633"/>
      <c r="P610" s="633"/>
      <c r="Q610" s="633"/>
      <c r="R610" s="633"/>
      <c r="S610" s="633"/>
      <c r="T610" s="633"/>
    </row>
    <row r="611">
      <c r="A611" s="633"/>
      <c r="B611" s="633"/>
      <c r="C611" s="633"/>
      <c r="D611" s="633"/>
      <c r="E611" s="633"/>
      <c r="F611" s="633"/>
      <c r="G611" s="633"/>
      <c r="H611" s="633"/>
      <c r="I611" s="633"/>
      <c r="J611" s="633"/>
      <c r="K611" s="633"/>
      <c r="L611" s="633"/>
      <c r="M611" s="633"/>
      <c r="N611" s="633"/>
      <c r="O611" s="633"/>
      <c r="P611" s="633"/>
      <c r="Q611" s="633"/>
      <c r="R611" s="633"/>
      <c r="S611" s="633"/>
      <c r="T611" s="633"/>
    </row>
    <row r="612">
      <c r="A612" s="633"/>
      <c r="B612" s="633"/>
      <c r="C612" s="633"/>
      <c r="D612" s="633"/>
      <c r="E612" s="633"/>
      <c r="F612" s="633"/>
      <c r="G612" s="633"/>
      <c r="H612" s="633"/>
      <c r="I612" s="633"/>
      <c r="J612" s="633"/>
      <c r="K612" s="633"/>
      <c r="L612" s="633"/>
      <c r="M612" s="633"/>
      <c r="N612" s="633"/>
      <c r="O612" s="633"/>
      <c r="P612" s="633"/>
      <c r="Q612" s="633"/>
      <c r="R612" s="633"/>
      <c r="S612" s="633"/>
      <c r="T612" s="633"/>
    </row>
    <row r="613">
      <c r="A613" s="633"/>
      <c r="B613" s="633"/>
      <c r="C613" s="633"/>
      <c r="D613" s="633"/>
      <c r="E613" s="633"/>
      <c r="F613" s="633"/>
      <c r="G613" s="633"/>
      <c r="H613" s="633"/>
      <c r="I613" s="633"/>
      <c r="J613" s="633"/>
      <c r="K613" s="633"/>
      <c r="L613" s="633"/>
      <c r="M613" s="633"/>
      <c r="N613" s="633"/>
      <c r="O613" s="633"/>
      <c r="P613" s="633"/>
      <c r="Q613" s="633"/>
      <c r="R613" s="633"/>
      <c r="S613" s="633"/>
      <c r="T613" s="633"/>
    </row>
    <row r="614">
      <c r="A614" s="633"/>
      <c r="B614" s="633"/>
      <c r="C614" s="633"/>
      <c r="D614" s="633"/>
      <c r="E614" s="633"/>
      <c r="F614" s="633"/>
      <c r="G614" s="633"/>
      <c r="H614" s="633"/>
      <c r="I614" s="633"/>
      <c r="J614" s="633"/>
      <c r="K614" s="633"/>
      <c r="L614" s="633"/>
      <c r="M614" s="633"/>
      <c r="N614" s="633"/>
      <c r="O614" s="633"/>
      <c r="P614" s="633"/>
      <c r="Q614" s="633"/>
      <c r="R614" s="633"/>
      <c r="S614" s="633"/>
      <c r="T614" s="633"/>
    </row>
    <row r="615">
      <c r="A615" s="633"/>
      <c r="B615" s="633"/>
      <c r="C615" s="633"/>
      <c r="D615" s="633"/>
      <c r="E615" s="633"/>
      <c r="F615" s="633"/>
      <c r="G615" s="633"/>
      <c r="H615" s="633"/>
      <c r="I615" s="633"/>
      <c r="J615" s="633"/>
      <c r="K615" s="633"/>
      <c r="L615" s="633"/>
      <c r="M615" s="633"/>
      <c r="N615" s="633"/>
      <c r="O615" s="633"/>
      <c r="P615" s="633"/>
      <c r="Q615" s="633"/>
      <c r="R615" s="633"/>
      <c r="S615" s="633"/>
      <c r="T615" s="633"/>
    </row>
    <row r="616">
      <c r="A616" s="633"/>
      <c r="B616" s="633"/>
      <c r="C616" s="633"/>
      <c r="D616" s="633"/>
      <c r="E616" s="633"/>
      <c r="F616" s="633"/>
      <c r="G616" s="633"/>
      <c r="H616" s="633"/>
      <c r="I616" s="633"/>
      <c r="J616" s="633"/>
      <c r="K616" s="633"/>
      <c r="L616" s="633"/>
      <c r="M616" s="633"/>
      <c r="N616" s="633"/>
      <c r="O616" s="633"/>
      <c r="P616" s="633"/>
      <c r="Q616" s="633"/>
      <c r="R616" s="633"/>
      <c r="S616" s="633"/>
      <c r="T616" s="633"/>
    </row>
    <row r="617">
      <c r="A617" s="633"/>
      <c r="B617" s="633"/>
      <c r="C617" s="633"/>
      <c r="D617" s="633"/>
      <c r="E617" s="633"/>
      <c r="F617" s="633"/>
      <c r="G617" s="633"/>
      <c r="H617" s="633"/>
      <c r="I617" s="633"/>
      <c r="J617" s="633"/>
      <c r="K617" s="633"/>
      <c r="L617" s="633"/>
      <c r="M617" s="633"/>
      <c r="N617" s="633"/>
      <c r="O617" s="633"/>
      <c r="P617" s="633"/>
      <c r="Q617" s="633"/>
      <c r="R617" s="633"/>
      <c r="S617" s="633"/>
      <c r="T617" s="633"/>
    </row>
    <row r="618">
      <c r="A618" s="633"/>
      <c r="B618" s="633"/>
      <c r="C618" s="633"/>
      <c r="D618" s="633"/>
      <c r="E618" s="633"/>
      <c r="F618" s="633"/>
      <c r="G618" s="633"/>
      <c r="H618" s="633"/>
      <c r="I618" s="633"/>
      <c r="J618" s="633"/>
      <c r="K618" s="633"/>
      <c r="L618" s="633"/>
      <c r="M618" s="633"/>
      <c r="N618" s="633"/>
      <c r="O618" s="633"/>
      <c r="P618" s="633"/>
      <c r="Q618" s="633"/>
      <c r="R618" s="633"/>
      <c r="S618" s="633"/>
      <c r="T618" s="633"/>
    </row>
    <row r="619">
      <c r="A619" s="633"/>
      <c r="B619" s="633"/>
      <c r="C619" s="633"/>
      <c r="D619" s="633"/>
      <c r="E619" s="633"/>
      <c r="F619" s="633"/>
      <c r="G619" s="633"/>
      <c r="H619" s="633"/>
      <c r="I619" s="633"/>
      <c r="J619" s="633"/>
      <c r="K619" s="633"/>
      <c r="L619" s="633"/>
      <c r="M619" s="633"/>
      <c r="N619" s="633"/>
      <c r="O619" s="633"/>
      <c r="P619" s="633"/>
      <c r="Q619" s="633"/>
      <c r="R619" s="633"/>
      <c r="S619" s="633"/>
      <c r="T619" s="633"/>
    </row>
    <row r="620">
      <c r="A620" s="633"/>
      <c r="B620" s="633"/>
      <c r="C620" s="633"/>
      <c r="D620" s="633"/>
      <c r="E620" s="633"/>
      <c r="F620" s="633"/>
      <c r="G620" s="633"/>
      <c r="H620" s="633"/>
      <c r="I620" s="633"/>
      <c r="J620" s="633"/>
      <c r="K620" s="633"/>
      <c r="L620" s="633"/>
      <c r="M620" s="633"/>
      <c r="N620" s="633"/>
      <c r="O620" s="633"/>
      <c r="P620" s="633"/>
      <c r="Q620" s="633"/>
      <c r="R620" s="633"/>
      <c r="S620" s="633"/>
      <c r="T620" s="633"/>
    </row>
    <row r="621">
      <c r="A621" s="633"/>
      <c r="B621" s="633"/>
      <c r="C621" s="633"/>
      <c r="D621" s="633"/>
      <c r="E621" s="633"/>
      <c r="F621" s="633"/>
      <c r="G621" s="633"/>
      <c r="H621" s="633"/>
      <c r="I621" s="633"/>
      <c r="J621" s="633"/>
      <c r="K621" s="633"/>
      <c r="L621" s="633"/>
      <c r="M621" s="633"/>
      <c r="N621" s="633"/>
      <c r="O621" s="633"/>
      <c r="P621" s="633"/>
      <c r="Q621" s="633"/>
      <c r="R621" s="633"/>
      <c r="S621" s="633"/>
      <c r="T621" s="633"/>
    </row>
    <row r="622">
      <c r="A622" s="633"/>
      <c r="B622" s="633"/>
      <c r="C622" s="633"/>
      <c r="D622" s="633"/>
      <c r="E622" s="633"/>
      <c r="F622" s="633"/>
      <c r="G622" s="633"/>
      <c r="H622" s="633"/>
      <c r="I622" s="633"/>
      <c r="J622" s="633"/>
      <c r="K622" s="633"/>
      <c r="L622" s="633"/>
      <c r="M622" s="633"/>
      <c r="N622" s="633"/>
      <c r="O622" s="633"/>
      <c r="P622" s="633"/>
      <c r="Q622" s="633"/>
      <c r="R622" s="633"/>
      <c r="S622" s="633"/>
      <c r="T622" s="633"/>
    </row>
    <row r="623">
      <c r="A623" s="633"/>
      <c r="B623" s="633"/>
      <c r="C623" s="633"/>
      <c r="D623" s="633"/>
      <c r="E623" s="633"/>
      <c r="F623" s="633"/>
      <c r="G623" s="633"/>
      <c r="H623" s="633"/>
      <c r="I623" s="633"/>
      <c r="J623" s="633"/>
      <c r="K623" s="633"/>
      <c r="L623" s="633"/>
      <c r="M623" s="633"/>
      <c r="N623" s="633"/>
      <c r="O623" s="633"/>
      <c r="P623" s="633"/>
      <c r="Q623" s="633"/>
      <c r="R623" s="633"/>
      <c r="S623" s="633"/>
      <c r="T623" s="633"/>
    </row>
    <row r="624">
      <c r="A624" s="633"/>
      <c r="B624" s="633"/>
      <c r="C624" s="633"/>
      <c r="D624" s="633"/>
      <c r="E624" s="633"/>
      <c r="F624" s="633"/>
      <c r="G624" s="633"/>
      <c r="H624" s="633"/>
      <c r="I624" s="633"/>
      <c r="J624" s="633"/>
      <c r="K624" s="633"/>
      <c r="L624" s="633"/>
      <c r="M624" s="633"/>
      <c r="N624" s="633"/>
      <c r="O624" s="633"/>
      <c r="P624" s="633"/>
      <c r="Q624" s="633"/>
      <c r="R624" s="633"/>
      <c r="S624" s="633"/>
      <c r="T624" s="633"/>
    </row>
    <row r="625">
      <c r="A625" s="633"/>
      <c r="B625" s="633"/>
      <c r="C625" s="633"/>
      <c r="D625" s="633"/>
      <c r="E625" s="633"/>
      <c r="F625" s="633"/>
      <c r="G625" s="633"/>
      <c r="H625" s="633"/>
      <c r="I625" s="633"/>
      <c r="J625" s="633"/>
      <c r="K625" s="633"/>
      <c r="L625" s="633"/>
      <c r="M625" s="633"/>
      <c r="N625" s="633"/>
      <c r="O625" s="633"/>
      <c r="P625" s="633"/>
      <c r="Q625" s="633"/>
      <c r="R625" s="633"/>
      <c r="S625" s="633"/>
      <c r="T625" s="633"/>
    </row>
    <row r="626">
      <c r="A626" s="633"/>
      <c r="B626" s="633"/>
      <c r="C626" s="633"/>
      <c r="D626" s="633"/>
      <c r="E626" s="633"/>
      <c r="F626" s="633"/>
      <c r="G626" s="633"/>
      <c r="H626" s="633"/>
      <c r="I626" s="633"/>
      <c r="J626" s="633"/>
      <c r="K626" s="633"/>
      <c r="L626" s="633"/>
      <c r="M626" s="633"/>
      <c r="N626" s="633"/>
      <c r="O626" s="633"/>
      <c r="P626" s="633"/>
      <c r="Q626" s="633"/>
      <c r="R626" s="633"/>
      <c r="S626" s="633"/>
      <c r="T626" s="633"/>
    </row>
    <row r="627">
      <c r="A627" s="633"/>
      <c r="B627" s="633"/>
      <c r="C627" s="633"/>
      <c r="D627" s="633"/>
      <c r="E627" s="633"/>
      <c r="F627" s="633"/>
      <c r="G627" s="633"/>
      <c r="H627" s="633"/>
      <c r="I627" s="633"/>
      <c r="J627" s="633"/>
      <c r="K627" s="633"/>
      <c r="L627" s="633"/>
      <c r="M627" s="633"/>
      <c r="N627" s="633"/>
      <c r="O627" s="633"/>
      <c r="P627" s="633"/>
      <c r="Q627" s="633"/>
      <c r="R627" s="633"/>
      <c r="S627" s="633"/>
      <c r="T627" s="633"/>
    </row>
    <row r="628">
      <c r="A628" s="633"/>
      <c r="B628" s="633"/>
      <c r="C628" s="633"/>
      <c r="D628" s="633"/>
      <c r="E628" s="633"/>
      <c r="F628" s="633"/>
      <c r="G628" s="633"/>
      <c r="H628" s="633"/>
      <c r="I628" s="633"/>
      <c r="J628" s="633"/>
      <c r="K628" s="633"/>
      <c r="L628" s="633"/>
      <c r="M628" s="633"/>
      <c r="N628" s="633"/>
      <c r="O628" s="633"/>
      <c r="P628" s="633"/>
      <c r="Q628" s="633"/>
      <c r="R628" s="633"/>
      <c r="S628" s="633"/>
      <c r="T628" s="633"/>
    </row>
    <row r="629">
      <c r="A629" s="633"/>
      <c r="B629" s="633"/>
      <c r="C629" s="633"/>
      <c r="D629" s="633"/>
      <c r="E629" s="633"/>
      <c r="F629" s="633"/>
      <c r="G629" s="633"/>
      <c r="H629" s="633"/>
      <c r="I629" s="633"/>
      <c r="J629" s="633"/>
      <c r="K629" s="633"/>
      <c r="L629" s="633"/>
      <c r="M629" s="633"/>
      <c r="N629" s="633"/>
      <c r="O629" s="633"/>
      <c r="P629" s="633"/>
      <c r="Q629" s="633"/>
      <c r="R629" s="633"/>
      <c r="S629" s="633"/>
      <c r="T629" s="633"/>
    </row>
    <row r="630">
      <c r="A630" s="633"/>
      <c r="B630" s="633"/>
      <c r="C630" s="633"/>
      <c r="D630" s="633"/>
      <c r="E630" s="633"/>
      <c r="F630" s="633"/>
      <c r="G630" s="633"/>
      <c r="H630" s="633"/>
      <c r="I630" s="633"/>
      <c r="J630" s="633"/>
      <c r="K630" s="633"/>
      <c r="L630" s="633"/>
      <c r="M630" s="633"/>
      <c r="N630" s="633"/>
      <c r="O630" s="633"/>
      <c r="P630" s="633"/>
      <c r="Q630" s="633"/>
      <c r="R630" s="633"/>
      <c r="S630" s="633"/>
      <c r="T630" s="633"/>
    </row>
    <row r="631">
      <c r="A631" s="633"/>
      <c r="B631" s="633"/>
      <c r="C631" s="633"/>
      <c r="D631" s="633"/>
      <c r="E631" s="633"/>
      <c r="F631" s="633"/>
      <c r="G631" s="633"/>
      <c r="H631" s="633"/>
      <c r="I631" s="633"/>
      <c r="J631" s="633"/>
      <c r="K631" s="633"/>
      <c r="L631" s="633"/>
      <c r="M631" s="633"/>
      <c r="N631" s="633"/>
      <c r="O631" s="633"/>
      <c r="P631" s="633"/>
      <c r="Q631" s="633"/>
      <c r="R631" s="633"/>
      <c r="S631" s="633"/>
      <c r="T631" s="633"/>
    </row>
    <row r="632">
      <c r="A632" s="633"/>
      <c r="B632" s="633"/>
      <c r="C632" s="633"/>
      <c r="D632" s="633"/>
      <c r="E632" s="633"/>
      <c r="F632" s="633"/>
      <c r="G632" s="633"/>
      <c r="H632" s="633"/>
      <c r="I632" s="633"/>
      <c r="J632" s="633"/>
      <c r="K632" s="633"/>
      <c r="L632" s="633"/>
      <c r="M632" s="633"/>
      <c r="N632" s="633"/>
      <c r="O632" s="633"/>
      <c r="P632" s="633"/>
      <c r="Q632" s="633"/>
      <c r="R632" s="633"/>
      <c r="S632" s="633"/>
      <c r="T632" s="633"/>
    </row>
    <row r="633">
      <c r="A633" s="633"/>
      <c r="B633" s="633"/>
      <c r="C633" s="633"/>
      <c r="D633" s="633"/>
      <c r="E633" s="633"/>
      <c r="F633" s="633"/>
      <c r="G633" s="633"/>
      <c r="H633" s="633"/>
      <c r="I633" s="633"/>
      <c r="J633" s="633"/>
      <c r="K633" s="633"/>
      <c r="L633" s="633"/>
      <c r="M633" s="633"/>
      <c r="N633" s="633"/>
      <c r="O633" s="633"/>
      <c r="P633" s="633"/>
      <c r="Q633" s="633"/>
      <c r="R633" s="633"/>
      <c r="S633" s="633"/>
      <c r="T633" s="633"/>
    </row>
    <row r="634">
      <c r="A634" s="633"/>
      <c r="B634" s="633"/>
      <c r="C634" s="633"/>
      <c r="D634" s="633"/>
      <c r="E634" s="633"/>
      <c r="F634" s="633"/>
      <c r="G634" s="633"/>
      <c r="H634" s="633"/>
      <c r="I634" s="633"/>
      <c r="J634" s="633"/>
      <c r="K634" s="633"/>
      <c r="L634" s="633"/>
      <c r="M634" s="633"/>
      <c r="N634" s="633"/>
      <c r="O634" s="633"/>
      <c r="P634" s="633"/>
      <c r="Q634" s="633"/>
      <c r="R634" s="633"/>
      <c r="S634" s="633"/>
      <c r="T634" s="633"/>
    </row>
    <row r="635">
      <c r="A635" s="633"/>
      <c r="B635" s="633"/>
      <c r="C635" s="633"/>
      <c r="D635" s="633"/>
      <c r="E635" s="633"/>
      <c r="F635" s="633"/>
      <c r="G635" s="633"/>
      <c r="H635" s="633"/>
      <c r="I635" s="633"/>
      <c r="J635" s="633"/>
      <c r="K635" s="633"/>
      <c r="L635" s="633"/>
      <c r="M635" s="633"/>
      <c r="N635" s="633"/>
      <c r="O635" s="633"/>
      <c r="P635" s="633"/>
      <c r="Q635" s="633"/>
      <c r="R635" s="633"/>
      <c r="S635" s="633"/>
      <c r="T635" s="633"/>
    </row>
    <row r="636">
      <c r="A636" s="633"/>
      <c r="B636" s="633"/>
      <c r="C636" s="633"/>
      <c r="D636" s="633"/>
      <c r="E636" s="633"/>
      <c r="F636" s="633"/>
      <c r="G636" s="633"/>
      <c r="H636" s="633"/>
      <c r="I636" s="633"/>
      <c r="J636" s="633"/>
      <c r="K636" s="633"/>
      <c r="L636" s="633"/>
      <c r="M636" s="633"/>
      <c r="N636" s="633"/>
      <c r="O636" s="633"/>
      <c r="P636" s="633"/>
      <c r="Q636" s="633"/>
      <c r="R636" s="633"/>
      <c r="S636" s="633"/>
      <c r="T636" s="633"/>
    </row>
    <row r="637">
      <c r="A637" s="633"/>
      <c r="B637" s="633"/>
      <c r="C637" s="633"/>
      <c r="D637" s="633"/>
      <c r="E637" s="633"/>
      <c r="F637" s="633"/>
      <c r="G637" s="633"/>
      <c r="H637" s="633"/>
      <c r="I637" s="633"/>
      <c r="J637" s="633"/>
      <c r="K637" s="633"/>
      <c r="L637" s="633"/>
      <c r="M637" s="633"/>
      <c r="N637" s="633"/>
      <c r="O637" s="633"/>
      <c r="P637" s="633"/>
      <c r="Q637" s="633"/>
      <c r="R637" s="633"/>
      <c r="S637" s="633"/>
      <c r="T637" s="633"/>
    </row>
    <row r="638">
      <c r="A638" s="633"/>
      <c r="B638" s="633"/>
      <c r="C638" s="633"/>
      <c r="D638" s="633"/>
      <c r="E638" s="633"/>
      <c r="F638" s="633"/>
      <c r="G638" s="633"/>
      <c r="H638" s="633"/>
      <c r="I638" s="633"/>
      <c r="J638" s="633"/>
      <c r="K638" s="633"/>
      <c r="L638" s="633"/>
      <c r="M638" s="633"/>
      <c r="N638" s="633"/>
      <c r="O638" s="633"/>
      <c r="P638" s="633"/>
      <c r="Q638" s="633"/>
      <c r="R638" s="633"/>
      <c r="S638" s="633"/>
      <c r="T638" s="633"/>
    </row>
    <row r="639">
      <c r="A639" s="633"/>
      <c r="B639" s="633"/>
      <c r="C639" s="633"/>
      <c r="D639" s="633"/>
      <c r="E639" s="633"/>
      <c r="F639" s="633"/>
      <c r="G639" s="633"/>
      <c r="H639" s="633"/>
      <c r="I639" s="633"/>
      <c r="J639" s="633"/>
      <c r="K639" s="633"/>
      <c r="L639" s="633"/>
      <c r="M639" s="633"/>
      <c r="N639" s="633"/>
      <c r="O639" s="633"/>
      <c r="P639" s="633"/>
      <c r="Q639" s="633"/>
      <c r="R639" s="633"/>
      <c r="S639" s="633"/>
      <c r="T639" s="633"/>
    </row>
    <row r="640">
      <c r="A640" s="633"/>
      <c r="B640" s="633"/>
      <c r="C640" s="633"/>
      <c r="D640" s="633"/>
      <c r="E640" s="633"/>
      <c r="F640" s="633"/>
      <c r="G640" s="633"/>
      <c r="H640" s="633"/>
      <c r="I640" s="633"/>
      <c r="J640" s="633"/>
      <c r="K640" s="633"/>
      <c r="L640" s="633"/>
      <c r="M640" s="633"/>
      <c r="N640" s="633"/>
      <c r="O640" s="633"/>
      <c r="P640" s="633"/>
      <c r="Q640" s="633"/>
      <c r="R640" s="633"/>
      <c r="S640" s="633"/>
      <c r="T640" s="633"/>
    </row>
    <row r="641">
      <c r="A641" s="633"/>
      <c r="B641" s="633"/>
      <c r="C641" s="633"/>
      <c r="D641" s="633"/>
      <c r="E641" s="633"/>
      <c r="F641" s="633"/>
      <c r="G641" s="633"/>
      <c r="H641" s="633"/>
      <c r="I641" s="633"/>
      <c r="J641" s="633"/>
      <c r="K641" s="633"/>
      <c r="L641" s="633"/>
      <c r="M641" s="633"/>
      <c r="N641" s="633"/>
      <c r="O641" s="633"/>
      <c r="P641" s="633"/>
      <c r="Q641" s="633"/>
      <c r="R641" s="633"/>
      <c r="S641" s="633"/>
      <c r="T641" s="633"/>
    </row>
    <row r="642">
      <c r="A642" s="633"/>
      <c r="B642" s="633"/>
      <c r="C642" s="633"/>
      <c r="D642" s="633"/>
      <c r="E642" s="633"/>
      <c r="F642" s="633"/>
      <c r="G642" s="633"/>
      <c r="H642" s="633"/>
      <c r="I642" s="633"/>
      <c r="J642" s="633"/>
      <c r="K642" s="633"/>
      <c r="L642" s="633"/>
      <c r="M642" s="633"/>
      <c r="N642" s="633"/>
      <c r="O642" s="633"/>
      <c r="P642" s="633"/>
      <c r="Q642" s="633"/>
      <c r="R642" s="633"/>
      <c r="S642" s="633"/>
      <c r="T642" s="633"/>
    </row>
    <row r="643">
      <c r="A643" s="633"/>
      <c r="B643" s="633"/>
      <c r="C643" s="633"/>
      <c r="D643" s="633"/>
      <c r="E643" s="633"/>
      <c r="F643" s="633"/>
      <c r="G643" s="633"/>
      <c r="H643" s="633"/>
      <c r="I643" s="633"/>
      <c r="J643" s="633"/>
      <c r="K643" s="633"/>
      <c r="L643" s="633"/>
      <c r="M643" s="633"/>
      <c r="N643" s="633"/>
      <c r="O643" s="633"/>
      <c r="P643" s="633"/>
      <c r="Q643" s="633"/>
      <c r="R643" s="633"/>
      <c r="S643" s="633"/>
      <c r="T643" s="633"/>
    </row>
    <row r="644">
      <c r="A644" s="633"/>
      <c r="B644" s="633"/>
      <c r="C644" s="633"/>
      <c r="D644" s="633"/>
      <c r="E644" s="633"/>
      <c r="F644" s="633"/>
      <c r="G644" s="633"/>
      <c r="H644" s="633"/>
      <c r="I644" s="633"/>
      <c r="J644" s="633"/>
      <c r="K644" s="633"/>
      <c r="L644" s="633"/>
      <c r="M644" s="633"/>
      <c r="N644" s="633"/>
      <c r="O644" s="633"/>
      <c r="P644" s="633"/>
      <c r="Q644" s="633"/>
      <c r="R644" s="633"/>
      <c r="S644" s="633"/>
      <c r="T644" s="633"/>
    </row>
    <row r="645">
      <c r="A645" s="633"/>
      <c r="B645" s="633"/>
      <c r="C645" s="633"/>
      <c r="D645" s="633"/>
      <c r="E645" s="633"/>
      <c r="F645" s="633"/>
      <c r="G645" s="633"/>
      <c r="H645" s="633"/>
      <c r="I645" s="633"/>
      <c r="J645" s="633"/>
      <c r="K645" s="633"/>
      <c r="L645" s="633"/>
      <c r="M645" s="633"/>
      <c r="N645" s="633"/>
      <c r="O645" s="633"/>
      <c r="P645" s="633"/>
      <c r="Q645" s="633"/>
      <c r="R645" s="633"/>
      <c r="S645" s="633"/>
      <c r="T645" s="633"/>
    </row>
    <row r="646">
      <c r="A646" s="633"/>
      <c r="B646" s="633"/>
      <c r="C646" s="633"/>
      <c r="D646" s="633"/>
      <c r="E646" s="633"/>
      <c r="F646" s="633"/>
      <c r="G646" s="633"/>
      <c r="H646" s="633"/>
      <c r="I646" s="633"/>
      <c r="J646" s="633"/>
      <c r="K646" s="633"/>
      <c r="L646" s="633"/>
      <c r="M646" s="633"/>
      <c r="N646" s="633"/>
      <c r="O646" s="633"/>
      <c r="P646" s="633"/>
      <c r="Q646" s="633"/>
      <c r="R646" s="633"/>
      <c r="S646" s="633"/>
      <c r="T646" s="633"/>
    </row>
    <row r="647">
      <c r="A647" s="633"/>
      <c r="B647" s="633"/>
      <c r="C647" s="633"/>
      <c r="D647" s="633"/>
      <c r="E647" s="633"/>
      <c r="F647" s="633"/>
      <c r="G647" s="633"/>
      <c r="H647" s="633"/>
      <c r="I647" s="633"/>
      <c r="J647" s="633"/>
      <c r="K647" s="633"/>
      <c r="L647" s="633"/>
      <c r="M647" s="633"/>
      <c r="N647" s="633"/>
      <c r="O647" s="633"/>
      <c r="P647" s="633"/>
      <c r="Q647" s="633"/>
      <c r="R647" s="633"/>
      <c r="S647" s="633"/>
      <c r="T647" s="633"/>
    </row>
    <row r="648">
      <c r="A648" s="633"/>
      <c r="B648" s="633"/>
      <c r="C648" s="633"/>
      <c r="D648" s="633"/>
      <c r="E648" s="633"/>
      <c r="F648" s="633"/>
      <c r="G648" s="633"/>
      <c r="H648" s="633"/>
      <c r="I648" s="633"/>
      <c r="J648" s="633"/>
      <c r="K648" s="633"/>
      <c r="L648" s="633"/>
      <c r="M648" s="633"/>
      <c r="N648" s="633"/>
      <c r="O648" s="633"/>
      <c r="P648" s="633"/>
      <c r="Q648" s="633"/>
      <c r="R648" s="633"/>
      <c r="S648" s="633"/>
      <c r="T648" s="633"/>
    </row>
    <row r="649">
      <c r="A649" s="633"/>
      <c r="B649" s="633"/>
      <c r="C649" s="633"/>
      <c r="D649" s="633"/>
      <c r="E649" s="633"/>
      <c r="F649" s="633"/>
      <c r="G649" s="633"/>
      <c r="H649" s="633"/>
      <c r="I649" s="633"/>
      <c r="J649" s="633"/>
      <c r="K649" s="633"/>
      <c r="L649" s="633"/>
      <c r="M649" s="633"/>
      <c r="N649" s="633"/>
      <c r="O649" s="633"/>
      <c r="P649" s="633"/>
      <c r="Q649" s="633"/>
      <c r="R649" s="633"/>
      <c r="S649" s="633"/>
      <c r="T649" s="633"/>
    </row>
    <row r="650">
      <c r="A650" s="633"/>
      <c r="B650" s="633"/>
      <c r="C650" s="633"/>
      <c r="D650" s="633"/>
      <c r="E650" s="633"/>
      <c r="F650" s="633"/>
      <c r="G650" s="633"/>
      <c r="H650" s="633"/>
      <c r="I650" s="633"/>
      <c r="J650" s="633"/>
      <c r="K650" s="633"/>
      <c r="L650" s="633"/>
      <c r="M650" s="633"/>
      <c r="N650" s="633"/>
      <c r="O650" s="633"/>
      <c r="P650" s="633"/>
      <c r="Q650" s="633"/>
      <c r="R650" s="633"/>
      <c r="S650" s="633"/>
      <c r="T650" s="633"/>
    </row>
    <row r="651">
      <c r="A651" s="633"/>
      <c r="B651" s="633"/>
      <c r="C651" s="633"/>
      <c r="D651" s="633"/>
      <c r="E651" s="633"/>
      <c r="F651" s="633"/>
      <c r="G651" s="633"/>
      <c r="H651" s="633"/>
      <c r="I651" s="633"/>
      <c r="J651" s="633"/>
      <c r="K651" s="633"/>
      <c r="L651" s="633"/>
      <c r="M651" s="633"/>
      <c r="N651" s="633"/>
      <c r="O651" s="633"/>
      <c r="P651" s="633"/>
      <c r="Q651" s="633"/>
      <c r="R651" s="633"/>
      <c r="S651" s="633"/>
      <c r="T651" s="633"/>
    </row>
    <row r="652">
      <c r="A652" s="633"/>
      <c r="B652" s="633"/>
      <c r="C652" s="633"/>
      <c r="D652" s="633"/>
      <c r="E652" s="633"/>
      <c r="F652" s="633"/>
      <c r="G652" s="633"/>
      <c r="H652" s="633"/>
      <c r="I652" s="633"/>
      <c r="J652" s="633"/>
      <c r="K652" s="633"/>
      <c r="L652" s="633"/>
      <c r="M652" s="633"/>
      <c r="N652" s="633"/>
      <c r="O652" s="633"/>
      <c r="P652" s="633"/>
      <c r="Q652" s="633"/>
      <c r="R652" s="633"/>
      <c r="S652" s="633"/>
      <c r="T652" s="633"/>
    </row>
    <row r="653">
      <c r="A653" s="633"/>
      <c r="B653" s="633"/>
      <c r="C653" s="633"/>
      <c r="D653" s="633"/>
      <c r="E653" s="633"/>
      <c r="F653" s="633"/>
      <c r="G653" s="633"/>
      <c r="H653" s="633"/>
      <c r="I653" s="633"/>
      <c r="J653" s="633"/>
      <c r="K653" s="633"/>
      <c r="L653" s="633"/>
      <c r="M653" s="633"/>
      <c r="N653" s="633"/>
      <c r="O653" s="633"/>
      <c r="P653" s="633"/>
      <c r="Q653" s="633"/>
      <c r="R653" s="633"/>
      <c r="S653" s="633"/>
      <c r="T653" s="633"/>
    </row>
    <row r="654">
      <c r="A654" s="633"/>
      <c r="B654" s="633"/>
      <c r="C654" s="633"/>
      <c r="D654" s="633"/>
      <c r="E654" s="633"/>
      <c r="F654" s="633"/>
      <c r="G654" s="633"/>
      <c r="H654" s="633"/>
      <c r="I654" s="633"/>
      <c r="J654" s="633"/>
      <c r="K654" s="633"/>
      <c r="L654" s="633"/>
      <c r="M654" s="633"/>
      <c r="N654" s="633"/>
      <c r="O654" s="633"/>
      <c r="P654" s="633"/>
      <c r="Q654" s="633"/>
      <c r="R654" s="633"/>
      <c r="S654" s="633"/>
      <c r="T654" s="633"/>
    </row>
    <row r="655">
      <c r="A655" s="633"/>
      <c r="B655" s="633"/>
      <c r="C655" s="633"/>
      <c r="D655" s="633"/>
      <c r="E655" s="633"/>
      <c r="F655" s="633"/>
      <c r="G655" s="633"/>
      <c r="H655" s="633"/>
      <c r="I655" s="633"/>
      <c r="J655" s="633"/>
      <c r="K655" s="633"/>
      <c r="L655" s="633"/>
      <c r="M655" s="633"/>
      <c r="N655" s="633"/>
      <c r="O655" s="633"/>
      <c r="P655" s="633"/>
      <c r="Q655" s="633"/>
      <c r="R655" s="633"/>
      <c r="S655" s="633"/>
      <c r="T655" s="633"/>
    </row>
    <row r="656">
      <c r="A656" s="633"/>
      <c r="B656" s="633"/>
      <c r="C656" s="633"/>
      <c r="D656" s="633"/>
      <c r="E656" s="633"/>
      <c r="F656" s="633"/>
      <c r="G656" s="633"/>
      <c r="H656" s="633"/>
      <c r="I656" s="633"/>
      <c r="J656" s="633"/>
      <c r="K656" s="633"/>
      <c r="L656" s="633"/>
      <c r="M656" s="633"/>
      <c r="N656" s="633"/>
      <c r="O656" s="633"/>
      <c r="P656" s="633"/>
      <c r="Q656" s="633"/>
      <c r="R656" s="633"/>
      <c r="S656" s="633"/>
      <c r="T656" s="633"/>
    </row>
    <row r="657">
      <c r="A657" s="633"/>
      <c r="B657" s="633"/>
      <c r="C657" s="633"/>
      <c r="D657" s="633"/>
      <c r="E657" s="633"/>
      <c r="F657" s="633"/>
      <c r="G657" s="633"/>
      <c r="H657" s="633"/>
      <c r="I657" s="633"/>
      <c r="J657" s="633"/>
      <c r="K657" s="633"/>
      <c r="L657" s="633"/>
      <c r="M657" s="633"/>
      <c r="N657" s="633"/>
      <c r="O657" s="633"/>
      <c r="P657" s="633"/>
      <c r="Q657" s="633"/>
      <c r="R657" s="633"/>
      <c r="S657" s="633"/>
      <c r="T657" s="633"/>
    </row>
    <row r="658">
      <c r="A658" s="633"/>
      <c r="B658" s="633"/>
      <c r="C658" s="633"/>
      <c r="D658" s="633"/>
      <c r="E658" s="633"/>
      <c r="F658" s="633"/>
      <c r="G658" s="633"/>
      <c r="H658" s="633"/>
      <c r="I658" s="633"/>
      <c r="J658" s="633"/>
      <c r="K658" s="633"/>
      <c r="L658" s="633"/>
      <c r="M658" s="633"/>
      <c r="N658" s="633"/>
      <c r="O658" s="633"/>
      <c r="P658" s="633"/>
      <c r="Q658" s="633"/>
      <c r="R658" s="633"/>
      <c r="S658" s="633"/>
      <c r="T658" s="633"/>
    </row>
    <row r="659">
      <c r="A659" s="633"/>
      <c r="B659" s="633"/>
      <c r="C659" s="633"/>
      <c r="D659" s="633"/>
      <c r="E659" s="633"/>
      <c r="F659" s="633"/>
      <c r="G659" s="633"/>
      <c r="H659" s="633"/>
      <c r="I659" s="633"/>
      <c r="J659" s="633"/>
      <c r="K659" s="633"/>
      <c r="L659" s="633"/>
      <c r="M659" s="633"/>
      <c r="N659" s="633"/>
      <c r="O659" s="633"/>
      <c r="P659" s="633"/>
      <c r="Q659" s="633"/>
      <c r="R659" s="633"/>
      <c r="S659" s="633"/>
      <c r="T659" s="633"/>
    </row>
    <row r="660">
      <c r="A660" s="633"/>
      <c r="B660" s="633"/>
      <c r="C660" s="633"/>
      <c r="D660" s="633"/>
      <c r="E660" s="633"/>
      <c r="F660" s="633"/>
      <c r="G660" s="633"/>
      <c r="H660" s="633"/>
      <c r="I660" s="633"/>
      <c r="J660" s="633"/>
      <c r="K660" s="633"/>
      <c r="L660" s="633"/>
      <c r="M660" s="633"/>
      <c r="N660" s="633"/>
      <c r="O660" s="633"/>
      <c r="P660" s="633"/>
      <c r="Q660" s="633"/>
      <c r="R660" s="633"/>
      <c r="S660" s="633"/>
      <c r="T660" s="633"/>
    </row>
    <row r="661">
      <c r="A661" s="633"/>
      <c r="B661" s="633"/>
      <c r="C661" s="633"/>
      <c r="D661" s="633"/>
      <c r="E661" s="633"/>
      <c r="F661" s="633"/>
      <c r="G661" s="633"/>
      <c r="H661" s="633"/>
      <c r="I661" s="633"/>
      <c r="J661" s="633"/>
      <c r="K661" s="633"/>
      <c r="L661" s="633"/>
      <c r="M661" s="633"/>
      <c r="N661" s="633"/>
      <c r="O661" s="633"/>
      <c r="P661" s="633"/>
      <c r="Q661" s="633"/>
      <c r="R661" s="633"/>
      <c r="S661" s="633"/>
      <c r="T661" s="633"/>
    </row>
    <row r="662">
      <c r="A662" s="633"/>
      <c r="B662" s="633"/>
      <c r="C662" s="633"/>
      <c r="D662" s="633"/>
      <c r="E662" s="633"/>
      <c r="F662" s="633"/>
      <c r="G662" s="633"/>
      <c r="H662" s="633"/>
      <c r="I662" s="633"/>
      <c r="J662" s="633"/>
      <c r="K662" s="633"/>
      <c r="L662" s="633"/>
      <c r="M662" s="633"/>
      <c r="N662" s="633"/>
      <c r="O662" s="633"/>
      <c r="P662" s="633"/>
      <c r="Q662" s="633"/>
      <c r="R662" s="633"/>
      <c r="S662" s="633"/>
      <c r="T662" s="633"/>
    </row>
    <row r="663">
      <c r="A663" s="633"/>
      <c r="B663" s="633"/>
      <c r="C663" s="633"/>
      <c r="D663" s="633"/>
      <c r="E663" s="633"/>
      <c r="F663" s="633"/>
      <c r="G663" s="633"/>
      <c r="H663" s="633"/>
      <c r="I663" s="633"/>
      <c r="J663" s="633"/>
      <c r="K663" s="633"/>
      <c r="L663" s="633"/>
      <c r="M663" s="633"/>
      <c r="N663" s="633"/>
      <c r="O663" s="633"/>
      <c r="P663" s="633"/>
      <c r="Q663" s="633"/>
      <c r="R663" s="633"/>
      <c r="S663" s="633"/>
      <c r="T663" s="633"/>
    </row>
    <row r="664">
      <c r="A664" s="633"/>
      <c r="B664" s="633"/>
      <c r="C664" s="633"/>
      <c r="D664" s="633"/>
      <c r="E664" s="633"/>
      <c r="F664" s="633"/>
      <c r="G664" s="633"/>
      <c r="H664" s="633"/>
      <c r="I664" s="633"/>
      <c r="J664" s="633"/>
      <c r="K664" s="633"/>
      <c r="L664" s="633"/>
      <c r="M664" s="633"/>
      <c r="N664" s="633"/>
      <c r="O664" s="633"/>
      <c r="P664" s="633"/>
      <c r="Q664" s="633"/>
      <c r="R664" s="633"/>
      <c r="S664" s="633"/>
      <c r="T664" s="633"/>
    </row>
    <row r="665">
      <c r="A665" s="633"/>
      <c r="B665" s="633"/>
      <c r="C665" s="633"/>
      <c r="D665" s="633"/>
      <c r="E665" s="633"/>
      <c r="F665" s="633"/>
      <c r="G665" s="633"/>
      <c r="H665" s="633"/>
      <c r="I665" s="633"/>
      <c r="J665" s="633"/>
      <c r="K665" s="633"/>
      <c r="L665" s="633"/>
      <c r="M665" s="633"/>
      <c r="N665" s="633"/>
      <c r="O665" s="633"/>
      <c r="P665" s="633"/>
      <c r="Q665" s="633"/>
      <c r="R665" s="633"/>
      <c r="S665" s="633"/>
      <c r="T665" s="633"/>
    </row>
    <row r="666">
      <c r="A666" s="633"/>
      <c r="B666" s="633"/>
      <c r="C666" s="633"/>
      <c r="D666" s="633"/>
      <c r="E666" s="633"/>
      <c r="F666" s="633"/>
      <c r="G666" s="633"/>
      <c r="H666" s="633"/>
      <c r="I666" s="633"/>
      <c r="J666" s="633"/>
      <c r="K666" s="633"/>
      <c r="L666" s="633"/>
      <c r="M666" s="633"/>
      <c r="N666" s="633"/>
      <c r="O666" s="633"/>
      <c r="P666" s="633"/>
      <c r="Q666" s="633"/>
      <c r="R666" s="633"/>
      <c r="S666" s="633"/>
      <c r="T666" s="633"/>
    </row>
    <row r="667">
      <c r="A667" s="633"/>
      <c r="B667" s="633"/>
      <c r="C667" s="633"/>
      <c r="D667" s="633"/>
      <c r="E667" s="633"/>
      <c r="F667" s="633"/>
      <c r="G667" s="633"/>
      <c r="H667" s="633"/>
      <c r="I667" s="633"/>
      <c r="J667" s="633"/>
      <c r="K667" s="633"/>
      <c r="L667" s="633"/>
      <c r="M667" s="633"/>
      <c r="N667" s="633"/>
      <c r="O667" s="633"/>
      <c r="P667" s="633"/>
      <c r="Q667" s="633"/>
      <c r="R667" s="633"/>
      <c r="S667" s="633"/>
      <c r="T667" s="633"/>
    </row>
    <row r="668">
      <c r="A668" s="633"/>
      <c r="B668" s="633"/>
      <c r="C668" s="633"/>
      <c r="D668" s="633"/>
      <c r="E668" s="633"/>
      <c r="F668" s="633"/>
      <c r="G668" s="633"/>
      <c r="H668" s="633"/>
      <c r="I668" s="633"/>
      <c r="J668" s="633"/>
      <c r="K668" s="633"/>
      <c r="L668" s="633"/>
      <c r="M668" s="633"/>
      <c r="N668" s="633"/>
      <c r="O668" s="633"/>
      <c r="P668" s="633"/>
      <c r="Q668" s="633"/>
      <c r="R668" s="633"/>
      <c r="S668" s="633"/>
      <c r="T668" s="633"/>
    </row>
    <row r="669">
      <c r="A669" s="633"/>
      <c r="B669" s="633"/>
      <c r="C669" s="633"/>
      <c r="D669" s="633"/>
      <c r="E669" s="633"/>
      <c r="F669" s="633"/>
      <c r="G669" s="633"/>
      <c r="H669" s="633"/>
      <c r="I669" s="633"/>
      <c r="J669" s="633"/>
      <c r="K669" s="633"/>
      <c r="L669" s="633"/>
      <c r="M669" s="633"/>
      <c r="N669" s="633"/>
      <c r="O669" s="633"/>
      <c r="P669" s="633"/>
      <c r="Q669" s="633"/>
      <c r="R669" s="633"/>
      <c r="S669" s="633"/>
      <c r="T669" s="633"/>
    </row>
    <row r="670">
      <c r="A670" s="633"/>
      <c r="B670" s="633"/>
      <c r="C670" s="633"/>
      <c r="D670" s="633"/>
      <c r="E670" s="633"/>
      <c r="F670" s="633"/>
      <c r="G670" s="633"/>
      <c r="H670" s="633"/>
      <c r="I670" s="633"/>
      <c r="J670" s="633"/>
      <c r="K670" s="633"/>
      <c r="L670" s="633"/>
      <c r="M670" s="633"/>
      <c r="N670" s="633"/>
      <c r="O670" s="633"/>
      <c r="P670" s="633"/>
      <c r="Q670" s="633"/>
      <c r="R670" s="633"/>
      <c r="S670" s="633"/>
      <c r="T670" s="633"/>
    </row>
    <row r="671">
      <c r="A671" s="633"/>
      <c r="B671" s="633"/>
      <c r="C671" s="633"/>
      <c r="D671" s="633"/>
      <c r="E671" s="633"/>
      <c r="F671" s="633"/>
      <c r="G671" s="633"/>
      <c r="H671" s="633"/>
      <c r="I671" s="633"/>
      <c r="J671" s="633"/>
      <c r="K671" s="633"/>
      <c r="L671" s="633"/>
      <c r="M671" s="633"/>
      <c r="N671" s="633"/>
      <c r="O671" s="633"/>
      <c r="P671" s="633"/>
      <c r="Q671" s="633"/>
      <c r="R671" s="633"/>
      <c r="S671" s="633"/>
      <c r="T671" s="633"/>
    </row>
    <row r="672">
      <c r="A672" s="633"/>
      <c r="B672" s="633"/>
      <c r="C672" s="633"/>
      <c r="D672" s="633"/>
      <c r="E672" s="633"/>
      <c r="F672" s="633"/>
      <c r="G672" s="633"/>
      <c r="H672" s="633"/>
      <c r="I672" s="633"/>
      <c r="J672" s="633"/>
      <c r="K672" s="633"/>
      <c r="L672" s="633"/>
      <c r="M672" s="633"/>
      <c r="N672" s="633"/>
      <c r="O672" s="633"/>
      <c r="P672" s="633"/>
      <c r="Q672" s="633"/>
      <c r="R672" s="633"/>
      <c r="S672" s="633"/>
      <c r="T672" s="633"/>
    </row>
    <row r="673">
      <c r="A673" s="633"/>
      <c r="B673" s="633"/>
      <c r="C673" s="633"/>
      <c r="D673" s="633"/>
      <c r="E673" s="633"/>
      <c r="F673" s="633"/>
      <c r="G673" s="633"/>
      <c r="H673" s="633"/>
      <c r="I673" s="633"/>
      <c r="J673" s="633"/>
      <c r="K673" s="633"/>
      <c r="L673" s="633"/>
      <c r="M673" s="633"/>
      <c r="N673" s="633"/>
      <c r="O673" s="633"/>
      <c r="P673" s="633"/>
      <c r="Q673" s="633"/>
      <c r="R673" s="633"/>
      <c r="S673" s="633"/>
      <c r="T673" s="633"/>
    </row>
    <row r="674">
      <c r="A674" s="633"/>
      <c r="B674" s="633"/>
      <c r="C674" s="633"/>
      <c r="D674" s="633"/>
      <c r="E674" s="633"/>
      <c r="F674" s="633"/>
      <c r="G674" s="633"/>
      <c r="H674" s="633"/>
      <c r="I674" s="633"/>
      <c r="J674" s="633"/>
      <c r="K674" s="633"/>
      <c r="L674" s="633"/>
      <c r="M674" s="633"/>
      <c r="N674" s="633"/>
      <c r="O674" s="633"/>
      <c r="P674" s="633"/>
      <c r="Q674" s="633"/>
      <c r="R674" s="633"/>
      <c r="S674" s="633"/>
      <c r="T674" s="633"/>
    </row>
    <row r="675">
      <c r="A675" s="633"/>
      <c r="B675" s="633"/>
      <c r="C675" s="633"/>
      <c r="D675" s="633"/>
      <c r="E675" s="633"/>
      <c r="F675" s="633"/>
      <c r="G675" s="633"/>
      <c r="H675" s="633"/>
      <c r="I675" s="633"/>
      <c r="J675" s="633"/>
      <c r="K675" s="633"/>
      <c r="L675" s="633"/>
      <c r="M675" s="633"/>
      <c r="N675" s="633"/>
      <c r="O675" s="633"/>
      <c r="P675" s="633"/>
      <c r="Q675" s="633"/>
      <c r="R675" s="633"/>
      <c r="S675" s="633"/>
      <c r="T675" s="633"/>
    </row>
    <row r="676">
      <c r="A676" s="633"/>
      <c r="B676" s="633"/>
      <c r="C676" s="633"/>
      <c r="D676" s="633"/>
      <c r="E676" s="633"/>
      <c r="F676" s="633"/>
      <c r="G676" s="633"/>
      <c r="H676" s="633"/>
      <c r="I676" s="633"/>
      <c r="J676" s="633"/>
      <c r="K676" s="633"/>
      <c r="L676" s="633"/>
      <c r="M676" s="633"/>
      <c r="N676" s="633"/>
      <c r="O676" s="633"/>
      <c r="P676" s="633"/>
      <c r="Q676" s="633"/>
      <c r="R676" s="633"/>
      <c r="S676" s="633"/>
      <c r="T676" s="633"/>
    </row>
    <row r="677">
      <c r="A677" s="633"/>
      <c r="B677" s="633"/>
      <c r="C677" s="633"/>
      <c r="D677" s="633"/>
      <c r="E677" s="633"/>
      <c r="F677" s="633"/>
      <c r="G677" s="633"/>
      <c r="H677" s="633"/>
      <c r="I677" s="633"/>
      <c r="J677" s="633"/>
      <c r="K677" s="633"/>
      <c r="L677" s="633"/>
      <c r="M677" s="633"/>
      <c r="N677" s="633"/>
      <c r="O677" s="633"/>
      <c r="P677" s="633"/>
      <c r="Q677" s="633"/>
      <c r="R677" s="633"/>
      <c r="S677" s="633"/>
      <c r="T677" s="633"/>
    </row>
    <row r="678">
      <c r="A678" s="633"/>
      <c r="B678" s="633"/>
      <c r="C678" s="633"/>
      <c r="D678" s="633"/>
      <c r="E678" s="633"/>
      <c r="F678" s="633"/>
      <c r="G678" s="633"/>
      <c r="H678" s="633"/>
      <c r="I678" s="633"/>
      <c r="J678" s="633"/>
      <c r="K678" s="633"/>
      <c r="L678" s="633"/>
      <c r="M678" s="633"/>
      <c r="N678" s="633"/>
      <c r="O678" s="633"/>
      <c r="P678" s="633"/>
      <c r="Q678" s="633"/>
      <c r="R678" s="633"/>
      <c r="S678" s="633"/>
      <c r="T678" s="633"/>
    </row>
    <row r="679">
      <c r="A679" s="633"/>
      <c r="B679" s="633"/>
      <c r="C679" s="633"/>
      <c r="D679" s="633"/>
      <c r="E679" s="633"/>
      <c r="F679" s="633"/>
      <c r="G679" s="633"/>
      <c r="H679" s="633"/>
      <c r="I679" s="633"/>
      <c r="J679" s="633"/>
      <c r="K679" s="633"/>
      <c r="L679" s="633"/>
      <c r="M679" s="633"/>
      <c r="N679" s="633"/>
      <c r="O679" s="633"/>
      <c r="P679" s="633"/>
      <c r="Q679" s="633"/>
      <c r="R679" s="633"/>
      <c r="S679" s="633"/>
      <c r="T679" s="633"/>
    </row>
    <row r="680">
      <c r="A680" s="633"/>
      <c r="B680" s="633"/>
      <c r="C680" s="633"/>
      <c r="D680" s="633"/>
      <c r="E680" s="633"/>
      <c r="F680" s="633"/>
      <c r="G680" s="633"/>
      <c r="H680" s="633"/>
      <c r="I680" s="633"/>
      <c r="J680" s="633"/>
      <c r="K680" s="633"/>
      <c r="L680" s="633"/>
      <c r="M680" s="633"/>
      <c r="N680" s="633"/>
      <c r="O680" s="633"/>
      <c r="P680" s="633"/>
      <c r="Q680" s="633"/>
      <c r="R680" s="633"/>
      <c r="S680" s="633"/>
      <c r="T680" s="633"/>
    </row>
    <row r="681">
      <c r="A681" s="633"/>
      <c r="B681" s="633"/>
      <c r="C681" s="633"/>
      <c r="D681" s="633"/>
      <c r="E681" s="633"/>
      <c r="F681" s="633"/>
      <c r="G681" s="633"/>
      <c r="H681" s="633"/>
      <c r="I681" s="633"/>
      <c r="J681" s="633"/>
      <c r="K681" s="633"/>
      <c r="L681" s="633"/>
      <c r="M681" s="633"/>
      <c r="N681" s="633"/>
      <c r="O681" s="633"/>
      <c r="P681" s="633"/>
      <c r="Q681" s="633"/>
      <c r="R681" s="633"/>
      <c r="S681" s="633"/>
      <c r="T681" s="633"/>
    </row>
    <row r="682">
      <c r="A682" s="633"/>
      <c r="B682" s="633"/>
      <c r="C682" s="633"/>
      <c r="D682" s="633"/>
      <c r="E682" s="633"/>
      <c r="F682" s="633"/>
      <c r="G682" s="633"/>
      <c r="H682" s="633"/>
      <c r="I682" s="633"/>
      <c r="J682" s="633"/>
      <c r="K682" s="633"/>
      <c r="L682" s="633"/>
      <c r="M682" s="633"/>
      <c r="N682" s="633"/>
      <c r="O682" s="633"/>
      <c r="P682" s="633"/>
      <c r="Q682" s="633"/>
      <c r="R682" s="633"/>
      <c r="S682" s="633"/>
      <c r="T682" s="633"/>
    </row>
    <row r="683">
      <c r="A683" s="633"/>
      <c r="B683" s="633"/>
      <c r="C683" s="633"/>
      <c r="D683" s="633"/>
      <c r="E683" s="633"/>
      <c r="F683" s="633"/>
      <c r="G683" s="633"/>
      <c r="H683" s="633"/>
      <c r="I683" s="633"/>
      <c r="J683" s="633"/>
      <c r="K683" s="633"/>
      <c r="L683" s="633"/>
      <c r="M683" s="633"/>
      <c r="N683" s="633"/>
      <c r="O683" s="633"/>
      <c r="P683" s="633"/>
      <c r="Q683" s="633"/>
      <c r="R683" s="633"/>
      <c r="S683" s="633"/>
      <c r="T683" s="633"/>
    </row>
    <row r="684">
      <c r="A684" s="633"/>
      <c r="B684" s="633"/>
      <c r="C684" s="633"/>
      <c r="D684" s="633"/>
      <c r="E684" s="633"/>
      <c r="F684" s="633"/>
      <c r="G684" s="633"/>
      <c r="H684" s="633"/>
      <c r="I684" s="633"/>
      <c r="J684" s="633"/>
      <c r="K684" s="633"/>
      <c r="L684" s="633"/>
      <c r="M684" s="633"/>
      <c r="N684" s="633"/>
      <c r="O684" s="633"/>
      <c r="P684" s="633"/>
      <c r="Q684" s="633"/>
      <c r="R684" s="633"/>
      <c r="S684" s="633"/>
      <c r="T684" s="633"/>
    </row>
    <row r="685">
      <c r="A685" s="633"/>
      <c r="B685" s="633"/>
      <c r="C685" s="633"/>
      <c r="D685" s="633"/>
      <c r="E685" s="633"/>
      <c r="F685" s="633"/>
      <c r="G685" s="633"/>
      <c r="H685" s="633"/>
      <c r="I685" s="633"/>
      <c r="J685" s="633"/>
      <c r="K685" s="633"/>
      <c r="L685" s="633"/>
      <c r="M685" s="633"/>
      <c r="N685" s="633"/>
      <c r="O685" s="633"/>
      <c r="P685" s="633"/>
      <c r="Q685" s="633"/>
      <c r="R685" s="633"/>
      <c r="S685" s="633"/>
      <c r="T685" s="633"/>
    </row>
    <row r="686">
      <c r="A686" s="633"/>
      <c r="B686" s="633"/>
      <c r="C686" s="633"/>
      <c r="D686" s="633"/>
      <c r="E686" s="633"/>
      <c r="F686" s="633"/>
      <c r="G686" s="633"/>
      <c r="H686" s="633"/>
      <c r="I686" s="633"/>
      <c r="J686" s="633"/>
      <c r="K686" s="633"/>
      <c r="L686" s="633"/>
      <c r="M686" s="633"/>
      <c r="N686" s="633"/>
      <c r="O686" s="633"/>
      <c r="P686" s="633"/>
      <c r="Q686" s="633"/>
      <c r="R686" s="633"/>
      <c r="S686" s="633"/>
      <c r="T686" s="633"/>
    </row>
    <row r="687">
      <c r="A687" s="633"/>
      <c r="B687" s="633"/>
      <c r="C687" s="633"/>
      <c r="D687" s="633"/>
      <c r="E687" s="633"/>
      <c r="F687" s="633"/>
      <c r="G687" s="633"/>
      <c r="H687" s="633"/>
      <c r="I687" s="633"/>
      <c r="J687" s="633"/>
      <c r="K687" s="633"/>
      <c r="L687" s="633"/>
      <c r="M687" s="633"/>
      <c r="N687" s="633"/>
      <c r="O687" s="633"/>
      <c r="P687" s="633"/>
      <c r="Q687" s="633"/>
      <c r="R687" s="633"/>
      <c r="S687" s="633"/>
      <c r="T687" s="633"/>
    </row>
    <row r="688">
      <c r="A688" s="633"/>
      <c r="B688" s="633"/>
      <c r="C688" s="633"/>
      <c r="D688" s="633"/>
      <c r="E688" s="633"/>
      <c r="F688" s="633"/>
      <c r="G688" s="633"/>
      <c r="H688" s="633"/>
      <c r="I688" s="633"/>
      <c r="J688" s="633"/>
      <c r="K688" s="633"/>
      <c r="L688" s="633"/>
      <c r="M688" s="633"/>
      <c r="N688" s="633"/>
      <c r="O688" s="633"/>
      <c r="P688" s="633"/>
      <c r="Q688" s="633"/>
      <c r="R688" s="633"/>
      <c r="S688" s="633"/>
      <c r="T688" s="633"/>
    </row>
    <row r="689">
      <c r="A689" s="633"/>
      <c r="B689" s="633"/>
      <c r="C689" s="633"/>
      <c r="D689" s="633"/>
      <c r="E689" s="633"/>
      <c r="F689" s="633"/>
      <c r="G689" s="633"/>
      <c r="H689" s="633"/>
      <c r="I689" s="633"/>
      <c r="J689" s="633"/>
      <c r="K689" s="633"/>
      <c r="L689" s="633"/>
      <c r="M689" s="633"/>
      <c r="N689" s="633"/>
      <c r="O689" s="633"/>
      <c r="P689" s="633"/>
      <c r="Q689" s="633"/>
      <c r="R689" s="633"/>
      <c r="S689" s="633"/>
      <c r="T689" s="633"/>
    </row>
    <row r="690">
      <c r="A690" s="633"/>
      <c r="B690" s="633"/>
      <c r="C690" s="633"/>
      <c r="D690" s="633"/>
      <c r="E690" s="633"/>
      <c r="F690" s="633"/>
      <c r="G690" s="633"/>
      <c r="H690" s="633"/>
      <c r="I690" s="633"/>
      <c r="J690" s="633"/>
      <c r="K690" s="633"/>
      <c r="L690" s="633"/>
      <c r="M690" s="633"/>
      <c r="N690" s="633"/>
      <c r="O690" s="633"/>
      <c r="P690" s="633"/>
      <c r="Q690" s="633"/>
      <c r="R690" s="633"/>
      <c r="S690" s="633"/>
      <c r="T690" s="633"/>
    </row>
    <row r="691">
      <c r="A691" s="633"/>
      <c r="B691" s="633"/>
      <c r="C691" s="633"/>
      <c r="D691" s="633"/>
      <c r="E691" s="633"/>
      <c r="F691" s="633"/>
      <c r="G691" s="633"/>
      <c r="H691" s="633"/>
      <c r="I691" s="633"/>
      <c r="J691" s="633"/>
      <c r="K691" s="633"/>
      <c r="L691" s="633"/>
      <c r="M691" s="633"/>
      <c r="N691" s="633"/>
      <c r="O691" s="633"/>
      <c r="P691" s="633"/>
      <c r="Q691" s="633"/>
      <c r="R691" s="633"/>
      <c r="S691" s="633"/>
      <c r="T691" s="633"/>
    </row>
    <row r="692">
      <c r="A692" s="633"/>
      <c r="B692" s="633"/>
      <c r="C692" s="633"/>
      <c r="D692" s="633"/>
      <c r="E692" s="633"/>
      <c r="F692" s="633"/>
      <c r="G692" s="633"/>
      <c r="H692" s="633"/>
      <c r="I692" s="633"/>
      <c r="J692" s="633"/>
      <c r="K692" s="633"/>
      <c r="L692" s="633"/>
      <c r="M692" s="633"/>
      <c r="N692" s="633"/>
      <c r="O692" s="633"/>
      <c r="P692" s="633"/>
      <c r="Q692" s="633"/>
      <c r="R692" s="633"/>
      <c r="S692" s="633"/>
      <c r="T692" s="633"/>
    </row>
    <row r="693">
      <c r="A693" s="633"/>
      <c r="B693" s="633"/>
      <c r="C693" s="633"/>
      <c r="D693" s="633"/>
      <c r="E693" s="633"/>
      <c r="F693" s="633"/>
      <c r="G693" s="633"/>
      <c r="H693" s="633"/>
      <c r="I693" s="633"/>
      <c r="J693" s="633"/>
      <c r="K693" s="633"/>
      <c r="L693" s="633"/>
      <c r="M693" s="633"/>
      <c r="N693" s="633"/>
      <c r="O693" s="633"/>
      <c r="P693" s="633"/>
      <c r="Q693" s="633"/>
      <c r="R693" s="633"/>
      <c r="S693" s="633"/>
      <c r="T693" s="633"/>
    </row>
    <row r="694">
      <c r="A694" s="633"/>
      <c r="B694" s="633"/>
      <c r="C694" s="633"/>
      <c r="D694" s="633"/>
      <c r="E694" s="633"/>
      <c r="F694" s="633"/>
      <c r="G694" s="633"/>
      <c r="H694" s="633"/>
      <c r="I694" s="633"/>
      <c r="J694" s="633"/>
      <c r="K694" s="633"/>
      <c r="L694" s="633"/>
      <c r="M694" s="633"/>
      <c r="N694" s="633"/>
      <c r="O694" s="633"/>
      <c r="P694" s="633"/>
      <c r="Q694" s="633"/>
      <c r="R694" s="633"/>
      <c r="S694" s="633"/>
      <c r="T694" s="633"/>
    </row>
    <row r="695">
      <c r="A695" s="633"/>
      <c r="B695" s="633"/>
      <c r="C695" s="633"/>
      <c r="D695" s="633"/>
      <c r="E695" s="633"/>
      <c r="F695" s="633"/>
      <c r="G695" s="633"/>
      <c r="H695" s="633"/>
      <c r="I695" s="633"/>
      <c r="J695" s="633"/>
      <c r="K695" s="633"/>
      <c r="L695" s="633"/>
      <c r="M695" s="633"/>
      <c r="N695" s="633"/>
      <c r="O695" s="633"/>
      <c r="P695" s="633"/>
      <c r="Q695" s="633"/>
      <c r="R695" s="633"/>
      <c r="S695" s="633"/>
      <c r="T695" s="633"/>
    </row>
    <row r="696">
      <c r="A696" s="633"/>
      <c r="B696" s="633"/>
      <c r="C696" s="633"/>
      <c r="D696" s="633"/>
      <c r="E696" s="633"/>
      <c r="F696" s="633"/>
      <c r="G696" s="633"/>
      <c r="H696" s="633"/>
      <c r="I696" s="633"/>
      <c r="J696" s="633"/>
      <c r="K696" s="633"/>
      <c r="L696" s="633"/>
      <c r="M696" s="633"/>
      <c r="N696" s="633"/>
      <c r="O696" s="633"/>
      <c r="P696" s="633"/>
      <c r="Q696" s="633"/>
      <c r="R696" s="633"/>
      <c r="S696" s="633"/>
      <c r="T696" s="633"/>
    </row>
    <row r="697">
      <c r="A697" s="633"/>
      <c r="B697" s="633"/>
      <c r="C697" s="633"/>
      <c r="D697" s="633"/>
      <c r="E697" s="633"/>
      <c r="F697" s="633"/>
      <c r="G697" s="633"/>
      <c r="H697" s="633"/>
      <c r="I697" s="633"/>
      <c r="J697" s="633"/>
      <c r="K697" s="633"/>
      <c r="L697" s="633"/>
      <c r="M697" s="633"/>
      <c r="N697" s="633"/>
      <c r="O697" s="633"/>
      <c r="P697" s="633"/>
      <c r="Q697" s="633"/>
      <c r="R697" s="633"/>
      <c r="S697" s="633"/>
      <c r="T697" s="633"/>
    </row>
    <row r="698">
      <c r="A698" s="633"/>
      <c r="B698" s="633"/>
      <c r="C698" s="633"/>
      <c r="D698" s="633"/>
      <c r="E698" s="633"/>
      <c r="F698" s="633"/>
      <c r="G698" s="633"/>
      <c r="H698" s="633"/>
      <c r="I698" s="633"/>
      <c r="J698" s="633"/>
      <c r="K698" s="633"/>
      <c r="L698" s="633"/>
      <c r="M698" s="633"/>
      <c r="N698" s="633"/>
      <c r="O698" s="633"/>
      <c r="P698" s="633"/>
      <c r="Q698" s="633"/>
      <c r="R698" s="633"/>
      <c r="S698" s="633"/>
      <c r="T698" s="633"/>
    </row>
    <row r="699">
      <c r="A699" s="633"/>
      <c r="B699" s="633"/>
      <c r="C699" s="633"/>
      <c r="D699" s="633"/>
      <c r="E699" s="633"/>
      <c r="F699" s="633"/>
      <c r="G699" s="633"/>
      <c r="H699" s="633"/>
      <c r="I699" s="633"/>
      <c r="J699" s="633"/>
      <c r="K699" s="633"/>
      <c r="L699" s="633"/>
      <c r="M699" s="633"/>
      <c r="N699" s="633"/>
      <c r="O699" s="633"/>
      <c r="P699" s="633"/>
      <c r="Q699" s="633"/>
      <c r="R699" s="633"/>
      <c r="S699" s="633"/>
      <c r="T699" s="633"/>
    </row>
    <row r="700">
      <c r="A700" s="633"/>
      <c r="B700" s="633"/>
      <c r="C700" s="633"/>
      <c r="D700" s="633"/>
      <c r="E700" s="633"/>
      <c r="F700" s="633"/>
      <c r="G700" s="633"/>
      <c r="H700" s="633"/>
      <c r="I700" s="633"/>
      <c r="J700" s="633"/>
      <c r="K700" s="633"/>
      <c r="L700" s="633"/>
      <c r="M700" s="633"/>
      <c r="N700" s="633"/>
      <c r="O700" s="633"/>
      <c r="P700" s="633"/>
      <c r="Q700" s="633"/>
      <c r="R700" s="633"/>
      <c r="S700" s="633"/>
      <c r="T700" s="633"/>
    </row>
    <row r="701">
      <c r="A701" s="633"/>
      <c r="B701" s="633"/>
      <c r="C701" s="633"/>
      <c r="D701" s="633"/>
      <c r="E701" s="633"/>
      <c r="F701" s="633"/>
      <c r="G701" s="633"/>
      <c r="H701" s="633"/>
      <c r="I701" s="633"/>
      <c r="J701" s="633"/>
      <c r="K701" s="633"/>
      <c r="L701" s="633"/>
      <c r="M701" s="633"/>
      <c r="N701" s="633"/>
      <c r="O701" s="633"/>
      <c r="P701" s="633"/>
      <c r="Q701" s="633"/>
      <c r="R701" s="633"/>
      <c r="S701" s="633"/>
      <c r="T701" s="633"/>
    </row>
    <row r="702">
      <c r="A702" s="633"/>
      <c r="B702" s="633"/>
      <c r="C702" s="633"/>
      <c r="D702" s="633"/>
      <c r="E702" s="633"/>
      <c r="F702" s="633"/>
      <c r="G702" s="633"/>
      <c r="H702" s="633"/>
      <c r="I702" s="633"/>
      <c r="J702" s="633"/>
      <c r="K702" s="633"/>
      <c r="L702" s="633"/>
      <c r="M702" s="633"/>
      <c r="N702" s="633"/>
      <c r="O702" s="633"/>
      <c r="P702" s="633"/>
      <c r="Q702" s="633"/>
      <c r="R702" s="633"/>
      <c r="S702" s="633"/>
      <c r="T702" s="633"/>
    </row>
    <row r="703">
      <c r="A703" s="633"/>
      <c r="B703" s="633"/>
      <c r="C703" s="633"/>
      <c r="D703" s="633"/>
      <c r="E703" s="633"/>
      <c r="F703" s="633"/>
      <c r="G703" s="633"/>
      <c r="H703" s="633"/>
      <c r="I703" s="633"/>
      <c r="J703" s="633"/>
      <c r="K703" s="633"/>
      <c r="L703" s="633"/>
      <c r="M703" s="633"/>
      <c r="N703" s="633"/>
      <c r="O703" s="633"/>
      <c r="P703" s="633"/>
      <c r="Q703" s="633"/>
      <c r="R703" s="633"/>
      <c r="S703" s="633"/>
      <c r="T703" s="633"/>
    </row>
    <row r="704">
      <c r="A704" s="633"/>
      <c r="B704" s="633"/>
      <c r="C704" s="633"/>
      <c r="D704" s="633"/>
      <c r="E704" s="633"/>
      <c r="F704" s="633"/>
      <c r="G704" s="633"/>
      <c r="H704" s="633"/>
      <c r="I704" s="633"/>
      <c r="J704" s="633"/>
      <c r="K704" s="633"/>
      <c r="L704" s="633"/>
      <c r="M704" s="633"/>
      <c r="N704" s="633"/>
      <c r="O704" s="633"/>
      <c r="P704" s="633"/>
      <c r="Q704" s="633"/>
      <c r="R704" s="633"/>
      <c r="S704" s="633"/>
      <c r="T704" s="633"/>
    </row>
    <row r="705">
      <c r="A705" s="633"/>
      <c r="B705" s="633"/>
      <c r="C705" s="633"/>
      <c r="D705" s="633"/>
      <c r="E705" s="633"/>
      <c r="F705" s="633"/>
      <c r="G705" s="633"/>
      <c r="H705" s="633"/>
      <c r="I705" s="633"/>
      <c r="J705" s="633"/>
      <c r="K705" s="633"/>
      <c r="L705" s="633"/>
      <c r="M705" s="633"/>
      <c r="N705" s="633"/>
      <c r="O705" s="633"/>
      <c r="P705" s="633"/>
      <c r="Q705" s="633"/>
      <c r="R705" s="633"/>
      <c r="S705" s="633"/>
      <c r="T705" s="633"/>
    </row>
    <row r="706">
      <c r="A706" s="633"/>
      <c r="B706" s="633"/>
      <c r="C706" s="633"/>
      <c r="D706" s="633"/>
      <c r="E706" s="633"/>
      <c r="F706" s="633"/>
      <c r="G706" s="633"/>
      <c r="H706" s="633"/>
      <c r="I706" s="633"/>
      <c r="J706" s="633"/>
      <c r="K706" s="633"/>
      <c r="L706" s="633"/>
      <c r="M706" s="633"/>
      <c r="N706" s="633"/>
      <c r="O706" s="633"/>
      <c r="P706" s="633"/>
      <c r="Q706" s="633"/>
      <c r="R706" s="633"/>
      <c r="S706" s="633"/>
      <c r="T706" s="633"/>
    </row>
    <row r="707">
      <c r="A707" s="633"/>
      <c r="B707" s="633"/>
      <c r="C707" s="633"/>
      <c r="D707" s="633"/>
      <c r="E707" s="633"/>
      <c r="F707" s="633"/>
      <c r="G707" s="633"/>
      <c r="H707" s="633"/>
      <c r="I707" s="633"/>
      <c r="J707" s="633"/>
      <c r="K707" s="633"/>
      <c r="L707" s="633"/>
      <c r="M707" s="633"/>
      <c r="N707" s="633"/>
      <c r="O707" s="633"/>
      <c r="P707" s="633"/>
      <c r="Q707" s="633"/>
      <c r="R707" s="633"/>
      <c r="S707" s="633"/>
      <c r="T707" s="633"/>
    </row>
    <row r="708">
      <c r="A708" s="633"/>
      <c r="B708" s="633"/>
      <c r="C708" s="633"/>
      <c r="D708" s="633"/>
      <c r="E708" s="633"/>
      <c r="F708" s="633"/>
      <c r="G708" s="633"/>
      <c r="H708" s="633"/>
      <c r="I708" s="633"/>
      <c r="J708" s="633"/>
      <c r="K708" s="633"/>
      <c r="L708" s="633"/>
      <c r="M708" s="633"/>
      <c r="N708" s="633"/>
      <c r="O708" s="633"/>
      <c r="P708" s="633"/>
      <c r="Q708" s="633"/>
      <c r="R708" s="633"/>
      <c r="S708" s="633"/>
      <c r="T708" s="633"/>
    </row>
    <row r="709">
      <c r="A709" s="633"/>
      <c r="B709" s="633"/>
      <c r="C709" s="633"/>
      <c r="D709" s="633"/>
      <c r="E709" s="633"/>
      <c r="F709" s="633"/>
      <c r="G709" s="633"/>
      <c r="H709" s="633"/>
      <c r="I709" s="633"/>
      <c r="J709" s="633"/>
      <c r="K709" s="633"/>
      <c r="L709" s="633"/>
      <c r="M709" s="633"/>
      <c r="N709" s="633"/>
      <c r="O709" s="633"/>
      <c r="P709" s="633"/>
      <c r="Q709" s="633"/>
      <c r="R709" s="633"/>
      <c r="S709" s="633"/>
      <c r="T709" s="633"/>
    </row>
    <row r="710">
      <c r="A710" s="633"/>
      <c r="B710" s="633"/>
      <c r="C710" s="633"/>
      <c r="D710" s="633"/>
      <c r="E710" s="633"/>
      <c r="F710" s="633"/>
      <c r="G710" s="633"/>
      <c r="H710" s="633"/>
      <c r="I710" s="633"/>
      <c r="J710" s="633"/>
      <c r="K710" s="633"/>
      <c r="L710" s="633"/>
      <c r="M710" s="633"/>
      <c r="N710" s="633"/>
      <c r="O710" s="633"/>
      <c r="P710" s="633"/>
      <c r="Q710" s="633"/>
      <c r="R710" s="633"/>
      <c r="S710" s="633"/>
      <c r="T710" s="633"/>
    </row>
    <row r="711">
      <c r="A711" s="633"/>
      <c r="B711" s="633"/>
      <c r="C711" s="633"/>
      <c r="D711" s="633"/>
      <c r="E711" s="633"/>
      <c r="F711" s="633"/>
      <c r="G711" s="633"/>
      <c r="H711" s="633"/>
      <c r="I711" s="633"/>
      <c r="J711" s="633"/>
      <c r="K711" s="633"/>
      <c r="L711" s="633"/>
      <c r="M711" s="633"/>
      <c r="N711" s="633"/>
      <c r="O711" s="633"/>
      <c r="P711" s="633"/>
      <c r="Q711" s="633"/>
      <c r="R711" s="633"/>
      <c r="S711" s="633"/>
      <c r="T711" s="633"/>
    </row>
    <row r="712">
      <c r="A712" s="633"/>
      <c r="B712" s="633"/>
      <c r="C712" s="633"/>
      <c r="D712" s="633"/>
      <c r="E712" s="633"/>
      <c r="F712" s="633"/>
      <c r="G712" s="633"/>
      <c r="H712" s="633"/>
      <c r="I712" s="633"/>
      <c r="J712" s="633"/>
      <c r="K712" s="633"/>
      <c r="L712" s="633"/>
      <c r="M712" s="633"/>
      <c r="N712" s="633"/>
      <c r="O712" s="633"/>
      <c r="P712" s="633"/>
      <c r="Q712" s="633"/>
      <c r="R712" s="633"/>
      <c r="S712" s="633"/>
      <c r="T712" s="633"/>
    </row>
    <row r="713">
      <c r="A713" s="633"/>
      <c r="B713" s="633"/>
      <c r="C713" s="633"/>
      <c r="D713" s="633"/>
      <c r="E713" s="633"/>
      <c r="F713" s="633"/>
      <c r="G713" s="633"/>
      <c r="H713" s="633"/>
      <c r="I713" s="633"/>
      <c r="J713" s="633"/>
      <c r="K713" s="633"/>
      <c r="L713" s="633"/>
      <c r="M713" s="633"/>
      <c r="N713" s="633"/>
      <c r="O713" s="633"/>
      <c r="P713" s="633"/>
      <c r="Q713" s="633"/>
      <c r="R713" s="633"/>
      <c r="S713" s="633"/>
      <c r="T713" s="633"/>
    </row>
    <row r="714">
      <c r="A714" s="633"/>
      <c r="B714" s="633"/>
      <c r="C714" s="633"/>
      <c r="D714" s="633"/>
      <c r="E714" s="633"/>
      <c r="F714" s="633"/>
      <c r="G714" s="633"/>
      <c r="H714" s="633"/>
      <c r="I714" s="633"/>
      <c r="J714" s="633"/>
      <c r="K714" s="633"/>
      <c r="L714" s="633"/>
      <c r="M714" s="633"/>
      <c r="N714" s="633"/>
      <c r="O714" s="633"/>
      <c r="P714" s="633"/>
      <c r="Q714" s="633"/>
      <c r="R714" s="633"/>
      <c r="S714" s="633"/>
      <c r="T714" s="633"/>
    </row>
    <row r="715">
      <c r="A715" s="633"/>
      <c r="B715" s="633"/>
      <c r="C715" s="633"/>
      <c r="D715" s="633"/>
      <c r="E715" s="633"/>
      <c r="F715" s="633"/>
      <c r="G715" s="633"/>
      <c r="H715" s="633"/>
      <c r="I715" s="633"/>
      <c r="J715" s="633"/>
      <c r="K715" s="633"/>
      <c r="L715" s="633"/>
      <c r="M715" s="633"/>
      <c r="N715" s="633"/>
      <c r="O715" s="633"/>
      <c r="P715" s="633"/>
      <c r="Q715" s="633"/>
      <c r="R715" s="633"/>
      <c r="S715" s="633"/>
      <c r="T715" s="633"/>
    </row>
    <row r="716">
      <c r="A716" s="633"/>
      <c r="B716" s="633"/>
      <c r="C716" s="633"/>
      <c r="D716" s="633"/>
      <c r="E716" s="633"/>
      <c r="F716" s="633"/>
      <c r="G716" s="633"/>
      <c r="H716" s="633"/>
      <c r="I716" s="633"/>
      <c r="J716" s="633"/>
      <c r="K716" s="633"/>
      <c r="L716" s="633"/>
      <c r="M716" s="633"/>
      <c r="N716" s="633"/>
      <c r="O716" s="633"/>
      <c r="P716" s="633"/>
      <c r="Q716" s="633"/>
      <c r="R716" s="633"/>
      <c r="S716" s="633"/>
      <c r="T716" s="633"/>
    </row>
    <row r="717">
      <c r="A717" s="633"/>
      <c r="B717" s="633"/>
      <c r="C717" s="633"/>
      <c r="D717" s="633"/>
      <c r="E717" s="633"/>
      <c r="F717" s="633"/>
      <c r="G717" s="633"/>
      <c r="H717" s="633"/>
      <c r="I717" s="633"/>
      <c r="J717" s="633"/>
      <c r="K717" s="633"/>
      <c r="L717" s="633"/>
      <c r="M717" s="633"/>
      <c r="N717" s="633"/>
      <c r="O717" s="633"/>
      <c r="P717" s="633"/>
      <c r="Q717" s="633"/>
      <c r="R717" s="633"/>
      <c r="S717" s="633"/>
      <c r="T717" s="633"/>
    </row>
    <row r="718">
      <c r="A718" s="633"/>
      <c r="B718" s="633"/>
      <c r="C718" s="633"/>
      <c r="D718" s="633"/>
      <c r="E718" s="633"/>
      <c r="F718" s="633"/>
      <c r="G718" s="633"/>
      <c r="H718" s="633"/>
      <c r="I718" s="633"/>
      <c r="J718" s="633"/>
      <c r="K718" s="633"/>
      <c r="L718" s="633"/>
      <c r="M718" s="633"/>
      <c r="N718" s="633"/>
      <c r="O718" s="633"/>
      <c r="P718" s="633"/>
      <c r="Q718" s="633"/>
      <c r="R718" s="633"/>
      <c r="S718" s="633"/>
      <c r="T718" s="633"/>
    </row>
    <row r="719">
      <c r="A719" s="633"/>
      <c r="B719" s="633"/>
      <c r="C719" s="633"/>
      <c r="D719" s="633"/>
      <c r="E719" s="633"/>
      <c r="F719" s="633"/>
      <c r="G719" s="633"/>
      <c r="H719" s="633"/>
      <c r="I719" s="633"/>
      <c r="J719" s="633"/>
      <c r="K719" s="633"/>
      <c r="L719" s="633"/>
      <c r="M719" s="633"/>
      <c r="N719" s="633"/>
      <c r="O719" s="633"/>
      <c r="P719" s="633"/>
      <c r="Q719" s="633"/>
      <c r="R719" s="633"/>
      <c r="S719" s="633"/>
      <c r="T719" s="633"/>
    </row>
    <row r="720">
      <c r="A720" s="633"/>
      <c r="B720" s="633"/>
      <c r="C720" s="633"/>
      <c r="D720" s="633"/>
      <c r="E720" s="633"/>
      <c r="F720" s="633"/>
      <c r="G720" s="633"/>
      <c r="H720" s="633"/>
      <c r="I720" s="633"/>
      <c r="J720" s="633"/>
      <c r="K720" s="633"/>
      <c r="L720" s="633"/>
      <c r="M720" s="633"/>
      <c r="N720" s="633"/>
      <c r="O720" s="633"/>
      <c r="P720" s="633"/>
      <c r="Q720" s="633"/>
      <c r="R720" s="633"/>
      <c r="S720" s="633"/>
      <c r="T720" s="633"/>
    </row>
    <row r="721">
      <c r="A721" s="633"/>
      <c r="B721" s="633"/>
      <c r="C721" s="633"/>
      <c r="D721" s="633"/>
      <c r="E721" s="633"/>
      <c r="F721" s="633"/>
      <c r="G721" s="633"/>
      <c r="H721" s="633"/>
      <c r="I721" s="633"/>
      <c r="J721" s="633"/>
      <c r="K721" s="633"/>
      <c r="L721" s="633"/>
      <c r="M721" s="633"/>
      <c r="N721" s="633"/>
      <c r="O721" s="633"/>
      <c r="P721" s="633"/>
      <c r="Q721" s="633"/>
      <c r="R721" s="633"/>
      <c r="S721" s="633"/>
      <c r="T721" s="633"/>
    </row>
    <row r="722">
      <c r="A722" s="633"/>
      <c r="B722" s="633"/>
      <c r="C722" s="633"/>
      <c r="D722" s="633"/>
      <c r="E722" s="633"/>
      <c r="F722" s="633"/>
      <c r="G722" s="633"/>
      <c r="H722" s="633"/>
      <c r="I722" s="633"/>
      <c r="J722" s="633"/>
      <c r="K722" s="633"/>
      <c r="L722" s="633"/>
      <c r="M722" s="633"/>
      <c r="N722" s="633"/>
      <c r="O722" s="633"/>
      <c r="P722" s="633"/>
      <c r="Q722" s="633"/>
      <c r="R722" s="633"/>
      <c r="S722" s="633"/>
      <c r="T722" s="633"/>
    </row>
    <row r="723">
      <c r="A723" s="633"/>
      <c r="B723" s="633"/>
      <c r="C723" s="633"/>
      <c r="D723" s="633"/>
      <c r="E723" s="633"/>
      <c r="F723" s="633"/>
      <c r="G723" s="633"/>
      <c r="H723" s="633"/>
      <c r="I723" s="633"/>
      <c r="J723" s="633"/>
      <c r="K723" s="633"/>
      <c r="L723" s="633"/>
      <c r="M723" s="633"/>
      <c r="N723" s="633"/>
      <c r="O723" s="633"/>
      <c r="P723" s="633"/>
      <c r="Q723" s="633"/>
      <c r="R723" s="633"/>
      <c r="S723" s="633"/>
      <c r="T723" s="633"/>
    </row>
    <row r="724">
      <c r="A724" s="633"/>
      <c r="B724" s="633"/>
      <c r="C724" s="633"/>
      <c r="D724" s="633"/>
      <c r="E724" s="633"/>
      <c r="F724" s="633"/>
      <c r="G724" s="633"/>
      <c r="H724" s="633"/>
      <c r="I724" s="633"/>
      <c r="J724" s="633"/>
      <c r="K724" s="633"/>
      <c r="L724" s="633"/>
      <c r="M724" s="633"/>
      <c r="N724" s="633"/>
      <c r="O724" s="633"/>
      <c r="P724" s="633"/>
      <c r="Q724" s="633"/>
      <c r="R724" s="633"/>
      <c r="S724" s="633"/>
      <c r="T724" s="633"/>
    </row>
    <row r="725">
      <c r="A725" s="633"/>
      <c r="B725" s="633"/>
      <c r="C725" s="633"/>
      <c r="D725" s="633"/>
      <c r="E725" s="633"/>
      <c r="F725" s="633"/>
      <c r="G725" s="633"/>
      <c r="H725" s="633"/>
      <c r="I725" s="633"/>
      <c r="J725" s="633"/>
      <c r="K725" s="633"/>
      <c r="L725" s="633"/>
      <c r="M725" s="633"/>
      <c r="N725" s="633"/>
      <c r="O725" s="633"/>
      <c r="P725" s="633"/>
      <c r="Q725" s="633"/>
      <c r="R725" s="633"/>
      <c r="S725" s="633"/>
      <c r="T725" s="633"/>
    </row>
    <row r="726">
      <c r="A726" s="633"/>
      <c r="B726" s="633"/>
      <c r="C726" s="633"/>
      <c r="D726" s="633"/>
      <c r="E726" s="633"/>
      <c r="F726" s="633"/>
      <c r="G726" s="633"/>
      <c r="H726" s="633"/>
      <c r="I726" s="633"/>
      <c r="J726" s="633"/>
      <c r="K726" s="633"/>
      <c r="L726" s="633"/>
      <c r="M726" s="633"/>
      <c r="N726" s="633"/>
      <c r="O726" s="633"/>
      <c r="P726" s="633"/>
      <c r="Q726" s="633"/>
      <c r="R726" s="633"/>
      <c r="S726" s="633"/>
      <c r="T726" s="633"/>
    </row>
    <row r="727">
      <c r="A727" s="633"/>
      <c r="B727" s="633"/>
      <c r="C727" s="633"/>
      <c r="D727" s="633"/>
      <c r="E727" s="633"/>
      <c r="F727" s="633"/>
      <c r="G727" s="633"/>
      <c r="H727" s="633"/>
      <c r="I727" s="633"/>
      <c r="J727" s="633"/>
      <c r="K727" s="633"/>
      <c r="L727" s="633"/>
      <c r="M727" s="633"/>
      <c r="N727" s="633"/>
      <c r="O727" s="633"/>
      <c r="P727" s="633"/>
      <c r="Q727" s="633"/>
      <c r="R727" s="633"/>
      <c r="S727" s="633"/>
      <c r="T727" s="633"/>
    </row>
    <row r="728">
      <c r="A728" s="633"/>
      <c r="B728" s="633"/>
      <c r="C728" s="633"/>
      <c r="D728" s="633"/>
      <c r="E728" s="633"/>
      <c r="F728" s="633"/>
      <c r="G728" s="633"/>
      <c r="H728" s="633"/>
      <c r="I728" s="633"/>
      <c r="J728" s="633"/>
      <c r="K728" s="633"/>
      <c r="L728" s="633"/>
      <c r="M728" s="633"/>
      <c r="N728" s="633"/>
      <c r="O728" s="633"/>
      <c r="P728" s="633"/>
      <c r="Q728" s="633"/>
      <c r="R728" s="633"/>
      <c r="S728" s="633"/>
      <c r="T728" s="633"/>
    </row>
    <row r="729">
      <c r="A729" s="633"/>
      <c r="B729" s="633"/>
      <c r="C729" s="633"/>
      <c r="D729" s="633"/>
      <c r="E729" s="633"/>
      <c r="F729" s="633"/>
      <c r="G729" s="633"/>
      <c r="H729" s="633"/>
      <c r="I729" s="633"/>
      <c r="J729" s="633"/>
      <c r="K729" s="633"/>
      <c r="L729" s="633"/>
      <c r="M729" s="633"/>
      <c r="N729" s="633"/>
      <c r="O729" s="633"/>
      <c r="P729" s="633"/>
      <c r="Q729" s="633"/>
      <c r="R729" s="633"/>
      <c r="S729" s="633"/>
      <c r="T729" s="633"/>
    </row>
    <row r="730">
      <c r="A730" s="633"/>
      <c r="B730" s="633"/>
      <c r="C730" s="633"/>
      <c r="D730" s="633"/>
      <c r="E730" s="633"/>
      <c r="F730" s="633"/>
      <c r="G730" s="633"/>
      <c r="H730" s="633"/>
      <c r="I730" s="633"/>
      <c r="J730" s="633"/>
      <c r="K730" s="633"/>
      <c r="L730" s="633"/>
      <c r="M730" s="633"/>
      <c r="N730" s="633"/>
      <c r="O730" s="633"/>
      <c r="P730" s="633"/>
      <c r="Q730" s="633"/>
      <c r="R730" s="633"/>
      <c r="S730" s="633"/>
      <c r="T730" s="633"/>
    </row>
    <row r="731">
      <c r="A731" s="633"/>
      <c r="B731" s="633"/>
      <c r="C731" s="633"/>
      <c r="D731" s="633"/>
      <c r="E731" s="633"/>
      <c r="F731" s="633"/>
      <c r="G731" s="633"/>
      <c r="H731" s="633"/>
      <c r="I731" s="633"/>
      <c r="J731" s="633"/>
      <c r="K731" s="633"/>
      <c r="L731" s="633"/>
      <c r="M731" s="633"/>
      <c r="N731" s="633"/>
      <c r="O731" s="633"/>
      <c r="P731" s="633"/>
      <c r="Q731" s="633"/>
      <c r="R731" s="633"/>
      <c r="S731" s="633"/>
      <c r="T731" s="633"/>
    </row>
    <row r="732">
      <c r="A732" s="633"/>
      <c r="B732" s="633"/>
      <c r="C732" s="633"/>
      <c r="D732" s="633"/>
      <c r="E732" s="633"/>
      <c r="F732" s="633"/>
      <c r="G732" s="633"/>
      <c r="H732" s="633"/>
      <c r="I732" s="633"/>
      <c r="J732" s="633"/>
      <c r="K732" s="633"/>
      <c r="L732" s="633"/>
      <c r="M732" s="633"/>
      <c r="N732" s="633"/>
      <c r="O732" s="633"/>
      <c r="P732" s="633"/>
      <c r="Q732" s="633"/>
      <c r="R732" s="633"/>
      <c r="S732" s="633"/>
      <c r="T732" s="633"/>
    </row>
    <row r="733">
      <c r="A733" s="633"/>
      <c r="B733" s="633"/>
      <c r="C733" s="633"/>
      <c r="D733" s="633"/>
      <c r="E733" s="633"/>
      <c r="F733" s="633"/>
      <c r="G733" s="633"/>
      <c r="H733" s="633"/>
      <c r="I733" s="633"/>
      <c r="J733" s="633"/>
      <c r="K733" s="633"/>
      <c r="L733" s="633"/>
      <c r="M733" s="633"/>
      <c r="N733" s="633"/>
      <c r="O733" s="633"/>
      <c r="P733" s="633"/>
      <c r="Q733" s="633"/>
      <c r="R733" s="633"/>
      <c r="S733" s="633"/>
      <c r="T733" s="633"/>
    </row>
    <row r="734">
      <c r="A734" s="633"/>
      <c r="B734" s="633"/>
      <c r="C734" s="633"/>
      <c r="D734" s="633"/>
      <c r="E734" s="633"/>
      <c r="F734" s="633"/>
      <c r="G734" s="633"/>
      <c r="H734" s="633"/>
      <c r="I734" s="633"/>
      <c r="J734" s="633"/>
      <c r="K734" s="633"/>
      <c r="L734" s="633"/>
      <c r="M734" s="633"/>
      <c r="N734" s="633"/>
      <c r="O734" s="633"/>
      <c r="P734" s="633"/>
      <c r="Q734" s="633"/>
      <c r="R734" s="633"/>
      <c r="S734" s="633"/>
      <c r="T734" s="633"/>
    </row>
    <row r="735">
      <c r="A735" s="633"/>
      <c r="B735" s="633"/>
      <c r="C735" s="633"/>
      <c r="D735" s="633"/>
      <c r="E735" s="633"/>
      <c r="F735" s="633"/>
      <c r="G735" s="633"/>
      <c r="H735" s="633"/>
      <c r="I735" s="633"/>
      <c r="J735" s="633"/>
      <c r="K735" s="633"/>
      <c r="L735" s="633"/>
      <c r="M735" s="633"/>
      <c r="N735" s="633"/>
      <c r="O735" s="633"/>
      <c r="P735" s="633"/>
      <c r="Q735" s="633"/>
      <c r="R735" s="633"/>
      <c r="S735" s="633"/>
      <c r="T735" s="633"/>
    </row>
    <row r="736">
      <c r="A736" s="633"/>
      <c r="B736" s="633"/>
      <c r="C736" s="633"/>
      <c r="D736" s="633"/>
      <c r="E736" s="633"/>
      <c r="F736" s="633"/>
      <c r="G736" s="633"/>
      <c r="H736" s="633"/>
      <c r="I736" s="633"/>
      <c r="J736" s="633"/>
      <c r="K736" s="633"/>
      <c r="L736" s="633"/>
      <c r="M736" s="633"/>
      <c r="N736" s="633"/>
      <c r="O736" s="633"/>
      <c r="P736" s="633"/>
      <c r="Q736" s="633"/>
      <c r="R736" s="633"/>
      <c r="S736" s="633"/>
      <c r="T736" s="633"/>
    </row>
    <row r="737">
      <c r="A737" s="633"/>
      <c r="B737" s="633"/>
      <c r="C737" s="633"/>
      <c r="D737" s="633"/>
      <c r="E737" s="633"/>
      <c r="F737" s="633"/>
      <c r="G737" s="633"/>
      <c r="H737" s="633"/>
      <c r="I737" s="633"/>
      <c r="J737" s="633"/>
      <c r="K737" s="633"/>
      <c r="L737" s="633"/>
      <c r="M737" s="633"/>
      <c r="N737" s="633"/>
      <c r="O737" s="633"/>
      <c r="P737" s="633"/>
      <c r="Q737" s="633"/>
      <c r="R737" s="633"/>
      <c r="S737" s="633"/>
      <c r="T737" s="633"/>
    </row>
    <row r="738">
      <c r="A738" s="633"/>
      <c r="B738" s="633"/>
      <c r="C738" s="633"/>
      <c r="D738" s="633"/>
      <c r="E738" s="633"/>
      <c r="F738" s="633"/>
      <c r="G738" s="633"/>
      <c r="H738" s="633"/>
      <c r="I738" s="633"/>
      <c r="J738" s="633"/>
      <c r="K738" s="633"/>
      <c r="L738" s="633"/>
      <c r="M738" s="633"/>
      <c r="N738" s="633"/>
      <c r="O738" s="633"/>
      <c r="P738" s="633"/>
      <c r="Q738" s="633"/>
      <c r="R738" s="633"/>
      <c r="S738" s="633"/>
      <c r="T738" s="633"/>
    </row>
    <row r="739">
      <c r="A739" s="633"/>
      <c r="B739" s="633"/>
      <c r="C739" s="633"/>
      <c r="D739" s="633"/>
      <c r="E739" s="633"/>
      <c r="F739" s="633"/>
      <c r="G739" s="633"/>
      <c r="H739" s="633"/>
      <c r="I739" s="633"/>
      <c r="J739" s="633"/>
      <c r="K739" s="633"/>
      <c r="L739" s="633"/>
      <c r="M739" s="633"/>
      <c r="N739" s="633"/>
      <c r="O739" s="633"/>
      <c r="P739" s="633"/>
      <c r="Q739" s="633"/>
      <c r="R739" s="633"/>
      <c r="S739" s="633"/>
      <c r="T739" s="633"/>
    </row>
    <row r="740">
      <c r="A740" s="633"/>
      <c r="B740" s="633"/>
      <c r="C740" s="633"/>
      <c r="D740" s="633"/>
      <c r="E740" s="633"/>
      <c r="F740" s="633"/>
      <c r="G740" s="633"/>
      <c r="H740" s="633"/>
      <c r="I740" s="633"/>
      <c r="J740" s="633"/>
      <c r="K740" s="633"/>
      <c r="L740" s="633"/>
      <c r="M740" s="633"/>
      <c r="N740" s="633"/>
      <c r="O740" s="633"/>
      <c r="P740" s="633"/>
      <c r="Q740" s="633"/>
      <c r="R740" s="633"/>
      <c r="S740" s="633"/>
      <c r="T740" s="633"/>
    </row>
    <row r="741">
      <c r="A741" s="633"/>
      <c r="B741" s="633"/>
      <c r="C741" s="633"/>
      <c r="D741" s="633"/>
      <c r="E741" s="633"/>
      <c r="F741" s="633"/>
      <c r="G741" s="633"/>
      <c r="H741" s="633"/>
      <c r="I741" s="633"/>
      <c r="J741" s="633"/>
      <c r="K741" s="633"/>
      <c r="L741" s="633"/>
      <c r="M741" s="633"/>
      <c r="N741" s="633"/>
      <c r="O741" s="633"/>
      <c r="P741" s="633"/>
      <c r="Q741" s="633"/>
      <c r="R741" s="633"/>
      <c r="S741" s="633"/>
      <c r="T741" s="633"/>
    </row>
    <row r="742">
      <c r="A742" s="633"/>
      <c r="B742" s="633"/>
      <c r="C742" s="633"/>
      <c r="D742" s="633"/>
      <c r="E742" s="633"/>
      <c r="F742" s="633"/>
      <c r="G742" s="633"/>
      <c r="H742" s="633"/>
      <c r="I742" s="633"/>
      <c r="J742" s="633"/>
      <c r="K742" s="633"/>
      <c r="L742" s="633"/>
      <c r="M742" s="633"/>
      <c r="N742" s="633"/>
      <c r="O742" s="633"/>
      <c r="P742" s="633"/>
      <c r="Q742" s="633"/>
      <c r="R742" s="633"/>
      <c r="S742" s="633"/>
      <c r="T742" s="633"/>
    </row>
    <row r="743">
      <c r="A743" s="633"/>
      <c r="B743" s="633"/>
      <c r="C743" s="633"/>
      <c r="D743" s="633"/>
      <c r="E743" s="633"/>
      <c r="F743" s="633"/>
      <c r="G743" s="633"/>
      <c r="H743" s="633"/>
      <c r="I743" s="633"/>
      <c r="J743" s="633"/>
      <c r="K743" s="633"/>
      <c r="L743" s="633"/>
      <c r="M743" s="633"/>
      <c r="N743" s="633"/>
      <c r="O743" s="633"/>
      <c r="P743" s="633"/>
      <c r="Q743" s="633"/>
      <c r="R743" s="633"/>
      <c r="S743" s="633"/>
      <c r="T743" s="633"/>
    </row>
    <row r="744">
      <c r="A744" s="633"/>
      <c r="B744" s="633"/>
      <c r="C744" s="633"/>
      <c r="D744" s="633"/>
      <c r="E744" s="633"/>
      <c r="F744" s="633"/>
      <c r="G744" s="633"/>
      <c r="H744" s="633"/>
      <c r="I744" s="633"/>
      <c r="J744" s="633"/>
      <c r="K744" s="633"/>
      <c r="L744" s="633"/>
      <c r="M744" s="633"/>
      <c r="N744" s="633"/>
      <c r="O744" s="633"/>
      <c r="P744" s="633"/>
      <c r="Q744" s="633"/>
      <c r="R744" s="633"/>
      <c r="S744" s="633"/>
      <c r="T744" s="633"/>
    </row>
    <row r="745">
      <c r="A745" s="633"/>
      <c r="B745" s="633"/>
      <c r="C745" s="633"/>
      <c r="D745" s="633"/>
      <c r="E745" s="633"/>
      <c r="F745" s="633"/>
      <c r="G745" s="633"/>
      <c r="H745" s="633"/>
      <c r="I745" s="633"/>
      <c r="J745" s="633"/>
      <c r="K745" s="633"/>
      <c r="L745" s="633"/>
      <c r="M745" s="633"/>
      <c r="N745" s="633"/>
      <c r="O745" s="633"/>
      <c r="P745" s="633"/>
      <c r="Q745" s="633"/>
      <c r="R745" s="633"/>
      <c r="S745" s="633"/>
      <c r="T745" s="633"/>
    </row>
    <row r="746">
      <c r="A746" s="633"/>
      <c r="B746" s="633"/>
      <c r="C746" s="633"/>
      <c r="D746" s="633"/>
      <c r="E746" s="633"/>
      <c r="F746" s="633"/>
      <c r="G746" s="633"/>
      <c r="H746" s="633"/>
      <c r="I746" s="633"/>
      <c r="J746" s="633"/>
      <c r="K746" s="633"/>
      <c r="L746" s="633"/>
      <c r="M746" s="633"/>
      <c r="N746" s="633"/>
      <c r="O746" s="633"/>
      <c r="P746" s="633"/>
      <c r="Q746" s="633"/>
      <c r="R746" s="633"/>
      <c r="S746" s="633"/>
      <c r="T746" s="633"/>
    </row>
    <row r="747">
      <c r="A747" s="633"/>
      <c r="B747" s="633"/>
      <c r="C747" s="633"/>
      <c r="D747" s="633"/>
      <c r="E747" s="633"/>
      <c r="F747" s="633"/>
      <c r="G747" s="633"/>
      <c r="H747" s="633"/>
      <c r="I747" s="633"/>
      <c r="J747" s="633"/>
      <c r="K747" s="633"/>
      <c r="L747" s="633"/>
      <c r="M747" s="633"/>
      <c r="N747" s="633"/>
      <c r="O747" s="633"/>
      <c r="P747" s="633"/>
      <c r="Q747" s="633"/>
      <c r="R747" s="633"/>
      <c r="S747" s="633"/>
      <c r="T747" s="633"/>
    </row>
    <row r="748">
      <c r="A748" s="633"/>
      <c r="B748" s="633"/>
      <c r="C748" s="633"/>
      <c r="D748" s="633"/>
      <c r="E748" s="633"/>
      <c r="F748" s="633"/>
      <c r="G748" s="633"/>
      <c r="H748" s="633"/>
      <c r="I748" s="633"/>
      <c r="J748" s="633"/>
      <c r="K748" s="633"/>
      <c r="L748" s="633"/>
      <c r="M748" s="633"/>
      <c r="N748" s="633"/>
      <c r="O748" s="633"/>
      <c r="P748" s="633"/>
      <c r="Q748" s="633"/>
      <c r="R748" s="633"/>
      <c r="S748" s="633"/>
      <c r="T748" s="633"/>
    </row>
    <row r="749">
      <c r="A749" s="633"/>
      <c r="B749" s="633"/>
      <c r="C749" s="633"/>
      <c r="D749" s="633"/>
      <c r="E749" s="633"/>
      <c r="F749" s="633"/>
      <c r="G749" s="633"/>
      <c r="H749" s="633"/>
      <c r="I749" s="633"/>
      <c r="J749" s="633"/>
      <c r="K749" s="633"/>
      <c r="L749" s="633"/>
      <c r="M749" s="633"/>
      <c r="N749" s="633"/>
      <c r="O749" s="633"/>
      <c r="P749" s="633"/>
      <c r="Q749" s="633"/>
      <c r="R749" s="633"/>
      <c r="S749" s="633"/>
      <c r="T749" s="633"/>
    </row>
    <row r="750">
      <c r="A750" s="633"/>
      <c r="B750" s="633"/>
      <c r="C750" s="633"/>
      <c r="D750" s="633"/>
      <c r="E750" s="633"/>
      <c r="F750" s="633"/>
      <c r="G750" s="633"/>
      <c r="H750" s="633"/>
      <c r="I750" s="633"/>
      <c r="J750" s="633"/>
      <c r="K750" s="633"/>
      <c r="L750" s="633"/>
      <c r="M750" s="633"/>
      <c r="N750" s="633"/>
      <c r="O750" s="633"/>
      <c r="P750" s="633"/>
      <c r="Q750" s="633"/>
      <c r="R750" s="633"/>
      <c r="S750" s="633"/>
      <c r="T750" s="633"/>
    </row>
    <row r="751">
      <c r="A751" s="633"/>
      <c r="B751" s="633"/>
      <c r="C751" s="633"/>
      <c r="D751" s="633"/>
      <c r="E751" s="633"/>
      <c r="F751" s="633"/>
      <c r="G751" s="633"/>
      <c r="H751" s="633"/>
      <c r="I751" s="633"/>
      <c r="J751" s="633"/>
      <c r="K751" s="633"/>
      <c r="L751" s="633"/>
      <c r="M751" s="633"/>
      <c r="N751" s="633"/>
      <c r="O751" s="633"/>
      <c r="P751" s="633"/>
      <c r="Q751" s="633"/>
      <c r="R751" s="633"/>
      <c r="S751" s="633"/>
      <c r="T751" s="633"/>
    </row>
    <row r="752">
      <c r="A752" s="633"/>
      <c r="B752" s="633"/>
      <c r="C752" s="633"/>
      <c r="D752" s="633"/>
      <c r="E752" s="633"/>
      <c r="F752" s="633"/>
      <c r="G752" s="633"/>
      <c r="H752" s="633"/>
      <c r="I752" s="633"/>
      <c r="J752" s="633"/>
      <c r="K752" s="633"/>
      <c r="L752" s="633"/>
      <c r="M752" s="633"/>
      <c r="N752" s="633"/>
      <c r="O752" s="633"/>
      <c r="P752" s="633"/>
      <c r="Q752" s="633"/>
      <c r="R752" s="633"/>
      <c r="S752" s="633"/>
      <c r="T752" s="633"/>
    </row>
    <row r="753">
      <c r="A753" s="633"/>
      <c r="B753" s="633"/>
      <c r="C753" s="633"/>
      <c r="D753" s="633"/>
      <c r="E753" s="633"/>
      <c r="F753" s="633"/>
      <c r="G753" s="633"/>
      <c r="H753" s="633"/>
      <c r="I753" s="633"/>
      <c r="J753" s="633"/>
      <c r="K753" s="633"/>
      <c r="L753" s="633"/>
      <c r="M753" s="633"/>
      <c r="N753" s="633"/>
      <c r="O753" s="633"/>
      <c r="P753" s="633"/>
      <c r="Q753" s="633"/>
      <c r="R753" s="633"/>
      <c r="S753" s="633"/>
      <c r="T753" s="633"/>
    </row>
    <row r="754">
      <c r="A754" s="633"/>
      <c r="B754" s="633"/>
      <c r="C754" s="633"/>
      <c r="D754" s="633"/>
      <c r="E754" s="633"/>
      <c r="F754" s="633"/>
      <c r="G754" s="633"/>
      <c r="H754" s="633"/>
      <c r="I754" s="633"/>
      <c r="J754" s="633"/>
      <c r="K754" s="633"/>
      <c r="L754" s="633"/>
      <c r="M754" s="633"/>
      <c r="N754" s="633"/>
      <c r="O754" s="633"/>
      <c r="P754" s="633"/>
      <c r="Q754" s="633"/>
      <c r="R754" s="633"/>
      <c r="S754" s="633"/>
      <c r="T754" s="633"/>
    </row>
    <row r="755">
      <c r="A755" s="633"/>
      <c r="B755" s="633"/>
      <c r="C755" s="633"/>
      <c r="D755" s="633"/>
      <c r="E755" s="633"/>
      <c r="F755" s="633"/>
      <c r="G755" s="633"/>
      <c r="H755" s="633"/>
      <c r="I755" s="633"/>
      <c r="J755" s="633"/>
      <c r="K755" s="633"/>
      <c r="L755" s="633"/>
      <c r="M755" s="633"/>
      <c r="N755" s="633"/>
      <c r="O755" s="633"/>
      <c r="P755" s="633"/>
      <c r="Q755" s="633"/>
      <c r="R755" s="633"/>
      <c r="S755" s="633"/>
      <c r="T755" s="633"/>
    </row>
    <row r="756">
      <c r="A756" s="633"/>
      <c r="B756" s="633"/>
      <c r="C756" s="633"/>
      <c r="D756" s="633"/>
      <c r="E756" s="633"/>
      <c r="F756" s="633"/>
      <c r="G756" s="633"/>
      <c r="H756" s="633"/>
      <c r="I756" s="633"/>
      <c r="J756" s="633"/>
      <c r="K756" s="633"/>
      <c r="L756" s="633"/>
      <c r="M756" s="633"/>
      <c r="N756" s="633"/>
      <c r="O756" s="633"/>
      <c r="P756" s="633"/>
      <c r="Q756" s="633"/>
      <c r="R756" s="633"/>
      <c r="S756" s="633"/>
      <c r="T756" s="633"/>
    </row>
    <row r="757">
      <c r="A757" s="633"/>
      <c r="B757" s="633"/>
      <c r="C757" s="633"/>
      <c r="D757" s="633"/>
      <c r="E757" s="633"/>
      <c r="F757" s="633"/>
      <c r="G757" s="633"/>
      <c r="H757" s="633"/>
      <c r="I757" s="633"/>
      <c r="J757" s="633"/>
      <c r="K757" s="633"/>
      <c r="L757" s="633"/>
      <c r="M757" s="633"/>
      <c r="N757" s="633"/>
      <c r="O757" s="633"/>
      <c r="P757" s="633"/>
      <c r="Q757" s="633"/>
      <c r="R757" s="633"/>
      <c r="S757" s="633"/>
      <c r="T757" s="633"/>
    </row>
    <row r="758">
      <c r="A758" s="633"/>
      <c r="B758" s="633"/>
      <c r="C758" s="633"/>
      <c r="D758" s="633"/>
      <c r="E758" s="633"/>
      <c r="F758" s="633"/>
      <c r="G758" s="633"/>
      <c r="H758" s="633"/>
      <c r="I758" s="633"/>
      <c r="J758" s="633"/>
      <c r="K758" s="633"/>
      <c r="L758" s="633"/>
      <c r="M758" s="633"/>
      <c r="N758" s="633"/>
      <c r="O758" s="633"/>
      <c r="P758" s="633"/>
      <c r="Q758" s="633"/>
      <c r="R758" s="633"/>
      <c r="S758" s="633"/>
      <c r="T758" s="633"/>
    </row>
    <row r="759">
      <c r="A759" s="633"/>
      <c r="B759" s="633"/>
      <c r="C759" s="633"/>
      <c r="D759" s="633"/>
      <c r="E759" s="633"/>
      <c r="F759" s="633"/>
      <c r="G759" s="633"/>
      <c r="H759" s="633"/>
      <c r="I759" s="633"/>
      <c r="J759" s="633"/>
      <c r="K759" s="633"/>
      <c r="L759" s="633"/>
      <c r="M759" s="633"/>
      <c r="N759" s="633"/>
      <c r="O759" s="633"/>
      <c r="P759" s="633"/>
      <c r="Q759" s="633"/>
      <c r="R759" s="633"/>
      <c r="S759" s="633"/>
      <c r="T759" s="633"/>
    </row>
    <row r="760">
      <c r="A760" s="633"/>
      <c r="B760" s="633"/>
      <c r="C760" s="633"/>
      <c r="D760" s="633"/>
      <c r="E760" s="633"/>
      <c r="F760" s="633"/>
      <c r="G760" s="633"/>
      <c r="H760" s="633"/>
      <c r="I760" s="633"/>
      <c r="J760" s="633"/>
      <c r="K760" s="633"/>
      <c r="L760" s="633"/>
      <c r="M760" s="633"/>
      <c r="N760" s="633"/>
      <c r="O760" s="633"/>
      <c r="P760" s="633"/>
      <c r="Q760" s="633"/>
      <c r="R760" s="633"/>
      <c r="S760" s="633"/>
      <c r="T760" s="633"/>
    </row>
    <row r="761">
      <c r="A761" s="633"/>
      <c r="B761" s="633"/>
      <c r="C761" s="633"/>
      <c r="D761" s="633"/>
      <c r="E761" s="633"/>
      <c r="F761" s="633"/>
      <c r="G761" s="633"/>
      <c r="H761" s="633"/>
      <c r="I761" s="633"/>
      <c r="J761" s="633"/>
      <c r="K761" s="633"/>
      <c r="L761" s="633"/>
      <c r="M761" s="633"/>
      <c r="N761" s="633"/>
      <c r="O761" s="633"/>
      <c r="P761" s="633"/>
      <c r="Q761" s="633"/>
      <c r="R761" s="633"/>
      <c r="S761" s="633"/>
      <c r="T761" s="633"/>
    </row>
    <row r="762">
      <c r="A762" s="633"/>
      <c r="B762" s="633"/>
      <c r="C762" s="633"/>
      <c r="D762" s="633"/>
      <c r="E762" s="633"/>
      <c r="F762" s="633"/>
      <c r="G762" s="633"/>
      <c r="H762" s="633"/>
      <c r="I762" s="633"/>
      <c r="J762" s="633"/>
      <c r="K762" s="633"/>
      <c r="L762" s="633"/>
      <c r="M762" s="633"/>
      <c r="N762" s="633"/>
      <c r="O762" s="633"/>
      <c r="P762" s="633"/>
      <c r="Q762" s="633"/>
      <c r="R762" s="633"/>
      <c r="S762" s="633"/>
      <c r="T762" s="633"/>
    </row>
    <row r="763">
      <c r="A763" s="633"/>
      <c r="B763" s="633"/>
      <c r="C763" s="633"/>
      <c r="D763" s="633"/>
      <c r="E763" s="633"/>
      <c r="F763" s="633"/>
      <c r="G763" s="633"/>
      <c r="H763" s="633"/>
      <c r="I763" s="633"/>
      <c r="J763" s="633"/>
      <c r="K763" s="633"/>
      <c r="L763" s="633"/>
      <c r="M763" s="633"/>
      <c r="N763" s="633"/>
      <c r="O763" s="633"/>
      <c r="P763" s="633"/>
      <c r="Q763" s="633"/>
      <c r="R763" s="633"/>
      <c r="S763" s="633"/>
      <c r="T763" s="633"/>
    </row>
    <row r="764">
      <c r="A764" s="633"/>
      <c r="B764" s="633"/>
      <c r="C764" s="633"/>
      <c r="D764" s="633"/>
      <c r="E764" s="633"/>
      <c r="F764" s="633"/>
      <c r="G764" s="633"/>
      <c r="H764" s="633"/>
      <c r="I764" s="633"/>
      <c r="J764" s="633"/>
      <c r="K764" s="633"/>
      <c r="L764" s="633"/>
      <c r="M764" s="633"/>
      <c r="N764" s="633"/>
      <c r="O764" s="633"/>
      <c r="P764" s="633"/>
      <c r="Q764" s="633"/>
      <c r="R764" s="633"/>
      <c r="S764" s="633"/>
      <c r="T764" s="633"/>
    </row>
    <row r="765">
      <c r="A765" s="633"/>
      <c r="B765" s="633"/>
      <c r="C765" s="633"/>
      <c r="D765" s="633"/>
      <c r="E765" s="633"/>
      <c r="F765" s="633"/>
      <c r="G765" s="633"/>
      <c r="H765" s="633"/>
      <c r="I765" s="633"/>
      <c r="J765" s="633"/>
      <c r="K765" s="633"/>
      <c r="L765" s="633"/>
      <c r="M765" s="633"/>
      <c r="N765" s="633"/>
      <c r="O765" s="633"/>
      <c r="P765" s="633"/>
      <c r="Q765" s="633"/>
      <c r="R765" s="633"/>
      <c r="S765" s="633"/>
      <c r="T765" s="633"/>
    </row>
    <row r="766">
      <c r="A766" s="633"/>
      <c r="B766" s="633"/>
      <c r="C766" s="633"/>
      <c r="D766" s="633"/>
      <c r="E766" s="633"/>
      <c r="F766" s="633"/>
      <c r="G766" s="633"/>
      <c r="H766" s="633"/>
      <c r="I766" s="633"/>
      <c r="J766" s="633"/>
      <c r="K766" s="633"/>
      <c r="L766" s="633"/>
      <c r="M766" s="633"/>
      <c r="N766" s="633"/>
      <c r="O766" s="633"/>
      <c r="P766" s="633"/>
      <c r="Q766" s="633"/>
      <c r="R766" s="633"/>
      <c r="S766" s="633"/>
      <c r="T766" s="633"/>
    </row>
    <row r="767">
      <c r="A767" s="633"/>
      <c r="B767" s="633"/>
      <c r="C767" s="633"/>
      <c r="D767" s="633"/>
      <c r="E767" s="633"/>
      <c r="F767" s="633"/>
      <c r="G767" s="633"/>
      <c r="H767" s="633"/>
      <c r="I767" s="633"/>
      <c r="J767" s="633"/>
      <c r="K767" s="633"/>
      <c r="L767" s="633"/>
      <c r="M767" s="633"/>
      <c r="N767" s="633"/>
      <c r="O767" s="633"/>
      <c r="P767" s="633"/>
      <c r="Q767" s="633"/>
      <c r="R767" s="633"/>
      <c r="S767" s="633"/>
      <c r="T767" s="633"/>
    </row>
    <row r="768">
      <c r="A768" s="633"/>
      <c r="B768" s="633"/>
      <c r="C768" s="633"/>
      <c r="D768" s="633"/>
      <c r="E768" s="633"/>
      <c r="F768" s="633"/>
      <c r="G768" s="633"/>
      <c r="H768" s="633"/>
      <c r="I768" s="633"/>
      <c r="J768" s="633"/>
      <c r="K768" s="633"/>
      <c r="L768" s="633"/>
      <c r="M768" s="633"/>
      <c r="N768" s="633"/>
      <c r="O768" s="633"/>
      <c r="P768" s="633"/>
      <c r="Q768" s="633"/>
      <c r="R768" s="633"/>
      <c r="S768" s="633"/>
      <c r="T768" s="633"/>
    </row>
    <row r="769">
      <c r="A769" s="633"/>
      <c r="B769" s="633"/>
      <c r="C769" s="633"/>
      <c r="D769" s="633"/>
      <c r="E769" s="633"/>
      <c r="F769" s="633"/>
      <c r="G769" s="633"/>
      <c r="H769" s="633"/>
      <c r="I769" s="633"/>
      <c r="J769" s="633"/>
      <c r="K769" s="633"/>
      <c r="L769" s="633"/>
      <c r="M769" s="633"/>
      <c r="N769" s="633"/>
      <c r="O769" s="633"/>
      <c r="P769" s="633"/>
      <c r="Q769" s="633"/>
      <c r="R769" s="633"/>
      <c r="S769" s="633"/>
      <c r="T769" s="633"/>
    </row>
    <row r="770">
      <c r="A770" s="633"/>
      <c r="B770" s="633"/>
      <c r="C770" s="633"/>
      <c r="D770" s="633"/>
      <c r="E770" s="633"/>
      <c r="F770" s="633"/>
      <c r="G770" s="633"/>
      <c r="H770" s="633"/>
      <c r="I770" s="633"/>
      <c r="J770" s="633"/>
      <c r="K770" s="633"/>
      <c r="L770" s="633"/>
      <c r="M770" s="633"/>
      <c r="N770" s="633"/>
      <c r="O770" s="633"/>
      <c r="P770" s="633"/>
      <c r="Q770" s="633"/>
      <c r="R770" s="633"/>
      <c r="S770" s="633"/>
      <c r="T770" s="633"/>
    </row>
    <row r="771">
      <c r="A771" s="633"/>
      <c r="B771" s="633"/>
      <c r="C771" s="633"/>
      <c r="D771" s="633"/>
      <c r="E771" s="633"/>
      <c r="F771" s="633"/>
      <c r="G771" s="633"/>
      <c r="H771" s="633"/>
      <c r="I771" s="633"/>
      <c r="J771" s="633"/>
      <c r="K771" s="633"/>
      <c r="L771" s="633"/>
      <c r="M771" s="633"/>
      <c r="N771" s="633"/>
      <c r="O771" s="633"/>
      <c r="P771" s="633"/>
      <c r="Q771" s="633"/>
      <c r="R771" s="633"/>
      <c r="S771" s="633"/>
      <c r="T771" s="633"/>
    </row>
    <row r="772">
      <c r="A772" s="633"/>
      <c r="B772" s="633"/>
      <c r="C772" s="633"/>
      <c r="D772" s="633"/>
      <c r="E772" s="633"/>
      <c r="F772" s="633"/>
      <c r="G772" s="633"/>
      <c r="H772" s="633"/>
      <c r="I772" s="633"/>
      <c r="J772" s="633"/>
      <c r="K772" s="633"/>
      <c r="L772" s="633"/>
      <c r="M772" s="633"/>
      <c r="N772" s="633"/>
      <c r="O772" s="633"/>
      <c r="P772" s="633"/>
      <c r="Q772" s="633"/>
      <c r="R772" s="633"/>
      <c r="S772" s="633"/>
      <c r="T772" s="633"/>
    </row>
    <row r="773">
      <c r="A773" s="633"/>
      <c r="B773" s="633"/>
      <c r="C773" s="633"/>
      <c r="D773" s="633"/>
      <c r="E773" s="633"/>
      <c r="F773" s="633"/>
      <c r="G773" s="633"/>
      <c r="H773" s="633"/>
      <c r="I773" s="633"/>
      <c r="J773" s="633"/>
      <c r="K773" s="633"/>
      <c r="L773" s="633"/>
      <c r="M773" s="633"/>
      <c r="N773" s="633"/>
      <c r="O773" s="633"/>
      <c r="P773" s="633"/>
      <c r="Q773" s="633"/>
      <c r="R773" s="633"/>
      <c r="S773" s="633"/>
      <c r="T773" s="633"/>
    </row>
    <row r="774">
      <c r="A774" s="633"/>
      <c r="B774" s="633"/>
      <c r="C774" s="633"/>
      <c r="D774" s="633"/>
      <c r="E774" s="633"/>
      <c r="F774" s="633"/>
      <c r="G774" s="633"/>
      <c r="H774" s="633"/>
      <c r="I774" s="633"/>
      <c r="J774" s="633"/>
      <c r="K774" s="633"/>
      <c r="L774" s="633"/>
      <c r="M774" s="633"/>
      <c r="N774" s="633"/>
      <c r="O774" s="633"/>
      <c r="P774" s="633"/>
      <c r="Q774" s="633"/>
      <c r="R774" s="633"/>
      <c r="S774" s="633"/>
      <c r="T774" s="633"/>
    </row>
    <row r="775">
      <c r="A775" s="633"/>
      <c r="B775" s="633"/>
      <c r="C775" s="633"/>
      <c r="D775" s="633"/>
      <c r="E775" s="633"/>
      <c r="F775" s="633"/>
      <c r="G775" s="633"/>
      <c r="H775" s="633"/>
      <c r="I775" s="633"/>
      <c r="J775" s="633"/>
      <c r="K775" s="633"/>
      <c r="L775" s="633"/>
      <c r="M775" s="633"/>
      <c r="N775" s="633"/>
      <c r="O775" s="633"/>
      <c r="P775" s="633"/>
      <c r="Q775" s="633"/>
      <c r="R775" s="633"/>
      <c r="S775" s="633"/>
      <c r="T775" s="633"/>
    </row>
    <row r="776">
      <c r="A776" s="633"/>
      <c r="B776" s="633"/>
      <c r="C776" s="633"/>
      <c r="D776" s="633"/>
      <c r="E776" s="633"/>
      <c r="F776" s="633"/>
      <c r="G776" s="633"/>
      <c r="H776" s="633"/>
      <c r="I776" s="633"/>
      <c r="J776" s="633"/>
      <c r="K776" s="633"/>
      <c r="L776" s="633"/>
      <c r="M776" s="633"/>
      <c r="N776" s="633"/>
      <c r="O776" s="633"/>
      <c r="P776" s="633"/>
      <c r="Q776" s="633"/>
      <c r="R776" s="633"/>
      <c r="S776" s="633"/>
      <c r="T776" s="633"/>
    </row>
    <row r="777">
      <c r="A777" s="633"/>
      <c r="B777" s="633"/>
      <c r="C777" s="633"/>
      <c r="D777" s="633"/>
      <c r="E777" s="633"/>
      <c r="F777" s="633"/>
      <c r="G777" s="633"/>
      <c r="H777" s="633"/>
      <c r="I777" s="633"/>
      <c r="J777" s="633"/>
      <c r="K777" s="633"/>
      <c r="L777" s="633"/>
      <c r="M777" s="633"/>
      <c r="N777" s="633"/>
      <c r="O777" s="633"/>
      <c r="P777" s="633"/>
      <c r="Q777" s="633"/>
      <c r="R777" s="633"/>
      <c r="S777" s="633"/>
      <c r="T777" s="633"/>
    </row>
    <row r="778">
      <c r="A778" s="633"/>
      <c r="B778" s="633"/>
      <c r="C778" s="633"/>
      <c r="D778" s="633"/>
      <c r="E778" s="633"/>
      <c r="F778" s="633"/>
      <c r="G778" s="633"/>
      <c r="H778" s="633"/>
      <c r="I778" s="633"/>
      <c r="J778" s="633"/>
      <c r="K778" s="633"/>
      <c r="L778" s="633"/>
      <c r="M778" s="633"/>
      <c r="N778" s="633"/>
      <c r="O778" s="633"/>
      <c r="P778" s="633"/>
      <c r="Q778" s="633"/>
      <c r="R778" s="633"/>
      <c r="S778" s="633"/>
      <c r="T778" s="633"/>
    </row>
    <row r="779">
      <c r="A779" s="633"/>
      <c r="B779" s="633"/>
      <c r="C779" s="633"/>
      <c r="D779" s="633"/>
      <c r="E779" s="633"/>
      <c r="F779" s="633"/>
      <c r="G779" s="633"/>
      <c r="H779" s="633"/>
      <c r="I779" s="633"/>
      <c r="J779" s="633"/>
      <c r="K779" s="633"/>
      <c r="L779" s="633"/>
      <c r="M779" s="633"/>
      <c r="N779" s="633"/>
      <c r="O779" s="633"/>
      <c r="P779" s="633"/>
      <c r="Q779" s="633"/>
      <c r="R779" s="633"/>
      <c r="S779" s="633"/>
      <c r="T779" s="633"/>
    </row>
    <row r="780">
      <c r="A780" s="633"/>
      <c r="B780" s="633"/>
      <c r="C780" s="633"/>
      <c r="D780" s="633"/>
      <c r="E780" s="633"/>
      <c r="F780" s="633"/>
      <c r="G780" s="633"/>
      <c r="H780" s="633"/>
      <c r="I780" s="633"/>
      <c r="J780" s="633"/>
      <c r="K780" s="633"/>
      <c r="L780" s="633"/>
      <c r="M780" s="633"/>
      <c r="N780" s="633"/>
      <c r="O780" s="633"/>
      <c r="P780" s="633"/>
      <c r="Q780" s="633"/>
      <c r="R780" s="633"/>
      <c r="S780" s="633"/>
      <c r="T780" s="633"/>
    </row>
    <row r="781">
      <c r="A781" s="633"/>
      <c r="B781" s="633"/>
      <c r="C781" s="633"/>
      <c r="D781" s="633"/>
      <c r="E781" s="633"/>
      <c r="F781" s="633"/>
      <c r="G781" s="633"/>
      <c r="H781" s="633"/>
      <c r="I781" s="633"/>
      <c r="J781" s="633"/>
      <c r="K781" s="633"/>
      <c r="L781" s="633"/>
      <c r="M781" s="633"/>
      <c r="N781" s="633"/>
      <c r="O781" s="633"/>
      <c r="P781" s="633"/>
      <c r="Q781" s="633"/>
      <c r="R781" s="633"/>
      <c r="S781" s="633"/>
      <c r="T781" s="633"/>
    </row>
    <row r="782">
      <c r="A782" s="633"/>
      <c r="B782" s="633"/>
      <c r="C782" s="633"/>
      <c r="D782" s="633"/>
      <c r="E782" s="633"/>
      <c r="F782" s="633"/>
      <c r="G782" s="633"/>
      <c r="H782" s="633"/>
      <c r="I782" s="633"/>
      <c r="J782" s="633"/>
      <c r="K782" s="633"/>
      <c r="L782" s="633"/>
      <c r="M782" s="633"/>
      <c r="N782" s="633"/>
      <c r="O782" s="633"/>
      <c r="P782" s="633"/>
      <c r="Q782" s="633"/>
      <c r="R782" s="633"/>
      <c r="S782" s="633"/>
      <c r="T782" s="633"/>
    </row>
    <row r="783">
      <c r="A783" s="633"/>
      <c r="B783" s="633"/>
      <c r="C783" s="633"/>
      <c r="D783" s="633"/>
      <c r="E783" s="633"/>
      <c r="F783" s="633"/>
      <c r="G783" s="633"/>
      <c r="H783" s="633"/>
      <c r="I783" s="633"/>
      <c r="J783" s="633"/>
      <c r="K783" s="633"/>
      <c r="L783" s="633"/>
      <c r="M783" s="633"/>
      <c r="N783" s="633"/>
      <c r="O783" s="633"/>
      <c r="P783" s="633"/>
      <c r="Q783" s="633"/>
      <c r="R783" s="633"/>
      <c r="S783" s="633"/>
      <c r="T783" s="633"/>
    </row>
    <row r="784">
      <c r="A784" s="633"/>
      <c r="B784" s="633"/>
      <c r="C784" s="633"/>
      <c r="D784" s="633"/>
      <c r="E784" s="633"/>
      <c r="F784" s="633"/>
      <c r="G784" s="633"/>
      <c r="H784" s="633"/>
      <c r="I784" s="633"/>
      <c r="J784" s="633"/>
      <c r="K784" s="633"/>
      <c r="L784" s="633"/>
      <c r="M784" s="633"/>
      <c r="N784" s="633"/>
      <c r="O784" s="633"/>
      <c r="P784" s="633"/>
      <c r="Q784" s="633"/>
      <c r="R784" s="633"/>
      <c r="S784" s="633"/>
      <c r="T784" s="633"/>
    </row>
    <row r="785">
      <c r="A785" s="633"/>
      <c r="B785" s="633"/>
      <c r="C785" s="633"/>
      <c r="D785" s="633"/>
      <c r="E785" s="633"/>
      <c r="F785" s="633"/>
      <c r="G785" s="633"/>
      <c r="H785" s="633"/>
      <c r="I785" s="633"/>
      <c r="J785" s="633"/>
      <c r="K785" s="633"/>
      <c r="L785" s="633"/>
      <c r="M785" s="633"/>
      <c r="N785" s="633"/>
      <c r="O785" s="633"/>
      <c r="P785" s="633"/>
      <c r="Q785" s="633"/>
      <c r="R785" s="633"/>
      <c r="S785" s="633"/>
      <c r="T785" s="633"/>
    </row>
    <row r="786">
      <c r="A786" s="633"/>
      <c r="B786" s="633"/>
      <c r="C786" s="633"/>
      <c r="D786" s="633"/>
      <c r="E786" s="633"/>
      <c r="F786" s="633"/>
      <c r="G786" s="633"/>
      <c r="H786" s="633"/>
      <c r="I786" s="633"/>
      <c r="J786" s="633"/>
      <c r="K786" s="633"/>
      <c r="L786" s="633"/>
      <c r="M786" s="633"/>
      <c r="N786" s="633"/>
      <c r="O786" s="633"/>
      <c r="P786" s="633"/>
      <c r="Q786" s="633"/>
      <c r="R786" s="633"/>
      <c r="S786" s="633"/>
      <c r="T786" s="633"/>
    </row>
    <row r="787">
      <c r="A787" s="633"/>
      <c r="B787" s="633"/>
      <c r="C787" s="633"/>
      <c r="D787" s="633"/>
      <c r="E787" s="633"/>
      <c r="F787" s="633"/>
      <c r="G787" s="633"/>
      <c r="H787" s="633"/>
      <c r="I787" s="633"/>
      <c r="J787" s="633"/>
      <c r="K787" s="633"/>
      <c r="L787" s="633"/>
      <c r="M787" s="633"/>
      <c r="N787" s="633"/>
      <c r="O787" s="633"/>
      <c r="P787" s="633"/>
      <c r="Q787" s="633"/>
      <c r="R787" s="633"/>
      <c r="S787" s="633"/>
      <c r="T787" s="633"/>
    </row>
    <row r="788">
      <c r="A788" s="633"/>
      <c r="B788" s="633"/>
      <c r="C788" s="633"/>
      <c r="D788" s="633"/>
      <c r="E788" s="633"/>
      <c r="F788" s="633"/>
      <c r="G788" s="633"/>
      <c r="H788" s="633"/>
      <c r="I788" s="633"/>
      <c r="J788" s="633"/>
      <c r="K788" s="633"/>
      <c r="L788" s="633"/>
      <c r="M788" s="633"/>
      <c r="N788" s="633"/>
      <c r="O788" s="633"/>
      <c r="P788" s="633"/>
      <c r="Q788" s="633"/>
      <c r="R788" s="633"/>
      <c r="S788" s="633"/>
      <c r="T788" s="633"/>
    </row>
    <row r="789">
      <c r="A789" s="633"/>
      <c r="B789" s="633"/>
      <c r="C789" s="633"/>
      <c r="D789" s="633"/>
      <c r="E789" s="633"/>
      <c r="F789" s="633"/>
      <c r="G789" s="633"/>
      <c r="H789" s="633"/>
      <c r="I789" s="633"/>
      <c r="J789" s="633"/>
      <c r="K789" s="633"/>
      <c r="L789" s="633"/>
      <c r="M789" s="633"/>
      <c r="N789" s="633"/>
      <c r="O789" s="633"/>
      <c r="P789" s="633"/>
      <c r="Q789" s="633"/>
      <c r="R789" s="633"/>
      <c r="S789" s="633"/>
      <c r="T789" s="633"/>
    </row>
    <row r="790">
      <c r="A790" s="633"/>
      <c r="B790" s="633"/>
      <c r="C790" s="633"/>
      <c r="D790" s="633"/>
      <c r="E790" s="633"/>
      <c r="F790" s="633"/>
      <c r="G790" s="633"/>
      <c r="H790" s="633"/>
      <c r="I790" s="633"/>
      <c r="J790" s="633"/>
      <c r="K790" s="633"/>
      <c r="L790" s="633"/>
      <c r="M790" s="633"/>
      <c r="N790" s="633"/>
      <c r="O790" s="633"/>
      <c r="P790" s="633"/>
      <c r="Q790" s="633"/>
      <c r="R790" s="633"/>
      <c r="S790" s="633"/>
      <c r="T790" s="633"/>
    </row>
    <row r="791">
      <c r="A791" s="633"/>
      <c r="B791" s="633"/>
      <c r="C791" s="633"/>
      <c r="D791" s="633"/>
      <c r="E791" s="633"/>
      <c r="F791" s="633"/>
      <c r="G791" s="633"/>
      <c r="H791" s="633"/>
      <c r="I791" s="633"/>
      <c r="J791" s="633"/>
      <c r="K791" s="633"/>
      <c r="L791" s="633"/>
      <c r="M791" s="633"/>
      <c r="N791" s="633"/>
      <c r="O791" s="633"/>
      <c r="P791" s="633"/>
      <c r="Q791" s="633"/>
      <c r="R791" s="633"/>
      <c r="S791" s="633"/>
      <c r="T791" s="633"/>
    </row>
    <row r="792">
      <c r="A792" s="633"/>
      <c r="B792" s="633"/>
      <c r="C792" s="633"/>
      <c r="D792" s="633"/>
      <c r="E792" s="633"/>
      <c r="F792" s="633"/>
      <c r="G792" s="633"/>
      <c r="H792" s="633"/>
      <c r="I792" s="633"/>
      <c r="J792" s="633"/>
      <c r="K792" s="633"/>
      <c r="L792" s="633"/>
      <c r="M792" s="633"/>
      <c r="N792" s="633"/>
      <c r="O792" s="633"/>
      <c r="P792" s="633"/>
      <c r="Q792" s="633"/>
      <c r="R792" s="633"/>
      <c r="S792" s="633"/>
      <c r="T792" s="633"/>
    </row>
    <row r="793">
      <c r="A793" s="633"/>
      <c r="B793" s="633"/>
      <c r="C793" s="633"/>
      <c r="D793" s="633"/>
      <c r="E793" s="633"/>
      <c r="F793" s="633"/>
      <c r="G793" s="633"/>
      <c r="H793" s="633"/>
      <c r="I793" s="633"/>
      <c r="J793" s="633"/>
      <c r="K793" s="633"/>
      <c r="L793" s="633"/>
      <c r="M793" s="633"/>
      <c r="N793" s="633"/>
      <c r="O793" s="633"/>
      <c r="P793" s="633"/>
      <c r="Q793" s="633"/>
      <c r="R793" s="633"/>
      <c r="S793" s="633"/>
      <c r="T793" s="633"/>
    </row>
    <row r="794">
      <c r="A794" s="633"/>
      <c r="B794" s="633"/>
      <c r="C794" s="633"/>
      <c r="D794" s="633"/>
      <c r="E794" s="633"/>
      <c r="F794" s="633"/>
      <c r="G794" s="633"/>
      <c r="H794" s="633"/>
      <c r="I794" s="633"/>
      <c r="J794" s="633"/>
      <c r="K794" s="633"/>
      <c r="L794" s="633"/>
      <c r="M794" s="633"/>
      <c r="N794" s="633"/>
      <c r="O794" s="633"/>
      <c r="P794" s="633"/>
      <c r="Q794" s="633"/>
      <c r="R794" s="633"/>
      <c r="S794" s="633"/>
      <c r="T794" s="633"/>
    </row>
    <row r="795">
      <c r="A795" s="633"/>
      <c r="B795" s="633"/>
      <c r="C795" s="633"/>
      <c r="D795" s="633"/>
      <c r="E795" s="633"/>
      <c r="F795" s="633"/>
      <c r="G795" s="633"/>
      <c r="H795" s="633"/>
      <c r="I795" s="633"/>
      <c r="J795" s="633"/>
      <c r="K795" s="633"/>
      <c r="L795" s="633"/>
      <c r="M795" s="633"/>
      <c r="N795" s="633"/>
      <c r="O795" s="633"/>
      <c r="P795" s="633"/>
      <c r="Q795" s="633"/>
      <c r="R795" s="633"/>
      <c r="S795" s="633"/>
      <c r="T795" s="633"/>
    </row>
    <row r="796">
      <c r="A796" s="633"/>
      <c r="B796" s="633"/>
      <c r="C796" s="633"/>
      <c r="D796" s="633"/>
      <c r="E796" s="633"/>
      <c r="F796" s="633"/>
      <c r="G796" s="633"/>
      <c r="H796" s="633"/>
      <c r="I796" s="633"/>
      <c r="J796" s="633"/>
      <c r="K796" s="633"/>
      <c r="L796" s="633"/>
      <c r="M796" s="633"/>
      <c r="N796" s="633"/>
      <c r="O796" s="633"/>
      <c r="P796" s="633"/>
      <c r="Q796" s="633"/>
      <c r="R796" s="633"/>
      <c r="S796" s="633"/>
      <c r="T796" s="633"/>
    </row>
    <row r="797">
      <c r="A797" s="633"/>
      <c r="B797" s="633"/>
      <c r="C797" s="633"/>
      <c r="D797" s="633"/>
      <c r="E797" s="633"/>
      <c r="F797" s="633"/>
      <c r="G797" s="633"/>
      <c r="H797" s="633"/>
      <c r="I797" s="633"/>
      <c r="J797" s="633"/>
      <c r="K797" s="633"/>
      <c r="L797" s="633"/>
      <c r="M797" s="633"/>
      <c r="N797" s="633"/>
      <c r="O797" s="633"/>
      <c r="P797" s="633"/>
      <c r="Q797" s="633"/>
      <c r="R797" s="633"/>
      <c r="S797" s="633"/>
      <c r="T797" s="633"/>
    </row>
    <row r="798">
      <c r="A798" s="633"/>
      <c r="B798" s="633"/>
      <c r="C798" s="633"/>
      <c r="D798" s="633"/>
      <c r="E798" s="633"/>
      <c r="F798" s="633"/>
      <c r="G798" s="633"/>
      <c r="H798" s="633"/>
      <c r="I798" s="633"/>
      <c r="J798" s="633"/>
      <c r="K798" s="633"/>
      <c r="L798" s="633"/>
      <c r="M798" s="633"/>
      <c r="N798" s="633"/>
      <c r="O798" s="633"/>
      <c r="P798" s="633"/>
      <c r="Q798" s="633"/>
      <c r="R798" s="633"/>
      <c r="S798" s="633"/>
      <c r="T798" s="633"/>
    </row>
    <row r="799">
      <c r="A799" s="633"/>
      <c r="B799" s="633"/>
      <c r="C799" s="633"/>
      <c r="D799" s="633"/>
      <c r="E799" s="633"/>
      <c r="F799" s="633"/>
      <c r="G799" s="633"/>
      <c r="H799" s="633"/>
      <c r="I799" s="633"/>
      <c r="J799" s="633"/>
      <c r="K799" s="633"/>
      <c r="L799" s="633"/>
      <c r="M799" s="633"/>
      <c r="N799" s="633"/>
      <c r="O799" s="633"/>
      <c r="P799" s="633"/>
      <c r="Q799" s="633"/>
      <c r="R799" s="633"/>
      <c r="S799" s="633"/>
      <c r="T799" s="633"/>
    </row>
    <row r="800">
      <c r="A800" s="633"/>
      <c r="B800" s="633"/>
      <c r="C800" s="633"/>
      <c r="D800" s="633"/>
      <c r="E800" s="633"/>
      <c r="F800" s="633"/>
      <c r="G800" s="633"/>
      <c r="H800" s="633"/>
      <c r="I800" s="633"/>
      <c r="J800" s="633"/>
      <c r="K800" s="633"/>
      <c r="L800" s="633"/>
      <c r="M800" s="633"/>
      <c r="N800" s="633"/>
      <c r="O800" s="633"/>
      <c r="P800" s="633"/>
      <c r="Q800" s="633"/>
      <c r="R800" s="633"/>
      <c r="S800" s="633"/>
      <c r="T800" s="633"/>
    </row>
    <row r="801">
      <c r="A801" s="633"/>
      <c r="B801" s="633"/>
      <c r="C801" s="633"/>
      <c r="D801" s="633"/>
      <c r="E801" s="633"/>
      <c r="F801" s="633"/>
      <c r="G801" s="633"/>
      <c r="H801" s="633"/>
      <c r="I801" s="633"/>
      <c r="J801" s="633"/>
      <c r="K801" s="633"/>
      <c r="L801" s="633"/>
      <c r="M801" s="633"/>
      <c r="N801" s="633"/>
      <c r="O801" s="633"/>
      <c r="P801" s="633"/>
      <c r="Q801" s="633"/>
      <c r="R801" s="633"/>
      <c r="S801" s="633"/>
      <c r="T801" s="633"/>
    </row>
    <row r="802">
      <c r="A802" s="633"/>
      <c r="B802" s="633"/>
      <c r="C802" s="633"/>
      <c r="D802" s="633"/>
      <c r="E802" s="633"/>
      <c r="F802" s="633"/>
      <c r="G802" s="633"/>
      <c r="H802" s="633"/>
      <c r="I802" s="633"/>
      <c r="J802" s="633"/>
      <c r="K802" s="633"/>
      <c r="L802" s="633"/>
      <c r="M802" s="633"/>
      <c r="N802" s="633"/>
      <c r="O802" s="633"/>
      <c r="P802" s="633"/>
      <c r="Q802" s="633"/>
      <c r="R802" s="633"/>
      <c r="S802" s="633"/>
      <c r="T802" s="633"/>
    </row>
    <row r="803">
      <c r="A803" s="633"/>
      <c r="B803" s="633"/>
      <c r="C803" s="633"/>
      <c r="D803" s="633"/>
      <c r="E803" s="633"/>
      <c r="F803" s="633"/>
      <c r="G803" s="633"/>
      <c r="H803" s="633"/>
      <c r="I803" s="633"/>
      <c r="J803" s="633"/>
      <c r="K803" s="633"/>
      <c r="L803" s="633"/>
      <c r="M803" s="633"/>
      <c r="N803" s="633"/>
      <c r="O803" s="633"/>
      <c r="P803" s="633"/>
      <c r="Q803" s="633"/>
      <c r="R803" s="633"/>
      <c r="S803" s="633"/>
      <c r="T803" s="633"/>
    </row>
    <row r="804">
      <c r="A804" s="633"/>
      <c r="B804" s="633"/>
      <c r="C804" s="633"/>
      <c r="D804" s="633"/>
      <c r="E804" s="633"/>
      <c r="F804" s="633"/>
      <c r="G804" s="633"/>
      <c r="H804" s="633"/>
      <c r="I804" s="633"/>
      <c r="J804" s="633"/>
      <c r="K804" s="633"/>
      <c r="L804" s="633"/>
      <c r="M804" s="633"/>
      <c r="N804" s="633"/>
      <c r="O804" s="633"/>
      <c r="P804" s="633"/>
      <c r="Q804" s="633"/>
      <c r="R804" s="633"/>
      <c r="S804" s="633"/>
      <c r="T804" s="633"/>
    </row>
    <row r="805">
      <c r="A805" s="633"/>
      <c r="B805" s="633"/>
      <c r="C805" s="633"/>
      <c r="D805" s="633"/>
      <c r="E805" s="633"/>
      <c r="F805" s="633"/>
      <c r="G805" s="633"/>
      <c r="H805" s="633"/>
      <c r="I805" s="633"/>
      <c r="J805" s="633"/>
      <c r="K805" s="633"/>
      <c r="L805" s="633"/>
      <c r="M805" s="633"/>
      <c r="N805" s="633"/>
      <c r="O805" s="633"/>
      <c r="P805" s="633"/>
      <c r="Q805" s="633"/>
      <c r="R805" s="633"/>
      <c r="S805" s="633"/>
      <c r="T805" s="633"/>
    </row>
    <row r="806">
      <c r="A806" s="633"/>
      <c r="B806" s="633"/>
      <c r="C806" s="633"/>
      <c r="D806" s="633"/>
      <c r="E806" s="633"/>
      <c r="F806" s="633"/>
      <c r="G806" s="633"/>
      <c r="H806" s="633"/>
      <c r="I806" s="633"/>
      <c r="J806" s="633"/>
      <c r="K806" s="633"/>
      <c r="L806" s="633"/>
      <c r="M806" s="633"/>
      <c r="N806" s="633"/>
      <c r="O806" s="633"/>
      <c r="P806" s="633"/>
      <c r="Q806" s="633"/>
      <c r="R806" s="633"/>
      <c r="S806" s="633"/>
      <c r="T806" s="633"/>
    </row>
    <row r="807">
      <c r="A807" s="633"/>
      <c r="B807" s="633"/>
      <c r="C807" s="633"/>
      <c r="D807" s="633"/>
      <c r="E807" s="633"/>
      <c r="F807" s="633"/>
      <c r="G807" s="633"/>
      <c r="H807" s="633"/>
      <c r="I807" s="633"/>
      <c r="J807" s="633"/>
      <c r="K807" s="633"/>
      <c r="L807" s="633"/>
      <c r="M807" s="633"/>
      <c r="N807" s="633"/>
      <c r="O807" s="633"/>
      <c r="P807" s="633"/>
      <c r="Q807" s="633"/>
      <c r="R807" s="633"/>
      <c r="S807" s="633"/>
      <c r="T807" s="633"/>
    </row>
    <row r="808">
      <c r="A808" s="633"/>
      <c r="B808" s="633"/>
      <c r="C808" s="633"/>
      <c r="D808" s="633"/>
      <c r="E808" s="633"/>
      <c r="F808" s="633"/>
      <c r="G808" s="633"/>
      <c r="H808" s="633"/>
      <c r="I808" s="633"/>
      <c r="J808" s="633"/>
      <c r="K808" s="633"/>
      <c r="L808" s="633"/>
      <c r="M808" s="633"/>
      <c r="N808" s="633"/>
      <c r="O808" s="633"/>
      <c r="P808" s="633"/>
      <c r="Q808" s="633"/>
      <c r="R808" s="633"/>
      <c r="S808" s="633"/>
      <c r="T808" s="633"/>
    </row>
    <row r="809">
      <c r="A809" s="633"/>
      <c r="B809" s="633"/>
      <c r="C809" s="633"/>
      <c r="D809" s="633"/>
      <c r="E809" s="633"/>
      <c r="F809" s="633"/>
      <c r="G809" s="633"/>
      <c r="H809" s="633"/>
      <c r="I809" s="633"/>
      <c r="J809" s="633"/>
      <c r="K809" s="633"/>
      <c r="L809" s="633"/>
      <c r="M809" s="633"/>
      <c r="N809" s="633"/>
      <c r="O809" s="633"/>
      <c r="P809" s="633"/>
      <c r="Q809" s="633"/>
      <c r="R809" s="633"/>
      <c r="S809" s="633"/>
      <c r="T809" s="633"/>
    </row>
    <row r="810">
      <c r="A810" s="633"/>
      <c r="B810" s="633"/>
      <c r="C810" s="633"/>
      <c r="D810" s="633"/>
      <c r="E810" s="633"/>
      <c r="F810" s="633"/>
      <c r="G810" s="633"/>
      <c r="H810" s="633"/>
      <c r="I810" s="633"/>
      <c r="J810" s="633"/>
      <c r="K810" s="633"/>
      <c r="L810" s="633"/>
      <c r="M810" s="633"/>
      <c r="N810" s="633"/>
      <c r="O810" s="633"/>
      <c r="P810" s="633"/>
      <c r="Q810" s="633"/>
      <c r="R810" s="633"/>
      <c r="S810" s="633"/>
      <c r="T810" s="633"/>
    </row>
    <row r="811">
      <c r="A811" s="633"/>
      <c r="B811" s="633"/>
      <c r="C811" s="633"/>
      <c r="D811" s="633"/>
      <c r="E811" s="633"/>
      <c r="F811" s="633"/>
      <c r="G811" s="633"/>
      <c r="H811" s="633"/>
      <c r="I811" s="633"/>
      <c r="J811" s="633"/>
      <c r="K811" s="633"/>
      <c r="L811" s="633"/>
      <c r="M811" s="633"/>
      <c r="N811" s="633"/>
      <c r="O811" s="633"/>
      <c r="P811" s="633"/>
      <c r="Q811" s="633"/>
      <c r="R811" s="633"/>
      <c r="S811" s="633"/>
      <c r="T811" s="633"/>
    </row>
    <row r="812">
      <c r="A812" s="633"/>
      <c r="B812" s="633"/>
      <c r="C812" s="633"/>
      <c r="D812" s="633"/>
      <c r="E812" s="633"/>
      <c r="F812" s="633"/>
      <c r="G812" s="633"/>
      <c r="H812" s="633"/>
      <c r="I812" s="633"/>
      <c r="J812" s="633"/>
      <c r="K812" s="633"/>
      <c r="L812" s="633"/>
      <c r="M812" s="633"/>
      <c r="N812" s="633"/>
      <c r="O812" s="633"/>
      <c r="P812" s="633"/>
      <c r="Q812" s="633"/>
      <c r="R812" s="633"/>
      <c r="S812" s="633"/>
      <c r="T812" s="633"/>
    </row>
    <row r="813">
      <c r="A813" s="633"/>
      <c r="B813" s="633"/>
      <c r="C813" s="633"/>
      <c r="D813" s="633"/>
      <c r="E813" s="633"/>
      <c r="F813" s="633"/>
      <c r="G813" s="633"/>
      <c r="H813" s="633"/>
      <c r="I813" s="633"/>
      <c r="J813" s="633"/>
      <c r="K813" s="633"/>
      <c r="L813" s="633"/>
      <c r="M813" s="633"/>
      <c r="N813" s="633"/>
      <c r="O813" s="633"/>
      <c r="P813" s="633"/>
      <c r="Q813" s="633"/>
      <c r="R813" s="633"/>
      <c r="S813" s="633"/>
      <c r="T813" s="633"/>
    </row>
    <row r="814">
      <c r="A814" s="633"/>
      <c r="B814" s="633"/>
      <c r="C814" s="633"/>
      <c r="D814" s="633"/>
      <c r="E814" s="633"/>
      <c r="F814" s="633"/>
      <c r="G814" s="633"/>
      <c r="H814" s="633"/>
      <c r="I814" s="633"/>
      <c r="J814" s="633"/>
      <c r="K814" s="633"/>
      <c r="L814" s="633"/>
      <c r="M814" s="633"/>
      <c r="N814" s="633"/>
      <c r="O814" s="633"/>
      <c r="P814" s="633"/>
      <c r="Q814" s="633"/>
      <c r="R814" s="633"/>
      <c r="S814" s="633"/>
      <c r="T814" s="633"/>
    </row>
    <row r="815">
      <c r="A815" s="633"/>
      <c r="B815" s="633"/>
      <c r="C815" s="633"/>
      <c r="D815" s="633"/>
      <c r="E815" s="633"/>
      <c r="F815" s="633"/>
      <c r="G815" s="633"/>
      <c r="H815" s="633"/>
      <c r="I815" s="633"/>
      <c r="J815" s="633"/>
      <c r="K815" s="633"/>
      <c r="L815" s="633"/>
      <c r="M815" s="633"/>
      <c r="N815" s="633"/>
      <c r="O815" s="633"/>
      <c r="P815" s="633"/>
      <c r="Q815" s="633"/>
      <c r="R815" s="633"/>
      <c r="S815" s="633"/>
      <c r="T815" s="633"/>
    </row>
    <row r="816">
      <c r="A816" s="633"/>
      <c r="B816" s="633"/>
      <c r="C816" s="633"/>
      <c r="D816" s="633"/>
      <c r="E816" s="633"/>
      <c r="F816" s="633"/>
      <c r="G816" s="633"/>
      <c r="H816" s="633"/>
      <c r="I816" s="633"/>
      <c r="J816" s="633"/>
      <c r="K816" s="633"/>
      <c r="L816" s="633"/>
      <c r="M816" s="633"/>
      <c r="N816" s="633"/>
      <c r="O816" s="633"/>
      <c r="P816" s="633"/>
      <c r="Q816" s="633"/>
      <c r="R816" s="633"/>
      <c r="S816" s="633"/>
      <c r="T816" s="633"/>
    </row>
    <row r="817">
      <c r="A817" s="633"/>
      <c r="B817" s="633"/>
      <c r="C817" s="633"/>
      <c r="D817" s="633"/>
      <c r="E817" s="633"/>
      <c r="F817" s="633"/>
      <c r="G817" s="633"/>
      <c r="H817" s="633"/>
      <c r="I817" s="633"/>
      <c r="J817" s="633"/>
      <c r="K817" s="633"/>
      <c r="L817" s="633"/>
      <c r="M817" s="633"/>
      <c r="N817" s="633"/>
      <c r="O817" s="633"/>
      <c r="P817" s="633"/>
      <c r="Q817" s="633"/>
      <c r="R817" s="633"/>
      <c r="S817" s="633"/>
      <c r="T817" s="633"/>
    </row>
    <row r="818">
      <c r="A818" s="633"/>
      <c r="B818" s="633"/>
      <c r="C818" s="633"/>
      <c r="D818" s="633"/>
      <c r="E818" s="633"/>
      <c r="F818" s="633"/>
      <c r="G818" s="633"/>
      <c r="H818" s="633"/>
      <c r="I818" s="633"/>
      <c r="J818" s="633"/>
      <c r="K818" s="633"/>
      <c r="L818" s="633"/>
      <c r="M818" s="633"/>
      <c r="N818" s="633"/>
      <c r="O818" s="633"/>
      <c r="P818" s="633"/>
      <c r="Q818" s="633"/>
      <c r="R818" s="633"/>
      <c r="S818" s="633"/>
      <c r="T818" s="633"/>
    </row>
    <row r="819">
      <c r="A819" s="633"/>
      <c r="B819" s="633"/>
      <c r="C819" s="633"/>
      <c r="D819" s="633"/>
      <c r="E819" s="633"/>
      <c r="F819" s="633"/>
      <c r="G819" s="633"/>
      <c r="H819" s="633"/>
      <c r="I819" s="633"/>
      <c r="J819" s="633"/>
      <c r="K819" s="633"/>
      <c r="L819" s="633"/>
      <c r="M819" s="633"/>
      <c r="N819" s="633"/>
      <c r="O819" s="633"/>
      <c r="P819" s="633"/>
      <c r="Q819" s="633"/>
      <c r="R819" s="633"/>
      <c r="S819" s="633"/>
      <c r="T819" s="633"/>
    </row>
    <row r="820">
      <c r="A820" s="633"/>
      <c r="B820" s="633"/>
      <c r="C820" s="633"/>
      <c r="D820" s="633"/>
      <c r="E820" s="633"/>
      <c r="F820" s="633"/>
      <c r="G820" s="633"/>
      <c r="H820" s="633"/>
      <c r="I820" s="633"/>
      <c r="J820" s="633"/>
      <c r="K820" s="633"/>
      <c r="L820" s="633"/>
      <c r="M820" s="633"/>
      <c r="N820" s="633"/>
      <c r="O820" s="633"/>
      <c r="P820" s="633"/>
      <c r="Q820" s="633"/>
      <c r="R820" s="633"/>
      <c r="S820" s="633"/>
      <c r="T820" s="633"/>
    </row>
    <row r="821">
      <c r="A821" s="633"/>
      <c r="B821" s="633"/>
      <c r="C821" s="633"/>
      <c r="D821" s="633"/>
      <c r="E821" s="633"/>
      <c r="F821" s="633"/>
      <c r="G821" s="633"/>
      <c r="H821" s="633"/>
      <c r="I821" s="633"/>
      <c r="J821" s="633"/>
      <c r="K821" s="633"/>
      <c r="L821" s="633"/>
      <c r="M821" s="633"/>
      <c r="N821" s="633"/>
      <c r="O821" s="633"/>
      <c r="P821" s="633"/>
      <c r="Q821" s="633"/>
      <c r="R821" s="633"/>
      <c r="S821" s="633"/>
      <c r="T821" s="633"/>
    </row>
    <row r="822">
      <c r="A822" s="633"/>
      <c r="B822" s="633"/>
      <c r="C822" s="633"/>
      <c r="D822" s="633"/>
      <c r="E822" s="633"/>
      <c r="F822" s="633"/>
      <c r="G822" s="633"/>
      <c r="H822" s="633"/>
      <c r="I822" s="633"/>
      <c r="J822" s="633"/>
      <c r="K822" s="633"/>
      <c r="L822" s="633"/>
      <c r="M822" s="633"/>
      <c r="N822" s="633"/>
      <c r="O822" s="633"/>
      <c r="P822" s="633"/>
      <c r="Q822" s="633"/>
      <c r="R822" s="633"/>
      <c r="S822" s="633"/>
      <c r="T822" s="633"/>
    </row>
    <row r="823">
      <c r="A823" s="633"/>
      <c r="B823" s="633"/>
      <c r="C823" s="633"/>
      <c r="D823" s="633"/>
      <c r="E823" s="633"/>
      <c r="F823" s="633"/>
      <c r="G823" s="633"/>
      <c r="H823" s="633"/>
      <c r="I823" s="633"/>
      <c r="J823" s="633"/>
      <c r="K823" s="633"/>
      <c r="L823" s="633"/>
      <c r="M823" s="633"/>
      <c r="N823" s="633"/>
      <c r="O823" s="633"/>
      <c r="P823" s="633"/>
      <c r="Q823" s="633"/>
      <c r="R823" s="633"/>
      <c r="S823" s="633"/>
      <c r="T823" s="633"/>
    </row>
    <row r="824">
      <c r="A824" s="633"/>
      <c r="B824" s="633"/>
      <c r="C824" s="633"/>
      <c r="D824" s="633"/>
      <c r="E824" s="633"/>
      <c r="F824" s="633"/>
      <c r="G824" s="633"/>
      <c r="H824" s="633"/>
      <c r="I824" s="633"/>
      <c r="J824" s="633"/>
      <c r="K824" s="633"/>
      <c r="L824" s="633"/>
      <c r="M824" s="633"/>
      <c r="N824" s="633"/>
      <c r="O824" s="633"/>
      <c r="P824" s="633"/>
      <c r="Q824" s="633"/>
      <c r="R824" s="633"/>
      <c r="S824" s="633"/>
      <c r="T824" s="633"/>
    </row>
    <row r="825">
      <c r="A825" s="633"/>
      <c r="B825" s="633"/>
      <c r="C825" s="633"/>
      <c r="D825" s="633"/>
      <c r="E825" s="633"/>
      <c r="F825" s="633"/>
      <c r="G825" s="633"/>
      <c r="H825" s="633"/>
      <c r="I825" s="633"/>
      <c r="J825" s="633"/>
      <c r="K825" s="633"/>
      <c r="L825" s="633"/>
      <c r="M825" s="633"/>
      <c r="N825" s="633"/>
      <c r="O825" s="633"/>
      <c r="P825" s="633"/>
      <c r="Q825" s="633"/>
      <c r="R825" s="633"/>
      <c r="S825" s="633"/>
      <c r="T825" s="633"/>
    </row>
    <row r="826">
      <c r="A826" s="633"/>
      <c r="B826" s="633"/>
      <c r="C826" s="633"/>
      <c r="D826" s="633"/>
      <c r="E826" s="633"/>
      <c r="F826" s="633"/>
      <c r="G826" s="633"/>
      <c r="H826" s="633"/>
      <c r="I826" s="633"/>
      <c r="J826" s="633"/>
      <c r="K826" s="633"/>
      <c r="L826" s="633"/>
      <c r="M826" s="633"/>
      <c r="N826" s="633"/>
      <c r="O826" s="633"/>
      <c r="P826" s="633"/>
      <c r="Q826" s="633"/>
      <c r="R826" s="633"/>
      <c r="S826" s="633"/>
      <c r="T826" s="633"/>
    </row>
    <row r="827">
      <c r="A827" s="633"/>
      <c r="B827" s="633"/>
      <c r="C827" s="633"/>
      <c r="D827" s="633"/>
      <c r="E827" s="633"/>
      <c r="F827" s="633"/>
      <c r="G827" s="633"/>
      <c r="H827" s="633"/>
      <c r="I827" s="633"/>
      <c r="J827" s="633"/>
      <c r="K827" s="633"/>
      <c r="L827" s="633"/>
      <c r="M827" s="633"/>
      <c r="N827" s="633"/>
      <c r="O827" s="633"/>
      <c r="P827" s="633"/>
      <c r="Q827" s="633"/>
      <c r="R827" s="633"/>
      <c r="S827" s="633"/>
      <c r="T827" s="633"/>
    </row>
    <row r="828">
      <c r="A828" s="633"/>
      <c r="B828" s="633"/>
      <c r="C828" s="633"/>
      <c r="D828" s="633"/>
      <c r="E828" s="633"/>
      <c r="F828" s="633"/>
      <c r="G828" s="633"/>
      <c r="H828" s="633"/>
      <c r="I828" s="633"/>
      <c r="J828" s="633"/>
      <c r="K828" s="633"/>
      <c r="L828" s="633"/>
      <c r="M828" s="633"/>
      <c r="N828" s="633"/>
      <c r="O828" s="633"/>
      <c r="P828" s="633"/>
      <c r="Q828" s="633"/>
      <c r="R828" s="633"/>
      <c r="S828" s="633"/>
      <c r="T828" s="633"/>
    </row>
    <row r="829">
      <c r="A829" s="633"/>
      <c r="B829" s="633"/>
      <c r="C829" s="633"/>
      <c r="D829" s="633"/>
      <c r="E829" s="633"/>
      <c r="F829" s="633"/>
      <c r="G829" s="633"/>
      <c r="H829" s="633"/>
      <c r="I829" s="633"/>
      <c r="J829" s="633"/>
      <c r="K829" s="633"/>
      <c r="L829" s="633"/>
      <c r="M829" s="633"/>
      <c r="N829" s="633"/>
      <c r="O829" s="633"/>
      <c r="P829" s="633"/>
      <c r="Q829" s="633"/>
      <c r="R829" s="633"/>
      <c r="S829" s="633"/>
      <c r="T829" s="633"/>
    </row>
    <row r="830">
      <c r="A830" s="633"/>
      <c r="B830" s="633"/>
      <c r="C830" s="633"/>
      <c r="D830" s="633"/>
      <c r="E830" s="633"/>
      <c r="F830" s="633"/>
      <c r="G830" s="633"/>
      <c r="H830" s="633"/>
      <c r="I830" s="633"/>
      <c r="J830" s="633"/>
      <c r="K830" s="633"/>
      <c r="L830" s="633"/>
      <c r="M830" s="633"/>
      <c r="N830" s="633"/>
      <c r="O830" s="633"/>
      <c r="P830" s="633"/>
      <c r="Q830" s="633"/>
      <c r="R830" s="633"/>
      <c r="S830" s="633"/>
      <c r="T830" s="633"/>
    </row>
    <row r="831">
      <c r="A831" s="633"/>
      <c r="B831" s="633"/>
      <c r="C831" s="633"/>
      <c r="D831" s="633"/>
      <c r="E831" s="633"/>
      <c r="F831" s="633"/>
      <c r="G831" s="633"/>
      <c r="H831" s="633"/>
      <c r="I831" s="633"/>
      <c r="J831" s="633"/>
      <c r="K831" s="633"/>
      <c r="L831" s="633"/>
      <c r="M831" s="633"/>
      <c r="N831" s="633"/>
      <c r="O831" s="633"/>
      <c r="P831" s="633"/>
      <c r="Q831" s="633"/>
      <c r="R831" s="633"/>
      <c r="S831" s="633"/>
      <c r="T831" s="633"/>
    </row>
    <row r="832">
      <c r="A832" s="633"/>
      <c r="B832" s="633"/>
      <c r="C832" s="633"/>
      <c r="D832" s="633"/>
      <c r="E832" s="633"/>
      <c r="F832" s="633"/>
      <c r="G832" s="633"/>
      <c r="H832" s="633"/>
      <c r="I832" s="633"/>
      <c r="J832" s="633"/>
      <c r="K832" s="633"/>
      <c r="L832" s="633"/>
      <c r="M832" s="633"/>
      <c r="N832" s="633"/>
      <c r="O832" s="633"/>
      <c r="P832" s="633"/>
      <c r="Q832" s="633"/>
      <c r="R832" s="633"/>
      <c r="S832" s="633"/>
      <c r="T832" s="633"/>
    </row>
    <row r="833">
      <c r="A833" s="633"/>
      <c r="B833" s="633"/>
      <c r="C833" s="633"/>
      <c r="D833" s="633"/>
      <c r="E833" s="633"/>
      <c r="F833" s="633"/>
      <c r="G833" s="633"/>
      <c r="H833" s="633"/>
      <c r="I833" s="633"/>
      <c r="J833" s="633"/>
      <c r="K833" s="633"/>
      <c r="L833" s="633"/>
      <c r="M833" s="633"/>
      <c r="N833" s="633"/>
      <c r="O833" s="633"/>
      <c r="P833" s="633"/>
      <c r="Q833" s="633"/>
      <c r="R833" s="633"/>
      <c r="S833" s="633"/>
      <c r="T833" s="633"/>
    </row>
    <row r="834">
      <c r="A834" s="633"/>
      <c r="B834" s="633"/>
      <c r="C834" s="633"/>
      <c r="D834" s="633"/>
      <c r="E834" s="633"/>
      <c r="F834" s="633"/>
      <c r="G834" s="633"/>
      <c r="H834" s="633"/>
      <c r="I834" s="633"/>
      <c r="J834" s="633"/>
      <c r="K834" s="633"/>
      <c r="L834" s="633"/>
      <c r="M834" s="633"/>
      <c r="N834" s="633"/>
      <c r="O834" s="633"/>
      <c r="P834" s="633"/>
      <c r="Q834" s="633"/>
      <c r="R834" s="633"/>
      <c r="S834" s="633"/>
      <c r="T834" s="633"/>
    </row>
    <row r="835">
      <c r="A835" s="633"/>
      <c r="B835" s="633"/>
      <c r="C835" s="633"/>
      <c r="D835" s="633"/>
      <c r="E835" s="633"/>
      <c r="F835" s="633"/>
      <c r="G835" s="633"/>
      <c r="H835" s="633"/>
      <c r="I835" s="633"/>
      <c r="J835" s="633"/>
      <c r="K835" s="633"/>
      <c r="L835" s="633"/>
      <c r="M835" s="633"/>
      <c r="N835" s="633"/>
      <c r="O835" s="633"/>
      <c r="P835" s="633"/>
      <c r="Q835" s="633"/>
      <c r="R835" s="633"/>
      <c r="S835" s="633"/>
      <c r="T835" s="633"/>
    </row>
    <row r="836">
      <c r="A836" s="633"/>
      <c r="B836" s="633"/>
      <c r="C836" s="633"/>
      <c r="D836" s="633"/>
      <c r="E836" s="633"/>
      <c r="F836" s="633"/>
      <c r="G836" s="633"/>
      <c r="H836" s="633"/>
      <c r="I836" s="633"/>
      <c r="J836" s="633"/>
      <c r="K836" s="633"/>
      <c r="L836" s="633"/>
      <c r="M836" s="633"/>
      <c r="N836" s="633"/>
      <c r="O836" s="633"/>
      <c r="P836" s="633"/>
      <c r="Q836" s="633"/>
      <c r="R836" s="633"/>
      <c r="S836" s="633"/>
      <c r="T836" s="633"/>
    </row>
    <row r="837">
      <c r="A837" s="633"/>
      <c r="B837" s="633"/>
      <c r="C837" s="633"/>
      <c r="D837" s="633"/>
      <c r="E837" s="633"/>
      <c r="F837" s="633"/>
      <c r="G837" s="633"/>
      <c r="H837" s="633"/>
      <c r="I837" s="633"/>
      <c r="J837" s="633"/>
      <c r="K837" s="633"/>
      <c r="L837" s="633"/>
      <c r="M837" s="633"/>
      <c r="N837" s="633"/>
      <c r="O837" s="633"/>
      <c r="P837" s="633"/>
      <c r="Q837" s="633"/>
      <c r="R837" s="633"/>
      <c r="S837" s="633"/>
      <c r="T837" s="633"/>
    </row>
    <row r="838">
      <c r="A838" s="633"/>
      <c r="B838" s="633"/>
      <c r="C838" s="633"/>
      <c r="D838" s="633"/>
      <c r="E838" s="633"/>
      <c r="F838" s="633"/>
      <c r="G838" s="633"/>
      <c r="H838" s="633"/>
      <c r="I838" s="633"/>
      <c r="J838" s="633"/>
      <c r="K838" s="633"/>
      <c r="L838" s="633"/>
      <c r="M838" s="633"/>
      <c r="N838" s="633"/>
      <c r="O838" s="633"/>
      <c r="P838" s="633"/>
      <c r="Q838" s="633"/>
      <c r="R838" s="633"/>
      <c r="S838" s="633"/>
      <c r="T838" s="633"/>
    </row>
    <row r="839">
      <c r="A839" s="633"/>
      <c r="B839" s="633"/>
      <c r="C839" s="633"/>
      <c r="D839" s="633"/>
      <c r="E839" s="633"/>
      <c r="F839" s="633"/>
      <c r="G839" s="633"/>
      <c r="H839" s="633"/>
      <c r="I839" s="633"/>
      <c r="J839" s="633"/>
      <c r="K839" s="633"/>
      <c r="L839" s="633"/>
      <c r="M839" s="633"/>
      <c r="N839" s="633"/>
      <c r="O839" s="633"/>
      <c r="P839" s="633"/>
      <c r="Q839" s="633"/>
      <c r="R839" s="633"/>
      <c r="S839" s="633"/>
      <c r="T839" s="633"/>
    </row>
    <row r="840">
      <c r="A840" s="633"/>
      <c r="B840" s="633"/>
      <c r="C840" s="633"/>
      <c r="D840" s="633"/>
      <c r="E840" s="633"/>
      <c r="F840" s="633"/>
      <c r="G840" s="633"/>
      <c r="H840" s="633"/>
      <c r="I840" s="633"/>
      <c r="J840" s="633"/>
      <c r="K840" s="633"/>
      <c r="L840" s="633"/>
      <c r="M840" s="633"/>
      <c r="N840" s="633"/>
      <c r="O840" s="633"/>
      <c r="P840" s="633"/>
      <c r="Q840" s="633"/>
      <c r="R840" s="633"/>
      <c r="S840" s="633"/>
      <c r="T840" s="633"/>
    </row>
    <row r="841">
      <c r="A841" s="633"/>
      <c r="B841" s="633"/>
      <c r="C841" s="633"/>
      <c r="D841" s="633"/>
      <c r="E841" s="633"/>
      <c r="F841" s="633"/>
      <c r="G841" s="633"/>
      <c r="H841" s="633"/>
      <c r="I841" s="633"/>
      <c r="J841" s="633"/>
      <c r="K841" s="633"/>
      <c r="L841" s="633"/>
      <c r="M841" s="633"/>
      <c r="N841" s="633"/>
      <c r="O841" s="633"/>
      <c r="P841" s="633"/>
      <c r="Q841" s="633"/>
      <c r="R841" s="633"/>
      <c r="S841" s="633"/>
      <c r="T841" s="633"/>
    </row>
    <row r="842">
      <c r="A842" s="633"/>
      <c r="B842" s="633"/>
      <c r="C842" s="633"/>
      <c r="D842" s="633"/>
      <c r="E842" s="633"/>
      <c r="F842" s="633"/>
      <c r="G842" s="633"/>
      <c r="H842" s="633"/>
      <c r="I842" s="633"/>
      <c r="J842" s="633"/>
      <c r="K842" s="633"/>
      <c r="L842" s="633"/>
      <c r="M842" s="633"/>
      <c r="N842" s="633"/>
      <c r="O842" s="633"/>
      <c r="P842" s="633"/>
      <c r="Q842" s="633"/>
      <c r="R842" s="633"/>
      <c r="S842" s="633"/>
      <c r="T842" s="633"/>
    </row>
    <row r="843">
      <c r="A843" s="633"/>
      <c r="B843" s="633"/>
      <c r="C843" s="633"/>
      <c r="D843" s="633"/>
      <c r="E843" s="633"/>
      <c r="F843" s="633"/>
      <c r="G843" s="633"/>
      <c r="H843" s="633"/>
      <c r="I843" s="633"/>
      <c r="J843" s="633"/>
      <c r="K843" s="633"/>
      <c r="L843" s="633"/>
      <c r="M843" s="633"/>
      <c r="N843" s="633"/>
      <c r="O843" s="633"/>
      <c r="P843" s="633"/>
      <c r="Q843" s="633"/>
      <c r="R843" s="633"/>
      <c r="S843" s="633"/>
      <c r="T843" s="633"/>
    </row>
    <row r="844">
      <c r="A844" s="633"/>
      <c r="B844" s="633"/>
      <c r="C844" s="633"/>
      <c r="D844" s="633"/>
      <c r="E844" s="633"/>
      <c r="F844" s="633"/>
      <c r="G844" s="633"/>
      <c r="H844" s="633"/>
      <c r="I844" s="633"/>
      <c r="J844" s="633"/>
      <c r="K844" s="633"/>
      <c r="L844" s="633"/>
      <c r="M844" s="633"/>
      <c r="N844" s="633"/>
      <c r="O844" s="633"/>
      <c r="P844" s="633"/>
      <c r="Q844" s="633"/>
      <c r="R844" s="633"/>
      <c r="S844" s="633"/>
      <c r="T844" s="633"/>
    </row>
    <row r="845">
      <c r="A845" s="633"/>
      <c r="B845" s="633"/>
      <c r="C845" s="633"/>
      <c r="D845" s="633"/>
      <c r="E845" s="633"/>
      <c r="F845" s="633"/>
      <c r="G845" s="633"/>
      <c r="H845" s="633"/>
      <c r="I845" s="633"/>
      <c r="J845" s="633"/>
      <c r="K845" s="633"/>
      <c r="L845" s="633"/>
      <c r="M845" s="633"/>
      <c r="N845" s="633"/>
      <c r="O845" s="633"/>
      <c r="P845" s="633"/>
      <c r="Q845" s="633"/>
      <c r="R845" s="633"/>
      <c r="S845" s="633"/>
      <c r="T845" s="633"/>
    </row>
    <row r="846">
      <c r="A846" s="633"/>
      <c r="B846" s="633"/>
      <c r="C846" s="633"/>
      <c r="D846" s="633"/>
      <c r="E846" s="633"/>
      <c r="F846" s="633"/>
      <c r="G846" s="633"/>
      <c r="H846" s="633"/>
      <c r="I846" s="633"/>
      <c r="J846" s="633"/>
      <c r="K846" s="633"/>
      <c r="L846" s="633"/>
      <c r="M846" s="633"/>
      <c r="N846" s="633"/>
      <c r="O846" s="633"/>
      <c r="P846" s="633"/>
      <c r="Q846" s="633"/>
      <c r="R846" s="633"/>
      <c r="S846" s="633"/>
      <c r="T846" s="633"/>
    </row>
    <row r="847">
      <c r="A847" s="633"/>
      <c r="B847" s="633"/>
      <c r="C847" s="633"/>
      <c r="D847" s="633"/>
      <c r="E847" s="633"/>
      <c r="F847" s="633"/>
      <c r="G847" s="633"/>
      <c r="H847" s="633"/>
      <c r="I847" s="633"/>
      <c r="J847" s="633"/>
      <c r="K847" s="633"/>
      <c r="L847" s="633"/>
      <c r="M847" s="633"/>
      <c r="N847" s="633"/>
      <c r="O847" s="633"/>
      <c r="P847" s="633"/>
      <c r="Q847" s="633"/>
      <c r="R847" s="633"/>
      <c r="S847" s="633"/>
      <c r="T847" s="633"/>
    </row>
    <row r="848">
      <c r="A848" s="633"/>
      <c r="B848" s="633"/>
      <c r="C848" s="633"/>
      <c r="D848" s="633"/>
      <c r="E848" s="633"/>
      <c r="F848" s="633"/>
      <c r="G848" s="633"/>
      <c r="H848" s="633"/>
      <c r="I848" s="633"/>
      <c r="J848" s="633"/>
      <c r="K848" s="633"/>
      <c r="L848" s="633"/>
      <c r="M848" s="633"/>
      <c r="N848" s="633"/>
      <c r="O848" s="633"/>
      <c r="P848" s="633"/>
      <c r="Q848" s="633"/>
      <c r="R848" s="633"/>
      <c r="S848" s="633"/>
      <c r="T848" s="633"/>
    </row>
    <row r="849">
      <c r="A849" s="633"/>
      <c r="B849" s="633"/>
      <c r="C849" s="633"/>
      <c r="D849" s="633"/>
      <c r="E849" s="633"/>
      <c r="F849" s="633"/>
      <c r="G849" s="633"/>
      <c r="H849" s="633"/>
      <c r="I849" s="633"/>
      <c r="J849" s="633"/>
      <c r="K849" s="633"/>
      <c r="L849" s="633"/>
      <c r="M849" s="633"/>
      <c r="N849" s="633"/>
      <c r="O849" s="633"/>
      <c r="P849" s="633"/>
      <c r="Q849" s="633"/>
      <c r="R849" s="633"/>
      <c r="S849" s="633"/>
      <c r="T849" s="633"/>
    </row>
    <row r="850">
      <c r="A850" s="633"/>
      <c r="B850" s="633"/>
      <c r="C850" s="633"/>
      <c r="D850" s="633"/>
      <c r="E850" s="633"/>
      <c r="F850" s="633"/>
      <c r="G850" s="633"/>
      <c r="H850" s="633"/>
      <c r="I850" s="633"/>
      <c r="J850" s="633"/>
      <c r="K850" s="633"/>
      <c r="L850" s="633"/>
      <c r="M850" s="633"/>
      <c r="N850" s="633"/>
      <c r="O850" s="633"/>
      <c r="P850" s="633"/>
      <c r="Q850" s="633"/>
      <c r="R850" s="633"/>
      <c r="S850" s="633"/>
      <c r="T850" s="633"/>
    </row>
    <row r="851">
      <c r="A851" s="633"/>
      <c r="B851" s="633"/>
      <c r="C851" s="633"/>
      <c r="D851" s="633"/>
      <c r="E851" s="633"/>
      <c r="F851" s="633"/>
      <c r="G851" s="633"/>
      <c r="H851" s="633"/>
      <c r="I851" s="633"/>
      <c r="J851" s="633"/>
      <c r="K851" s="633"/>
      <c r="L851" s="633"/>
      <c r="M851" s="633"/>
      <c r="N851" s="633"/>
      <c r="O851" s="633"/>
      <c r="P851" s="633"/>
      <c r="Q851" s="633"/>
      <c r="R851" s="633"/>
      <c r="S851" s="633"/>
      <c r="T851" s="633"/>
    </row>
    <row r="852">
      <c r="A852" s="633"/>
      <c r="B852" s="633"/>
      <c r="C852" s="633"/>
      <c r="D852" s="633"/>
      <c r="E852" s="633"/>
      <c r="F852" s="633"/>
      <c r="G852" s="633"/>
      <c r="H852" s="633"/>
      <c r="I852" s="633"/>
      <c r="J852" s="633"/>
      <c r="K852" s="633"/>
      <c r="L852" s="633"/>
      <c r="M852" s="633"/>
      <c r="N852" s="633"/>
      <c r="O852" s="633"/>
      <c r="P852" s="633"/>
      <c r="Q852" s="633"/>
      <c r="R852" s="633"/>
      <c r="S852" s="633"/>
      <c r="T852" s="633"/>
    </row>
    <row r="853">
      <c r="A853" s="633"/>
      <c r="B853" s="633"/>
      <c r="C853" s="633"/>
      <c r="D853" s="633"/>
      <c r="E853" s="633"/>
      <c r="F853" s="633"/>
      <c r="G853" s="633"/>
      <c r="H853" s="633"/>
      <c r="I853" s="633"/>
      <c r="J853" s="633"/>
      <c r="K853" s="633"/>
      <c r="L853" s="633"/>
      <c r="M853" s="633"/>
      <c r="N853" s="633"/>
      <c r="O853" s="633"/>
      <c r="P853" s="633"/>
      <c r="Q853" s="633"/>
      <c r="R853" s="633"/>
      <c r="S853" s="633"/>
      <c r="T853" s="633"/>
    </row>
    <row r="854">
      <c r="A854" s="633"/>
      <c r="B854" s="633"/>
      <c r="C854" s="633"/>
      <c r="D854" s="633"/>
      <c r="E854" s="633"/>
      <c r="F854" s="633"/>
      <c r="G854" s="633"/>
      <c r="H854" s="633"/>
      <c r="I854" s="633"/>
      <c r="J854" s="633"/>
      <c r="K854" s="633"/>
      <c r="L854" s="633"/>
      <c r="M854" s="633"/>
      <c r="N854" s="633"/>
      <c r="O854" s="633"/>
      <c r="P854" s="633"/>
      <c r="Q854" s="633"/>
      <c r="R854" s="633"/>
      <c r="S854" s="633"/>
      <c r="T854" s="633"/>
    </row>
    <row r="855">
      <c r="A855" s="633"/>
      <c r="B855" s="633"/>
      <c r="C855" s="633"/>
      <c r="D855" s="633"/>
      <c r="E855" s="633"/>
      <c r="F855" s="633"/>
      <c r="G855" s="633"/>
      <c r="H855" s="633"/>
      <c r="I855" s="633"/>
      <c r="J855" s="633"/>
      <c r="K855" s="633"/>
      <c r="L855" s="633"/>
      <c r="M855" s="633"/>
      <c r="N855" s="633"/>
      <c r="O855" s="633"/>
      <c r="P855" s="633"/>
      <c r="Q855" s="633"/>
      <c r="R855" s="633"/>
      <c r="S855" s="633"/>
      <c r="T855" s="633"/>
    </row>
    <row r="856">
      <c r="A856" s="633"/>
      <c r="B856" s="633"/>
      <c r="C856" s="633"/>
      <c r="D856" s="633"/>
      <c r="E856" s="633"/>
      <c r="F856" s="633"/>
      <c r="G856" s="633"/>
      <c r="H856" s="633"/>
      <c r="I856" s="633"/>
      <c r="J856" s="633"/>
      <c r="K856" s="633"/>
      <c r="L856" s="633"/>
      <c r="M856" s="633"/>
      <c r="N856" s="633"/>
      <c r="O856" s="633"/>
      <c r="P856" s="633"/>
      <c r="Q856" s="633"/>
      <c r="R856" s="633"/>
      <c r="S856" s="633"/>
      <c r="T856" s="633"/>
    </row>
    <row r="857">
      <c r="A857" s="633"/>
      <c r="B857" s="633"/>
      <c r="C857" s="633"/>
      <c r="D857" s="633"/>
      <c r="E857" s="633"/>
      <c r="F857" s="633"/>
      <c r="G857" s="633"/>
      <c r="H857" s="633"/>
      <c r="I857" s="633"/>
      <c r="J857" s="633"/>
      <c r="K857" s="633"/>
      <c r="L857" s="633"/>
      <c r="M857" s="633"/>
      <c r="N857" s="633"/>
      <c r="O857" s="633"/>
      <c r="P857" s="633"/>
      <c r="Q857" s="633"/>
      <c r="R857" s="633"/>
      <c r="S857" s="633"/>
      <c r="T857" s="633"/>
    </row>
    <row r="858">
      <c r="A858" s="633"/>
      <c r="B858" s="633"/>
      <c r="C858" s="633"/>
      <c r="D858" s="633"/>
      <c r="E858" s="633"/>
      <c r="F858" s="633"/>
      <c r="G858" s="633"/>
      <c r="H858" s="633"/>
      <c r="I858" s="633"/>
      <c r="J858" s="633"/>
      <c r="K858" s="633"/>
      <c r="L858" s="633"/>
      <c r="M858" s="633"/>
      <c r="N858" s="633"/>
      <c r="O858" s="633"/>
      <c r="P858" s="633"/>
      <c r="Q858" s="633"/>
      <c r="R858" s="633"/>
      <c r="S858" s="633"/>
      <c r="T858" s="633"/>
    </row>
    <row r="859">
      <c r="A859" s="633"/>
      <c r="B859" s="633"/>
      <c r="C859" s="633"/>
      <c r="D859" s="633"/>
      <c r="E859" s="633"/>
      <c r="F859" s="633"/>
      <c r="G859" s="633"/>
      <c r="H859" s="633"/>
      <c r="I859" s="633"/>
      <c r="J859" s="633"/>
      <c r="K859" s="633"/>
      <c r="L859" s="633"/>
      <c r="M859" s="633"/>
      <c r="N859" s="633"/>
      <c r="O859" s="633"/>
      <c r="P859" s="633"/>
      <c r="Q859" s="633"/>
      <c r="R859" s="633"/>
      <c r="S859" s="633"/>
      <c r="T859" s="633"/>
    </row>
    <row r="860">
      <c r="A860" s="633"/>
      <c r="B860" s="633"/>
      <c r="C860" s="633"/>
      <c r="D860" s="633"/>
      <c r="E860" s="633"/>
      <c r="F860" s="633"/>
      <c r="G860" s="633"/>
      <c r="H860" s="633"/>
      <c r="I860" s="633"/>
      <c r="J860" s="633"/>
      <c r="K860" s="633"/>
      <c r="L860" s="633"/>
      <c r="M860" s="633"/>
      <c r="N860" s="633"/>
      <c r="O860" s="633"/>
      <c r="P860" s="633"/>
      <c r="Q860" s="633"/>
      <c r="R860" s="633"/>
      <c r="S860" s="633"/>
      <c r="T860" s="633"/>
    </row>
    <row r="861">
      <c r="A861" s="633"/>
      <c r="B861" s="633"/>
      <c r="C861" s="633"/>
      <c r="D861" s="633"/>
      <c r="E861" s="633"/>
      <c r="F861" s="633"/>
      <c r="G861" s="633"/>
      <c r="H861" s="633"/>
      <c r="I861" s="633"/>
      <c r="J861" s="633"/>
      <c r="K861" s="633"/>
      <c r="L861" s="633"/>
      <c r="M861" s="633"/>
      <c r="N861" s="633"/>
      <c r="O861" s="633"/>
      <c r="P861" s="633"/>
      <c r="Q861" s="633"/>
      <c r="R861" s="633"/>
      <c r="S861" s="633"/>
      <c r="T861" s="633"/>
    </row>
    <row r="862">
      <c r="A862" s="633"/>
      <c r="B862" s="633"/>
      <c r="C862" s="633"/>
      <c r="D862" s="633"/>
      <c r="E862" s="633"/>
      <c r="F862" s="633"/>
      <c r="G862" s="633"/>
      <c r="H862" s="633"/>
      <c r="I862" s="633"/>
      <c r="J862" s="633"/>
      <c r="K862" s="633"/>
      <c r="L862" s="633"/>
      <c r="M862" s="633"/>
      <c r="N862" s="633"/>
      <c r="O862" s="633"/>
      <c r="P862" s="633"/>
      <c r="Q862" s="633"/>
      <c r="R862" s="633"/>
      <c r="S862" s="633"/>
      <c r="T862" s="633"/>
    </row>
    <row r="863">
      <c r="A863" s="633"/>
      <c r="B863" s="633"/>
      <c r="C863" s="633"/>
      <c r="D863" s="633"/>
      <c r="E863" s="633"/>
      <c r="F863" s="633"/>
      <c r="G863" s="633"/>
      <c r="H863" s="633"/>
      <c r="I863" s="633"/>
      <c r="J863" s="633"/>
      <c r="K863" s="633"/>
      <c r="L863" s="633"/>
      <c r="M863" s="633"/>
      <c r="N863" s="633"/>
      <c r="O863" s="633"/>
      <c r="P863" s="633"/>
      <c r="Q863" s="633"/>
      <c r="R863" s="633"/>
      <c r="S863" s="633"/>
      <c r="T863" s="633"/>
    </row>
    <row r="864">
      <c r="A864" s="633"/>
      <c r="B864" s="633"/>
      <c r="C864" s="633"/>
      <c r="D864" s="633"/>
      <c r="E864" s="633"/>
      <c r="F864" s="633"/>
      <c r="G864" s="633"/>
      <c r="H864" s="633"/>
      <c r="I864" s="633"/>
      <c r="J864" s="633"/>
      <c r="K864" s="633"/>
      <c r="L864" s="633"/>
      <c r="M864" s="633"/>
      <c r="N864" s="633"/>
      <c r="O864" s="633"/>
      <c r="P864" s="633"/>
      <c r="Q864" s="633"/>
      <c r="R864" s="633"/>
      <c r="S864" s="633"/>
      <c r="T864" s="633"/>
    </row>
    <row r="865">
      <c r="A865" s="633"/>
      <c r="B865" s="633"/>
      <c r="C865" s="633"/>
      <c r="D865" s="633"/>
      <c r="E865" s="633"/>
      <c r="F865" s="633"/>
      <c r="G865" s="633"/>
      <c r="H865" s="633"/>
      <c r="I865" s="633"/>
      <c r="J865" s="633"/>
      <c r="K865" s="633"/>
      <c r="L865" s="633"/>
      <c r="M865" s="633"/>
      <c r="N865" s="633"/>
      <c r="O865" s="633"/>
      <c r="P865" s="633"/>
      <c r="Q865" s="633"/>
      <c r="R865" s="633"/>
      <c r="S865" s="633"/>
      <c r="T865" s="633"/>
    </row>
    <row r="866">
      <c r="A866" s="633"/>
      <c r="B866" s="633"/>
      <c r="C866" s="633"/>
      <c r="D866" s="633"/>
      <c r="E866" s="633"/>
      <c r="F866" s="633"/>
      <c r="G866" s="633"/>
      <c r="H866" s="633"/>
      <c r="I866" s="633"/>
      <c r="J866" s="633"/>
      <c r="K866" s="633"/>
      <c r="L866" s="633"/>
      <c r="M866" s="633"/>
      <c r="N866" s="633"/>
      <c r="O866" s="633"/>
      <c r="P866" s="633"/>
      <c r="Q866" s="633"/>
      <c r="R866" s="633"/>
      <c r="S866" s="633"/>
      <c r="T866" s="633"/>
    </row>
    <row r="867">
      <c r="A867" s="633"/>
      <c r="B867" s="633"/>
      <c r="C867" s="633"/>
      <c r="D867" s="633"/>
      <c r="E867" s="633"/>
      <c r="F867" s="633"/>
      <c r="G867" s="633"/>
      <c r="H867" s="633"/>
      <c r="I867" s="633"/>
      <c r="J867" s="633"/>
      <c r="K867" s="633"/>
      <c r="L867" s="633"/>
      <c r="M867" s="633"/>
      <c r="N867" s="633"/>
      <c r="O867" s="633"/>
      <c r="P867" s="633"/>
      <c r="Q867" s="633"/>
      <c r="R867" s="633"/>
      <c r="S867" s="633"/>
      <c r="T867" s="633"/>
    </row>
    <row r="868">
      <c r="A868" s="633"/>
      <c r="B868" s="633"/>
      <c r="C868" s="633"/>
      <c r="D868" s="633"/>
      <c r="E868" s="633"/>
      <c r="F868" s="633"/>
      <c r="G868" s="633"/>
      <c r="H868" s="633"/>
      <c r="I868" s="633"/>
      <c r="J868" s="633"/>
      <c r="K868" s="633"/>
      <c r="L868" s="633"/>
      <c r="M868" s="633"/>
      <c r="N868" s="633"/>
      <c r="O868" s="633"/>
      <c r="P868" s="633"/>
      <c r="Q868" s="633"/>
      <c r="R868" s="633"/>
      <c r="S868" s="633"/>
      <c r="T868" s="633"/>
    </row>
    <row r="869">
      <c r="A869" s="633"/>
      <c r="B869" s="633"/>
      <c r="C869" s="633"/>
      <c r="D869" s="633"/>
      <c r="E869" s="633"/>
      <c r="F869" s="633"/>
      <c r="G869" s="633"/>
      <c r="H869" s="633"/>
      <c r="I869" s="633"/>
      <c r="J869" s="633"/>
      <c r="K869" s="633"/>
      <c r="L869" s="633"/>
      <c r="M869" s="633"/>
      <c r="N869" s="633"/>
      <c r="O869" s="633"/>
      <c r="P869" s="633"/>
      <c r="Q869" s="633"/>
      <c r="R869" s="633"/>
      <c r="S869" s="633"/>
      <c r="T869" s="633"/>
    </row>
    <row r="870">
      <c r="A870" s="633"/>
      <c r="B870" s="633"/>
      <c r="C870" s="633"/>
      <c r="D870" s="633"/>
      <c r="E870" s="633"/>
      <c r="F870" s="633"/>
      <c r="G870" s="633"/>
      <c r="H870" s="633"/>
      <c r="I870" s="633"/>
      <c r="J870" s="633"/>
      <c r="K870" s="633"/>
      <c r="L870" s="633"/>
      <c r="M870" s="633"/>
      <c r="N870" s="633"/>
      <c r="O870" s="633"/>
      <c r="P870" s="633"/>
      <c r="Q870" s="633"/>
      <c r="R870" s="633"/>
      <c r="S870" s="633"/>
      <c r="T870" s="633"/>
    </row>
    <row r="871">
      <c r="A871" s="633"/>
      <c r="B871" s="633"/>
      <c r="C871" s="633"/>
      <c r="D871" s="633"/>
      <c r="E871" s="633"/>
      <c r="F871" s="633"/>
      <c r="G871" s="633"/>
      <c r="H871" s="633"/>
      <c r="I871" s="633"/>
      <c r="J871" s="633"/>
      <c r="K871" s="633"/>
      <c r="L871" s="633"/>
      <c r="M871" s="633"/>
      <c r="N871" s="633"/>
      <c r="O871" s="633"/>
      <c r="P871" s="633"/>
      <c r="Q871" s="633"/>
      <c r="R871" s="633"/>
      <c r="S871" s="633"/>
      <c r="T871" s="633"/>
    </row>
    <row r="872">
      <c r="A872" s="633"/>
      <c r="B872" s="633"/>
      <c r="C872" s="633"/>
      <c r="D872" s="633"/>
      <c r="E872" s="633"/>
      <c r="F872" s="633"/>
      <c r="G872" s="633"/>
      <c r="H872" s="633"/>
      <c r="I872" s="633"/>
      <c r="J872" s="633"/>
      <c r="K872" s="633"/>
      <c r="L872" s="633"/>
      <c r="M872" s="633"/>
      <c r="N872" s="633"/>
      <c r="O872" s="633"/>
      <c r="P872" s="633"/>
      <c r="Q872" s="633"/>
      <c r="R872" s="633"/>
      <c r="S872" s="633"/>
      <c r="T872" s="633"/>
    </row>
    <row r="873">
      <c r="A873" s="633"/>
      <c r="B873" s="633"/>
      <c r="C873" s="633"/>
      <c r="D873" s="633"/>
      <c r="E873" s="633"/>
      <c r="F873" s="633"/>
      <c r="G873" s="633"/>
      <c r="H873" s="633"/>
      <c r="I873" s="633"/>
      <c r="J873" s="633"/>
      <c r="K873" s="633"/>
      <c r="L873" s="633"/>
      <c r="M873" s="633"/>
      <c r="N873" s="633"/>
      <c r="O873" s="633"/>
      <c r="P873" s="633"/>
      <c r="Q873" s="633"/>
      <c r="R873" s="633"/>
      <c r="S873" s="633"/>
      <c r="T873" s="633"/>
    </row>
    <row r="874">
      <c r="A874" s="633"/>
      <c r="B874" s="633"/>
      <c r="C874" s="633"/>
      <c r="D874" s="633"/>
      <c r="E874" s="633"/>
      <c r="F874" s="633"/>
      <c r="G874" s="633"/>
      <c r="H874" s="633"/>
      <c r="I874" s="633"/>
      <c r="J874" s="633"/>
      <c r="K874" s="633"/>
      <c r="L874" s="633"/>
      <c r="M874" s="633"/>
      <c r="N874" s="633"/>
      <c r="O874" s="633"/>
      <c r="P874" s="633"/>
      <c r="Q874" s="633"/>
      <c r="R874" s="633"/>
      <c r="S874" s="633"/>
      <c r="T874" s="633"/>
    </row>
    <row r="875">
      <c r="A875" s="633"/>
      <c r="B875" s="633"/>
      <c r="C875" s="633"/>
      <c r="D875" s="633"/>
      <c r="E875" s="633"/>
      <c r="F875" s="633"/>
      <c r="G875" s="633"/>
      <c r="H875" s="633"/>
      <c r="I875" s="633"/>
      <c r="J875" s="633"/>
      <c r="K875" s="633"/>
      <c r="L875" s="633"/>
      <c r="M875" s="633"/>
      <c r="N875" s="633"/>
      <c r="O875" s="633"/>
      <c r="P875" s="633"/>
      <c r="Q875" s="633"/>
      <c r="R875" s="633"/>
      <c r="S875" s="633"/>
      <c r="T875" s="633"/>
    </row>
    <row r="876">
      <c r="A876" s="633"/>
      <c r="B876" s="633"/>
      <c r="C876" s="633"/>
      <c r="D876" s="633"/>
      <c r="E876" s="633"/>
      <c r="F876" s="633"/>
      <c r="G876" s="633"/>
      <c r="H876" s="633"/>
      <c r="I876" s="633"/>
      <c r="J876" s="633"/>
      <c r="K876" s="633"/>
      <c r="L876" s="633"/>
      <c r="M876" s="633"/>
      <c r="N876" s="633"/>
      <c r="O876" s="633"/>
      <c r="P876" s="633"/>
      <c r="Q876" s="633"/>
      <c r="R876" s="633"/>
      <c r="S876" s="633"/>
      <c r="T876" s="633"/>
    </row>
    <row r="877">
      <c r="A877" s="633"/>
      <c r="B877" s="633"/>
      <c r="C877" s="633"/>
      <c r="D877" s="633"/>
      <c r="E877" s="633"/>
      <c r="F877" s="633"/>
      <c r="G877" s="633"/>
      <c r="H877" s="633"/>
      <c r="I877" s="633"/>
      <c r="J877" s="633"/>
      <c r="K877" s="633"/>
      <c r="L877" s="633"/>
      <c r="M877" s="633"/>
      <c r="N877" s="633"/>
      <c r="O877" s="633"/>
      <c r="P877" s="633"/>
      <c r="Q877" s="633"/>
      <c r="R877" s="633"/>
      <c r="S877" s="633"/>
      <c r="T877" s="633"/>
    </row>
    <row r="878">
      <c r="A878" s="633"/>
      <c r="B878" s="633"/>
      <c r="C878" s="633"/>
      <c r="D878" s="633"/>
      <c r="E878" s="633"/>
      <c r="F878" s="633"/>
      <c r="G878" s="633"/>
      <c r="H878" s="633"/>
      <c r="I878" s="633"/>
      <c r="J878" s="633"/>
      <c r="K878" s="633"/>
      <c r="L878" s="633"/>
      <c r="M878" s="633"/>
      <c r="N878" s="633"/>
      <c r="O878" s="633"/>
      <c r="P878" s="633"/>
      <c r="Q878" s="633"/>
      <c r="R878" s="633"/>
      <c r="S878" s="633"/>
      <c r="T878" s="633"/>
    </row>
    <row r="879">
      <c r="A879" s="633"/>
      <c r="B879" s="633"/>
      <c r="C879" s="633"/>
      <c r="D879" s="633"/>
      <c r="E879" s="633"/>
      <c r="F879" s="633"/>
      <c r="G879" s="633"/>
      <c r="H879" s="633"/>
      <c r="I879" s="633"/>
      <c r="J879" s="633"/>
      <c r="K879" s="633"/>
      <c r="L879" s="633"/>
      <c r="M879" s="633"/>
      <c r="N879" s="633"/>
      <c r="O879" s="633"/>
      <c r="P879" s="633"/>
      <c r="Q879" s="633"/>
      <c r="R879" s="633"/>
      <c r="S879" s="633"/>
      <c r="T879" s="633"/>
    </row>
    <row r="880">
      <c r="A880" s="633"/>
      <c r="B880" s="633"/>
      <c r="C880" s="633"/>
      <c r="D880" s="633"/>
      <c r="E880" s="633"/>
      <c r="F880" s="633"/>
      <c r="G880" s="633"/>
      <c r="H880" s="633"/>
      <c r="I880" s="633"/>
      <c r="J880" s="633"/>
      <c r="K880" s="633"/>
      <c r="L880" s="633"/>
      <c r="M880" s="633"/>
      <c r="N880" s="633"/>
      <c r="O880" s="633"/>
      <c r="P880" s="633"/>
      <c r="Q880" s="633"/>
      <c r="R880" s="633"/>
      <c r="S880" s="633"/>
      <c r="T880" s="633"/>
    </row>
    <row r="881">
      <c r="A881" s="633"/>
      <c r="B881" s="633"/>
      <c r="C881" s="633"/>
      <c r="D881" s="633"/>
      <c r="E881" s="633"/>
      <c r="F881" s="633"/>
      <c r="G881" s="633"/>
      <c r="H881" s="633"/>
      <c r="I881" s="633"/>
      <c r="J881" s="633"/>
      <c r="K881" s="633"/>
      <c r="L881" s="633"/>
      <c r="M881" s="633"/>
      <c r="N881" s="633"/>
      <c r="O881" s="633"/>
      <c r="P881" s="633"/>
      <c r="Q881" s="633"/>
      <c r="R881" s="633"/>
      <c r="S881" s="633"/>
      <c r="T881" s="633"/>
    </row>
    <row r="882">
      <c r="A882" s="633"/>
      <c r="B882" s="633"/>
      <c r="C882" s="633"/>
      <c r="D882" s="633"/>
      <c r="E882" s="633"/>
      <c r="F882" s="633"/>
      <c r="G882" s="633"/>
      <c r="H882" s="633"/>
      <c r="I882" s="633"/>
      <c r="J882" s="633"/>
      <c r="K882" s="633"/>
      <c r="L882" s="633"/>
      <c r="M882" s="633"/>
      <c r="N882" s="633"/>
      <c r="O882" s="633"/>
      <c r="P882" s="633"/>
      <c r="Q882" s="633"/>
      <c r="R882" s="633"/>
      <c r="S882" s="633"/>
      <c r="T882" s="633"/>
    </row>
    <row r="883">
      <c r="A883" s="633"/>
      <c r="B883" s="633"/>
      <c r="C883" s="633"/>
      <c r="D883" s="633"/>
      <c r="E883" s="633"/>
      <c r="F883" s="633"/>
      <c r="G883" s="633"/>
      <c r="H883" s="633"/>
      <c r="I883" s="633"/>
      <c r="J883" s="633"/>
      <c r="K883" s="633"/>
      <c r="L883" s="633"/>
      <c r="M883" s="633"/>
      <c r="N883" s="633"/>
      <c r="O883" s="633"/>
      <c r="P883" s="633"/>
      <c r="Q883" s="633"/>
      <c r="R883" s="633"/>
      <c r="S883" s="633"/>
      <c r="T883" s="633"/>
    </row>
    <row r="884">
      <c r="A884" s="633"/>
      <c r="B884" s="633"/>
      <c r="C884" s="633"/>
      <c r="D884" s="633"/>
      <c r="E884" s="633"/>
      <c r="F884" s="633"/>
      <c r="G884" s="633"/>
      <c r="H884" s="633"/>
      <c r="I884" s="633"/>
      <c r="J884" s="633"/>
      <c r="K884" s="633"/>
      <c r="L884" s="633"/>
      <c r="M884" s="633"/>
      <c r="N884" s="633"/>
      <c r="O884" s="633"/>
      <c r="P884" s="633"/>
      <c r="Q884" s="633"/>
      <c r="R884" s="633"/>
      <c r="S884" s="633"/>
      <c r="T884" s="633"/>
    </row>
    <row r="885">
      <c r="A885" s="633"/>
      <c r="B885" s="633"/>
      <c r="C885" s="633"/>
      <c r="D885" s="633"/>
      <c r="E885" s="633"/>
      <c r="F885" s="633"/>
      <c r="G885" s="633"/>
      <c r="H885" s="633"/>
      <c r="I885" s="633"/>
      <c r="J885" s="633"/>
      <c r="K885" s="633"/>
      <c r="L885" s="633"/>
      <c r="M885" s="633"/>
      <c r="N885" s="633"/>
      <c r="O885" s="633"/>
      <c r="P885" s="633"/>
      <c r="Q885" s="633"/>
      <c r="R885" s="633"/>
      <c r="S885" s="633"/>
      <c r="T885" s="633"/>
    </row>
    <row r="886">
      <c r="A886" s="633"/>
      <c r="B886" s="633"/>
      <c r="C886" s="633"/>
      <c r="D886" s="633"/>
      <c r="E886" s="633"/>
      <c r="F886" s="633"/>
      <c r="G886" s="633"/>
      <c r="H886" s="633"/>
      <c r="I886" s="633"/>
      <c r="J886" s="633"/>
      <c r="K886" s="633"/>
      <c r="L886" s="633"/>
      <c r="M886" s="633"/>
      <c r="N886" s="633"/>
      <c r="O886" s="633"/>
      <c r="P886" s="633"/>
      <c r="Q886" s="633"/>
      <c r="R886" s="633"/>
      <c r="S886" s="633"/>
      <c r="T886" s="633"/>
    </row>
    <row r="887">
      <c r="A887" s="633"/>
      <c r="B887" s="633"/>
      <c r="C887" s="633"/>
      <c r="D887" s="633"/>
      <c r="E887" s="633"/>
      <c r="F887" s="633"/>
      <c r="G887" s="633"/>
      <c r="H887" s="633"/>
      <c r="I887" s="633"/>
      <c r="J887" s="633"/>
      <c r="K887" s="633"/>
      <c r="L887" s="633"/>
      <c r="M887" s="633"/>
      <c r="N887" s="633"/>
      <c r="O887" s="633"/>
      <c r="P887" s="633"/>
      <c r="Q887" s="633"/>
      <c r="R887" s="633"/>
      <c r="S887" s="633"/>
      <c r="T887" s="633"/>
    </row>
    <row r="888">
      <c r="A888" s="633"/>
      <c r="B888" s="633"/>
      <c r="C888" s="633"/>
      <c r="D888" s="633"/>
      <c r="E888" s="633"/>
      <c r="F888" s="633"/>
      <c r="G888" s="633"/>
      <c r="H888" s="633"/>
      <c r="I888" s="633"/>
      <c r="J888" s="633"/>
      <c r="K888" s="633"/>
      <c r="L888" s="633"/>
      <c r="M888" s="633"/>
      <c r="N888" s="633"/>
      <c r="O888" s="633"/>
      <c r="P888" s="633"/>
      <c r="Q888" s="633"/>
      <c r="R888" s="633"/>
      <c r="S888" s="633"/>
      <c r="T888" s="633"/>
    </row>
    <row r="889">
      <c r="A889" s="633"/>
      <c r="B889" s="633"/>
      <c r="C889" s="633"/>
      <c r="D889" s="633"/>
      <c r="E889" s="633"/>
      <c r="F889" s="633"/>
      <c r="G889" s="633"/>
      <c r="H889" s="633"/>
      <c r="I889" s="633"/>
      <c r="J889" s="633"/>
      <c r="K889" s="633"/>
      <c r="L889" s="633"/>
      <c r="M889" s="633"/>
      <c r="N889" s="633"/>
      <c r="O889" s="633"/>
      <c r="P889" s="633"/>
      <c r="Q889" s="633"/>
      <c r="R889" s="633"/>
      <c r="S889" s="633"/>
      <c r="T889" s="633"/>
    </row>
    <row r="890">
      <c r="A890" s="633"/>
      <c r="B890" s="633"/>
      <c r="C890" s="633"/>
      <c r="D890" s="633"/>
      <c r="E890" s="633"/>
      <c r="F890" s="633"/>
      <c r="G890" s="633"/>
      <c r="H890" s="633"/>
      <c r="I890" s="633"/>
      <c r="J890" s="633"/>
      <c r="K890" s="633"/>
      <c r="L890" s="633"/>
      <c r="M890" s="633"/>
      <c r="N890" s="633"/>
      <c r="O890" s="633"/>
      <c r="P890" s="633"/>
      <c r="Q890" s="633"/>
      <c r="R890" s="633"/>
      <c r="S890" s="633"/>
      <c r="T890" s="633"/>
    </row>
    <row r="891">
      <c r="A891" s="633"/>
      <c r="B891" s="633"/>
      <c r="C891" s="633"/>
      <c r="D891" s="633"/>
      <c r="E891" s="633"/>
      <c r="F891" s="633"/>
      <c r="G891" s="633"/>
      <c r="H891" s="633"/>
      <c r="I891" s="633"/>
      <c r="J891" s="633"/>
      <c r="K891" s="633"/>
      <c r="L891" s="633"/>
      <c r="M891" s="633"/>
      <c r="N891" s="633"/>
      <c r="O891" s="633"/>
      <c r="P891" s="633"/>
      <c r="Q891" s="633"/>
      <c r="R891" s="633"/>
      <c r="S891" s="633"/>
      <c r="T891" s="633"/>
    </row>
    <row r="892">
      <c r="A892" s="633"/>
      <c r="B892" s="633"/>
      <c r="C892" s="633"/>
      <c r="D892" s="633"/>
      <c r="E892" s="633"/>
      <c r="F892" s="633"/>
      <c r="G892" s="633"/>
      <c r="H892" s="633"/>
      <c r="I892" s="633"/>
      <c r="J892" s="633"/>
      <c r="K892" s="633"/>
      <c r="L892" s="633"/>
      <c r="M892" s="633"/>
      <c r="N892" s="633"/>
      <c r="O892" s="633"/>
      <c r="P892" s="633"/>
      <c r="Q892" s="633"/>
      <c r="R892" s="633"/>
      <c r="S892" s="633"/>
      <c r="T892" s="633"/>
    </row>
    <row r="893">
      <c r="A893" s="633"/>
      <c r="B893" s="633"/>
      <c r="C893" s="633"/>
      <c r="D893" s="633"/>
      <c r="E893" s="633"/>
      <c r="F893" s="633"/>
      <c r="G893" s="633"/>
      <c r="H893" s="633"/>
      <c r="I893" s="633"/>
      <c r="J893" s="633"/>
      <c r="K893" s="633"/>
      <c r="L893" s="633"/>
      <c r="M893" s="633"/>
      <c r="N893" s="633"/>
      <c r="O893" s="633"/>
      <c r="P893" s="633"/>
      <c r="Q893" s="633"/>
      <c r="R893" s="633"/>
      <c r="S893" s="633"/>
      <c r="T893" s="633"/>
    </row>
    <row r="894">
      <c r="A894" s="633"/>
      <c r="B894" s="633"/>
      <c r="C894" s="633"/>
      <c r="D894" s="633"/>
      <c r="E894" s="633"/>
      <c r="F894" s="633"/>
      <c r="G894" s="633"/>
      <c r="H894" s="633"/>
      <c r="I894" s="633"/>
      <c r="J894" s="633"/>
      <c r="K894" s="633"/>
      <c r="L894" s="633"/>
      <c r="M894" s="633"/>
      <c r="N894" s="633"/>
      <c r="O894" s="633"/>
      <c r="P894" s="633"/>
      <c r="Q894" s="633"/>
      <c r="R894" s="633"/>
      <c r="S894" s="633"/>
      <c r="T894" s="633"/>
    </row>
    <row r="895">
      <c r="A895" s="633"/>
      <c r="B895" s="633"/>
      <c r="C895" s="633"/>
      <c r="D895" s="633"/>
      <c r="E895" s="633"/>
      <c r="F895" s="633"/>
      <c r="G895" s="633"/>
      <c r="H895" s="633"/>
      <c r="I895" s="633"/>
      <c r="J895" s="633"/>
      <c r="K895" s="633"/>
      <c r="L895" s="633"/>
      <c r="M895" s="633"/>
      <c r="N895" s="633"/>
      <c r="O895" s="633"/>
      <c r="P895" s="633"/>
      <c r="Q895" s="633"/>
      <c r="R895" s="633"/>
      <c r="S895" s="633"/>
      <c r="T895" s="633"/>
    </row>
    <row r="896">
      <c r="A896" s="633"/>
      <c r="B896" s="633"/>
      <c r="C896" s="633"/>
      <c r="D896" s="633"/>
      <c r="E896" s="633"/>
      <c r="F896" s="633"/>
      <c r="G896" s="633"/>
      <c r="H896" s="633"/>
      <c r="I896" s="633"/>
      <c r="J896" s="633"/>
      <c r="K896" s="633"/>
      <c r="L896" s="633"/>
      <c r="M896" s="633"/>
      <c r="N896" s="633"/>
      <c r="O896" s="633"/>
      <c r="P896" s="633"/>
      <c r="Q896" s="633"/>
      <c r="R896" s="633"/>
      <c r="S896" s="633"/>
      <c r="T896" s="633"/>
    </row>
    <row r="897">
      <c r="A897" s="633"/>
      <c r="B897" s="633"/>
      <c r="C897" s="633"/>
      <c r="D897" s="633"/>
      <c r="E897" s="633"/>
      <c r="F897" s="633"/>
      <c r="G897" s="633"/>
      <c r="H897" s="633"/>
      <c r="I897" s="633"/>
      <c r="J897" s="633"/>
      <c r="K897" s="633"/>
      <c r="L897" s="633"/>
      <c r="M897" s="633"/>
      <c r="N897" s="633"/>
      <c r="O897" s="633"/>
      <c r="P897" s="633"/>
      <c r="Q897" s="633"/>
      <c r="R897" s="633"/>
      <c r="S897" s="633"/>
      <c r="T897" s="633"/>
    </row>
    <row r="898">
      <c r="A898" s="633"/>
      <c r="B898" s="633"/>
      <c r="C898" s="633"/>
      <c r="D898" s="633"/>
      <c r="E898" s="633"/>
      <c r="F898" s="633"/>
      <c r="G898" s="633"/>
      <c r="H898" s="633"/>
      <c r="I898" s="633"/>
      <c r="J898" s="633"/>
      <c r="K898" s="633"/>
      <c r="L898" s="633"/>
      <c r="M898" s="633"/>
      <c r="N898" s="633"/>
      <c r="O898" s="633"/>
      <c r="P898" s="633"/>
      <c r="Q898" s="633"/>
      <c r="R898" s="633"/>
      <c r="S898" s="633"/>
      <c r="T898" s="633"/>
    </row>
    <row r="899">
      <c r="A899" s="633"/>
      <c r="B899" s="633"/>
      <c r="C899" s="633"/>
      <c r="D899" s="633"/>
      <c r="E899" s="633"/>
      <c r="F899" s="633"/>
      <c r="G899" s="633"/>
      <c r="H899" s="633"/>
      <c r="I899" s="633"/>
      <c r="J899" s="633"/>
      <c r="K899" s="633"/>
      <c r="L899" s="633"/>
      <c r="M899" s="633"/>
      <c r="N899" s="633"/>
      <c r="O899" s="633"/>
      <c r="P899" s="633"/>
      <c r="Q899" s="633"/>
      <c r="R899" s="633"/>
      <c r="S899" s="633"/>
      <c r="T899" s="633"/>
    </row>
    <row r="900">
      <c r="A900" s="633"/>
      <c r="B900" s="633"/>
      <c r="C900" s="633"/>
      <c r="D900" s="633"/>
      <c r="E900" s="633"/>
      <c r="F900" s="633"/>
      <c r="G900" s="633"/>
      <c r="H900" s="633"/>
      <c r="I900" s="633"/>
      <c r="J900" s="633"/>
      <c r="K900" s="633"/>
      <c r="L900" s="633"/>
      <c r="M900" s="633"/>
      <c r="N900" s="633"/>
      <c r="O900" s="633"/>
      <c r="P900" s="633"/>
      <c r="Q900" s="633"/>
      <c r="R900" s="633"/>
      <c r="S900" s="633"/>
      <c r="T900" s="633"/>
    </row>
    <row r="901">
      <c r="A901" s="633"/>
      <c r="B901" s="633"/>
      <c r="C901" s="633"/>
      <c r="D901" s="633"/>
      <c r="E901" s="633"/>
      <c r="F901" s="633"/>
      <c r="G901" s="633"/>
      <c r="H901" s="633"/>
      <c r="I901" s="633"/>
      <c r="J901" s="633"/>
      <c r="K901" s="633"/>
      <c r="L901" s="633"/>
      <c r="M901" s="633"/>
      <c r="N901" s="633"/>
      <c r="O901" s="633"/>
      <c r="P901" s="633"/>
      <c r="Q901" s="633"/>
      <c r="R901" s="633"/>
      <c r="S901" s="633"/>
      <c r="T901" s="633"/>
    </row>
    <row r="902">
      <c r="A902" s="633"/>
      <c r="B902" s="633"/>
      <c r="C902" s="633"/>
      <c r="D902" s="633"/>
      <c r="E902" s="633"/>
      <c r="F902" s="633"/>
      <c r="G902" s="633"/>
      <c r="H902" s="633"/>
      <c r="I902" s="633"/>
      <c r="J902" s="633"/>
      <c r="K902" s="633"/>
      <c r="L902" s="633"/>
      <c r="M902" s="633"/>
      <c r="N902" s="633"/>
      <c r="O902" s="633"/>
      <c r="P902" s="633"/>
      <c r="Q902" s="633"/>
      <c r="R902" s="633"/>
      <c r="S902" s="633"/>
      <c r="T902" s="633"/>
    </row>
    <row r="903">
      <c r="A903" s="633"/>
      <c r="B903" s="633"/>
      <c r="C903" s="633"/>
      <c r="D903" s="633"/>
      <c r="E903" s="633"/>
      <c r="F903" s="633"/>
      <c r="G903" s="633"/>
      <c r="H903" s="633"/>
      <c r="I903" s="633"/>
      <c r="J903" s="633"/>
      <c r="K903" s="633"/>
      <c r="L903" s="633"/>
      <c r="M903" s="633"/>
      <c r="N903" s="633"/>
      <c r="O903" s="633"/>
      <c r="P903" s="633"/>
      <c r="Q903" s="633"/>
      <c r="R903" s="633"/>
      <c r="S903" s="633"/>
      <c r="T903" s="633"/>
    </row>
    <row r="904">
      <c r="A904" s="633"/>
      <c r="B904" s="633"/>
      <c r="C904" s="633"/>
      <c r="D904" s="633"/>
      <c r="E904" s="633"/>
      <c r="F904" s="633"/>
      <c r="G904" s="633"/>
      <c r="H904" s="633"/>
      <c r="I904" s="633"/>
      <c r="J904" s="633"/>
      <c r="K904" s="633"/>
      <c r="L904" s="633"/>
      <c r="M904" s="633"/>
      <c r="N904" s="633"/>
      <c r="O904" s="633"/>
      <c r="P904" s="633"/>
      <c r="Q904" s="633"/>
      <c r="R904" s="633"/>
      <c r="S904" s="633"/>
      <c r="T904" s="633"/>
    </row>
    <row r="905">
      <c r="A905" s="633"/>
      <c r="B905" s="633"/>
      <c r="C905" s="633"/>
      <c r="D905" s="633"/>
      <c r="E905" s="633"/>
      <c r="F905" s="633"/>
      <c r="G905" s="633"/>
      <c r="H905" s="633"/>
      <c r="I905" s="633"/>
      <c r="J905" s="633"/>
      <c r="K905" s="633"/>
      <c r="L905" s="633"/>
      <c r="M905" s="633"/>
      <c r="N905" s="633"/>
      <c r="O905" s="633"/>
      <c r="P905" s="633"/>
      <c r="Q905" s="633"/>
      <c r="R905" s="633"/>
      <c r="S905" s="633"/>
      <c r="T905" s="633"/>
    </row>
    <row r="906">
      <c r="A906" s="633"/>
      <c r="B906" s="633"/>
      <c r="C906" s="633"/>
      <c r="D906" s="633"/>
      <c r="E906" s="633"/>
      <c r="F906" s="633"/>
      <c r="G906" s="633"/>
      <c r="H906" s="633"/>
      <c r="I906" s="633"/>
      <c r="J906" s="633"/>
      <c r="K906" s="633"/>
      <c r="L906" s="633"/>
      <c r="M906" s="633"/>
      <c r="N906" s="633"/>
      <c r="O906" s="633"/>
      <c r="P906" s="633"/>
      <c r="Q906" s="633"/>
      <c r="R906" s="633"/>
      <c r="S906" s="633"/>
      <c r="T906" s="633"/>
    </row>
    <row r="907">
      <c r="A907" s="633"/>
      <c r="B907" s="633"/>
      <c r="C907" s="633"/>
      <c r="D907" s="633"/>
      <c r="E907" s="633"/>
      <c r="F907" s="633"/>
      <c r="G907" s="633"/>
      <c r="H907" s="633"/>
      <c r="I907" s="633"/>
      <c r="J907" s="633"/>
      <c r="K907" s="633"/>
      <c r="L907" s="633"/>
      <c r="M907" s="633"/>
      <c r="N907" s="633"/>
      <c r="O907" s="633"/>
      <c r="P907" s="633"/>
      <c r="Q907" s="633"/>
      <c r="R907" s="633"/>
      <c r="S907" s="633"/>
      <c r="T907" s="633"/>
    </row>
    <row r="908">
      <c r="A908" s="633"/>
      <c r="B908" s="633"/>
      <c r="C908" s="633"/>
      <c r="D908" s="633"/>
      <c r="E908" s="633"/>
      <c r="F908" s="633"/>
      <c r="G908" s="633"/>
      <c r="H908" s="633"/>
      <c r="I908" s="633"/>
      <c r="J908" s="633"/>
      <c r="K908" s="633"/>
      <c r="L908" s="633"/>
      <c r="M908" s="633"/>
      <c r="N908" s="633"/>
      <c r="O908" s="633"/>
      <c r="P908" s="633"/>
      <c r="Q908" s="633"/>
      <c r="R908" s="633"/>
      <c r="S908" s="633"/>
      <c r="T908" s="633"/>
    </row>
    <row r="909">
      <c r="A909" s="633"/>
      <c r="B909" s="633"/>
      <c r="C909" s="633"/>
      <c r="D909" s="633"/>
      <c r="E909" s="633"/>
      <c r="F909" s="633"/>
      <c r="G909" s="633"/>
      <c r="H909" s="633"/>
      <c r="I909" s="633"/>
      <c r="J909" s="633"/>
      <c r="K909" s="633"/>
      <c r="L909" s="633"/>
      <c r="M909" s="633"/>
      <c r="N909" s="633"/>
      <c r="O909" s="633"/>
      <c r="P909" s="633"/>
      <c r="Q909" s="633"/>
      <c r="R909" s="633"/>
      <c r="S909" s="633"/>
      <c r="T909" s="633"/>
    </row>
    <row r="910">
      <c r="A910" s="633"/>
      <c r="B910" s="633"/>
      <c r="C910" s="633"/>
      <c r="D910" s="633"/>
      <c r="E910" s="633"/>
      <c r="F910" s="633"/>
      <c r="G910" s="633"/>
      <c r="H910" s="633"/>
      <c r="I910" s="633"/>
      <c r="J910" s="633"/>
      <c r="K910" s="633"/>
      <c r="L910" s="633"/>
      <c r="M910" s="633"/>
      <c r="N910" s="633"/>
      <c r="O910" s="633"/>
      <c r="P910" s="633"/>
      <c r="Q910" s="633"/>
      <c r="R910" s="633"/>
      <c r="S910" s="633"/>
      <c r="T910" s="633"/>
    </row>
    <row r="911">
      <c r="A911" s="633"/>
      <c r="B911" s="633"/>
      <c r="C911" s="633"/>
      <c r="D911" s="633"/>
      <c r="E911" s="633"/>
      <c r="F911" s="633"/>
      <c r="G911" s="633"/>
      <c r="H911" s="633"/>
      <c r="I911" s="633"/>
      <c r="J911" s="633"/>
      <c r="K911" s="633"/>
      <c r="L911" s="633"/>
      <c r="M911" s="633"/>
      <c r="N911" s="633"/>
      <c r="O911" s="633"/>
      <c r="P911" s="633"/>
      <c r="Q911" s="633"/>
      <c r="R911" s="633"/>
      <c r="S911" s="633"/>
      <c r="T911" s="633"/>
    </row>
    <row r="912">
      <c r="A912" s="633"/>
      <c r="B912" s="633"/>
      <c r="C912" s="633"/>
      <c r="D912" s="633"/>
      <c r="E912" s="633"/>
      <c r="F912" s="633"/>
      <c r="G912" s="633"/>
      <c r="H912" s="633"/>
      <c r="I912" s="633"/>
      <c r="J912" s="633"/>
      <c r="K912" s="633"/>
      <c r="L912" s="633"/>
      <c r="M912" s="633"/>
      <c r="N912" s="633"/>
      <c r="O912" s="633"/>
      <c r="P912" s="633"/>
      <c r="Q912" s="633"/>
      <c r="R912" s="633"/>
      <c r="S912" s="633"/>
      <c r="T912" s="633"/>
    </row>
    <row r="913">
      <c r="A913" s="633"/>
      <c r="B913" s="633"/>
      <c r="C913" s="633"/>
      <c r="D913" s="633"/>
      <c r="E913" s="633"/>
      <c r="F913" s="633"/>
      <c r="G913" s="633"/>
      <c r="H913" s="633"/>
      <c r="I913" s="633"/>
      <c r="J913" s="633"/>
      <c r="K913" s="633"/>
      <c r="L913" s="633"/>
      <c r="M913" s="633"/>
      <c r="N913" s="633"/>
      <c r="O913" s="633"/>
      <c r="P913" s="633"/>
      <c r="Q913" s="633"/>
      <c r="R913" s="633"/>
      <c r="S913" s="633"/>
      <c r="T913" s="633"/>
    </row>
    <row r="914">
      <c r="A914" s="633"/>
      <c r="B914" s="633"/>
      <c r="C914" s="633"/>
      <c r="D914" s="633"/>
      <c r="E914" s="633"/>
      <c r="F914" s="633"/>
      <c r="G914" s="633"/>
      <c r="H914" s="633"/>
      <c r="I914" s="633"/>
      <c r="J914" s="633"/>
      <c r="K914" s="633"/>
      <c r="L914" s="633"/>
      <c r="M914" s="633"/>
      <c r="N914" s="633"/>
      <c r="O914" s="633"/>
      <c r="P914" s="633"/>
      <c r="Q914" s="633"/>
      <c r="R914" s="633"/>
      <c r="S914" s="633"/>
      <c r="T914" s="633"/>
    </row>
    <row r="915">
      <c r="A915" s="633"/>
      <c r="B915" s="633"/>
      <c r="C915" s="633"/>
      <c r="D915" s="633"/>
      <c r="E915" s="633"/>
      <c r="F915" s="633"/>
      <c r="G915" s="633"/>
      <c r="H915" s="633"/>
      <c r="I915" s="633"/>
      <c r="J915" s="633"/>
      <c r="K915" s="633"/>
      <c r="L915" s="633"/>
      <c r="M915" s="633"/>
      <c r="N915" s="633"/>
      <c r="O915" s="633"/>
      <c r="P915" s="633"/>
      <c r="Q915" s="633"/>
      <c r="R915" s="633"/>
      <c r="S915" s="633"/>
      <c r="T915" s="633"/>
    </row>
    <row r="916">
      <c r="A916" s="633"/>
      <c r="B916" s="633"/>
      <c r="C916" s="633"/>
      <c r="D916" s="633"/>
      <c r="E916" s="633"/>
      <c r="F916" s="633"/>
      <c r="G916" s="633"/>
      <c r="H916" s="633"/>
      <c r="I916" s="633"/>
      <c r="J916" s="633"/>
      <c r="K916" s="633"/>
      <c r="L916" s="633"/>
      <c r="M916" s="633"/>
      <c r="N916" s="633"/>
      <c r="O916" s="633"/>
      <c r="P916" s="633"/>
      <c r="Q916" s="633"/>
      <c r="R916" s="633"/>
      <c r="S916" s="633"/>
      <c r="T916" s="633"/>
    </row>
    <row r="917">
      <c r="A917" s="633"/>
      <c r="B917" s="633"/>
      <c r="C917" s="633"/>
      <c r="D917" s="633"/>
      <c r="E917" s="633"/>
      <c r="F917" s="633"/>
      <c r="G917" s="633"/>
      <c r="H917" s="633"/>
      <c r="I917" s="633"/>
      <c r="J917" s="633"/>
      <c r="K917" s="633"/>
      <c r="L917" s="633"/>
      <c r="M917" s="633"/>
      <c r="N917" s="633"/>
      <c r="O917" s="633"/>
      <c r="P917" s="633"/>
      <c r="Q917" s="633"/>
      <c r="R917" s="633"/>
      <c r="S917" s="633"/>
      <c r="T917" s="633"/>
    </row>
    <row r="918">
      <c r="A918" s="633"/>
      <c r="B918" s="633"/>
      <c r="C918" s="633"/>
      <c r="D918" s="633"/>
      <c r="E918" s="633"/>
      <c r="F918" s="633"/>
      <c r="G918" s="633"/>
      <c r="H918" s="633"/>
      <c r="I918" s="633"/>
      <c r="J918" s="633"/>
      <c r="K918" s="633"/>
      <c r="L918" s="633"/>
      <c r="M918" s="633"/>
      <c r="N918" s="633"/>
      <c r="O918" s="633"/>
      <c r="P918" s="633"/>
      <c r="Q918" s="633"/>
      <c r="R918" s="633"/>
      <c r="S918" s="633"/>
      <c r="T918" s="633"/>
    </row>
    <row r="919">
      <c r="A919" s="633"/>
      <c r="B919" s="633"/>
      <c r="C919" s="633"/>
      <c r="D919" s="633"/>
      <c r="E919" s="633"/>
      <c r="F919" s="633"/>
      <c r="G919" s="633"/>
      <c r="H919" s="633"/>
      <c r="I919" s="633"/>
      <c r="J919" s="633"/>
      <c r="K919" s="633"/>
      <c r="L919" s="633"/>
      <c r="M919" s="633"/>
      <c r="N919" s="633"/>
      <c r="O919" s="633"/>
      <c r="P919" s="633"/>
      <c r="Q919" s="633"/>
      <c r="R919" s="633"/>
      <c r="S919" s="633"/>
      <c r="T919" s="633"/>
    </row>
    <row r="920">
      <c r="A920" s="633"/>
      <c r="B920" s="633"/>
      <c r="C920" s="633"/>
      <c r="D920" s="633"/>
      <c r="E920" s="633"/>
      <c r="F920" s="633"/>
      <c r="G920" s="633"/>
      <c r="H920" s="633"/>
      <c r="I920" s="633"/>
      <c r="J920" s="633"/>
      <c r="K920" s="633"/>
      <c r="L920" s="633"/>
      <c r="M920" s="633"/>
      <c r="N920" s="633"/>
      <c r="O920" s="633"/>
      <c r="P920" s="633"/>
      <c r="Q920" s="633"/>
      <c r="R920" s="633"/>
      <c r="S920" s="633"/>
      <c r="T920" s="633"/>
    </row>
    <row r="921">
      <c r="A921" s="633"/>
      <c r="B921" s="633"/>
      <c r="C921" s="633"/>
      <c r="D921" s="633"/>
      <c r="E921" s="633"/>
      <c r="F921" s="633"/>
      <c r="G921" s="633"/>
      <c r="H921" s="633"/>
      <c r="I921" s="633"/>
      <c r="J921" s="633"/>
      <c r="K921" s="633"/>
      <c r="L921" s="633"/>
      <c r="M921" s="633"/>
      <c r="N921" s="633"/>
      <c r="O921" s="633"/>
      <c r="P921" s="633"/>
      <c r="Q921" s="633"/>
      <c r="R921" s="633"/>
      <c r="S921" s="633"/>
      <c r="T921" s="633"/>
    </row>
    <row r="922">
      <c r="A922" s="633"/>
      <c r="B922" s="633"/>
      <c r="C922" s="633"/>
      <c r="D922" s="633"/>
      <c r="E922" s="633"/>
      <c r="F922" s="633"/>
      <c r="G922" s="633"/>
      <c r="H922" s="633"/>
      <c r="I922" s="633"/>
      <c r="J922" s="633"/>
      <c r="K922" s="633"/>
      <c r="L922" s="633"/>
      <c r="M922" s="633"/>
      <c r="N922" s="633"/>
      <c r="O922" s="633"/>
      <c r="P922" s="633"/>
      <c r="Q922" s="633"/>
      <c r="R922" s="633"/>
      <c r="S922" s="633"/>
      <c r="T922" s="633"/>
    </row>
    <row r="923">
      <c r="A923" s="633"/>
      <c r="B923" s="633"/>
      <c r="C923" s="633"/>
      <c r="D923" s="633"/>
      <c r="E923" s="633"/>
      <c r="F923" s="633"/>
      <c r="G923" s="633"/>
      <c r="H923" s="633"/>
      <c r="I923" s="633"/>
      <c r="J923" s="633"/>
      <c r="K923" s="633"/>
      <c r="L923" s="633"/>
      <c r="M923" s="633"/>
      <c r="N923" s="633"/>
      <c r="O923" s="633"/>
      <c r="P923" s="633"/>
      <c r="Q923" s="633"/>
      <c r="R923" s="633"/>
      <c r="S923" s="633"/>
      <c r="T923" s="633"/>
    </row>
    <row r="924">
      <c r="A924" s="633"/>
      <c r="B924" s="633"/>
      <c r="C924" s="633"/>
      <c r="D924" s="633"/>
      <c r="E924" s="633"/>
      <c r="F924" s="633"/>
      <c r="G924" s="633"/>
      <c r="H924" s="633"/>
      <c r="I924" s="633"/>
      <c r="J924" s="633"/>
      <c r="K924" s="633"/>
      <c r="L924" s="633"/>
      <c r="M924" s="633"/>
      <c r="N924" s="633"/>
      <c r="O924" s="633"/>
      <c r="P924" s="633"/>
      <c r="Q924" s="633"/>
      <c r="R924" s="633"/>
      <c r="S924" s="633"/>
      <c r="T924" s="633"/>
    </row>
    <row r="925">
      <c r="A925" s="633"/>
      <c r="B925" s="633"/>
      <c r="C925" s="633"/>
      <c r="D925" s="633"/>
      <c r="E925" s="633"/>
      <c r="F925" s="633"/>
      <c r="G925" s="633"/>
      <c r="H925" s="633"/>
      <c r="I925" s="633"/>
      <c r="J925" s="633"/>
      <c r="K925" s="633"/>
      <c r="L925" s="633"/>
      <c r="M925" s="633"/>
      <c r="N925" s="633"/>
      <c r="O925" s="633"/>
      <c r="P925" s="633"/>
      <c r="Q925" s="633"/>
      <c r="R925" s="633"/>
      <c r="S925" s="633"/>
      <c r="T925" s="633"/>
    </row>
    <row r="926">
      <c r="A926" s="633"/>
      <c r="B926" s="633"/>
      <c r="C926" s="633"/>
      <c r="D926" s="633"/>
      <c r="E926" s="633"/>
      <c r="F926" s="633"/>
      <c r="G926" s="633"/>
      <c r="H926" s="633"/>
      <c r="I926" s="633"/>
      <c r="J926" s="633"/>
      <c r="K926" s="633"/>
      <c r="L926" s="633"/>
      <c r="M926" s="633"/>
      <c r="N926" s="633"/>
      <c r="O926" s="633"/>
      <c r="P926" s="633"/>
      <c r="Q926" s="633"/>
      <c r="R926" s="633"/>
      <c r="S926" s="633"/>
      <c r="T926" s="633"/>
    </row>
    <row r="927">
      <c r="A927" s="633"/>
      <c r="B927" s="633"/>
      <c r="C927" s="633"/>
      <c r="D927" s="633"/>
      <c r="E927" s="633"/>
      <c r="F927" s="633"/>
      <c r="G927" s="633"/>
      <c r="H927" s="633"/>
      <c r="I927" s="633"/>
      <c r="J927" s="633"/>
      <c r="K927" s="633"/>
      <c r="L927" s="633"/>
      <c r="M927" s="633"/>
      <c r="N927" s="633"/>
      <c r="O927" s="633"/>
      <c r="P927" s="633"/>
      <c r="Q927" s="633"/>
      <c r="R927" s="633"/>
      <c r="S927" s="633"/>
      <c r="T927" s="633"/>
    </row>
    <row r="928">
      <c r="A928" s="633"/>
      <c r="B928" s="633"/>
      <c r="C928" s="633"/>
      <c r="D928" s="633"/>
      <c r="E928" s="633"/>
      <c r="F928" s="633"/>
      <c r="G928" s="633"/>
      <c r="H928" s="633"/>
      <c r="I928" s="633"/>
      <c r="J928" s="633"/>
      <c r="K928" s="633"/>
      <c r="L928" s="633"/>
      <c r="M928" s="633"/>
      <c r="N928" s="633"/>
      <c r="O928" s="633"/>
      <c r="P928" s="633"/>
      <c r="Q928" s="633"/>
      <c r="R928" s="633"/>
      <c r="S928" s="633"/>
      <c r="T928" s="633"/>
    </row>
    <row r="929">
      <c r="A929" s="633"/>
      <c r="B929" s="633"/>
      <c r="C929" s="633"/>
      <c r="D929" s="633"/>
      <c r="E929" s="633"/>
      <c r="F929" s="633"/>
      <c r="G929" s="633"/>
      <c r="H929" s="633"/>
      <c r="I929" s="633"/>
      <c r="J929" s="633"/>
      <c r="K929" s="633"/>
      <c r="L929" s="633"/>
      <c r="M929" s="633"/>
      <c r="N929" s="633"/>
      <c r="O929" s="633"/>
      <c r="P929" s="633"/>
      <c r="Q929" s="633"/>
      <c r="R929" s="633"/>
      <c r="S929" s="633"/>
      <c r="T929" s="633"/>
    </row>
    <row r="930">
      <c r="A930" s="633"/>
      <c r="B930" s="633"/>
      <c r="C930" s="633"/>
      <c r="D930" s="633"/>
      <c r="E930" s="633"/>
      <c r="F930" s="633"/>
      <c r="G930" s="633"/>
      <c r="H930" s="633"/>
      <c r="I930" s="633"/>
      <c r="J930" s="633"/>
      <c r="K930" s="633"/>
      <c r="L930" s="633"/>
      <c r="M930" s="633"/>
      <c r="N930" s="633"/>
      <c r="O930" s="633"/>
      <c r="P930" s="633"/>
      <c r="Q930" s="633"/>
      <c r="R930" s="633"/>
      <c r="S930" s="633"/>
      <c r="T930" s="633"/>
    </row>
    <row r="931">
      <c r="A931" s="633"/>
      <c r="B931" s="633"/>
      <c r="C931" s="633"/>
      <c r="D931" s="633"/>
      <c r="E931" s="633"/>
      <c r="F931" s="633"/>
      <c r="G931" s="633"/>
      <c r="H931" s="633"/>
      <c r="I931" s="633"/>
      <c r="J931" s="633"/>
      <c r="K931" s="633"/>
      <c r="L931" s="633"/>
      <c r="M931" s="633"/>
      <c r="N931" s="633"/>
      <c r="O931" s="633"/>
      <c r="P931" s="633"/>
      <c r="Q931" s="633"/>
      <c r="R931" s="633"/>
      <c r="S931" s="633"/>
      <c r="T931" s="633"/>
    </row>
    <row r="932">
      <c r="A932" s="633"/>
      <c r="B932" s="633"/>
      <c r="C932" s="633"/>
      <c r="D932" s="633"/>
      <c r="E932" s="633"/>
      <c r="F932" s="633"/>
      <c r="G932" s="633"/>
      <c r="H932" s="633"/>
      <c r="I932" s="633"/>
      <c r="J932" s="633"/>
      <c r="K932" s="633"/>
      <c r="L932" s="633"/>
      <c r="M932" s="633"/>
      <c r="N932" s="633"/>
      <c r="O932" s="633"/>
      <c r="P932" s="633"/>
      <c r="Q932" s="633"/>
      <c r="R932" s="633"/>
      <c r="S932" s="633"/>
      <c r="T932" s="633"/>
    </row>
    <row r="933">
      <c r="A933" s="633"/>
      <c r="B933" s="633"/>
      <c r="C933" s="633"/>
      <c r="D933" s="633"/>
      <c r="E933" s="633"/>
      <c r="F933" s="633"/>
      <c r="G933" s="633"/>
      <c r="H933" s="633"/>
      <c r="I933" s="633"/>
      <c r="J933" s="633"/>
      <c r="K933" s="633"/>
      <c r="L933" s="633"/>
      <c r="M933" s="633"/>
      <c r="N933" s="633"/>
      <c r="O933" s="633"/>
      <c r="P933" s="633"/>
      <c r="Q933" s="633"/>
      <c r="R933" s="633"/>
      <c r="S933" s="633"/>
      <c r="T933" s="633"/>
    </row>
    <row r="934">
      <c r="A934" s="633"/>
      <c r="B934" s="633"/>
      <c r="C934" s="633"/>
      <c r="D934" s="633"/>
      <c r="E934" s="633"/>
      <c r="F934" s="633"/>
      <c r="G934" s="633"/>
      <c r="H934" s="633"/>
      <c r="I934" s="633"/>
      <c r="J934" s="633"/>
      <c r="K934" s="633"/>
      <c r="L934" s="633"/>
      <c r="M934" s="633"/>
      <c r="N934" s="633"/>
      <c r="O934" s="633"/>
      <c r="P934" s="633"/>
      <c r="Q934" s="633"/>
      <c r="R934" s="633"/>
      <c r="S934" s="633"/>
      <c r="T934" s="633"/>
    </row>
    <row r="935">
      <c r="A935" s="633"/>
      <c r="B935" s="633"/>
      <c r="C935" s="633"/>
      <c r="D935" s="633"/>
      <c r="E935" s="633"/>
      <c r="F935" s="633"/>
      <c r="G935" s="633"/>
      <c r="H935" s="633"/>
      <c r="I935" s="633"/>
      <c r="J935" s="633"/>
      <c r="K935" s="633"/>
      <c r="L935" s="633"/>
      <c r="M935" s="633"/>
      <c r="N935" s="633"/>
      <c r="O935" s="633"/>
      <c r="P935" s="633"/>
      <c r="Q935" s="633"/>
      <c r="R935" s="633"/>
      <c r="S935" s="633"/>
      <c r="T935" s="633"/>
    </row>
    <row r="936">
      <c r="A936" s="633"/>
      <c r="B936" s="633"/>
      <c r="C936" s="633"/>
      <c r="D936" s="633"/>
      <c r="E936" s="633"/>
      <c r="F936" s="633"/>
      <c r="G936" s="633"/>
      <c r="H936" s="633"/>
      <c r="I936" s="633"/>
      <c r="J936" s="633"/>
      <c r="K936" s="633"/>
      <c r="L936" s="633"/>
      <c r="M936" s="633"/>
      <c r="N936" s="633"/>
      <c r="O936" s="633"/>
      <c r="P936" s="633"/>
      <c r="Q936" s="633"/>
      <c r="R936" s="633"/>
      <c r="S936" s="633"/>
      <c r="T936" s="633"/>
    </row>
    <row r="937">
      <c r="A937" s="633"/>
      <c r="B937" s="633"/>
      <c r="C937" s="633"/>
      <c r="D937" s="633"/>
      <c r="E937" s="633"/>
      <c r="F937" s="633"/>
      <c r="G937" s="633"/>
      <c r="H937" s="633"/>
      <c r="I937" s="633"/>
      <c r="J937" s="633"/>
      <c r="K937" s="633"/>
      <c r="L937" s="633"/>
      <c r="M937" s="633"/>
      <c r="N937" s="633"/>
      <c r="O937" s="633"/>
      <c r="P937" s="633"/>
      <c r="Q937" s="633"/>
      <c r="R937" s="633"/>
      <c r="S937" s="633"/>
      <c r="T937" s="633"/>
    </row>
    <row r="938">
      <c r="A938" s="633"/>
      <c r="B938" s="633"/>
      <c r="C938" s="633"/>
      <c r="D938" s="633"/>
      <c r="E938" s="633"/>
      <c r="F938" s="633"/>
      <c r="G938" s="633"/>
      <c r="H938" s="633"/>
      <c r="I938" s="633"/>
      <c r="J938" s="633"/>
      <c r="K938" s="633"/>
      <c r="L938" s="633"/>
      <c r="M938" s="633"/>
      <c r="N938" s="633"/>
      <c r="O938" s="633"/>
      <c r="P938" s="633"/>
      <c r="Q938" s="633"/>
      <c r="R938" s="633"/>
      <c r="S938" s="633"/>
      <c r="T938" s="633"/>
    </row>
    <row r="939">
      <c r="A939" s="633"/>
      <c r="B939" s="633"/>
      <c r="C939" s="633"/>
      <c r="D939" s="633"/>
      <c r="E939" s="633"/>
      <c r="F939" s="633"/>
      <c r="G939" s="633"/>
      <c r="H939" s="633"/>
      <c r="I939" s="633"/>
      <c r="J939" s="633"/>
      <c r="K939" s="633"/>
      <c r="L939" s="633"/>
      <c r="M939" s="633"/>
      <c r="N939" s="633"/>
      <c r="O939" s="633"/>
      <c r="P939" s="633"/>
      <c r="Q939" s="633"/>
      <c r="R939" s="633"/>
      <c r="S939" s="633"/>
      <c r="T939" s="633"/>
    </row>
    <row r="940">
      <c r="A940" s="633"/>
      <c r="B940" s="633"/>
      <c r="C940" s="633"/>
      <c r="D940" s="633"/>
      <c r="E940" s="633"/>
      <c r="F940" s="633"/>
      <c r="G940" s="633"/>
      <c r="H940" s="633"/>
      <c r="I940" s="633"/>
      <c r="J940" s="633"/>
      <c r="K940" s="633"/>
      <c r="L940" s="633"/>
      <c r="M940" s="633"/>
      <c r="N940" s="633"/>
      <c r="O940" s="633"/>
      <c r="P940" s="633"/>
      <c r="Q940" s="633"/>
      <c r="R940" s="633"/>
      <c r="S940" s="633"/>
      <c r="T940" s="633"/>
    </row>
    <row r="941">
      <c r="A941" s="633"/>
      <c r="B941" s="633"/>
      <c r="C941" s="633"/>
      <c r="D941" s="633"/>
      <c r="E941" s="633"/>
      <c r="F941" s="633"/>
      <c r="G941" s="633"/>
      <c r="H941" s="633"/>
      <c r="I941" s="633"/>
      <c r="J941" s="633"/>
      <c r="K941" s="633"/>
      <c r="L941" s="633"/>
      <c r="M941" s="633"/>
      <c r="N941" s="633"/>
      <c r="O941" s="633"/>
      <c r="P941" s="633"/>
      <c r="Q941" s="633"/>
      <c r="R941" s="633"/>
      <c r="S941" s="633"/>
      <c r="T941" s="633"/>
    </row>
    <row r="942">
      <c r="A942" s="633"/>
      <c r="B942" s="633"/>
      <c r="C942" s="633"/>
      <c r="D942" s="633"/>
      <c r="E942" s="633"/>
      <c r="F942" s="633"/>
      <c r="G942" s="633"/>
      <c r="H942" s="633"/>
      <c r="I942" s="633"/>
      <c r="J942" s="633"/>
      <c r="K942" s="633"/>
      <c r="L942" s="633"/>
      <c r="M942" s="633"/>
      <c r="N942" s="633"/>
      <c r="O942" s="633"/>
      <c r="P942" s="633"/>
      <c r="Q942" s="633"/>
      <c r="R942" s="633"/>
      <c r="S942" s="633"/>
      <c r="T942" s="633"/>
    </row>
    <row r="943">
      <c r="A943" s="633"/>
      <c r="B943" s="633"/>
      <c r="C943" s="633"/>
      <c r="D943" s="633"/>
      <c r="E943" s="633"/>
      <c r="F943" s="633"/>
      <c r="G943" s="633"/>
      <c r="H943" s="633"/>
      <c r="I943" s="633"/>
      <c r="J943" s="633"/>
      <c r="K943" s="633"/>
      <c r="L943" s="633"/>
      <c r="M943" s="633"/>
      <c r="N943" s="633"/>
      <c r="O943" s="633"/>
      <c r="P943" s="633"/>
      <c r="Q943" s="633"/>
      <c r="R943" s="633"/>
      <c r="S943" s="633"/>
      <c r="T943" s="633"/>
    </row>
    <row r="944">
      <c r="A944" s="633"/>
      <c r="B944" s="633"/>
      <c r="C944" s="633"/>
      <c r="D944" s="633"/>
      <c r="E944" s="633"/>
      <c r="F944" s="633"/>
      <c r="G944" s="633"/>
      <c r="H944" s="633"/>
      <c r="I944" s="633"/>
      <c r="J944" s="633"/>
      <c r="K944" s="633"/>
      <c r="L944" s="633"/>
      <c r="M944" s="633"/>
      <c r="N944" s="633"/>
      <c r="O944" s="633"/>
      <c r="P944" s="633"/>
      <c r="Q944" s="633"/>
      <c r="R944" s="633"/>
      <c r="S944" s="633"/>
      <c r="T944" s="633"/>
    </row>
    <row r="945">
      <c r="A945" s="633"/>
      <c r="B945" s="633"/>
      <c r="C945" s="633"/>
      <c r="D945" s="633"/>
      <c r="E945" s="633"/>
      <c r="F945" s="633"/>
      <c r="G945" s="633"/>
      <c r="H945" s="633"/>
      <c r="I945" s="633"/>
      <c r="J945" s="633"/>
      <c r="K945" s="633"/>
      <c r="L945" s="633"/>
      <c r="M945" s="633"/>
      <c r="N945" s="633"/>
      <c r="O945" s="633"/>
      <c r="P945" s="633"/>
      <c r="Q945" s="633"/>
      <c r="R945" s="633"/>
      <c r="S945" s="633"/>
      <c r="T945" s="633"/>
    </row>
    <row r="946">
      <c r="A946" s="633"/>
      <c r="B946" s="633"/>
      <c r="C946" s="633"/>
      <c r="D946" s="633"/>
      <c r="E946" s="633"/>
      <c r="F946" s="633"/>
      <c r="G946" s="633"/>
      <c r="H946" s="633"/>
      <c r="I946" s="633"/>
      <c r="J946" s="633"/>
      <c r="K946" s="633"/>
      <c r="L946" s="633"/>
      <c r="M946" s="633"/>
      <c r="N946" s="633"/>
      <c r="O946" s="633"/>
      <c r="P946" s="633"/>
      <c r="Q946" s="633"/>
      <c r="R946" s="633"/>
      <c r="S946" s="633"/>
      <c r="T946" s="633"/>
    </row>
    <row r="947">
      <c r="A947" s="633"/>
      <c r="B947" s="633"/>
      <c r="C947" s="633"/>
      <c r="D947" s="633"/>
      <c r="E947" s="633"/>
      <c r="F947" s="633"/>
      <c r="G947" s="633"/>
      <c r="H947" s="633"/>
      <c r="I947" s="633"/>
      <c r="J947" s="633"/>
      <c r="K947" s="633"/>
      <c r="L947" s="633"/>
      <c r="M947" s="633"/>
      <c r="N947" s="633"/>
      <c r="O947" s="633"/>
      <c r="P947" s="633"/>
      <c r="Q947" s="633"/>
      <c r="R947" s="633"/>
      <c r="S947" s="633"/>
      <c r="T947" s="633"/>
    </row>
    <row r="948">
      <c r="A948" s="633"/>
      <c r="B948" s="633"/>
      <c r="C948" s="633"/>
      <c r="D948" s="633"/>
      <c r="E948" s="633"/>
      <c r="F948" s="633"/>
      <c r="G948" s="633"/>
      <c r="H948" s="633"/>
      <c r="I948" s="633"/>
      <c r="J948" s="633"/>
      <c r="K948" s="633"/>
      <c r="L948" s="633"/>
      <c r="M948" s="633"/>
      <c r="N948" s="633"/>
      <c r="O948" s="633"/>
      <c r="P948" s="633"/>
      <c r="Q948" s="633"/>
      <c r="R948" s="633"/>
      <c r="S948" s="633"/>
      <c r="T948" s="633"/>
    </row>
    <row r="949">
      <c r="A949" s="633"/>
      <c r="B949" s="633"/>
      <c r="C949" s="633"/>
      <c r="D949" s="633"/>
      <c r="E949" s="633"/>
      <c r="F949" s="633"/>
      <c r="G949" s="633"/>
      <c r="H949" s="633"/>
      <c r="I949" s="633"/>
      <c r="J949" s="633"/>
      <c r="K949" s="633"/>
      <c r="L949" s="633"/>
      <c r="M949" s="633"/>
      <c r="N949" s="633"/>
      <c r="O949" s="633"/>
      <c r="P949" s="633"/>
      <c r="Q949" s="633"/>
      <c r="R949" s="633"/>
      <c r="S949" s="633"/>
      <c r="T949" s="633"/>
    </row>
    <row r="950">
      <c r="A950" s="633"/>
      <c r="B950" s="633"/>
      <c r="C950" s="633"/>
      <c r="D950" s="633"/>
      <c r="E950" s="633"/>
      <c r="F950" s="633"/>
      <c r="G950" s="633"/>
      <c r="H950" s="633"/>
      <c r="I950" s="633"/>
      <c r="J950" s="633"/>
      <c r="K950" s="633"/>
      <c r="L950" s="633"/>
      <c r="M950" s="633"/>
      <c r="N950" s="633"/>
      <c r="O950" s="633"/>
      <c r="P950" s="633"/>
      <c r="Q950" s="633"/>
      <c r="R950" s="633"/>
      <c r="S950" s="633"/>
      <c r="T950" s="633"/>
    </row>
    <row r="951">
      <c r="A951" s="633"/>
      <c r="B951" s="633"/>
      <c r="C951" s="633"/>
      <c r="D951" s="633"/>
      <c r="E951" s="633"/>
      <c r="F951" s="633"/>
      <c r="G951" s="633"/>
      <c r="H951" s="633"/>
      <c r="I951" s="633"/>
      <c r="J951" s="633"/>
      <c r="K951" s="633"/>
      <c r="L951" s="633"/>
      <c r="M951" s="633"/>
      <c r="N951" s="633"/>
      <c r="O951" s="633"/>
      <c r="P951" s="633"/>
      <c r="Q951" s="633"/>
      <c r="R951" s="633"/>
      <c r="S951" s="633"/>
      <c r="T951" s="633"/>
    </row>
    <row r="952">
      <c r="A952" s="633"/>
      <c r="B952" s="633"/>
      <c r="C952" s="633"/>
      <c r="D952" s="633"/>
      <c r="E952" s="633"/>
      <c r="F952" s="633"/>
      <c r="G952" s="633"/>
      <c r="H952" s="633"/>
      <c r="I952" s="633"/>
      <c r="J952" s="633"/>
      <c r="K952" s="633"/>
      <c r="L952" s="633"/>
      <c r="M952" s="633"/>
      <c r="N952" s="633"/>
      <c r="O952" s="633"/>
      <c r="P952" s="633"/>
      <c r="Q952" s="633"/>
      <c r="R952" s="633"/>
      <c r="S952" s="633"/>
      <c r="T952" s="633"/>
    </row>
    <row r="953">
      <c r="A953" s="633"/>
      <c r="B953" s="633"/>
      <c r="C953" s="633"/>
      <c r="D953" s="633"/>
      <c r="E953" s="633"/>
      <c r="F953" s="633"/>
      <c r="G953" s="633"/>
      <c r="H953" s="633"/>
      <c r="I953" s="633"/>
      <c r="J953" s="633"/>
      <c r="K953" s="633"/>
      <c r="L953" s="633"/>
      <c r="M953" s="633"/>
      <c r="N953" s="633"/>
      <c r="O953" s="633"/>
      <c r="P953" s="633"/>
      <c r="Q953" s="633"/>
      <c r="R953" s="633"/>
      <c r="S953" s="633"/>
      <c r="T953" s="633"/>
    </row>
    <row r="954">
      <c r="A954" s="633"/>
      <c r="B954" s="633"/>
      <c r="C954" s="633"/>
      <c r="D954" s="633"/>
      <c r="E954" s="633"/>
      <c r="F954" s="633"/>
      <c r="G954" s="633"/>
      <c r="H954" s="633"/>
      <c r="I954" s="633"/>
      <c r="J954" s="633"/>
      <c r="K954" s="633"/>
      <c r="L954" s="633"/>
      <c r="M954" s="633"/>
      <c r="N954" s="633"/>
      <c r="O954" s="633"/>
      <c r="P954" s="633"/>
      <c r="Q954" s="633"/>
      <c r="R954" s="633"/>
      <c r="S954" s="633"/>
      <c r="T954" s="633"/>
    </row>
    <row r="955">
      <c r="A955" s="633"/>
      <c r="B955" s="633"/>
      <c r="C955" s="633"/>
      <c r="D955" s="633"/>
      <c r="E955" s="633"/>
      <c r="F955" s="633"/>
      <c r="G955" s="633"/>
      <c r="H955" s="633"/>
      <c r="I955" s="633"/>
      <c r="J955" s="633"/>
      <c r="K955" s="633"/>
      <c r="L955" s="633"/>
      <c r="M955" s="633"/>
      <c r="N955" s="633"/>
      <c r="O955" s="633"/>
      <c r="P955" s="633"/>
      <c r="Q955" s="633"/>
      <c r="R955" s="633"/>
      <c r="S955" s="633"/>
      <c r="T955" s="633"/>
    </row>
    <row r="956">
      <c r="A956" s="633"/>
      <c r="B956" s="633"/>
      <c r="C956" s="633"/>
      <c r="D956" s="633"/>
      <c r="E956" s="633"/>
      <c r="F956" s="633"/>
      <c r="G956" s="633"/>
      <c r="H956" s="633"/>
      <c r="I956" s="633"/>
      <c r="J956" s="633"/>
      <c r="K956" s="633"/>
      <c r="L956" s="633"/>
      <c r="M956" s="633"/>
      <c r="N956" s="633"/>
      <c r="O956" s="633"/>
      <c r="P956" s="633"/>
      <c r="Q956" s="633"/>
      <c r="R956" s="633"/>
      <c r="S956" s="633"/>
      <c r="T956" s="633"/>
    </row>
    <row r="957">
      <c r="A957" s="633"/>
      <c r="B957" s="633"/>
      <c r="C957" s="633"/>
      <c r="D957" s="633"/>
      <c r="E957" s="633"/>
      <c r="F957" s="633"/>
      <c r="G957" s="633"/>
      <c r="H957" s="633"/>
      <c r="I957" s="633"/>
      <c r="J957" s="633"/>
      <c r="K957" s="633"/>
      <c r="L957" s="633"/>
      <c r="M957" s="633"/>
      <c r="N957" s="633"/>
      <c r="O957" s="633"/>
      <c r="P957" s="633"/>
      <c r="Q957" s="633"/>
      <c r="R957" s="633"/>
      <c r="S957" s="633"/>
      <c r="T957" s="633"/>
    </row>
    <row r="958">
      <c r="A958" s="633"/>
      <c r="B958" s="633"/>
      <c r="C958" s="633"/>
      <c r="D958" s="633"/>
      <c r="E958" s="633"/>
      <c r="F958" s="633"/>
      <c r="G958" s="633"/>
      <c r="H958" s="633"/>
      <c r="I958" s="633"/>
      <c r="J958" s="633"/>
      <c r="K958" s="633"/>
      <c r="L958" s="633"/>
      <c r="M958" s="633"/>
      <c r="N958" s="633"/>
      <c r="O958" s="633"/>
      <c r="P958" s="633"/>
      <c r="Q958" s="633"/>
      <c r="R958" s="633"/>
      <c r="S958" s="633"/>
      <c r="T958" s="633"/>
    </row>
    <row r="959">
      <c r="A959" s="633"/>
      <c r="B959" s="633"/>
      <c r="C959" s="633"/>
      <c r="D959" s="633"/>
      <c r="E959" s="633"/>
      <c r="F959" s="633"/>
      <c r="G959" s="633"/>
      <c r="H959" s="633"/>
      <c r="I959" s="633"/>
      <c r="J959" s="633"/>
      <c r="K959" s="633"/>
      <c r="L959" s="633"/>
      <c r="M959" s="633"/>
      <c r="N959" s="633"/>
      <c r="O959" s="633"/>
      <c r="P959" s="633"/>
      <c r="Q959" s="633"/>
      <c r="R959" s="633"/>
      <c r="S959" s="633"/>
      <c r="T959" s="633"/>
    </row>
    <row r="960">
      <c r="A960" s="633"/>
      <c r="B960" s="633"/>
      <c r="C960" s="633"/>
      <c r="D960" s="633"/>
      <c r="E960" s="633"/>
      <c r="F960" s="633"/>
      <c r="G960" s="633"/>
      <c r="H960" s="633"/>
      <c r="I960" s="633"/>
      <c r="J960" s="633"/>
      <c r="K960" s="633"/>
      <c r="L960" s="633"/>
      <c r="M960" s="633"/>
      <c r="N960" s="633"/>
      <c r="O960" s="633"/>
      <c r="P960" s="633"/>
      <c r="Q960" s="633"/>
      <c r="R960" s="633"/>
      <c r="S960" s="633"/>
      <c r="T960" s="633"/>
    </row>
    <row r="961">
      <c r="A961" s="633"/>
      <c r="B961" s="633"/>
      <c r="C961" s="633"/>
      <c r="D961" s="633"/>
      <c r="E961" s="633"/>
      <c r="F961" s="633"/>
      <c r="G961" s="633"/>
      <c r="H961" s="633"/>
      <c r="I961" s="633"/>
      <c r="J961" s="633"/>
      <c r="K961" s="633"/>
      <c r="L961" s="633"/>
      <c r="M961" s="633"/>
      <c r="N961" s="633"/>
      <c r="O961" s="633"/>
      <c r="P961" s="633"/>
      <c r="Q961" s="633"/>
      <c r="R961" s="633"/>
      <c r="S961" s="633"/>
      <c r="T961" s="633"/>
    </row>
    <row r="962">
      <c r="A962" s="633"/>
      <c r="B962" s="633"/>
      <c r="C962" s="633"/>
      <c r="D962" s="633"/>
      <c r="E962" s="633"/>
      <c r="F962" s="633"/>
      <c r="G962" s="633"/>
      <c r="H962" s="633"/>
      <c r="I962" s="633"/>
      <c r="J962" s="633"/>
      <c r="K962" s="633"/>
      <c r="L962" s="633"/>
      <c r="M962" s="633"/>
      <c r="N962" s="633"/>
      <c r="O962" s="633"/>
      <c r="P962" s="633"/>
      <c r="Q962" s="633"/>
      <c r="R962" s="633"/>
      <c r="S962" s="633"/>
      <c r="T962" s="633"/>
    </row>
    <row r="963">
      <c r="A963" s="633"/>
      <c r="B963" s="633"/>
      <c r="C963" s="633"/>
      <c r="D963" s="633"/>
      <c r="E963" s="633"/>
      <c r="F963" s="633"/>
      <c r="G963" s="633"/>
      <c r="H963" s="633"/>
      <c r="I963" s="633"/>
      <c r="J963" s="633"/>
      <c r="K963" s="633"/>
      <c r="L963" s="633"/>
      <c r="M963" s="633"/>
      <c r="N963" s="633"/>
      <c r="O963" s="633"/>
      <c r="P963" s="633"/>
      <c r="Q963" s="633"/>
      <c r="R963" s="633"/>
      <c r="S963" s="633"/>
      <c r="T963" s="633"/>
    </row>
    <row r="964">
      <c r="A964" s="633"/>
      <c r="B964" s="633"/>
      <c r="C964" s="633"/>
      <c r="D964" s="633"/>
      <c r="E964" s="633"/>
      <c r="F964" s="633"/>
      <c r="G964" s="633"/>
      <c r="H964" s="633"/>
      <c r="I964" s="633"/>
      <c r="J964" s="633"/>
      <c r="K964" s="633"/>
      <c r="L964" s="633"/>
      <c r="M964" s="633"/>
      <c r="N964" s="633"/>
      <c r="O964" s="633"/>
      <c r="P964" s="633"/>
      <c r="Q964" s="633"/>
      <c r="R964" s="633"/>
      <c r="S964" s="633"/>
      <c r="T964" s="633"/>
    </row>
    <row r="965">
      <c r="A965" s="633"/>
      <c r="B965" s="633"/>
      <c r="C965" s="633"/>
      <c r="D965" s="633"/>
      <c r="E965" s="633"/>
      <c r="F965" s="633"/>
      <c r="G965" s="633"/>
      <c r="H965" s="633"/>
      <c r="I965" s="633"/>
      <c r="J965" s="633"/>
      <c r="K965" s="633"/>
      <c r="L965" s="633"/>
      <c r="M965" s="633"/>
      <c r="N965" s="633"/>
      <c r="O965" s="633"/>
      <c r="P965" s="633"/>
      <c r="Q965" s="633"/>
      <c r="R965" s="633"/>
      <c r="S965" s="633"/>
      <c r="T965" s="633"/>
    </row>
    <row r="966">
      <c r="A966" s="633"/>
      <c r="B966" s="633"/>
      <c r="C966" s="633"/>
      <c r="D966" s="633"/>
      <c r="E966" s="633"/>
      <c r="F966" s="633"/>
      <c r="G966" s="633"/>
      <c r="H966" s="633"/>
      <c r="I966" s="633"/>
      <c r="J966" s="633"/>
      <c r="K966" s="633"/>
      <c r="L966" s="633"/>
      <c r="M966" s="633"/>
      <c r="N966" s="633"/>
      <c r="O966" s="633"/>
      <c r="P966" s="633"/>
      <c r="Q966" s="633"/>
      <c r="R966" s="633"/>
      <c r="S966" s="633"/>
      <c r="T966" s="633"/>
    </row>
    <row r="967">
      <c r="A967" s="633"/>
      <c r="B967" s="633"/>
      <c r="C967" s="633"/>
      <c r="D967" s="633"/>
      <c r="E967" s="633"/>
      <c r="F967" s="633"/>
      <c r="G967" s="633"/>
      <c r="H967" s="633"/>
      <c r="I967" s="633"/>
      <c r="J967" s="633"/>
      <c r="K967" s="633"/>
      <c r="L967" s="633"/>
      <c r="M967" s="633"/>
      <c r="N967" s="633"/>
      <c r="O967" s="633"/>
      <c r="P967" s="633"/>
      <c r="Q967" s="633"/>
      <c r="R967" s="633"/>
      <c r="S967" s="633"/>
      <c r="T967" s="633"/>
    </row>
    <row r="968">
      <c r="A968" s="633"/>
      <c r="B968" s="633"/>
      <c r="C968" s="633"/>
      <c r="D968" s="633"/>
      <c r="E968" s="633"/>
      <c r="F968" s="633"/>
      <c r="G968" s="633"/>
      <c r="H968" s="633"/>
      <c r="I968" s="633"/>
      <c r="J968" s="633"/>
      <c r="K968" s="633"/>
      <c r="L968" s="633"/>
      <c r="M968" s="633"/>
      <c r="N968" s="633"/>
      <c r="O968" s="633"/>
      <c r="P968" s="633"/>
      <c r="Q968" s="633"/>
      <c r="R968" s="633"/>
      <c r="S968" s="633"/>
      <c r="T968" s="633"/>
    </row>
    <row r="969">
      <c r="A969" s="633"/>
      <c r="B969" s="633"/>
      <c r="C969" s="633"/>
      <c r="D969" s="633"/>
      <c r="E969" s="633"/>
      <c r="F969" s="633"/>
      <c r="G969" s="633"/>
      <c r="H969" s="633"/>
      <c r="I969" s="633"/>
      <c r="J969" s="633"/>
      <c r="K969" s="633"/>
      <c r="L969" s="633"/>
      <c r="M969" s="633"/>
      <c r="N969" s="633"/>
      <c r="O969" s="633"/>
      <c r="P969" s="633"/>
      <c r="Q969" s="633"/>
      <c r="R969" s="633"/>
      <c r="S969" s="633"/>
      <c r="T969" s="633"/>
    </row>
    <row r="970">
      <c r="A970" s="633"/>
      <c r="B970" s="633"/>
      <c r="C970" s="633"/>
      <c r="D970" s="633"/>
      <c r="E970" s="633"/>
      <c r="F970" s="633"/>
      <c r="G970" s="633"/>
      <c r="H970" s="633"/>
      <c r="I970" s="633"/>
      <c r="J970" s="633"/>
      <c r="K970" s="633"/>
      <c r="L970" s="633"/>
      <c r="M970" s="633"/>
      <c r="N970" s="633"/>
      <c r="O970" s="633"/>
      <c r="P970" s="633"/>
      <c r="Q970" s="633"/>
      <c r="R970" s="633"/>
      <c r="S970" s="633"/>
      <c r="T970" s="633"/>
    </row>
    <row r="971">
      <c r="A971" s="633"/>
      <c r="B971" s="633"/>
      <c r="C971" s="633"/>
      <c r="D971" s="633"/>
      <c r="E971" s="633"/>
      <c r="F971" s="633"/>
      <c r="G971" s="633"/>
      <c r="H971" s="633"/>
      <c r="I971" s="633"/>
      <c r="J971" s="633"/>
      <c r="K971" s="633"/>
      <c r="L971" s="633"/>
      <c r="M971" s="633"/>
      <c r="N971" s="633"/>
      <c r="O971" s="633"/>
      <c r="P971" s="633"/>
      <c r="Q971" s="633"/>
      <c r="R971" s="633"/>
      <c r="S971" s="633"/>
      <c r="T971" s="633"/>
    </row>
    <row r="972">
      <c r="A972" s="633"/>
      <c r="B972" s="633"/>
      <c r="C972" s="633"/>
      <c r="D972" s="633"/>
      <c r="E972" s="633"/>
      <c r="F972" s="633"/>
      <c r="G972" s="633"/>
      <c r="H972" s="633"/>
      <c r="I972" s="633"/>
      <c r="J972" s="633"/>
      <c r="K972" s="633"/>
      <c r="L972" s="633"/>
      <c r="M972" s="633"/>
      <c r="N972" s="633"/>
      <c r="O972" s="633"/>
      <c r="P972" s="633"/>
      <c r="Q972" s="633"/>
      <c r="R972" s="633"/>
      <c r="S972" s="633"/>
      <c r="T972" s="633"/>
    </row>
    <row r="973">
      <c r="A973" s="633"/>
      <c r="B973" s="633"/>
      <c r="C973" s="633"/>
      <c r="D973" s="633"/>
      <c r="E973" s="633"/>
      <c r="F973" s="633"/>
      <c r="G973" s="633"/>
      <c r="H973" s="633"/>
      <c r="I973" s="633"/>
      <c r="J973" s="633"/>
      <c r="K973" s="633"/>
      <c r="L973" s="633"/>
      <c r="M973" s="633"/>
      <c r="N973" s="633"/>
      <c r="O973" s="633"/>
      <c r="P973" s="633"/>
      <c r="Q973" s="633"/>
      <c r="R973" s="633"/>
      <c r="S973" s="633"/>
      <c r="T973" s="633"/>
    </row>
    <row r="974">
      <c r="A974" s="633"/>
      <c r="B974" s="633"/>
      <c r="C974" s="633"/>
      <c r="D974" s="633"/>
      <c r="E974" s="633"/>
      <c r="F974" s="633"/>
      <c r="G974" s="633"/>
      <c r="H974" s="633"/>
      <c r="I974" s="633"/>
      <c r="J974" s="633"/>
      <c r="K974" s="633"/>
      <c r="L974" s="633"/>
      <c r="M974" s="633"/>
      <c r="N974" s="633"/>
      <c r="O974" s="633"/>
      <c r="P974" s="633"/>
      <c r="Q974" s="633"/>
      <c r="R974" s="633"/>
      <c r="S974" s="633"/>
      <c r="T974" s="633"/>
    </row>
    <row r="975">
      <c r="A975" s="633"/>
      <c r="B975" s="633"/>
      <c r="C975" s="633"/>
      <c r="D975" s="633"/>
      <c r="E975" s="633"/>
      <c r="F975" s="633"/>
      <c r="G975" s="633"/>
      <c r="H975" s="633"/>
      <c r="I975" s="633"/>
      <c r="J975" s="633"/>
      <c r="K975" s="633"/>
      <c r="L975" s="633"/>
      <c r="M975" s="633"/>
      <c r="N975" s="633"/>
      <c r="O975" s="633"/>
      <c r="P975" s="633"/>
      <c r="Q975" s="633"/>
      <c r="R975" s="633"/>
      <c r="S975" s="633"/>
      <c r="T975" s="633"/>
    </row>
    <row r="976">
      <c r="A976" s="633"/>
      <c r="B976" s="633"/>
      <c r="C976" s="633"/>
      <c r="D976" s="633"/>
      <c r="E976" s="633"/>
      <c r="F976" s="633"/>
      <c r="G976" s="633"/>
      <c r="H976" s="633"/>
      <c r="I976" s="633"/>
      <c r="J976" s="633"/>
      <c r="K976" s="633"/>
      <c r="L976" s="633"/>
      <c r="M976" s="633"/>
      <c r="N976" s="633"/>
      <c r="O976" s="633"/>
      <c r="P976" s="633"/>
      <c r="Q976" s="633"/>
      <c r="R976" s="633"/>
      <c r="S976" s="633"/>
      <c r="T976" s="633"/>
    </row>
    <row r="977">
      <c r="A977" s="633"/>
      <c r="B977" s="633"/>
      <c r="C977" s="633"/>
      <c r="D977" s="633"/>
      <c r="E977" s="633"/>
      <c r="F977" s="633"/>
      <c r="G977" s="633"/>
      <c r="H977" s="633"/>
      <c r="I977" s="633"/>
      <c r="J977" s="633"/>
      <c r="K977" s="633"/>
      <c r="L977" s="633"/>
      <c r="M977" s="633"/>
      <c r="N977" s="633"/>
      <c r="O977" s="633"/>
      <c r="P977" s="633"/>
      <c r="Q977" s="633"/>
      <c r="R977" s="633"/>
      <c r="S977" s="633"/>
      <c r="T977" s="633"/>
    </row>
    <row r="978">
      <c r="A978" s="633"/>
      <c r="B978" s="633"/>
      <c r="C978" s="633"/>
      <c r="D978" s="633"/>
      <c r="E978" s="633"/>
      <c r="F978" s="633"/>
      <c r="G978" s="633"/>
      <c r="H978" s="633"/>
      <c r="I978" s="633"/>
      <c r="J978" s="633"/>
      <c r="K978" s="633"/>
      <c r="L978" s="633"/>
      <c r="M978" s="633"/>
      <c r="N978" s="633"/>
      <c r="O978" s="633"/>
      <c r="P978" s="633"/>
      <c r="Q978" s="633"/>
      <c r="R978" s="633"/>
      <c r="S978" s="633"/>
      <c r="T978" s="633"/>
    </row>
    <row r="979">
      <c r="A979" s="633"/>
      <c r="B979" s="633"/>
      <c r="C979" s="633"/>
      <c r="D979" s="633"/>
      <c r="E979" s="633"/>
      <c r="F979" s="633"/>
      <c r="G979" s="633"/>
      <c r="H979" s="633"/>
      <c r="I979" s="633"/>
      <c r="J979" s="633"/>
      <c r="K979" s="633"/>
      <c r="L979" s="633"/>
      <c r="M979" s="633"/>
      <c r="N979" s="633"/>
      <c r="O979" s="633"/>
      <c r="P979" s="633"/>
      <c r="Q979" s="633"/>
      <c r="R979" s="633"/>
      <c r="S979" s="633"/>
      <c r="T979" s="633"/>
    </row>
    <row r="980">
      <c r="A980" s="633"/>
      <c r="B980" s="633"/>
      <c r="C980" s="633"/>
      <c r="D980" s="633"/>
      <c r="E980" s="633"/>
      <c r="F980" s="633"/>
      <c r="G980" s="633"/>
      <c r="H980" s="633"/>
      <c r="I980" s="633"/>
      <c r="J980" s="633"/>
      <c r="K980" s="633"/>
      <c r="L980" s="633"/>
      <c r="M980" s="633"/>
      <c r="N980" s="633"/>
      <c r="O980" s="633"/>
      <c r="P980" s="633"/>
      <c r="Q980" s="633"/>
      <c r="R980" s="633"/>
      <c r="S980" s="633"/>
      <c r="T980" s="633"/>
    </row>
    <row r="981">
      <c r="A981" s="633"/>
      <c r="B981" s="633"/>
      <c r="C981" s="633"/>
      <c r="D981" s="633"/>
      <c r="E981" s="633"/>
      <c r="F981" s="633"/>
      <c r="G981" s="633"/>
      <c r="H981" s="633"/>
      <c r="I981" s="633"/>
      <c r="J981" s="633"/>
      <c r="K981" s="633"/>
      <c r="L981" s="633"/>
      <c r="M981" s="633"/>
      <c r="N981" s="633"/>
      <c r="O981" s="633"/>
      <c r="P981" s="633"/>
      <c r="Q981" s="633"/>
      <c r="R981" s="633"/>
      <c r="S981" s="633"/>
      <c r="T981" s="633"/>
    </row>
    <row r="982">
      <c r="A982" s="633"/>
      <c r="B982" s="633"/>
      <c r="C982" s="633"/>
      <c r="D982" s="633"/>
      <c r="E982" s="633"/>
      <c r="F982" s="633"/>
      <c r="G982" s="633"/>
      <c r="H982" s="633"/>
      <c r="I982" s="633"/>
      <c r="J982" s="633"/>
      <c r="K982" s="633"/>
      <c r="L982" s="633"/>
      <c r="M982" s="633"/>
      <c r="N982" s="633"/>
      <c r="O982" s="633"/>
      <c r="P982" s="633"/>
      <c r="Q982" s="633"/>
      <c r="R982" s="633"/>
      <c r="S982" s="633"/>
      <c r="T982" s="633"/>
    </row>
    <row r="983">
      <c r="A983" s="633"/>
      <c r="B983" s="633"/>
      <c r="C983" s="633"/>
      <c r="D983" s="633"/>
      <c r="E983" s="633"/>
      <c r="F983" s="633"/>
      <c r="G983" s="633"/>
      <c r="H983" s="633"/>
      <c r="I983" s="633"/>
      <c r="J983" s="633"/>
      <c r="K983" s="633"/>
      <c r="L983" s="633"/>
      <c r="M983" s="633"/>
      <c r="N983" s="633"/>
      <c r="O983" s="633"/>
      <c r="P983" s="633"/>
      <c r="Q983" s="633"/>
      <c r="R983" s="633"/>
      <c r="S983" s="633"/>
      <c r="T983" s="633"/>
    </row>
    <row r="984">
      <c r="A984" s="633"/>
      <c r="B984" s="633"/>
      <c r="C984" s="633"/>
      <c r="D984" s="633"/>
      <c r="E984" s="633"/>
      <c r="F984" s="633"/>
      <c r="G984" s="633"/>
      <c r="H984" s="633"/>
      <c r="I984" s="633"/>
      <c r="J984" s="633"/>
      <c r="K984" s="633"/>
      <c r="L984" s="633"/>
      <c r="M984" s="633"/>
      <c r="N984" s="633"/>
      <c r="O984" s="633"/>
      <c r="P984" s="633"/>
      <c r="Q984" s="633"/>
      <c r="R984" s="633"/>
      <c r="S984" s="633"/>
      <c r="T984" s="633"/>
    </row>
    <row r="985">
      <c r="A985" s="633"/>
      <c r="B985" s="633"/>
      <c r="C985" s="633"/>
      <c r="D985" s="633"/>
      <c r="E985" s="633"/>
      <c r="F985" s="633"/>
      <c r="G985" s="633"/>
      <c r="H985" s="633"/>
      <c r="I985" s="633"/>
      <c r="J985" s="633"/>
      <c r="K985" s="633"/>
      <c r="L985" s="633"/>
      <c r="M985" s="633"/>
      <c r="N985" s="633"/>
      <c r="O985" s="633"/>
      <c r="P985" s="633"/>
      <c r="Q985" s="633"/>
      <c r="R985" s="633"/>
      <c r="S985" s="633"/>
      <c r="T985" s="633"/>
    </row>
    <row r="986">
      <c r="A986" s="633"/>
      <c r="B986" s="633"/>
      <c r="C986" s="633"/>
      <c r="D986" s="633"/>
      <c r="E986" s="633"/>
      <c r="F986" s="633"/>
      <c r="G986" s="633"/>
      <c r="H986" s="633"/>
      <c r="I986" s="633"/>
      <c r="J986" s="633"/>
      <c r="K986" s="633"/>
      <c r="L986" s="633"/>
      <c r="M986" s="633"/>
      <c r="N986" s="633"/>
      <c r="O986" s="633"/>
      <c r="P986" s="633"/>
      <c r="Q986" s="633"/>
      <c r="R986" s="633"/>
      <c r="S986" s="633"/>
      <c r="T986" s="633"/>
    </row>
    <row r="987">
      <c r="A987" s="633"/>
      <c r="B987" s="633"/>
      <c r="C987" s="633"/>
      <c r="D987" s="633"/>
      <c r="E987" s="633"/>
      <c r="F987" s="633"/>
      <c r="G987" s="633"/>
      <c r="H987" s="633"/>
      <c r="I987" s="633"/>
      <c r="J987" s="633"/>
      <c r="K987" s="633"/>
      <c r="L987" s="633"/>
      <c r="M987" s="633"/>
      <c r="N987" s="633"/>
      <c r="O987" s="633"/>
      <c r="P987" s="633"/>
      <c r="Q987" s="633"/>
      <c r="R987" s="633"/>
      <c r="S987" s="633"/>
      <c r="T987" s="633"/>
    </row>
    <row r="988">
      <c r="A988" s="633"/>
      <c r="B988" s="633"/>
      <c r="C988" s="633"/>
      <c r="D988" s="633"/>
      <c r="E988" s="633"/>
      <c r="F988" s="633"/>
      <c r="G988" s="633"/>
      <c r="H988" s="633"/>
      <c r="I988" s="633"/>
      <c r="J988" s="633"/>
      <c r="K988" s="633"/>
      <c r="L988" s="633"/>
      <c r="M988" s="633"/>
      <c r="N988" s="633"/>
      <c r="O988" s="633"/>
      <c r="P988" s="633"/>
      <c r="Q988" s="633"/>
      <c r="R988" s="633"/>
      <c r="S988" s="633"/>
      <c r="T988" s="633"/>
    </row>
    <row r="989">
      <c r="A989" s="633"/>
      <c r="B989" s="633"/>
      <c r="C989" s="633"/>
      <c r="D989" s="633"/>
      <c r="E989" s="633"/>
      <c r="F989" s="633"/>
      <c r="G989" s="633"/>
      <c r="H989" s="633"/>
      <c r="I989" s="633"/>
      <c r="J989" s="633"/>
      <c r="K989" s="633"/>
      <c r="L989" s="633"/>
      <c r="M989" s="633"/>
      <c r="N989" s="633"/>
      <c r="O989" s="633"/>
      <c r="P989" s="633"/>
      <c r="Q989" s="633"/>
      <c r="R989" s="633"/>
      <c r="S989" s="633"/>
      <c r="T989" s="633"/>
    </row>
    <row r="990">
      <c r="A990" s="633"/>
      <c r="B990" s="633"/>
      <c r="C990" s="633"/>
      <c r="D990" s="633"/>
      <c r="E990" s="633"/>
      <c r="F990" s="633"/>
      <c r="G990" s="633"/>
      <c r="H990" s="633"/>
      <c r="I990" s="633"/>
      <c r="J990" s="633"/>
      <c r="K990" s="633"/>
      <c r="L990" s="633"/>
      <c r="M990" s="633"/>
      <c r="N990" s="633"/>
      <c r="O990" s="633"/>
      <c r="P990" s="633"/>
      <c r="Q990" s="633"/>
      <c r="R990" s="633"/>
      <c r="S990" s="633"/>
      <c r="T990" s="633"/>
    </row>
    <row r="991">
      <c r="A991" s="633"/>
      <c r="B991" s="633"/>
      <c r="C991" s="633"/>
      <c r="D991" s="633"/>
      <c r="E991" s="633"/>
      <c r="F991" s="633"/>
      <c r="G991" s="633"/>
      <c r="H991" s="633"/>
      <c r="I991" s="633"/>
      <c r="J991" s="633"/>
      <c r="K991" s="633"/>
      <c r="L991" s="633"/>
      <c r="M991" s="633"/>
      <c r="N991" s="633"/>
      <c r="O991" s="633"/>
      <c r="P991" s="633"/>
      <c r="Q991" s="633"/>
      <c r="R991" s="633"/>
      <c r="S991" s="633"/>
      <c r="T991" s="633"/>
    </row>
    <row r="992">
      <c r="A992" s="633"/>
      <c r="B992" s="633"/>
      <c r="C992" s="633"/>
      <c r="D992" s="633"/>
      <c r="E992" s="633"/>
      <c r="F992" s="633"/>
      <c r="G992" s="633"/>
      <c r="H992" s="633"/>
      <c r="I992" s="633"/>
      <c r="J992" s="633"/>
      <c r="K992" s="633"/>
      <c r="L992" s="633"/>
      <c r="M992" s="633"/>
      <c r="N992" s="633"/>
      <c r="O992" s="633"/>
      <c r="P992" s="633"/>
      <c r="Q992" s="633"/>
      <c r="R992" s="633"/>
      <c r="S992" s="633"/>
      <c r="T992" s="633"/>
    </row>
    <row r="993">
      <c r="A993" s="633"/>
      <c r="B993" s="633"/>
      <c r="C993" s="633"/>
      <c r="D993" s="633"/>
      <c r="E993" s="633"/>
      <c r="F993" s="633"/>
      <c r="G993" s="633"/>
      <c r="H993" s="633"/>
      <c r="I993" s="633"/>
      <c r="J993" s="633"/>
      <c r="K993" s="633"/>
      <c r="L993" s="633"/>
      <c r="M993" s="633"/>
      <c r="N993" s="633"/>
      <c r="O993" s="633"/>
      <c r="P993" s="633"/>
      <c r="Q993" s="633"/>
      <c r="R993" s="633"/>
      <c r="S993" s="633"/>
      <c r="T993" s="633"/>
    </row>
    <row r="994">
      <c r="A994" s="633"/>
      <c r="B994" s="633"/>
      <c r="C994" s="633"/>
      <c r="D994" s="633"/>
      <c r="E994" s="633"/>
      <c r="F994" s="633"/>
      <c r="G994" s="633"/>
      <c r="H994" s="633"/>
      <c r="I994" s="633"/>
      <c r="J994" s="633"/>
      <c r="K994" s="633"/>
      <c r="L994" s="633"/>
      <c r="M994" s="633"/>
      <c r="N994" s="633"/>
      <c r="O994" s="633"/>
      <c r="P994" s="633"/>
      <c r="Q994" s="633"/>
      <c r="R994" s="633"/>
      <c r="S994" s="633"/>
      <c r="T994" s="633"/>
    </row>
    <row r="995">
      <c r="A995" s="633"/>
      <c r="B995" s="633"/>
      <c r="C995" s="633"/>
      <c r="D995" s="633"/>
      <c r="E995" s="633"/>
      <c r="F995" s="633"/>
      <c r="G995" s="633"/>
      <c r="H995" s="633"/>
      <c r="I995" s="633"/>
      <c r="J995" s="633"/>
      <c r="K995" s="633"/>
      <c r="L995" s="633"/>
      <c r="M995" s="633"/>
      <c r="N995" s="633"/>
      <c r="O995" s="633"/>
      <c r="P995" s="633"/>
      <c r="Q995" s="633"/>
      <c r="R995" s="633"/>
      <c r="S995" s="633"/>
      <c r="T995" s="633"/>
    </row>
    <row r="996">
      <c r="A996" s="633"/>
      <c r="B996" s="633"/>
      <c r="C996" s="633"/>
      <c r="D996" s="633"/>
      <c r="E996" s="633"/>
      <c r="F996" s="633"/>
      <c r="G996" s="633"/>
      <c r="H996" s="633"/>
      <c r="I996" s="633"/>
      <c r="J996" s="633"/>
      <c r="K996" s="633"/>
      <c r="L996" s="633"/>
      <c r="M996" s="633"/>
      <c r="N996" s="633"/>
      <c r="O996" s="633"/>
      <c r="P996" s="633"/>
      <c r="Q996" s="633"/>
      <c r="R996" s="633"/>
      <c r="S996" s="633"/>
      <c r="T996" s="633"/>
    </row>
    <row r="997">
      <c r="A997" s="633"/>
      <c r="B997" s="633"/>
      <c r="C997" s="633"/>
      <c r="D997" s="633"/>
      <c r="E997" s="633"/>
      <c r="F997" s="633"/>
      <c r="G997" s="633"/>
      <c r="H997" s="633"/>
      <c r="I997" s="633"/>
      <c r="J997" s="633"/>
      <c r="K997" s="633"/>
      <c r="L997" s="633"/>
      <c r="M997" s="633"/>
      <c r="N997" s="633"/>
      <c r="O997" s="633"/>
      <c r="P997" s="633"/>
      <c r="Q997" s="633"/>
      <c r="R997" s="633"/>
      <c r="S997" s="633"/>
      <c r="T997" s="633"/>
    </row>
    <row r="998">
      <c r="A998" s="633"/>
      <c r="B998" s="633"/>
      <c r="C998" s="633"/>
      <c r="D998" s="633"/>
      <c r="E998" s="633"/>
      <c r="F998" s="633"/>
      <c r="G998" s="633"/>
      <c r="H998" s="633"/>
      <c r="I998" s="633"/>
      <c r="J998" s="633"/>
      <c r="K998" s="633"/>
      <c r="L998" s="633"/>
      <c r="M998" s="633"/>
      <c r="N998" s="633"/>
      <c r="O998" s="633"/>
      <c r="P998" s="633"/>
      <c r="Q998" s="633"/>
      <c r="R998" s="633"/>
      <c r="S998" s="633"/>
      <c r="T998" s="633"/>
    </row>
    <row r="999">
      <c r="A999" s="633"/>
      <c r="B999" s="633"/>
      <c r="C999" s="633"/>
      <c r="D999" s="633"/>
      <c r="E999" s="633"/>
      <c r="F999" s="633"/>
      <c r="G999" s="633"/>
      <c r="H999" s="633"/>
      <c r="I999" s="633"/>
      <c r="J999" s="633"/>
      <c r="K999" s="633"/>
      <c r="L999" s="633"/>
      <c r="M999" s="633"/>
      <c r="N999" s="633"/>
      <c r="O999" s="633"/>
      <c r="P999" s="633"/>
      <c r="Q999" s="633"/>
      <c r="R999" s="633"/>
      <c r="S999" s="633"/>
      <c r="T999" s="633"/>
    </row>
    <row r="1000">
      <c r="A1000" s="633"/>
      <c r="B1000" s="633"/>
      <c r="C1000" s="633"/>
      <c r="D1000" s="633"/>
      <c r="E1000" s="633"/>
      <c r="F1000" s="633"/>
      <c r="G1000" s="633"/>
      <c r="H1000" s="633"/>
      <c r="I1000" s="633"/>
      <c r="J1000" s="633"/>
      <c r="K1000" s="633"/>
      <c r="L1000" s="633"/>
      <c r="M1000" s="633"/>
      <c r="N1000" s="633"/>
      <c r="O1000" s="633"/>
      <c r="P1000" s="633"/>
      <c r="Q1000" s="633"/>
      <c r="R1000" s="633"/>
      <c r="S1000" s="633"/>
      <c r="T1000" s="633"/>
    </row>
    <row r="1001">
      <c r="A1001" s="633"/>
      <c r="B1001" s="633"/>
      <c r="C1001" s="633"/>
      <c r="D1001" s="633"/>
      <c r="E1001" s="633"/>
      <c r="F1001" s="633"/>
      <c r="G1001" s="633"/>
      <c r="H1001" s="633"/>
      <c r="I1001" s="633"/>
      <c r="J1001" s="633"/>
      <c r="K1001" s="633"/>
      <c r="L1001" s="633"/>
      <c r="M1001" s="633"/>
      <c r="N1001" s="633"/>
      <c r="O1001" s="633"/>
      <c r="P1001" s="633"/>
      <c r="Q1001" s="633"/>
      <c r="R1001" s="633"/>
      <c r="S1001" s="633"/>
      <c r="T1001" s="633"/>
    </row>
    <row r="1002">
      <c r="A1002" s="633"/>
      <c r="B1002" s="633"/>
      <c r="C1002" s="633"/>
      <c r="D1002" s="633"/>
      <c r="E1002" s="633"/>
      <c r="F1002" s="633"/>
      <c r="G1002" s="633"/>
      <c r="H1002" s="633"/>
      <c r="I1002" s="633"/>
      <c r="J1002" s="633"/>
      <c r="K1002" s="633"/>
      <c r="L1002" s="633"/>
      <c r="M1002" s="633"/>
      <c r="N1002" s="633"/>
      <c r="O1002" s="633"/>
      <c r="P1002" s="633"/>
      <c r="Q1002" s="633"/>
      <c r="R1002" s="633"/>
      <c r="S1002" s="633"/>
      <c r="T1002" s="633"/>
    </row>
  </sheetData>
  <mergeCells count="20">
    <mergeCell ref="A1:A2"/>
    <mergeCell ref="B1:B2"/>
    <mergeCell ref="C1:C2"/>
    <mergeCell ref="D1:D2"/>
    <mergeCell ref="E1:E2"/>
    <mergeCell ref="F1:F2"/>
    <mergeCell ref="G1:G2"/>
    <mergeCell ref="O1:O2"/>
    <mergeCell ref="P1:P2"/>
    <mergeCell ref="Q1:Q2"/>
    <mergeCell ref="R1:R2"/>
    <mergeCell ref="S1:S2"/>
    <mergeCell ref="T1:T2"/>
    <mergeCell ref="H1:H2"/>
    <mergeCell ref="I1:I2"/>
    <mergeCell ref="J1:J2"/>
    <mergeCell ref="K1:K2"/>
    <mergeCell ref="L1:L2"/>
    <mergeCell ref="M1:M2"/>
    <mergeCell ref="N1:N2"/>
  </mergeCells>
  <hyperlinks>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s>
  <drawing r:id="rId21"/>
  <legacyDrawing r:id="rId2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13"/>
    <col customWidth="1" min="3" max="3" width="14.25"/>
    <col customWidth="1" min="4" max="4" width="25.13"/>
    <col customWidth="1" min="5" max="5" width="6.75"/>
    <col customWidth="1" min="6" max="6" width="60.5"/>
  </cols>
  <sheetData>
    <row r="2">
      <c r="B2" s="320" t="s">
        <v>450</v>
      </c>
      <c r="C2" s="34"/>
      <c r="D2" s="34"/>
      <c r="E2" s="34"/>
      <c r="F2" s="34"/>
      <c r="G2" s="14"/>
    </row>
    <row r="3">
      <c r="B3" s="323" t="s">
        <v>183</v>
      </c>
      <c r="C3" s="323" t="s">
        <v>170</v>
      </c>
      <c r="D3" s="323" t="s">
        <v>453</v>
      </c>
      <c r="E3" s="323" t="s">
        <v>172</v>
      </c>
      <c r="F3" s="323" t="s">
        <v>174</v>
      </c>
      <c r="G3" s="323" t="s">
        <v>454</v>
      </c>
    </row>
    <row r="4">
      <c r="B4" s="324" t="s">
        <v>458</v>
      </c>
      <c r="C4" s="324" t="s">
        <v>459</v>
      </c>
      <c r="D4" s="324" t="s">
        <v>460</v>
      </c>
      <c r="E4" s="324" t="s">
        <v>461</v>
      </c>
      <c r="F4" s="324" t="s">
        <v>462</v>
      </c>
      <c r="G4" s="325">
        <v>3.0</v>
      </c>
    </row>
    <row r="5">
      <c r="B5" s="324" t="s">
        <v>466</v>
      </c>
      <c r="C5" s="324" t="s">
        <v>467</v>
      </c>
      <c r="D5" s="324" t="s">
        <v>460</v>
      </c>
      <c r="E5" s="324" t="s">
        <v>199</v>
      </c>
      <c r="F5" s="324" t="s">
        <v>468</v>
      </c>
      <c r="G5" s="325">
        <v>2.0</v>
      </c>
    </row>
    <row r="6">
      <c r="B6" s="324" t="s">
        <v>471</v>
      </c>
      <c r="C6" s="324" t="s">
        <v>472</v>
      </c>
      <c r="D6" s="324" t="s">
        <v>460</v>
      </c>
      <c r="E6" s="324" t="s">
        <v>461</v>
      </c>
      <c r="F6" s="324" t="s">
        <v>4530</v>
      </c>
      <c r="G6" s="325">
        <v>5.0</v>
      </c>
    </row>
    <row r="7">
      <c r="B7" s="324" t="s">
        <v>476</v>
      </c>
      <c r="C7" s="324" t="s">
        <v>477</v>
      </c>
      <c r="D7" s="324" t="s">
        <v>460</v>
      </c>
      <c r="E7" s="324" t="s">
        <v>461</v>
      </c>
      <c r="F7" s="324" t="s">
        <v>4531</v>
      </c>
      <c r="G7" s="325">
        <v>1.0</v>
      </c>
    </row>
    <row r="8">
      <c r="B8" s="191"/>
      <c r="C8" s="191"/>
      <c r="D8" s="191"/>
      <c r="E8" s="191"/>
      <c r="F8" s="191"/>
    </row>
    <row r="9">
      <c r="B9" s="191"/>
      <c r="C9" s="191"/>
      <c r="D9" s="191"/>
      <c r="E9" s="191"/>
      <c r="F9" s="191"/>
    </row>
    <row r="10">
      <c r="B10" s="191"/>
      <c r="C10" s="191"/>
      <c r="D10" s="191"/>
      <c r="E10" s="191"/>
      <c r="F10" s="191"/>
    </row>
    <row r="11">
      <c r="B11" s="191"/>
      <c r="C11" s="191"/>
      <c r="D11" s="191"/>
      <c r="E11" s="191"/>
      <c r="F11" s="191"/>
    </row>
    <row r="12">
      <c r="B12" s="191"/>
      <c r="C12" s="191"/>
      <c r="D12" s="191"/>
      <c r="E12" s="191"/>
      <c r="F12" s="191"/>
    </row>
    <row r="13">
      <c r="B13" s="191"/>
      <c r="C13" s="191"/>
      <c r="D13" s="191"/>
      <c r="E13" s="191"/>
      <c r="F13" s="191"/>
    </row>
    <row r="14">
      <c r="B14" s="191"/>
      <c r="C14" s="191"/>
      <c r="D14" s="191"/>
      <c r="E14" s="191"/>
      <c r="F14" s="191"/>
    </row>
    <row r="15">
      <c r="B15" s="191"/>
      <c r="C15" s="191"/>
      <c r="D15" s="191"/>
      <c r="E15" s="191"/>
      <c r="F15" s="191"/>
    </row>
    <row r="16">
      <c r="B16" s="191"/>
      <c r="C16" s="191"/>
      <c r="D16" s="191"/>
      <c r="E16" s="191"/>
      <c r="F16" s="191"/>
    </row>
    <row r="17">
      <c r="B17" s="191"/>
      <c r="C17" s="191"/>
      <c r="D17" s="191"/>
      <c r="E17" s="191"/>
      <c r="F17" s="191"/>
    </row>
    <row r="18">
      <c r="B18" s="191"/>
      <c r="C18" s="191"/>
      <c r="D18" s="191"/>
      <c r="E18" s="191"/>
      <c r="F18" s="191"/>
    </row>
    <row r="19">
      <c r="B19" s="191"/>
      <c r="C19" s="191"/>
      <c r="D19" s="191"/>
      <c r="E19" s="191"/>
      <c r="F19" s="191"/>
    </row>
    <row r="20">
      <c r="B20" s="191"/>
      <c r="C20" s="191"/>
      <c r="D20" s="191"/>
      <c r="E20" s="191"/>
      <c r="F20" s="191"/>
    </row>
    <row r="21">
      <c r="B21" s="191"/>
      <c r="C21" s="191"/>
      <c r="D21" s="191"/>
      <c r="E21" s="191"/>
      <c r="F21" s="191"/>
    </row>
    <row r="22">
      <c r="B22" s="191"/>
      <c r="C22" s="191"/>
      <c r="D22" s="191"/>
      <c r="E22" s="191"/>
      <c r="F22" s="191"/>
    </row>
    <row r="23">
      <c r="B23" s="191"/>
      <c r="C23" s="191"/>
      <c r="D23" s="191"/>
      <c r="E23" s="191"/>
      <c r="F23" s="191"/>
    </row>
    <row r="24">
      <c r="B24" s="191"/>
      <c r="C24" s="191"/>
      <c r="D24" s="191"/>
      <c r="E24" s="191"/>
      <c r="F24" s="191"/>
    </row>
    <row r="25">
      <c r="B25" s="191"/>
      <c r="C25" s="191"/>
      <c r="D25" s="191"/>
      <c r="E25" s="191"/>
      <c r="F25" s="191"/>
    </row>
    <row r="26">
      <c r="B26" s="191"/>
      <c r="C26" s="191"/>
      <c r="D26" s="191"/>
      <c r="E26" s="191"/>
      <c r="F26" s="191"/>
    </row>
    <row r="27">
      <c r="B27" s="191"/>
      <c r="C27" s="191"/>
      <c r="D27" s="191"/>
      <c r="E27" s="191"/>
      <c r="F27" s="191"/>
    </row>
    <row r="28">
      <c r="B28" s="191"/>
      <c r="C28" s="191"/>
      <c r="D28" s="191"/>
      <c r="E28" s="191"/>
      <c r="F28" s="191"/>
    </row>
    <row r="29">
      <c r="B29" s="191"/>
      <c r="C29" s="191"/>
      <c r="D29" s="191"/>
      <c r="E29" s="191"/>
      <c r="F29" s="191"/>
    </row>
    <row r="30">
      <c r="B30" s="191"/>
      <c r="C30" s="191"/>
      <c r="D30" s="191"/>
      <c r="E30" s="191"/>
      <c r="F30" s="191"/>
    </row>
    <row r="31">
      <c r="B31" s="191"/>
      <c r="C31" s="191"/>
      <c r="D31" s="191"/>
      <c r="E31" s="191"/>
      <c r="F31" s="191"/>
    </row>
    <row r="32">
      <c r="B32" s="191"/>
      <c r="C32" s="191"/>
      <c r="D32" s="191"/>
      <c r="E32" s="191"/>
      <c r="F32" s="191"/>
    </row>
    <row r="33">
      <c r="B33" s="191"/>
      <c r="C33" s="191"/>
      <c r="D33" s="191"/>
      <c r="E33" s="191"/>
      <c r="F33" s="191"/>
    </row>
    <row r="34">
      <c r="B34" s="191"/>
      <c r="C34" s="191"/>
      <c r="D34" s="191"/>
      <c r="E34" s="191"/>
      <c r="F34" s="191"/>
    </row>
    <row r="35">
      <c r="B35" s="191"/>
      <c r="C35" s="191"/>
      <c r="D35" s="191"/>
      <c r="E35" s="191"/>
      <c r="F35" s="191"/>
    </row>
    <row r="36">
      <c r="B36" s="191"/>
      <c r="C36" s="191"/>
      <c r="D36" s="191"/>
      <c r="E36" s="191"/>
      <c r="F36" s="191"/>
    </row>
    <row r="37">
      <c r="B37" s="191"/>
      <c r="C37" s="191"/>
      <c r="D37" s="191"/>
      <c r="E37" s="191"/>
      <c r="F37" s="191"/>
    </row>
    <row r="38">
      <c r="B38" s="191"/>
      <c r="C38" s="191"/>
      <c r="D38" s="191"/>
      <c r="E38" s="191"/>
      <c r="F38" s="191"/>
    </row>
    <row r="39">
      <c r="B39" s="191"/>
      <c r="C39" s="191"/>
      <c r="D39" s="191"/>
      <c r="E39" s="191"/>
      <c r="F39" s="191"/>
    </row>
    <row r="40">
      <c r="B40" s="191"/>
      <c r="C40" s="191"/>
      <c r="D40" s="191"/>
      <c r="E40" s="191"/>
      <c r="F40" s="191"/>
    </row>
    <row r="41">
      <c r="B41" s="191"/>
      <c r="C41" s="191"/>
      <c r="D41" s="191"/>
      <c r="E41" s="191"/>
      <c r="F41" s="191"/>
    </row>
  </sheetData>
  <mergeCells count="1">
    <mergeCell ref="B2:G2"/>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63"/>
    <col customWidth="1" min="3" max="3" width="25.5"/>
  </cols>
  <sheetData>
    <row r="1">
      <c r="B1" s="634" t="s">
        <v>4532</v>
      </c>
    </row>
    <row r="2">
      <c r="B2" s="635" t="s">
        <v>195</v>
      </c>
      <c r="C2" s="634">
        <v>1.0</v>
      </c>
    </row>
    <row r="3">
      <c r="B3" s="635" t="s">
        <v>212</v>
      </c>
      <c r="C3" s="634">
        <v>2.0</v>
      </c>
    </row>
    <row r="4">
      <c r="B4" s="635" t="s">
        <v>329</v>
      </c>
      <c r="C4" s="636">
        <v>44683.0</v>
      </c>
    </row>
    <row r="5">
      <c r="B5" s="635" t="s">
        <v>4533</v>
      </c>
      <c r="C5" s="634">
        <v>2.0</v>
      </c>
    </row>
    <row r="6">
      <c r="B6" s="635" t="s">
        <v>416</v>
      </c>
      <c r="C6" s="634">
        <v>2.0</v>
      </c>
    </row>
    <row r="7">
      <c r="B7" s="635" t="s">
        <v>4534</v>
      </c>
      <c r="C7" s="634" t="s">
        <v>4535</v>
      </c>
    </row>
    <row r="8">
      <c r="A8" s="637"/>
      <c r="B8" s="638"/>
    </row>
    <row r="9">
      <c r="A9" s="637"/>
      <c r="B9" s="638"/>
    </row>
    <row r="10">
      <c r="A10" s="637"/>
      <c r="B10" s="638"/>
    </row>
    <row r="11">
      <c r="A11" s="637"/>
      <c r="B11" s="638"/>
    </row>
    <row r="12">
      <c r="A12" s="637"/>
      <c r="B12" s="638"/>
    </row>
    <row r="13">
      <c r="A13" s="637"/>
      <c r="B13" s="638"/>
    </row>
    <row r="14">
      <c r="A14" s="637"/>
      <c r="B14" s="638"/>
    </row>
    <row r="15">
      <c r="A15" s="637"/>
      <c r="B15" s="638"/>
    </row>
    <row r="16">
      <c r="A16" s="637"/>
      <c r="B16" s="638"/>
    </row>
    <row r="17">
      <c r="A17" s="637"/>
      <c r="B17" s="638"/>
    </row>
    <row r="18">
      <c r="A18" s="637"/>
      <c r="B18" s="638"/>
    </row>
    <row r="19">
      <c r="A19" s="637"/>
      <c r="B19" s="638"/>
    </row>
    <row r="20">
      <c r="A20" s="637"/>
      <c r="B20" s="638"/>
    </row>
    <row r="21">
      <c r="A21" s="637"/>
      <c r="B21" s="638"/>
    </row>
    <row r="22">
      <c r="A22" s="639"/>
      <c r="B22" s="640"/>
    </row>
    <row r="23">
      <c r="A23" s="641"/>
      <c r="B23" s="192"/>
    </row>
  </sheetData>
  <mergeCells count="1">
    <mergeCell ref="B1:C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3.13"/>
    <col customWidth="1" min="3" max="3" width="3.0"/>
    <col customWidth="1" min="4" max="4" width="2.88"/>
    <col customWidth="1" min="5" max="5" width="3.0"/>
    <col customWidth="1" min="6" max="6" width="3.13"/>
    <col customWidth="1" min="7" max="7" width="3.25"/>
  </cols>
  <sheetData>
    <row r="1">
      <c r="C1" s="642"/>
      <c r="D1" s="642"/>
      <c r="E1" s="642"/>
    </row>
    <row r="2">
      <c r="B2" s="643"/>
      <c r="F2" s="644"/>
    </row>
    <row r="3">
      <c r="A3" s="643"/>
      <c r="G3" s="644"/>
    </row>
    <row r="4">
      <c r="A4" s="645"/>
      <c r="G4" s="646"/>
    </row>
    <row r="5">
      <c r="A5" s="645"/>
      <c r="D5" s="634" t="s">
        <v>4536</v>
      </c>
      <c r="G5" s="646"/>
    </row>
    <row r="6">
      <c r="A6" s="644"/>
      <c r="G6" s="643"/>
    </row>
    <row r="7">
      <c r="B7" s="644"/>
      <c r="F7" s="643"/>
    </row>
    <row r="8">
      <c r="C8" s="644"/>
      <c r="E8" s="643"/>
    </row>
    <row r="9">
      <c r="D9" s="647"/>
    </row>
    <row r="10">
      <c r="D10" s="648" t="s">
        <v>4537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88"/>
    <col customWidth="1" min="3" max="3" width="16.63"/>
    <col customWidth="1" min="4" max="4" width="40.5"/>
    <col customWidth="1" min="8" max="8" width="19.63"/>
    <col customWidth="1" min="9" max="9" width="63.75"/>
    <col customWidth="1" min="10" max="10" width="24.88"/>
  </cols>
  <sheetData>
    <row r="2">
      <c r="B2" s="649" t="s">
        <v>449</v>
      </c>
      <c r="C2" s="34"/>
      <c r="D2" s="34"/>
      <c r="E2" s="14"/>
    </row>
    <row r="3">
      <c r="B3" s="650" t="s">
        <v>183</v>
      </c>
      <c r="C3" s="651" t="s">
        <v>451</v>
      </c>
      <c r="D3" s="651" t="s">
        <v>452</v>
      </c>
      <c r="E3" s="651" t="s">
        <v>172</v>
      </c>
    </row>
    <row r="4">
      <c r="B4" s="324" t="s">
        <v>4538</v>
      </c>
      <c r="C4" s="324" t="s">
        <v>475</v>
      </c>
      <c r="D4" s="324" t="s">
        <v>457</v>
      </c>
      <c r="E4" s="324" t="s">
        <v>203</v>
      </c>
      <c r="I4" s="652"/>
      <c r="J4" s="652"/>
    </row>
    <row r="5">
      <c r="B5" s="653" t="s">
        <v>4539</v>
      </c>
      <c r="C5" s="653" t="s">
        <v>464</v>
      </c>
      <c r="D5" s="653" t="s">
        <v>4540</v>
      </c>
      <c r="E5" s="653" t="s">
        <v>203</v>
      </c>
      <c r="I5" s="652"/>
      <c r="J5" s="652"/>
    </row>
    <row r="6">
      <c r="B6" s="324" t="s">
        <v>4541</v>
      </c>
      <c r="C6" s="324" t="s">
        <v>464</v>
      </c>
      <c r="D6" s="324" t="s">
        <v>470</v>
      </c>
      <c r="E6" s="324" t="s">
        <v>199</v>
      </c>
      <c r="I6" s="652"/>
      <c r="J6" s="652"/>
    </row>
    <row r="7">
      <c r="B7" s="653" t="s">
        <v>4542</v>
      </c>
      <c r="C7" s="653" t="s">
        <v>475</v>
      </c>
      <c r="D7" s="653" t="s">
        <v>123</v>
      </c>
      <c r="E7" s="653" t="s">
        <v>207</v>
      </c>
      <c r="I7" s="652"/>
      <c r="J7" s="652"/>
    </row>
    <row r="8">
      <c r="B8" s="324" t="s">
        <v>4543</v>
      </c>
      <c r="C8" s="324" t="s">
        <v>480</v>
      </c>
      <c r="D8" s="324" t="s">
        <v>481</v>
      </c>
      <c r="E8" s="324" t="s">
        <v>225</v>
      </c>
      <c r="I8" s="652"/>
      <c r="J8" s="652"/>
    </row>
    <row r="9">
      <c r="B9" s="653" t="s">
        <v>4544</v>
      </c>
      <c r="C9" s="653" t="s">
        <v>486</v>
      </c>
      <c r="D9" s="653" t="s">
        <v>487</v>
      </c>
      <c r="E9" s="653" t="s">
        <v>488</v>
      </c>
      <c r="I9" s="652"/>
      <c r="J9" s="652"/>
    </row>
    <row r="10">
      <c r="B10" s="436" t="s">
        <v>4545</v>
      </c>
      <c r="C10" s="34"/>
      <c r="D10" s="34"/>
      <c r="E10" s="14"/>
      <c r="J10" s="652"/>
      <c r="K10" s="192"/>
    </row>
    <row r="11">
      <c r="J11" s="652"/>
    </row>
    <row r="12">
      <c r="B12" s="320" t="s">
        <v>4546</v>
      </c>
      <c r="C12" s="34"/>
      <c r="D12" s="34"/>
      <c r="E12" s="34"/>
      <c r="F12" s="34"/>
      <c r="G12" s="34"/>
      <c r="H12" s="14"/>
      <c r="I12" s="652"/>
      <c r="J12" s="654"/>
    </row>
    <row r="13">
      <c r="B13" s="655" t="s">
        <v>167</v>
      </c>
      <c r="C13" s="655" t="s">
        <v>168</v>
      </c>
      <c r="D13" s="655" t="s">
        <v>4547</v>
      </c>
      <c r="E13" s="655" t="s">
        <v>172</v>
      </c>
      <c r="F13" s="656" t="s">
        <v>174</v>
      </c>
      <c r="G13" s="34"/>
      <c r="H13" s="14"/>
      <c r="I13" s="652"/>
    </row>
    <row r="14">
      <c r="B14" s="657" t="s">
        <v>309</v>
      </c>
      <c r="C14" s="34"/>
      <c r="D14" s="34"/>
      <c r="E14" s="34"/>
      <c r="F14" s="34"/>
      <c r="G14" s="34"/>
      <c r="H14" s="14"/>
      <c r="I14" s="318"/>
    </row>
    <row r="15">
      <c r="B15" s="435" t="s">
        <v>125</v>
      </c>
      <c r="C15" s="324" t="s">
        <v>4548</v>
      </c>
      <c r="D15" s="324">
        <v>250.0</v>
      </c>
      <c r="E15" s="324" t="s">
        <v>207</v>
      </c>
      <c r="F15" s="658" t="s">
        <v>4549</v>
      </c>
      <c r="G15" s="34"/>
      <c r="H15" s="14"/>
    </row>
    <row r="16">
      <c r="B16" s="659" t="s">
        <v>129</v>
      </c>
      <c r="C16" s="653" t="s">
        <v>4548</v>
      </c>
      <c r="D16" s="653">
        <v>250.0</v>
      </c>
      <c r="E16" s="653" t="s">
        <v>199</v>
      </c>
      <c r="F16" s="660" t="s">
        <v>4550</v>
      </c>
      <c r="G16" s="34"/>
      <c r="H16" s="14"/>
    </row>
    <row r="17">
      <c r="B17" s="435" t="s">
        <v>127</v>
      </c>
      <c r="C17" s="324" t="s">
        <v>4551</v>
      </c>
      <c r="D17" s="324">
        <v>300.0</v>
      </c>
      <c r="E17" s="324" t="s">
        <v>191</v>
      </c>
      <c r="F17" s="658" t="s">
        <v>4552</v>
      </c>
      <c r="G17" s="34"/>
      <c r="H17" s="14"/>
    </row>
    <row r="18">
      <c r="B18" s="659" t="s">
        <v>133</v>
      </c>
      <c r="C18" s="653" t="s">
        <v>4553</v>
      </c>
      <c r="D18" s="653">
        <v>800.0</v>
      </c>
      <c r="E18" s="653" t="s">
        <v>191</v>
      </c>
      <c r="F18" s="660" t="s">
        <v>4554</v>
      </c>
      <c r="G18" s="34"/>
      <c r="H18" s="14"/>
    </row>
    <row r="19">
      <c r="B19" s="661" t="s">
        <v>325</v>
      </c>
      <c r="C19" s="34"/>
      <c r="D19" s="34"/>
      <c r="E19" s="34"/>
      <c r="F19" s="34"/>
      <c r="G19" s="34"/>
      <c r="H19" s="14"/>
    </row>
    <row r="20">
      <c r="B20" s="659" t="s">
        <v>126</v>
      </c>
      <c r="C20" s="653" t="s">
        <v>4555</v>
      </c>
      <c r="D20" s="653">
        <v>500.0</v>
      </c>
      <c r="E20" s="653" t="s">
        <v>211</v>
      </c>
      <c r="F20" s="660" t="s">
        <v>4556</v>
      </c>
      <c r="G20" s="34"/>
      <c r="H20" s="14"/>
    </row>
    <row r="21">
      <c r="B21" s="435" t="s">
        <v>130</v>
      </c>
      <c r="C21" s="324" t="s">
        <v>4557</v>
      </c>
      <c r="D21" s="324">
        <v>200.0</v>
      </c>
      <c r="E21" s="324" t="s">
        <v>333</v>
      </c>
      <c r="F21" s="658" t="s">
        <v>4558</v>
      </c>
      <c r="G21" s="34"/>
      <c r="H21" s="14"/>
    </row>
    <row r="22">
      <c r="B22" s="659" t="s">
        <v>131</v>
      </c>
      <c r="C22" s="653" t="s">
        <v>4551</v>
      </c>
      <c r="D22" s="653">
        <v>900.0</v>
      </c>
      <c r="E22" s="653" t="s">
        <v>258</v>
      </c>
      <c r="F22" s="662" t="s">
        <v>4559</v>
      </c>
      <c r="G22" s="34"/>
      <c r="H22" s="14"/>
    </row>
    <row r="23">
      <c r="B23" s="435" t="s">
        <v>134</v>
      </c>
      <c r="C23" s="324" t="s">
        <v>4553</v>
      </c>
      <c r="D23" s="324">
        <v>400.0</v>
      </c>
      <c r="E23" s="324" t="s">
        <v>225</v>
      </c>
      <c r="F23" s="658" t="s">
        <v>4560</v>
      </c>
      <c r="G23" s="34"/>
      <c r="H23" s="14"/>
    </row>
    <row r="24">
      <c r="B24" s="657" t="s">
        <v>4561</v>
      </c>
      <c r="C24" s="34"/>
      <c r="D24" s="34"/>
      <c r="E24" s="34"/>
      <c r="F24" s="34"/>
      <c r="G24" s="34"/>
      <c r="H24" s="14"/>
    </row>
    <row r="25">
      <c r="B25" s="435" t="s">
        <v>90</v>
      </c>
      <c r="C25" s="324" t="s">
        <v>4553</v>
      </c>
      <c r="D25" s="324">
        <v>100.0</v>
      </c>
      <c r="E25" s="324" t="s">
        <v>253</v>
      </c>
      <c r="F25" s="663" t="s">
        <v>4562</v>
      </c>
      <c r="G25" s="34"/>
      <c r="H25" s="14"/>
    </row>
    <row r="26">
      <c r="B26" s="659" t="s">
        <v>4563</v>
      </c>
      <c r="C26" s="653" t="s">
        <v>4548</v>
      </c>
      <c r="D26" s="653">
        <v>200.0</v>
      </c>
      <c r="E26" s="653" t="s">
        <v>4564</v>
      </c>
      <c r="F26" s="664" t="s">
        <v>4565</v>
      </c>
      <c r="G26" s="34"/>
      <c r="H26" s="14"/>
    </row>
    <row r="27">
      <c r="B27" s="435" t="s">
        <v>4566</v>
      </c>
      <c r="C27" s="324" t="s">
        <v>4567</v>
      </c>
      <c r="D27" s="324">
        <v>350.0</v>
      </c>
      <c r="E27" s="324" t="s">
        <v>207</v>
      </c>
      <c r="F27" s="436" t="s">
        <v>4568</v>
      </c>
      <c r="G27" s="34"/>
      <c r="H27" s="14"/>
    </row>
    <row r="28">
      <c r="B28" s="318" t="s">
        <v>4569</v>
      </c>
    </row>
    <row r="30">
      <c r="B30" s="320" t="s">
        <v>4570</v>
      </c>
      <c r="C30" s="34"/>
      <c r="D30" s="34"/>
      <c r="E30" s="34"/>
      <c r="F30" s="34"/>
      <c r="G30" s="34"/>
      <c r="H30" s="14"/>
    </row>
    <row r="31">
      <c r="B31" s="655" t="s">
        <v>167</v>
      </c>
      <c r="C31" s="655" t="s">
        <v>168</v>
      </c>
      <c r="D31" s="655" t="s">
        <v>4547</v>
      </c>
      <c r="E31" s="655" t="s">
        <v>172</v>
      </c>
      <c r="F31" s="656" t="s">
        <v>174</v>
      </c>
      <c r="G31" s="34"/>
      <c r="H31" s="14"/>
    </row>
    <row r="32">
      <c r="B32" s="657" t="s">
        <v>309</v>
      </c>
      <c r="C32" s="34"/>
      <c r="D32" s="34"/>
      <c r="E32" s="34"/>
      <c r="F32" s="34"/>
      <c r="G32" s="34"/>
      <c r="H32" s="14"/>
    </row>
    <row r="33">
      <c r="B33" s="435" t="s">
        <v>137</v>
      </c>
      <c r="C33" s="324" t="s">
        <v>4553</v>
      </c>
      <c r="D33" s="324">
        <v>1000.0</v>
      </c>
      <c r="E33" s="324" t="s">
        <v>199</v>
      </c>
      <c r="F33" s="658" t="s">
        <v>4571</v>
      </c>
      <c r="G33" s="34"/>
      <c r="H33" s="14"/>
    </row>
    <row r="34">
      <c r="B34" s="659" t="s">
        <v>141</v>
      </c>
      <c r="C34" s="653" t="s">
        <v>4572</v>
      </c>
      <c r="D34" s="653">
        <v>1150.0</v>
      </c>
      <c r="E34" s="653" t="s">
        <v>207</v>
      </c>
      <c r="F34" s="660" t="s">
        <v>4573</v>
      </c>
      <c r="G34" s="34"/>
      <c r="H34" s="14"/>
    </row>
    <row r="35">
      <c r="B35" s="435" t="s">
        <v>135</v>
      </c>
      <c r="C35" s="324" t="s">
        <v>4574</v>
      </c>
      <c r="D35" s="324">
        <v>1200.0</v>
      </c>
      <c r="E35" s="324" t="s">
        <v>191</v>
      </c>
      <c r="F35" s="658" t="s">
        <v>4575</v>
      </c>
      <c r="G35" s="34"/>
      <c r="H35" s="14"/>
    </row>
    <row r="36">
      <c r="B36" s="657" t="s">
        <v>325</v>
      </c>
      <c r="C36" s="34"/>
      <c r="D36" s="34"/>
      <c r="E36" s="34"/>
      <c r="F36" s="34"/>
      <c r="G36" s="34"/>
      <c r="H36" s="14"/>
    </row>
    <row r="37">
      <c r="B37" s="665" t="s">
        <v>138</v>
      </c>
      <c r="C37" s="666" t="s">
        <v>4576</v>
      </c>
      <c r="D37" s="666">
        <v>1500.0</v>
      </c>
      <c r="E37" s="666" t="s">
        <v>211</v>
      </c>
      <c r="F37" s="667" t="s">
        <v>4577</v>
      </c>
      <c r="G37" s="34"/>
      <c r="H37" s="14"/>
    </row>
    <row r="38">
      <c r="B38" s="659" t="s">
        <v>142</v>
      </c>
      <c r="C38" s="653" t="s">
        <v>4578</v>
      </c>
      <c r="D38" s="653">
        <v>1350.0</v>
      </c>
      <c r="E38" s="653" t="s">
        <v>236</v>
      </c>
      <c r="F38" s="660" t="s">
        <v>4579</v>
      </c>
      <c r="G38" s="34"/>
      <c r="H38" s="14"/>
    </row>
    <row r="39">
      <c r="B39" s="668" t="s">
        <v>139</v>
      </c>
      <c r="C39" s="669" t="s">
        <v>4580</v>
      </c>
      <c r="D39" s="669">
        <v>2000.0</v>
      </c>
      <c r="E39" s="669" t="s">
        <v>258</v>
      </c>
      <c r="F39" s="670" t="s">
        <v>4581</v>
      </c>
      <c r="G39" s="671"/>
      <c r="H39" s="20"/>
    </row>
    <row r="40">
      <c r="B40" s="659" t="s">
        <v>146</v>
      </c>
      <c r="C40" s="653" t="s">
        <v>4582</v>
      </c>
      <c r="D40" s="653">
        <v>2900.0</v>
      </c>
      <c r="E40" s="653" t="s">
        <v>253</v>
      </c>
      <c r="F40" s="660" t="s">
        <v>4583</v>
      </c>
      <c r="G40" s="34"/>
      <c r="H40" s="14"/>
    </row>
    <row r="41">
      <c r="B41" s="672"/>
      <c r="C41" s="672"/>
      <c r="D41" s="672"/>
      <c r="E41" s="672"/>
      <c r="F41" s="672"/>
      <c r="G41" s="672"/>
      <c r="H41" s="672"/>
    </row>
    <row r="43">
      <c r="B43" s="320" t="s">
        <v>4584</v>
      </c>
      <c r="C43" s="34"/>
      <c r="D43" s="34"/>
      <c r="E43" s="34"/>
      <c r="F43" s="34"/>
      <c r="G43" s="34"/>
      <c r="H43" s="14"/>
    </row>
    <row r="44">
      <c r="B44" s="655" t="s">
        <v>167</v>
      </c>
      <c r="C44" s="655" t="s">
        <v>168</v>
      </c>
      <c r="D44" s="655" t="s">
        <v>4547</v>
      </c>
      <c r="E44" s="655" t="s">
        <v>172</v>
      </c>
      <c r="F44" s="656" t="s">
        <v>174</v>
      </c>
      <c r="G44" s="34"/>
      <c r="H44" s="14"/>
    </row>
    <row r="45">
      <c r="B45" s="657" t="s">
        <v>309</v>
      </c>
      <c r="C45" s="34"/>
      <c r="D45" s="34"/>
      <c r="E45" s="34"/>
      <c r="F45" s="34"/>
      <c r="G45" s="34"/>
      <c r="H45" s="14"/>
    </row>
    <row r="46">
      <c r="B46" s="435" t="s">
        <v>145</v>
      </c>
      <c r="C46" s="324" t="s">
        <v>4572</v>
      </c>
      <c r="D46" s="324">
        <v>2100.0</v>
      </c>
      <c r="E46" s="324" t="s">
        <v>207</v>
      </c>
      <c r="F46" s="658" t="s">
        <v>4585</v>
      </c>
      <c r="G46" s="34"/>
      <c r="H46" s="14"/>
    </row>
    <row r="47">
      <c r="B47" s="659" t="s">
        <v>4586</v>
      </c>
      <c r="C47" s="653" t="s">
        <v>4553</v>
      </c>
      <c r="D47" s="653">
        <v>2100.0</v>
      </c>
      <c r="E47" s="653" t="s">
        <v>207</v>
      </c>
      <c r="F47" s="660" t="s">
        <v>4587</v>
      </c>
      <c r="G47" s="34"/>
      <c r="H47" s="14"/>
    </row>
    <row r="48">
      <c r="B48" s="435" t="s">
        <v>148</v>
      </c>
      <c r="C48" s="324" t="s">
        <v>4580</v>
      </c>
      <c r="D48" s="324">
        <v>2200.0</v>
      </c>
      <c r="E48" s="324" t="s">
        <v>207</v>
      </c>
      <c r="F48" s="658" t="s">
        <v>4588</v>
      </c>
      <c r="G48" s="34"/>
      <c r="H48" s="14"/>
    </row>
    <row r="49">
      <c r="B49" s="673" t="s">
        <v>128</v>
      </c>
      <c r="C49" s="674" t="s">
        <v>4572</v>
      </c>
      <c r="D49" s="674">
        <v>2700.0</v>
      </c>
      <c r="E49" s="674" t="s">
        <v>191</v>
      </c>
      <c r="F49" s="675" t="s">
        <v>4589</v>
      </c>
      <c r="G49" s="34"/>
      <c r="H49" s="14"/>
    </row>
    <row r="50">
      <c r="B50" s="676" t="s">
        <v>325</v>
      </c>
      <c r="C50" s="34"/>
      <c r="D50" s="34"/>
      <c r="E50" s="34"/>
      <c r="F50" s="34"/>
      <c r="G50" s="34"/>
      <c r="H50" s="14"/>
    </row>
    <row r="51">
      <c r="B51" s="659" t="s">
        <v>149</v>
      </c>
      <c r="C51" s="653" t="s">
        <v>4580</v>
      </c>
      <c r="D51" s="653">
        <v>3500.0</v>
      </c>
      <c r="E51" s="653" t="s">
        <v>373</v>
      </c>
      <c r="F51" s="660" t="s">
        <v>4590</v>
      </c>
      <c r="G51" s="34"/>
      <c r="H51" s="14"/>
    </row>
    <row r="52">
      <c r="B52" s="665" t="s">
        <v>151</v>
      </c>
      <c r="C52" s="666" t="s">
        <v>4555</v>
      </c>
      <c r="D52" s="666">
        <v>3500.0</v>
      </c>
      <c r="E52" s="666" t="s">
        <v>373</v>
      </c>
      <c r="F52" s="667" t="s">
        <v>4591</v>
      </c>
      <c r="G52" s="34"/>
      <c r="H52" s="14"/>
    </row>
    <row r="53">
      <c r="B53" s="677" t="s">
        <v>132</v>
      </c>
      <c r="C53" s="678" t="s">
        <v>4592</v>
      </c>
      <c r="D53" s="678">
        <v>2500.0</v>
      </c>
      <c r="E53" s="678" t="s">
        <v>382</v>
      </c>
      <c r="F53" s="679" t="s">
        <v>4593</v>
      </c>
      <c r="G53" s="671"/>
      <c r="H53" s="20"/>
    </row>
    <row r="54">
      <c r="B54" s="665" t="s">
        <v>143</v>
      </c>
      <c r="C54" s="666" t="s">
        <v>4574</v>
      </c>
      <c r="D54" s="666">
        <v>2400.0</v>
      </c>
      <c r="E54" s="666" t="s">
        <v>388</v>
      </c>
      <c r="F54" s="667" t="s">
        <v>4594</v>
      </c>
      <c r="G54" s="34"/>
      <c r="H54" s="14"/>
    </row>
    <row r="55">
      <c r="B55" s="677" t="s">
        <v>136</v>
      </c>
      <c r="C55" s="678" t="s">
        <v>4595</v>
      </c>
      <c r="D55" s="678">
        <v>6500.0</v>
      </c>
      <c r="E55" s="678" t="s">
        <v>393</v>
      </c>
      <c r="F55" s="679" t="s">
        <v>4596</v>
      </c>
      <c r="G55" s="671"/>
      <c r="H55" s="20"/>
    </row>
    <row r="56">
      <c r="B56" s="665" t="s">
        <v>140</v>
      </c>
      <c r="C56" s="666" t="s">
        <v>4597</v>
      </c>
      <c r="D56" s="666">
        <v>3500.0</v>
      </c>
      <c r="E56" s="666" t="s">
        <v>373</v>
      </c>
      <c r="F56" s="667" t="s">
        <v>4598</v>
      </c>
      <c r="G56" s="34"/>
      <c r="H56" s="14"/>
    </row>
    <row r="57">
      <c r="B57" s="677" t="s">
        <v>144</v>
      </c>
      <c r="C57" s="678" t="s">
        <v>4599</v>
      </c>
      <c r="D57" s="678">
        <v>5500.0</v>
      </c>
      <c r="E57" s="678" t="s">
        <v>253</v>
      </c>
      <c r="F57" s="679" t="s">
        <v>4600</v>
      </c>
      <c r="G57" s="671"/>
      <c r="H57" s="20"/>
    </row>
    <row r="58">
      <c r="B58" s="665" t="s">
        <v>147</v>
      </c>
      <c r="C58" s="666" t="s">
        <v>4555</v>
      </c>
      <c r="D58" s="666">
        <v>5000.0</v>
      </c>
      <c r="E58" s="666" t="s">
        <v>211</v>
      </c>
      <c r="F58" s="667" t="s">
        <v>4601</v>
      </c>
      <c r="G58" s="34"/>
      <c r="H58" s="14"/>
    </row>
    <row r="59">
      <c r="B59" s="677" t="s">
        <v>150</v>
      </c>
      <c r="C59" s="678" t="s">
        <v>4572</v>
      </c>
      <c r="D59" s="678">
        <v>6000.0</v>
      </c>
      <c r="E59" s="678" t="s">
        <v>4602</v>
      </c>
      <c r="F59" s="679" t="s">
        <v>4603</v>
      </c>
      <c r="G59" s="671"/>
      <c r="H59" s="20"/>
    </row>
    <row r="60">
      <c r="B60" s="665" t="s">
        <v>152</v>
      </c>
      <c r="C60" s="666" t="s">
        <v>4553</v>
      </c>
      <c r="D60" s="666">
        <v>5500.0</v>
      </c>
      <c r="E60" s="666" t="s">
        <v>405</v>
      </c>
      <c r="F60" s="667" t="s">
        <v>4604</v>
      </c>
      <c r="G60" s="34"/>
      <c r="H60" s="14"/>
    </row>
    <row r="61">
      <c r="B61" s="680" t="s">
        <v>153</v>
      </c>
      <c r="C61" s="681" t="s">
        <v>4567</v>
      </c>
      <c r="D61" s="681">
        <v>10000.0</v>
      </c>
      <c r="E61" s="681" t="s">
        <v>410</v>
      </c>
      <c r="F61" s="664" t="s">
        <v>4605</v>
      </c>
      <c r="G61" s="34"/>
      <c r="H61" s="14"/>
    </row>
    <row r="62">
      <c r="B62" s="435" t="s">
        <v>154</v>
      </c>
      <c r="C62" s="324" t="s">
        <v>4606</v>
      </c>
      <c r="D62" s="324" t="s">
        <v>4607</v>
      </c>
      <c r="E62" s="324" t="s">
        <v>4608</v>
      </c>
      <c r="F62" s="658" t="s">
        <v>4609</v>
      </c>
      <c r="G62" s="34"/>
      <c r="H62" s="14"/>
    </row>
    <row r="64">
      <c r="B64" s="682" t="s">
        <v>4610</v>
      </c>
      <c r="C64" s="34"/>
      <c r="D64" s="34"/>
      <c r="E64" s="34"/>
      <c r="F64" s="34"/>
      <c r="G64" s="34"/>
      <c r="H64" s="14"/>
    </row>
    <row r="65">
      <c r="B65" s="655" t="s">
        <v>167</v>
      </c>
      <c r="C65" s="655" t="s">
        <v>168</v>
      </c>
      <c r="D65" s="655" t="s">
        <v>4547</v>
      </c>
      <c r="E65" s="655" t="s">
        <v>172</v>
      </c>
      <c r="F65" s="656" t="s">
        <v>174</v>
      </c>
      <c r="G65" s="34"/>
      <c r="H65" s="14"/>
    </row>
    <row r="66">
      <c r="B66" s="657" t="s">
        <v>309</v>
      </c>
      <c r="C66" s="34"/>
      <c r="D66" s="34"/>
      <c r="E66" s="34"/>
      <c r="F66" s="34"/>
      <c r="G66" s="34"/>
      <c r="H66" s="14"/>
    </row>
    <row r="67">
      <c r="B67" s="435" t="s">
        <v>4611</v>
      </c>
      <c r="C67" s="324" t="s">
        <v>4612</v>
      </c>
      <c r="D67" s="324" t="s">
        <v>4613</v>
      </c>
      <c r="E67" s="324" t="s">
        <v>225</v>
      </c>
      <c r="F67" s="658" t="s">
        <v>4614</v>
      </c>
      <c r="G67" s="34"/>
      <c r="H67" s="14"/>
      <c r="I67" s="654" t="s">
        <v>4615</v>
      </c>
    </row>
    <row r="69">
      <c r="B69" s="676" t="s">
        <v>325</v>
      </c>
      <c r="C69" s="34"/>
      <c r="D69" s="34"/>
      <c r="E69" s="34"/>
      <c r="F69" s="34"/>
      <c r="G69" s="34"/>
      <c r="H69" s="14"/>
    </row>
    <row r="70">
      <c r="B70" s="435" t="s">
        <v>4616</v>
      </c>
      <c r="C70" s="324" t="s">
        <v>4617</v>
      </c>
      <c r="D70" s="324" t="s">
        <v>4618</v>
      </c>
      <c r="E70" s="324" t="s">
        <v>4619</v>
      </c>
      <c r="F70" s="658" t="s">
        <v>4620</v>
      </c>
      <c r="G70" s="34"/>
      <c r="H70" s="14"/>
    </row>
    <row r="71">
      <c r="B71" s="435" t="s">
        <v>4621</v>
      </c>
      <c r="C71" s="324" t="s">
        <v>4622</v>
      </c>
      <c r="D71" s="324" t="s">
        <v>4607</v>
      </c>
      <c r="E71" s="324" t="s">
        <v>393</v>
      </c>
      <c r="F71" s="658" t="s">
        <v>4623</v>
      </c>
      <c r="G71" s="34"/>
      <c r="H71" s="14"/>
    </row>
    <row r="72">
      <c r="B72" s="435" t="s">
        <v>155</v>
      </c>
      <c r="C72" s="324" t="s">
        <v>4624</v>
      </c>
      <c r="D72" s="324" t="s">
        <v>4625</v>
      </c>
      <c r="E72" s="324" t="s">
        <v>296</v>
      </c>
      <c r="F72" s="658" t="s">
        <v>4626</v>
      </c>
      <c r="G72" s="34"/>
      <c r="H72" s="14"/>
    </row>
    <row r="73">
      <c r="B73" s="435" t="s">
        <v>4627</v>
      </c>
      <c r="C73" s="324" t="s">
        <v>4576</v>
      </c>
      <c r="D73" s="324" t="s">
        <v>4628</v>
      </c>
      <c r="E73" s="324" t="s">
        <v>373</v>
      </c>
      <c r="F73" s="683" t="s">
        <v>4629</v>
      </c>
      <c r="G73" s="34"/>
      <c r="H73" s="14"/>
    </row>
    <row r="74">
      <c r="B74" s="435" t="s">
        <v>4630</v>
      </c>
      <c r="C74" s="324" t="s">
        <v>4599</v>
      </c>
      <c r="D74" s="324" t="s">
        <v>4631</v>
      </c>
      <c r="E74" s="324" t="s">
        <v>393</v>
      </c>
      <c r="F74" s="658" t="s">
        <v>4632</v>
      </c>
      <c r="G74" s="34"/>
      <c r="H74" s="14"/>
    </row>
    <row r="75">
      <c r="B75" s="684" t="s">
        <v>4633</v>
      </c>
      <c r="C75" s="324" t="s">
        <v>4548</v>
      </c>
      <c r="D75" s="685" t="s">
        <v>4634</v>
      </c>
      <c r="E75" s="324" t="s">
        <v>441</v>
      </c>
      <c r="F75" s="686" t="s">
        <v>4635</v>
      </c>
      <c r="G75" s="34"/>
      <c r="H75" s="14"/>
    </row>
    <row r="76">
      <c r="B76" s="687"/>
      <c r="C76" s="191"/>
      <c r="D76" s="191"/>
      <c r="E76" s="191"/>
      <c r="F76" s="688"/>
      <c r="G76" s="688"/>
      <c r="H76" s="688"/>
    </row>
    <row r="77">
      <c r="B77" s="641"/>
      <c r="C77" s="191"/>
      <c r="D77" s="191"/>
      <c r="E77" s="191"/>
      <c r="F77" s="688"/>
      <c r="G77" s="688"/>
      <c r="H77" s="688"/>
    </row>
    <row r="79">
      <c r="B79" s="687"/>
      <c r="C79" s="191"/>
      <c r="D79" s="191"/>
      <c r="E79" s="191"/>
      <c r="F79" s="688"/>
      <c r="G79" s="688"/>
      <c r="H79" s="688"/>
    </row>
    <row r="80">
      <c r="B80" s="687"/>
      <c r="C80" s="191"/>
      <c r="D80" s="191"/>
      <c r="E80" s="191"/>
      <c r="F80" s="688"/>
      <c r="G80" s="688"/>
      <c r="H80" s="688"/>
    </row>
    <row r="81">
      <c r="B81" s="687"/>
      <c r="C81" s="191"/>
      <c r="D81" s="191"/>
      <c r="E81" s="191"/>
      <c r="F81" s="688"/>
      <c r="G81" s="688"/>
      <c r="H81" s="688"/>
    </row>
    <row r="82">
      <c r="B82" s="687"/>
      <c r="C82" s="191"/>
      <c r="D82" s="191"/>
      <c r="E82" s="191"/>
      <c r="F82" s="688"/>
      <c r="G82" s="688"/>
      <c r="H82" s="688"/>
    </row>
    <row r="83">
      <c r="B83" s="687"/>
      <c r="C83" s="191"/>
      <c r="D83" s="191"/>
      <c r="E83" s="191"/>
      <c r="F83" s="688"/>
      <c r="G83" s="688"/>
      <c r="H83" s="688"/>
    </row>
    <row r="84">
      <c r="B84" s="687"/>
      <c r="C84" s="191"/>
      <c r="D84" s="191"/>
      <c r="E84" s="191"/>
      <c r="F84" s="688"/>
      <c r="G84" s="688"/>
      <c r="H84" s="688"/>
    </row>
    <row r="85">
      <c r="B85" s="687"/>
      <c r="C85" s="191"/>
      <c r="D85" s="191"/>
      <c r="E85" s="191"/>
      <c r="F85" s="688"/>
      <c r="G85" s="688"/>
      <c r="H85" s="688"/>
    </row>
    <row r="86">
      <c r="B86" s="687"/>
      <c r="C86" s="191"/>
      <c r="D86" s="191"/>
      <c r="E86" s="191"/>
      <c r="F86" s="688"/>
      <c r="G86" s="688"/>
      <c r="H86" s="688"/>
    </row>
    <row r="87">
      <c r="B87" s="687"/>
      <c r="C87" s="191"/>
      <c r="D87" s="191"/>
      <c r="E87" s="191"/>
      <c r="F87" s="688"/>
      <c r="G87" s="688"/>
      <c r="H87" s="688"/>
    </row>
    <row r="88">
      <c r="B88" s="688"/>
      <c r="C88" s="191"/>
      <c r="D88" s="191"/>
      <c r="E88" s="191"/>
      <c r="F88" s="688"/>
      <c r="G88" s="688"/>
      <c r="H88" s="688"/>
    </row>
    <row r="89">
      <c r="B89" s="688"/>
      <c r="C89" s="191"/>
      <c r="D89" s="191"/>
      <c r="E89" s="191"/>
      <c r="F89" s="688"/>
      <c r="G89" s="688"/>
      <c r="H89" s="688"/>
    </row>
    <row r="90">
      <c r="B90" s="688"/>
      <c r="C90" s="191"/>
      <c r="D90" s="191"/>
      <c r="E90" s="191"/>
      <c r="F90" s="688"/>
      <c r="G90" s="688"/>
      <c r="H90" s="688"/>
    </row>
    <row r="91">
      <c r="B91" s="192"/>
      <c r="C91" s="192"/>
      <c r="D91" s="191"/>
      <c r="E91" s="191"/>
      <c r="F91" s="688"/>
      <c r="G91" s="688"/>
      <c r="H91" s="688"/>
    </row>
    <row r="92">
      <c r="B92" s="192"/>
      <c r="C92" s="192"/>
      <c r="D92" s="688"/>
      <c r="E92" s="688"/>
      <c r="F92" s="688"/>
      <c r="G92" s="688"/>
      <c r="H92" s="688"/>
    </row>
    <row r="93">
      <c r="B93" s="192"/>
      <c r="C93" s="192"/>
      <c r="D93" s="688"/>
      <c r="E93" s="688"/>
      <c r="F93" s="688"/>
      <c r="G93" s="688"/>
      <c r="H93" s="688"/>
    </row>
    <row r="94">
      <c r="B94" s="192"/>
      <c r="C94" s="192"/>
      <c r="D94" s="688"/>
      <c r="E94" s="688"/>
      <c r="F94" s="688"/>
      <c r="G94" s="688"/>
      <c r="H94" s="688"/>
    </row>
    <row r="95">
      <c r="B95" s="192"/>
      <c r="C95" s="192"/>
      <c r="D95" s="688"/>
      <c r="E95" s="688"/>
      <c r="F95" s="688"/>
      <c r="G95" s="688"/>
      <c r="H95" s="688"/>
    </row>
    <row r="96">
      <c r="B96" s="192"/>
      <c r="C96" s="192"/>
      <c r="D96" s="688"/>
      <c r="E96" s="688"/>
      <c r="F96" s="688"/>
      <c r="G96" s="688"/>
      <c r="H96" s="688"/>
    </row>
    <row r="97">
      <c r="B97" s="192"/>
      <c r="C97" s="192"/>
      <c r="D97" s="688"/>
      <c r="E97" s="688"/>
      <c r="F97" s="688"/>
      <c r="G97" s="688"/>
      <c r="H97" s="688"/>
    </row>
    <row r="98">
      <c r="B98" s="192"/>
      <c r="C98" s="192"/>
      <c r="D98" s="688"/>
      <c r="E98" s="688"/>
      <c r="F98" s="688"/>
      <c r="G98" s="688"/>
      <c r="H98" s="688"/>
    </row>
    <row r="99">
      <c r="B99" s="192"/>
      <c r="C99" s="192"/>
      <c r="D99" s="688"/>
      <c r="E99" s="688"/>
      <c r="F99" s="688"/>
      <c r="G99" s="688"/>
      <c r="H99" s="688"/>
    </row>
    <row r="100">
      <c r="D100" s="688"/>
      <c r="E100" s="688"/>
      <c r="F100" s="688"/>
      <c r="G100" s="688"/>
      <c r="H100" s="688"/>
    </row>
    <row r="101">
      <c r="B101" s="652"/>
      <c r="C101" s="652"/>
      <c r="D101" s="688"/>
      <c r="E101" s="688"/>
      <c r="F101" s="688"/>
      <c r="G101" s="688"/>
      <c r="H101" s="688"/>
    </row>
    <row r="102">
      <c r="B102" s="688"/>
      <c r="C102" s="688"/>
      <c r="D102" s="688"/>
      <c r="E102" s="688"/>
      <c r="F102" s="688"/>
      <c r="G102" s="688"/>
      <c r="H102" s="688"/>
    </row>
    <row r="103">
      <c r="B103" s="688"/>
      <c r="C103" s="688"/>
      <c r="D103" s="688"/>
      <c r="E103" s="688"/>
      <c r="F103" s="688"/>
      <c r="G103" s="688"/>
      <c r="H103" s="688"/>
    </row>
  </sheetData>
  <mergeCells count="62">
    <mergeCell ref="F70:H70"/>
    <mergeCell ref="F71:H71"/>
    <mergeCell ref="F72:H72"/>
    <mergeCell ref="F73:H73"/>
    <mergeCell ref="F74:H74"/>
    <mergeCell ref="F75:H75"/>
    <mergeCell ref="F61:H61"/>
    <mergeCell ref="F62:H62"/>
    <mergeCell ref="B64:H64"/>
    <mergeCell ref="F65:H65"/>
    <mergeCell ref="B66:H66"/>
    <mergeCell ref="F67:H67"/>
    <mergeCell ref="B69:H69"/>
    <mergeCell ref="B2:E2"/>
    <mergeCell ref="B10:E10"/>
    <mergeCell ref="K10:K12"/>
    <mergeCell ref="B12:H12"/>
    <mergeCell ref="F13:H13"/>
    <mergeCell ref="B14:H14"/>
    <mergeCell ref="F15:H15"/>
    <mergeCell ref="F16:H16"/>
    <mergeCell ref="F17:H17"/>
    <mergeCell ref="F18:H18"/>
    <mergeCell ref="B19:H19"/>
    <mergeCell ref="F20:H20"/>
    <mergeCell ref="F21:H21"/>
    <mergeCell ref="F22:H22"/>
    <mergeCell ref="F23:H23"/>
    <mergeCell ref="B24:H24"/>
    <mergeCell ref="F25:H25"/>
    <mergeCell ref="F26:H26"/>
    <mergeCell ref="F27:H27"/>
    <mergeCell ref="B28:H28"/>
    <mergeCell ref="B30:H30"/>
    <mergeCell ref="F31:H31"/>
    <mergeCell ref="B32:H32"/>
    <mergeCell ref="F33:H33"/>
    <mergeCell ref="F34:H34"/>
    <mergeCell ref="F35:H35"/>
    <mergeCell ref="B36:H36"/>
    <mergeCell ref="F37:H37"/>
    <mergeCell ref="F38:H38"/>
    <mergeCell ref="F39:H39"/>
    <mergeCell ref="F40:H40"/>
    <mergeCell ref="B43:H43"/>
    <mergeCell ref="F44:H44"/>
    <mergeCell ref="B45:H45"/>
    <mergeCell ref="F46:H46"/>
    <mergeCell ref="F47:H47"/>
    <mergeCell ref="F48:H48"/>
    <mergeCell ref="F49:H49"/>
    <mergeCell ref="B50:H50"/>
    <mergeCell ref="F51:H51"/>
    <mergeCell ref="F52:H52"/>
    <mergeCell ref="F53:H53"/>
    <mergeCell ref="F54:H54"/>
    <mergeCell ref="F55:H55"/>
    <mergeCell ref="F56:H56"/>
    <mergeCell ref="F57:H57"/>
    <mergeCell ref="F58:H58"/>
    <mergeCell ref="F59:H59"/>
    <mergeCell ref="F60:H60"/>
  </mergeCells>
  <drawing r:id="rId1"/>
</worksheet>
</file>